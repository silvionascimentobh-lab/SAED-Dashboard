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61" documentId="13_ncr:1_{6A2CC3E2-FAFB-4D8F-B284-5E8FB5045DFE}" xr6:coauthVersionLast="47" xr6:coauthVersionMax="47" xr10:uidLastSave="{693312C4-CAA9-4C03-839B-8A7B10BFB144}"/>
  <bookViews>
    <workbookView xWindow="2868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<sst xmlns="http://schemas.openxmlformats.org/spreadsheetml/2006/main" count="7457" uniqueCount="3278">
  <si>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</si>
  <si>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</si>
  <si>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</si>
  <si>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</si>
  <si>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</si>
  <si>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</si>
  <si>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</si>
  <si>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</si>
  <si>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</si>
  <si>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</si>
  <si>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</si>
  <si>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</si>
  <si>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</si>
  <si>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</si>
  <si>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</si>
  <si>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</si>
  <si>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</si>
  <si>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</si>
  <si>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</si>
  <si>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</si>
  <si>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</si>
  <si>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</si>
  <si>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</si>
  <si>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</si>
  <si>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</si>
  <si>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</si>
  <si>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</si>
  <si>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</si>
  <si>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</si>
  <si>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</si>
  <si>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</si>
  <si>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</si>
  <si>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</si>
  <si>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</si>
  <si>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</si>
  <si>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</si>
  <si>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</si>
  <si>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</si>
  <si>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</si>
  <si>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</si>
  <si>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</si>
  <si>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</si>
  <si>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</si>
  <si>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</si>
  <si>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</si>
  <si>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</si>
  <si>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</si>
  <si>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</si>
  <si>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</si>
  <si>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</si>
  <si>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</si>
  <si>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</si>
  <si>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</si>
  <si>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</si>
  <si>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</si>
  <si>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</si>
  <si>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</si>
  <si>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</si>
  <si>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</si>
  <si>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</si>
  <si>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</si>
  <si>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</si>
  <si>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</si>
  <si>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</si>
  <si>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</si>
  <si>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</si>
  <si>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</si>
  <si>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</si>
  <si>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</si>
  <si>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</si>
  <si>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</si>
  <si>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</si>
  <si>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</si>
  <si>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</si>
  <si>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</si>
  <si>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</si>
  <si>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</si>
  <si>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</si>
  <si>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</si>
  <si>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</si>
  <si>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</si>
  <si>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</si>
  <si>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</si>
  <si>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</si>
  <si>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</si>
  <si>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</si>
  <si>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</si>
  <si>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</si>
  <si>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</si>
  <si>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</si>
  <si>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</si>
  <si>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</si>
  <si>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</si>
  <si>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</si>
  <si>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</si>
  <si>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</si>
  <si>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</si>
  <si>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</si>
  <si>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</si>
  <si>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</si>
  <si>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</si>
  <si>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</si>
  <si>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</si>
  <si>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</si>
  <si>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</si>
  <si>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</si>
  <si>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</si>
  <si>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</si>
  <si>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</si>
  <si>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</si>
  <si>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</si>
  <si>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</si>
  <si>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</si>
  <si>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</si>
  <si>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</si>
  <si>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</si>
  <si>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</si>
  <si>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</si>
  <si>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</si>
  <si>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</si>
  <si>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</si>
  <si>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</si>
  <si>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</si>
  <si>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</si>
  <si>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</si>
  <si>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</si>
  <si>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</si>
  <si>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</si>
  <si>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</si>
  <si>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</si>
  <si>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</si>
  <si>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</si>
  <si>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</si>
  <si>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</si>
  <si>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</si>
  <si>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</si>
  <si>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</si>
  <si>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</si>
  <si>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</si>
  <si>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</si>
  <si>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</si>
  <si>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</si>
  <si>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</si>
  <si>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</si>
  <si>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</si>
  <si>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</si>
  <si>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</si>
  <si>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</si>
  <si>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</si>
  <si>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</si>
  <si>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</si>
  <si>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</si>
  <si>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</si>
  <si>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</si>
  <si>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</si>
  <si>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</si>
  <si>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</si>
  <si>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</si>
  <si>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</si>
  <si>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</si>
  <si>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</si>
  <si>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</si>
  <si>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</si>
  <si>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</si>
  <si>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</si>
  <si>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</si>
  <si>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</si>
  <si>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</si>
  <si>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</si>
  <si>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</si>
  <si>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</si>
  <si>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</si>
  <si>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</si>
  <si>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</si>
  <si>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</si>
  <si>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</si>
  <si>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</si>
  <si>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</si>
  <si>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</si>
  <si>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</si>
  <si>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</si>
  <si>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</si>
  <si>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</si>
  <si>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</si>
  <si>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</si>
  <si>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</si>
  <si>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</si>
  <si>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</si>
  <si>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</si>
  <si>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</si>
  <si>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</si>
  <si>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</si>
  <si>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</si>
  <si>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</si>
  <si>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</si>
  <si>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</si>
  <si>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</si>
  <si>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</si>
  <si>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</si>
  <si>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</si>
  <si>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</si>
  <si>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</si>
  <si>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</si>
  <si>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</si>
  <si>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</si>
  <si>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</si>
  <si>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</si>
  <si>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</si>
  <si>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</si>
  <si>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</si>
  <si>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</si>
  <si>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</si>
  <si>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</si>
  <si>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</si>
  <si>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</si>
  <si>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</si>
  <si>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</si>
  <si>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</si>
  <si>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</si>
  <si>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</si>
  <si>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</si>
  <si>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</si>
  <si>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</si>
  <si>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</si>
  <si>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</si>
  <si>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</si>
  <si>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</si>
  <si>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</si>
  <si>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</si>
  <si>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</si>
  <si>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</si>
  <si>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</si>
  <si>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</si>
  <si>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</si>
  <si>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</si>
  <si>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</si>
  <si>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</si>
  <si>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</si>
  <si>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</si>
  <si>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</si>
  <si>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</si>
  <si>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</si>
  <si>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</si>
  <si>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</si>
  <si>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</si>
  <si>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</si>
  <si>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</si>
  <si>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</si>
  <si>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</si>
  <si>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</si>
  <si>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</si>
  <si>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</si>
  <si>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</si>
  <si>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</si>
  <si>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</si>
  <si>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</si>
  <si>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</si>
  <si>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</si>
  <si>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</si>
  <si>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</si>
  <si>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</si>
  <si>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</si>
  <si>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</si>
  <si>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</si>
  <si>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</si>
  <si>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</si>
  <si>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</si>
  <si>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</si>
  <si>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</si>
  <si>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</si>
  <si>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</si>
  <si>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</si>
  <si>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</si>
  <si>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</si>
  <si>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</si>
  <si>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</si>
  <si>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</si>
  <si>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</si>
  <si>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</si>
  <si>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</si>
  <si>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</si>
  <si>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</si>
  <si>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</si>
  <si>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</si>
  <si>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</si>
  <si>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</si>
  <si>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</si>
  <si>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</si>
  <si>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</si>
  <si>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</si>
  <si>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</si>
  <si>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</si>
  <si>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</si>
  <si>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</si>
  <si>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</si>
  <si>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</si>
  <si>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</si>
  <si>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</si>
  <si>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</si>
  <si>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</si>
  <si>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</si>
  <si>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</si>
  <si>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</si>
  <si>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</si>
  <si>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</si>
  <si>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</si>
  <si>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</si>
  <si>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</si>
  <si>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</si>
  <si>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</si>
  <si>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</si>
  <si>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</si>
  <si>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</si>
  <si>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</si>
  <si>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</si>
  <si>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</si>
  <si>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</si>
  <si>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</si>
  <si>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</si>
  <si>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</si>
  <si>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</si>
  <si>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</si>
  <si>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</si>
  <si>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</si>
  <si>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</si>
  <si>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</si>
  <si>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</si>
  <si>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</si>
  <si>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</si>
  <si>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</si>
  <si>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</si>
  <si>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</si>
  <si>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</si>
  <si>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</si>
  <si>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</si>
  <si>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</si>
  <si>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</si>
  <si>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</si>
  <si>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</si>
  <si>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</si>
  <si>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</si>
  <si>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</si>
  <si>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</si>
  <si>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</si>
  <si>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</si>
  <si>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</si>
  <si>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</si>
  <si>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</si>
  <si>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</si>
  <si>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</si>
  <si>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</si>
  <si>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</si>
  <si>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</si>
  <si>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</si>
  <si>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</si>
  <si>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</si>
  <si>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</si>
  <si>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</si>
  <si>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</si>
  <si>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</si>
  <si>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</si>
  <si>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</si>
  <si>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</si>
  <si>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</si>
  <si>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</si>
  <si>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</si>
  <si>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</si>
  <si>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</si>
  <si>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</si>
  <si>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</si>
  <si>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</si>
  <si>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</si>
  <si>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</si>
  <si>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</si>
  <si>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</si>
  <si>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</si>
  <si>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</si>
  <si>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</si>
  <si>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</si>
  <si>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</si>
  <si>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</si>
  <si>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</si>
  <si>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</si>
  <si>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</si>
  <si>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</si>
  <si>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</si>
  <si>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</si>
  <si>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</si>
  <si>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</si>
  <si>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</si>
  <si>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</si>
  <si>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</si>
  <si>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</si>
  <si>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</si>
  <si>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</si>
  <si>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</si>
  <si>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</si>
  <si>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</si>
  <si>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</si>
  <si>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</si>
  <si>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</si>
  <si>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</si>
  <si>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</si>
  <si>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</si>
  <si>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</si>
  <si>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</si>
  <si>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</si>
  <si>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</si>
  <si>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</si>
  <si>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</si>
  <si>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</si>
  <si>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</si>
  <si>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</si>
  <si>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</si>
  <si>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</si>
  <si>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</si>
  <si>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</si>
  <si>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</si>
  <si>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</si>
  <si>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</si>
  <si>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</si>
  <si>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</si>
  <si>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</si>
  <si>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</si>
  <si>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</si>
  <si>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</si>
  <si>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</si>
  <si>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</si>
  <si>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</si>
  <si>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</si>
  <si>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</si>
  <si>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</si>
  <si>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</si>
  <si>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</si>
  <si>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</si>
  <si>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</si>
  <si>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</si>
  <si>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</si>
  <si>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</si>
  <si>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</si>
  <si>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</si>
  <si>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</si>
  <si>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</si>
  <si>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</si>
  <si>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</si>
  <si>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</si>
  <si>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</si>
  <si>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</si>
  <si>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</si>
  <si>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</si>
  <si>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</si>
  <si>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</si>
  <si>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</si>
  <si>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</si>
  <si>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</si>
  <si>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</si>
  <si>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</si>
  <si>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</si>
  <si>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</si>
  <si>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</si>
  <si>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</si>
  <si>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</si>
  <si>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</si>
  <si>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</si>
  <si>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</si>
  <si>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</si>
  <si>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</si>
  <si>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</si>
  <si>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</si>
  <si>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</si>
  <si>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</si>
  <si>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</si>
  <si>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</si>
  <si>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</si>
  <si>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</si>
  <si>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</si>
  <si>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</si>
  <si>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</si>
  <si>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</si>
  <si>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</si>
  <si>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</si>
  <si>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</si>
  <si>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</si>
  <si>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</si>
  <si>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</si>
  <si>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</si>
  <si>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</si>
  <si>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</si>
  <si>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</si>
  <si>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</si>
  <si>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</si>
  <si>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</si>
  <si>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</si>
  <si>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</si>
  <si>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</si>
  <si>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</si>
  <si>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</si>
  <si>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</si>
  <si>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</si>
  <si>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</si>
  <si>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</si>
  <si>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</si>
  <si>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</si>
  <si>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</si>
  <si>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</si>
  <si>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</si>
  <si>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</si>
  <si>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</si>
  <si>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</si>
  <si>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</si>
  <si>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</si>
  <si>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</si>
  <si>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</si>
  <si>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</si>
  <si>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</si>
  <si>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</si>
  <si>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</si>
  <si>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</si>
  <si>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</si>
  <si>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</si>
  <si>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</si>
  <si>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</si>
  <si>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</si>
  <si>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</si>
  <si>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</si>
  <si>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</si>
  <si>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</si>
  <si>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</si>
  <si>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</si>
  <si>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</si>
  <si>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</si>
  <si>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</si>
  <si>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</si>
  <si>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</si>
  <si>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</si>
  <si>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</si>
  <si>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</si>
  <si>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</si>
  <si>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</si>
  <si>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</si>
  <si>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</si>
  <si>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</si>
  <si>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</si>
  <si>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</si>
  <si>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</si>
  <si>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</si>
  <si>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</si>
  <si>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</si>
  <si>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</si>
  <si>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</si>
  <si>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</si>
  <si>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</si>
  <si>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</si>
  <si>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</si>
  <si>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</si>
  <si>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</si>
  <si>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</si>
  <si>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</si>
  <si>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</si>
  <si>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</si>
  <si>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</si>
  <si>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</si>
  <si>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</si>
  <si>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</si>
  <si>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</si>
  <si>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</si>
  <si>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</si>
  <si>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</si>
  <si>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</si>
  <si>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</si>
  <si>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</si>
  <si>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</si>
  <si>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</si>
  <si>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</si>
  <si>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</si>
  <si>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</si>
  <si>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</si>
  <si>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</si>
  <si>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</si>
  <si>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</si>
  <si>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</si>
  <si>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</si>
  <si>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</si>
  <si>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</si>
  <si>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</si>
  <si>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</si>
  <si>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</si>
  <si>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</si>
  <si>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</si>
  <si>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</si>
  <si>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</si>
  <si>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</si>
  <si>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</si>
  <si>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</si>
  <si>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</si>
  <si>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</si>
  <si>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</si>
  <si>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</si>
  <si>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</si>
  <si>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</si>
  <si>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</si>
  <si>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</si>
  <si>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</si>
  <si>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</si>
  <si>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</si>
  <si>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</si>
  <si>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</si>
  <si>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</si>
  <si>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</si>
  <si>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</si>
  <si>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</si>
  <si>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</si>
  <si>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</si>
  <si>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</si>
  <si>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</si>
  <si>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</si>
  <si>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</si>
  <si>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</si>
  <si>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</si>
  <si>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</si>
  <si>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</si>
  <si>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</si>
  <si>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</si>
  <si>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</si>
  <si>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</si>
  <si>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</si>
  <si>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</si>
  <si>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</si>
  <si>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</si>
  <si>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</si>
  <si>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</si>
  <si>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</si>
  <si>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</si>
  <si>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</si>
  <si>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</si>
  <si>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</si>
  <si>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</si>
  <si>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</si>
  <si>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</si>
  <si>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</si>
  <si>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</si>
  <si>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</si>
  <si>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</si>
  <si>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</si>
  <si>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</si>
  <si>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</si>
  <si>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</si>
  <si>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</si>
  <si>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</si>
  <si>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</si>
  <si>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</si>
  <si>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</si>
  <si>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</si>
  <si>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</si>
  <si>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</si>
  <si>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</si>
  <si>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</si>
  <si>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</si>
  <si>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</si>
  <si>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</si>
  <si>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</si>
  <si>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</si>
  <si>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</si>
  <si>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</si>
  <si>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</si>
  <si>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</si>
  <si>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</si>
  <si>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</si>
  <si>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</si>
  <si>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</si>
  <si>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</si>
  <si>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</si>
  <si>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</si>
  <si>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</si>
  <si>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</si>
  <si>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</si>
  <si>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</si>
  <si>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</si>
  <si>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</si>
  <si>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</si>
  <si>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</si>
  <si>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</si>
  <si>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</si>
  <si>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</si>
  <si>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</si>
  <si>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</si>
  <si>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</si>
  <si>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</si>
  <si>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</si>
  <si>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</si>
  <si>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</si>
  <si>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</si>
  <si>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</si>
  <si>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</si>
  <si>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</si>
  <si>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</si>
  <si>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</si>
  <si>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</si>
  <si>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</si>
  <si>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</si>
  <si>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</si>
  <si>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</si>
  <si>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</si>
  <si>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</si>
  <si>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</si>
  <si>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</si>
  <si>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</si>
  <si>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</si>
  <si>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</si>
  <si>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</si>
  <si>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</si>
  <si>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</si>
  <si>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</si>
  <si>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</si>
  <si>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</si>
  <si>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</si>
  <si>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</si>
  <si>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</si>
  <si>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</si>
  <si>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</si>
  <si>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</si>
  <si>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</si>
  <si>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</si>
  <si>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</si>
  <si>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</si>
  <si>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</si>
  <si>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</si>
  <si>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</si>
  <si>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</si>
  <si>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</si>
  <si>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</si>
  <si>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</si>
  <si>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</si>
  <si>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</si>
  <si>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</si>
  <si>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</si>
  <si>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</si>
  <si>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</si>
  <si>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</si>
  <si>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</si>
  <si>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</si>
  <si>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</si>
  <si>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</si>
  <si>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</si>
  <si>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</si>
  <si>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</si>
  <si>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</si>
  <si>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</si>
  <si>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</si>
  <si>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</si>
  <si>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</si>
  <si>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</si>
  <si>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</si>
  <si>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</si>
  <si>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</si>
  <si>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</si>
  <si>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</si>
  <si>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</si>
  <si>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</si>
  <si>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</si>
  <si>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</si>
  <si>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</si>
  <si>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</si>
  <si>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</si>
  <si>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</si>
  <si>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</si>
  <si>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</si>
  <si>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</si>
  <si>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</si>
  <si>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</si>
  <si>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</si>
  <si>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</si>
  <si>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</si>
  <si>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</si>
  <si>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</si>
  <si>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</si>
  <si>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</si>
  <si>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</si>
  <si>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</si>
  <si>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</si>
  <si>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</si>
  <si>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</si>
  <si>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</si>
  <si>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</si>
  <si>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</si>
  <si>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</si>
  <si>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</si>
  <si>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</si>
  <si>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</si>
  <si>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</si>
  <si>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</si>
  <si>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</si>
  <si>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</si>
  <si>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</si>
  <si>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</si>
  <si>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</si>
  <si>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</si>
  <si>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</si>
  <si>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</si>
  <si>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</si>
  <si>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</si>
  <si>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</si>
  <si>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</si>
  <si>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</si>
  <si>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</si>
  <si>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</si>
  <si>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</si>
  <si>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</si>
  <si>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</si>
  <si>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</si>
  <si>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</si>
  <si>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</si>
  <si>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</si>
  <si>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</si>
  <si>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</si>
  <si>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</si>
  <si>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</si>
  <si>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</si>
  <si>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</si>
  <si>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</si>
  <si>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</si>
  <si>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</si>
  <si>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</si>
  <si>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</si>
  <si>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</si>
  <si>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</si>
  <si>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</si>
  <si>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</si>
  <si>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</si>
  <si>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</si>
  <si>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</si>
  <si>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</si>
  <si>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</si>
  <si>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</si>
  <si>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</si>
  <si>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</si>
  <si>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</si>
  <si>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</si>
  <si>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</si>
  <si>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</si>
  <si>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</si>
  <si>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</si>
  <si>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</si>
  <si>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</si>
  <si>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</si>
  <si>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</si>
  <si>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</si>
  <si>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</si>
  <si>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</si>
  <si>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</si>
  <si>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</si>
  <si>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</si>
  <si>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</si>
  <si>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</si>
  <si>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</si>
  <si>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</si>
  <si>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</si>
  <si>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</si>
  <si>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</si>
  <si>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</si>
  <si>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</si>
  <si>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</si>
  <si>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</si>
  <si>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</si>
  <si>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</si>
  <si>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</si>
  <si>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</si>
  <si>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</si>
  <si>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</si>
  <si>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</si>
  <si>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</si>
  <si>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</si>
  <si>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</si>
  <si>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</si>
  <si>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</si>
  <si>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</si>
  <si>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</si>
  <si>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</si>
  <si>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</si>
  <si>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</si>
  <si>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</si>
  <si>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</si>
  <si>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</si>
  <si>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</si>
  <si>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</si>
  <si>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</si>
  <si>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</si>
  <si>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</si>
  <si>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</si>
  <si>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</si>
  <si>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</si>
  <si>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</si>
  <si>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</si>
  <si>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</si>
  <si>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</si>
  <si>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</si>
  <si>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</si>
  <si>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</si>
  <si>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</si>
  <si>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</si>
  <si>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</si>
  <si>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</si>
  <si>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</si>
  <si>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</si>
  <si>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</si>
  <si>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</si>
  <si>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</si>
  <si>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</si>
  <si>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</si>
  <si>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</si>
  <si>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</si>
  <si>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</si>
  <si>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</si>
  <si>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</si>
  <si>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</si>
  <si>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</si>
  <si>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</si>
  <si>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</si>
  <si>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</si>
  <si>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</si>
  <si>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</si>
  <si>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</si>
  <si>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</si>
  <si>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</si>
  <si>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</si>
  <si>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</si>
  <si>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</si>
  <si>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</si>
  <si>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</si>
  <si>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</si>
  <si>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</si>
  <si>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</si>
  <si>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</si>
  <si>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</si>
  <si>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</si>
  <si>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</si>
  <si>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</si>
  <si>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</si>
  <si>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</si>
  <si>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</si>
  <si>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</si>
  <si>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</si>
  <si>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</si>
  <si>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</si>
  <si>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</si>
  <si>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</si>
  <si>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</si>
  <si>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</si>
  <si>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</si>
  <si>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</si>
  <si>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</si>
  <si>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</si>
  <si>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</si>
  <si>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</si>
  <si>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</si>
  <si>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</si>
  <si>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</si>
  <si>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</si>
  <si>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</si>
  <si>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</si>
  <si>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</si>
  <si>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</si>
  <si>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</si>
  <si>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</si>
  <si>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</si>
  <si>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</si>
  <si>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</si>
  <si>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</si>
  <si>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</si>
  <si>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</si>
  <si>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</si>
  <si>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</si>
  <si>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</si>
  <si>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</si>
  <si>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</si>
  <si>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</si>
  <si>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</si>
  <si>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</si>
  <si>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</si>
  <si>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</si>
  <si>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</si>
  <si>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</si>
  <si>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</si>
  <si>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</si>
  <si>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</si>
  <si>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</si>
  <si>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</si>
  <si>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</si>
  <si>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</si>
  <si>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</si>
  <si>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</si>
  <si>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</si>
  <si>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</si>
  <si>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</si>
  <si>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</si>
  <si>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</si>
  <si>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</si>
  <si>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</si>
  <si>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</si>
  <si>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</si>
  <si>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</si>
  <si>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</si>
  <si>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</si>
  <si>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</si>
  <si>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</si>
  <si>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</si>
  <si>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</si>
  <si>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</si>
  <si>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</si>
  <si>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</si>
  <si>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</si>
  <si>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</si>
  <si>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</si>
  <si>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</si>
  <si>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</si>
  <si>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</si>
  <si>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</si>
  <si>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</si>
  <si>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</si>
  <si>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</si>
  <si>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</si>
  <si>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</si>
  <si>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</si>
  <si>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</si>
  <si>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</si>
  <si>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</si>
  <si>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</si>
  <si>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</si>
  <si>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</si>
  <si>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</si>
  <si>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</si>
  <si>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</si>
  <si>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</si>
  <si>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</si>
  <si>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</si>
  <si>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</si>
  <si>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</si>
  <si>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</si>
  <si>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</si>
  <si>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</si>
  <si>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</si>
  <si>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</si>
  <si>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</si>
  <si>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</si>
  <si>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</si>
  <si>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</si>
  <si>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</si>
  <si>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</si>
  <si>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</si>
  <si>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</si>
  <si>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</si>
  <si>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</si>
  <si>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</si>
  <si>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</si>
  <si>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</si>
  <si>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</si>
  <si>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</si>
  <si>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</si>
  <si>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</si>
  <si>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</si>
  <si>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</si>
  <si>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</si>
  <si>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</si>
  <si>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</si>
  <si>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</si>
  <si>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</si>
  <si>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</si>
  <si>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</si>
  <si>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</si>
  <si>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</si>
  <si>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</si>
  <si>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</si>
  <si>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</si>
  <si>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</si>
  <si>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</si>
  <si>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</si>
  <si>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</si>
  <si>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</si>
  <si>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</si>
  <si>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</si>
  <si>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</si>
  <si>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</si>
  <si>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</si>
  <si>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</si>
  <si>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</si>
  <si>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</si>
  <si>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</si>
  <si>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</si>
  <si>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</si>
  <si>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</si>
  <si>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</si>
  <si>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</si>
  <si>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</si>
  <si>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</si>
  <si>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</si>
  <si>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</si>
  <si>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</si>
  <si>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</si>
  <si>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</si>
  <si>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</si>
  <si>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</si>
  <si>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</si>
  <si>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</si>
  <si>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</si>
  <si>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</si>
  <si>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</si>
  <si>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</si>
  <si>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</si>
  <si>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</si>
  <si>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</si>
  <si>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</si>
  <si>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</si>
  <si>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</si>
  <si>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</si>
  <si>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</si>
  <si>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</si>
  <si>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</si>
  <si>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</si>
  <si>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</si>
  <si>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</si>
  <si>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</si>
  <si>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</si>
  <si>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</si>
  <si>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</si>
  <si>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</si>
  <si>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</si>
  <si>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</si>
  <si>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</si>
  <si>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</si>
  <si>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</si>
  <si>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</si>
  <si>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</si>
  <si>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</si>
  <si>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</si>
  <si>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</si>
  <si>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</si>
  <si>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</si>
  <si>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</si>
  <si>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</si>
  <si>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</si>
  <si>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</si>
  <si>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</si>
  <si>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</si>
  <si>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</si>
  <si>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</si>
  <si>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</si>
  <si>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</si>
  <si>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</si>
  <si>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</si>
  <si>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</si>
  <si>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</si>
  <si>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</si>
  <si>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</si>
  <si>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</si>
  <si>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</si>
  <si>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</si>
  <si>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</si>
  <si>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</si>
  <si>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</si>
  <si>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</si>
  <si>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</si>
  <si>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</si>
  <si>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</si>
  <si>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</si>
  <si>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</si>
  <si>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</si>
  <si>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</si>
  <si>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</si>
  <si>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</si>
  <si>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</si>
  <si>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</si>
  <si>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</si>
  <si>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</si>
  <si>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</si>
  <si>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</si>
  <si>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</si>
  <si>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</si>
  <si>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</si>
  <si>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</si>
  <si>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</si>
  <si>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</si>
  <si>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</si>
  <si>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</si>
  <si>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</si>
  <si>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</si>
  <si>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</si>
  <si>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</si>
  <si>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</si>
  <si>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</si>
  <si>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</si>
  <si>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</si>
  <si>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</si>
  <si>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</si>
  <si>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</si>
  <si>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</si>
  <si>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</si>
  <si>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</si>
  <si>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</si>
  <si>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</si>
  <si>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</si>
  <si>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</si>
  <si>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</si>
  <si>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</si>
  <si>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</si>
  <si>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</si>
  <si>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</si>
  <si>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</si>
  <si>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</si>
  <si>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</si>
  <si>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</si>
  <si>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</si>
  <si>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</si>
  <si>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</si>
  <si>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</si>
  <si>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</si>
  <si>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</si>
  <si>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</si>
  <si>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</si>
  <si>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</si>
  <si>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</si>
  <si>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</si>
  <si>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</si>
  <si>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</si>
  <si>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</si>
  <si>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</si>
  <si>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</si>
  <si>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</si>
  <si>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</si>
  <si>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</si>
  <si>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</si>
  <si>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</si>
  <si>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</si>
  <si>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</si>
  <si>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</si>
  <si>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</si>
  <si>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</si>
  <si>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</si>
  <si>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</si>
  <si>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</si>
  <si>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</si>
  <si>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</si>
  <si>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</si>
  <si>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</si>
  <si>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</si>
  <si>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</si>
  <si>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</si>
  <si>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</si>
  <si>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</si>
  <si>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</si>
  <si>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</si>
  <si>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</si>
  <si>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</si>
  <si>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</si>
  <si>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</si>
  <si>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</si>
  <si>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</si>
  <si>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</si>
  <si>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</si>
  <si>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</si>
  <si>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</si>
  <si>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</si>
  <si>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</si>
  <si>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</si>
  <si>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</si>
  <si>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</si>
  <si>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</si>
  <si>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</si>
  <si>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</si>
  <si>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</si>
  <si>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</si>
  <si>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</si>
  <si>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</si>
  <si>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</si>
  <si>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</si>
  <si>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</si>
  <si>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</si>
  <si>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</si>
  <si>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</si>
  <si>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</si>
  <si>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</si>
  <si>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</si>
  <si>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</si>
  <si>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</si>
  <si>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</si>
  <si>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</si>
  <si>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</si>
  <si>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</si>
  <si>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</si>
  <si>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</si>
  <si>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</si>
  <si>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</si>
  <si>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</si>
  <si>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</si>
  <si>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</si>
  <si>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</si>
  <si>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</si>
  <si>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</si>
  <si>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</si>
  <si>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</si>
  <si>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</si>
  <si>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</si>
  <si>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</si>
  <si>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</si>
  <si>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</si>
  <si>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</si>
  <si>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</si>
  <si>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</si>
  <si>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</si>
  <si>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</si>
  <si>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</si>
  <si>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</si>
  <si>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</si>
  <si>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</si>
  <si>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</si>
  <si>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</si>
  <si>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</si>
  <si>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</si>
  <si>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</si>
  <si>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</si>
  <si>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</si>
  <si>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</si>
  <si>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</si>
  <si>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</si>
  <si>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</si>
  <si>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</si>
  <si>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</si>
  <si>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</si>
  <si>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</si>
  <si>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</si>
  <si>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</si>
  <si>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</si>
  <si>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</si>
  <si>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</si>
  <si>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</si>
  <si>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</si>
  <si>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</si>
  <si>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</si>
  <si>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</si>
  <si>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</si>
  <si>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</si>
  <si>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</si>
  <si>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</si>
  <si>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</si>
  <si>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</si>
  <si>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</si>
  <si>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</si>
  <si>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</si>
  <si>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</si>
  <si>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</si>
  <si>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</si>
  <si>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</si>
  <si>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</si>
  <si>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</si>
  <si>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</si>
  <si>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</si>
  <si>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</si>
  <si>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</si>
  <si>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</si>
  <si>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</si>
  <si>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</si>
  <si>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</si>
  <si>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</si>
  <si>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</si>
  <si>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</si>
  <si>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</si>
  <si>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</si>
  <si>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</si>
  <si>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</si>
  <si>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</si>
  <si>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</si>
  <si>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</si>
  <si>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</si>
  <si>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</si>
  <si>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</si>
  <si>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</si>
  <si>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</si>
  <si>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</si>
  <si>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</si>
  <si>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</si>
  <si>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</si>
  <si>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</si>
  <si>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</si>
  <si>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</si>
  <si>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</si>
  <si>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</si>
  <si>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</si>
  <si>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</si>
  <si>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</si>
  <si>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</si>
  <si>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</si>
  <si>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</si>
  <si>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</si>
  <si>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</si>
  <si>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</si>
  <si>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</si>
  <si>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</si>
  <si>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</si>
  <si>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</si>
  <si>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</si>
  <si>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</si>
  <si>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</si>
  <si>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</si>
  <si>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</si>
  <si>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</si>
  <si>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</si>
  <si>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</si>
  <si>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</si>
  <si>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</si>
  <si>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</si>
  <si>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</si>
  <si>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</si>
  <si>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</si>
  <si>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</si>
  <si>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</si>
  <si>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</si>
  <si>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</si>
  <si>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</si>
  <si>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</si>
  <si>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</si>
  <si>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</si>
  <si>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</si>
  <si>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</si>
  <si>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</si>
  <si>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</si>
  <si>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</si>
  <si>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</si>
  <si>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</si>
  <si>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</si>
  <si>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</si>
  <si>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</si>
  <si>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</si>
  <si>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</si>
  <si>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</si>
  <si>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</si>
  <si>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</si>
  <si>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</si>
  <si>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</si>
  <si>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</si>
  <si>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</si>
  <si>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</si>
  <si>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</si>
  <si>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</si>
  <si>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</si>
  <si>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</si>
  <si>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</si>
  <si>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</si>
  <si>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</si>
  <si>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</si>
  <si>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</si>
  <si>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</si>
  <si>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</si>
  <si>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</si>
  <si>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</si>
  <si>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</si>
  <si>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</si>
  <si>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</si>
  <si>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</si>
  <si>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</si>
  <si>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</si>
  <si>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</si>
  <si>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</si>
  <si>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</si>
  <si>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</si>
  <si>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</si>
  <si>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</si>
  <si>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</si>
  <si>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</si>
  <si>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</si>
  <si>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</si>
  <si>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</si>
  <si>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</si>
  <si>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</si>
  <si>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</si>
  <si>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</si>
  <si>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</si>
  <si>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</si>
  <si>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</si>
  <si>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</si>
  <si>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</si>
  <si>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</si>
  <si>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</si>
  <si>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</si>
  <si>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</si>
  <si>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</si>
  <si>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</si>
  <si>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</si>
  <si>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</si>
  <si>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</si>
  <si>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</si>
  <si>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</si>
  <si>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</si>
  <si>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</si>
  <si>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</si>
  <si>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</si>
  <si>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</si>
  <si>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</si>
  <si>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</si>
  <si>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</si>
  <si>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</si>
  <si>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</si>
  <si>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</si>
  <si>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</si>
  <si>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</si>
  <si>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</si>
  <si>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</si>
  <si>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</si>
  <si>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</si>
  <si>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</si>
  <si>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</si>
  <si>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</si>
  <si>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</si>
  <si>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</si>
  <si>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</si>
  <si>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</si>
  <si>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</si>
  <si>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</si>
  <si>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</si>
  <si>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</si>
  <si>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</si>
  <si>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</si>
  <si>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</si>
  <si>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</si>
  <si>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</si>
  <si>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</si>
  <si>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</si>
  <si>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</si>
  <si>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</si>
  <si>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</si>
  <si>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</si>
  <si>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</si>
  <si>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</si>
  <si>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</si>
  <si>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</si>
  <si>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</si>
  <si>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</si>
  <si>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</si>
  <si>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</si>
  <si>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</si>
  <si>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</si>
  <si>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</si>
  <si>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</si>
  <si>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</si>
  <si>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</si>
  <si>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</si>
  <si>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</si>
  <si>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</si>
  <si>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</si>
  <si>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</si>
  <si>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</si>
  <si>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</si>
  <si>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</si>
  <si>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</si>
  <si>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</si>
  <si>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</si>
  <si>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</si>
  <si>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</si>
  <si>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</si>
  <si>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</si>
  <si>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</si>
  <si>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</si>
  <si>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</si>
  <si>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</si>
  <si>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</si>
  <si>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</si>
  <si>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</si>
  <si>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</si>
  <si>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</si>
  <si>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</si>
  <si>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</si>
  <si>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</si>
  <si>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</si>
  <si>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</si>
  <si>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</si>
  <si>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</si>
  <si>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</si>
  <si>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</si>
  <si>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</si>
  <si>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</si>
  <si>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</si>
  <si>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</si>
  <si>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</si>
  <si>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</si>
  <si>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</si>
  <si>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</si>
  <si>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</si>
  <si>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</si>
  <si>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</si>
  <si>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</si>
  <si>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</si>
  <si>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</si>
  <si>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</si>
  <si>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</si>
  <si>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</si>
  <si>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</si>
  <si>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</si>
  <si>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</si>
  <si>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</si>
  <si>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</si>
  <si>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</si>
  <si>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</si>
  <si>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</si>
  <si>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</si>
  <si>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</si>
  <si>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</si>
  <si>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</si>
  <si>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</si>
  <si>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</si>
  <si>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</si>
  <si>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</si>
  <si>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</si>
  <si>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</si>
  <si>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</si>
  <si>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</si>
  <si>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</si>
  <si>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</si>
  <si>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</si>
  <si>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</si>
  <si>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</si>
  <si>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</si>
  <si>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</si>
  <si>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</si>
  <si>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</si>
  <si>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</si>
  <si>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</si>
  <si>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</si>
  <si>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</si>
  <si>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</si>
  <si>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</si>
  <si>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</si>
  <si>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</si>
  <si>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</si>
  <si>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</si>
  <si>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</si>
  <si>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</si>
  <si>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</si>
  <si>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</si>
  <si>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</si>
  <si>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</si>
  <si>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</si>
  <si>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</si>
  <si>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</si>
  <si>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</si>
  <si>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</si>
  <si>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</si>
  <si>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</si>
  <si>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</si>
  <si>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</si>
  <si>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</si>
  <si>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</si>
  <si>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</si>
  <si>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</si>
  <si>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</si>
  <si>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</si>
  <si>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</si>
  <si>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</si>
  <si>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</si>
  <si>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</si>
  <si>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</si>
  <si>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</si>
  <si>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</si>
  <si>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</si>
  <si>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</si>
  <si>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</si>
  <si>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</si>
  <si>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</si>
  <si>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</si>
  <si>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</si>
  <si>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</si>
  <si>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</si>
  <si>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</si>
  <si>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</si>
  <si>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</si>
  <si>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</si>
  <si>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</si>
  <si>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</si>
  <si>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</si>
  <si>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</si>
  <si>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</si>
  <si>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</si>
  <si>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</si>
  <si>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</si>
  <si>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</si>
  <si>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</si>
  <si>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</si>
  <si>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</si>
  <si>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</si>
  <si>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</si>
  <si>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</si>
  <si>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</si>
  <si>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</si>
  <si>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</si>
  <si>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</si>
  <si>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</si>
  <si>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</si>
  <si>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</si>
  <si>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</si>
  <si>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</si>
  <si>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</si>
  <si>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</si>
  <si>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</si>
  <si>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</si>
  <si>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</si>
  <si>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</si>
  <si>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</si>
  <si>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</si>
  <si>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</si>
  <si>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</si>
  <si>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</si>
  <si>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</si>
  <si>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</si>
  <si>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</si>
  <si>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</si>
  <si>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</si>
  <si>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</si>
  <si>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</si>
  <si>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</si>
  <si>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</si>
  <si>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</si>
  <si>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</si>
  <si>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</si>
  <si>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</si>
  <si>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</si>
  <si>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</si>
  <si>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</si>
  <si>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</si>
  <si>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</si>
  <si>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</si>
  <si>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</si>
  <si>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</si>
  <si>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</si>
  <si>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</si>
  <si>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</si>
  <si>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</si>
  <si>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</si>
  <si>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</si>
  <si>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</si>
  <si>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</si>
  <si>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</si>
  <si>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</si>
  <si>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</si>
  <si>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</si>
  <si>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</si>
  <si>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</si>
  <si>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</si>
  <si>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</si>
  <si>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</si>
  <si>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</si>
  <si>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</si>
  <si>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</si>
  <si>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</si>
  <si>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</si>
  <si>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</si>
  <si>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</si>
  <si>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</si>
  <si>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</si>
  <si>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</si>
  <si>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</si>
  <si>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</si>
  <si>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</si>
  <si>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</si>
  <si>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</si>
  <si>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</si>
  <si>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</si>
  <si>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</si>
  <si>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</si>
  <si>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</si>
  <si>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</si>
  <si>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</si>
  <si>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</si>
  <si>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</si>
  <si>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</si>
  <si>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</si>
  <si>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</si>
  <si>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</si>
  <si>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</si>
  <si>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</si>
  <si>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</si>
  <si>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</si>
  <si>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</si>
  <si>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</si>
  <si>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</si>
  <si>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</si>
  <si>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</si>
  <si>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</si>
  <si>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</si>
  <si>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</si>
  <si>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</si>
  <si>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</si>
  <si>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</si>
  <si>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</si>
  <si>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</si>
  <si>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</si>
  <si>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</si>
  <si>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</si>
  <si>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</si>
  <si>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</si>
  <si>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</si>
  <si>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</si>
  <si>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</si>
  <si>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</si>
  <si>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</si>
  <si>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</si>
  <si>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</si>
  <si>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</si>
  <si>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</si>
  <si>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</si>
  <si>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</si>
  <si>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</si>
  <si>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</si>
  <si>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</si>
  <si>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</si>
  <si>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</si>
  <si>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</si>
  <si>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</si>
  <si>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</si>
  <si>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</si>
  <si>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</si>
  <si>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</si>
  <si>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</si>
  <si>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</si>
  <si>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</si>
  <si>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</si>
  <si>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</si>
  <si>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</si>
  <si>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</si>
  <si>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</si>
  <si>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</si>
  <si>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</si>
  <si>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</si>
  <si>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</si>
  <si>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</si>
  <si>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</si>
  <si>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</si>
  <si>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</si>
  <si>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</si>
  <si>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</si>
  <si>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</si>
  <si>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</si>
  <si>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</si>
  <si>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</si>
  <si>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</si>
  <si>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</si>
  <si>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</si>
  <si>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</si>
  <si>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</si>
  <si>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</si>
  <si>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</si>
  <si>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</si>
  <si>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</si>
  <si>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</si>
  <si>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</si>
  <si>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</si>
  <si>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</si>
  <si>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</si>
  <si>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</si>
  <si>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</si>
  <si>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</si>
  <si>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</si>
  <si>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</si>
  <si>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</si>
  <si>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</si>
  <si>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</si>
  <si>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</si>
  <si>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</si>
  <si>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</si>
  <si>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</si>
  <si>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</si>
  <si>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</si>
  <si>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</si>
  <si>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</si>
  <si>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</si>
  <si>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</si>
  <si>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</si>
  <si>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</si>
  <si>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</si>
  <si>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</si>
  <si>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</si>
  <si>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</si>
  <si>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</si>
  <si>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</si>
  <si>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</si>
  <si>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</si>
  <si>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</si>
  <si>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</si>
  <si>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</si>
  <si>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</si>
  <si>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</si>
  <si>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</si>
  <si>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</si>
  <si>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</si>
  <si>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</si>
  <si>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</si>
  <si>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</si>
  <si>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</si>
  <si>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</si>
  <si>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</si>
  <si>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</si>
  <si>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</si>
  <si>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</si>
  <si>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</si>
  <si>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</si>
  <si>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</si>
  <si>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</si>
  <si>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</si>
  <si>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</si>
  <si>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</si>
  <si>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</si>
  <si>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</si>
  <si>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</si>
  <si>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</si>
  <si>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</si>
  <si>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</si>
  <si>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</si>
  <si>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</si>
  <si>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</si>
  <si>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</si>
  <si>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</si>
  <si>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</si>
  <si>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</si>
  <si>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</si>
  <si>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</si>
  <si>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</si>
  <si>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</si>
  <si>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</si>
  <si>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</si>
  <si>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</si>
  <si>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</si>
  <si>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</si>
  <si>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</si>
  <si>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</si>
  <si>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</si>
  <si>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</si>
  <si>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</si>
  <si>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</si>
  <si>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</si>
  <si>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</si>
  <si>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</si>
  <si>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</si>
  <si>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</si>
  <si>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</si>
  <si>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</si>
  <si>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</si>
  <si>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</si>
  <si>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</si>
  <si>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</si>
  <si>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</si>
  <si>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</si>
  <si>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</si>
  <si>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</si>
  <si>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</si>
  <si>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</si>
  <si>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</si>
  <si>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</si>
  <si>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</si>
  <si>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</si>
  <si>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</si>
  <si>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</si>
  <si>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</si>
  <si>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</si>
  <si>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</si>
  <si>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</si>
  <si>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</si>
  <si>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</si>
  <si>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</si>
  <si>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</si>
  <si>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</si>
  <si>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</si>
  <si>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</si>
  <si>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</si>
  <si>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</si>
  <si>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</si>
  <si>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</si>
  <si>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</si>
  <si>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</si>
  <si>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</si>
  <si>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</si>
  <si>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</si>
  <si>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</si>
  <si>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</si>
  <si>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</si>
  <si>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</si>
  <si>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</si>
  <si>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</si>
  <si>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</si>
  <si>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</si>
  <si>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</si>
  <si>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</si>
  <si>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</si>
  <si>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</si>
  <si>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</si>
  <si>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</si>
  <si>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</si>
  <si>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</si>
  <si>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</si>
  <si>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</si>
  <si>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</si>
  <si>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</si>
  <si>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</si>
  <si>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</si>
  <si>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</si>
  <si>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</si>
  <si>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</si>
  <si>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</si>
  <si>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</si>
  <si>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</si>
  <si>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</si>
  <si>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</si>
  <si>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</si>
  <si>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</si>
  <si>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</si>
  <si>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</si>
  <si>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</si>
  <si>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</si>
  <si>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</si>
  <si>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</si>
  <si>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</si>
  <si>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</si>
  <si>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</si>
  <si>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</si>
  <si>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</si>
  <si>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</si>
  <si>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</si>
  <si>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</si>
  <si>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</si>
  <si>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</si>
  <si>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</si>
  <si>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</si>
  <si>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</si>
  <si>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</si>
  <si>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</si>
  <si>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</si>
  <si>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</si>
  <si>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</si>
  <si>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</si>
  <si>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</si>
  <si>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</si>
  <si>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</si>
  <si>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</si>
  <si>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</si>
  <si>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</si>
  <si>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</si>
  <si>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</si>
  <si>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</si>
  <si>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</si>
  <si>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</si>
  <si>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</si>
  <si>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</si>
  <si>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</si>
  <si>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</si>
  <si>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</si>
  <si>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</si>
  <si>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</si>
  <si>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</si>
  <si>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</si>
  <si>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</si>
  <si>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</si>
  <si>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</si>
  <si>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</si>
  <si>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</si>
  <si>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</si>
  <si>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</si>
  <si>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</si>
  <si>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</si>
  <si>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</si>
  <si>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</si>
  <si>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</si>
  <si>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</si>
  <si>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</si>
  <si>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</si>
  <si>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</si>
  <si>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</si>
  <si>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</si>
  <si>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</si>
  <si>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</si>
  <si>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</si>
  <si>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</si>
  <si>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</si>
  <si>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</si>
  <si>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</si>
  <si>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</si>
  <si>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</si>
  <si>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</si>
  <si>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</si>
  <si>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</si>
  <si>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</si>
  <si>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</si>
  <si>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</si>
  <si>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</si>
  <si>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</si>
  <si>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</si>
  <si>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</si>
  <si>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</si>
  <si>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</si>
  <si>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</si>
  <si>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</si>
  <si>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</si>
  <si>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</si>
  <si>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</si>
  <si>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</si>
  <si>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</si>
  <si>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</si>
  <si>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</si>
  <si>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</si>
  <si>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</si>
  <si>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</si>
  <si>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</si>
  <si>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</si>
  <si>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</si>
  <si>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</si>
  <si>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</si>
  <si>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</si>
  <si>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</si>
  <si>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</si>
  <si>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</si>
  <si>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</si>
  <si>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</si>
  <si>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</si>
  <si>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</si>
  <si>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</si>
  <si>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</si>
  <si>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</si>
  <si>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</si>
  <si>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</si>
  <si>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</si>
  <si>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</si>
  <si>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</si>
  <si>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</si>
  <si>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</si>
  <si>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</si>
  <si>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</si>
  <si>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</si>
  <si>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</si>
  <si>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</si>
  <si>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</si>
  <si>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</si>
  <si>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</si>
  <si>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</si>
  <si>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</si>
  <si>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</si>
  <si>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</si>
  <si>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</si>
  <si>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</si>
  <si>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</si>
  <si>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</si>
  <si>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</si>
  <si>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</si>
  <si>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</si>
  <si>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</si>
  <si>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</si>
  <si>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</si>
  <si>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</si>
  <si>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</si>
  <si>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</si>
  <si>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</si>
  <si>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</si>
  <si>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</si>
  <si>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</si>
  <si>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</si>
  <si>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</si>
  <si>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</si>
  <si>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</si>
  <si>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</si>
  <si>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</si>
  <si>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</si>
  <si>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</si>
  <si>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</si>
  <si>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</si>
  <si>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</si>
  <si>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</si>
  <si>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</si>
  <si>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</si>
  <si>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</si>
  <si>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</si>
  <si>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</si>
  <si>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</si>
  <si>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</si>
  <si>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</si>
  <si>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</si>
  <si>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</si>
  <si>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</si>
  <si>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</si>
  <si>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</si>
  <si>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</si>
  <si>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</si>
  <si>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</si>
  <si>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</si>
  <si>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</si>
  <si>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</si>
  <si>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</si>
  <si>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</si>
  <si>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</si>
  <si>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</si>
  <si>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</si>
  <si>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</si>
  <si>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</si>
  <si>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</si>
  <si>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</si>
  <si>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</si>
  <si>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</si>
  <si>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</si>
  <si>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</si>
  <si>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</si>
  <si>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</si>
  <si>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</si>
  <si>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</si>
  <si>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</si>
  <si>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</si>
  <si>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</si>
  <si>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</si>
  <si>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</si>
  <si>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</si>
  <si>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</si>
  <si>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</si>
  <si>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</si>
  <si>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</si>
  <si>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</si>
  <si>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</si>
  <si>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</si>
  <si>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</si>
  <si>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</si>
  <si>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</si>
  <si>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</si>
  <si>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</si>
  <si>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</si>
  <si>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</si>
  <si>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</si>
  <si>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</si>
  <si>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</si>
  <si>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</si>
  <si>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</si>
  <si>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</si>
  <si>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</si>
  <si>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</si>
  <si>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</si>
  <si>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</si>
  <si>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</si>
  <si>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</si>
  <si>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</si>
  <si>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</si>
  <si>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</si>
  <si>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</si>
  <si>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</si>
  <si>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</si>
  <si>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</si>
  <si>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</si>
  <si>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</si>
  <si>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</si>
  <si>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</si>
  <si>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</si>
  <si>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</si>
  <si>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</si>
  <si>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</si>
  <si>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</si>
  <si>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</si>
  <si>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</si>
  <si>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</si>
  <si>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</si>
  <si>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</si>
  <si>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</si>
  <si>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</si>
  <si>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</si>
  <si>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</si>
  <si>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</si>
  <si>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</si>
  <si>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</si>
  <si>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</si>
  <si>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</si>
  <si>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</si>
  <si>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</si>
  <si>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</si>
  <si>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</si>
  <si>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</si>
  <si>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</si>
  <si>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</si>
  <si>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</si>
  <si>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</si>
  <si>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</si>
  <si>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</si>
  <si>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</si>
  <si>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</si>
  <si>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</si>
  <si>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</si>
  <si>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</si>
  <si>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</si>
  <si>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</si>
  <si>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</si>
  <si>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</si>
  <si>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</si>
  <si>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</si>
  <si>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</si>
  <si>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</si>
  <si>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</si>
  <si>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</si>
  <si>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</si>
  <si>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</si>
  <si>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</si>
  <si>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</si>
  <si>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</si>
  <si>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</si>
  <si>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</si>
  <si>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</si>
  <si>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</si>
  <si>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</si>
  <si>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</si>
  <si>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</si>
  <si>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</si>
  <si>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</si>
  <si>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</si>
  <si>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</si>
  <si>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</si>
  <si>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</si>
  <si>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</si>
  <si>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</si>
  <si>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</si>
  <si>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</si>
  <si>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</si>
  <si>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</si>
  <si>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</si>
  <si>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</si>
  <si>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</si>
  <si>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</si>
  <si>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</si>
  <si>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</si>
  <si>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</si>
  <si>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</si>
  <si>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</si>
  <si>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</si>
  <si>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</si>
  <si>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</si>
  <si>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</si>
  <si>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</si>
  <si>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</si>
  <si>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</si>
  <si>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</si>
  <si>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</si>
  <si>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</si>
  <si>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</si>
  <si>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</si>
  <si>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</si>
  <si>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</si>
  <si>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</si>
  <si>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</si>
  <si>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</si>
  <si>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</si>
  <si>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</si>
  <si>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</si>
  <si>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</si>
  <si>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</si>
  <si>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</si>
  <si>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</si>
  <si>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</si>
  <si>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</si>
  <si>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</si>
  <si>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</si>
  <si>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</si>
  <si>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</si>
  <si>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</si>
  <si>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</si>
  <si>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</si>
  <si>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</si>
  <si>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</si>
  <si>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</si>
  <si>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</si>
  <si>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</si>
  <si>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</si>
  <si>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</si>
  <si>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</si>
  <si>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</si>
  <si>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</si>
  <si>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</si>
  <si>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</si>
  <si>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</si>
  <si>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</si>
  <si>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</si>
  <si>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</si>
  <si>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</si>
  <si>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</si>
  <si>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</si>
  <si>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</si>
  <si>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</si>
  <si>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</si>
  <si>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</si>
  <si>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</si>
  <si>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</si>
  <si>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</si>
  <si>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</si>
  <si>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</si>
  <si>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</si>
  <si>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</si>
  <si>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</si>
  <si>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</si>
  <si>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</si>
  <si>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</si>
  <si>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</si>
  <si>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</si>
  <si>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</si>
  <si>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</si>
  <si>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</si>
  <si>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</si>
  <si>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</si>
  <si>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</si>
  <si>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</si>
  <si>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</si>
  <si>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</si>
  <si>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</si>
  <si>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</si>
  <si>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</si>
  <si>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</si>
  <si>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</si>
  <si>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</si>
  <si>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</si>
  <si>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</si>
  <si>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</si>
  <si>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</si>
  <si>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</si>
  <si>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</si>
  <si>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</si>
  <si>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</si>
  <si>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</si>
  <si>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</si>
  <si>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</si>
  <si>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</si>
  <si>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</si>
  <si>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</si>
  <si>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</si>
  <si>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</si>
  <si>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</si>
  <si>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</si>
  <si>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</si>
  <si>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</si>
  <si>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</si>
  <si>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</si>
  <si>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</si>
  <si>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</si>
  <si>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</si>
  <si>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</si>
  <si>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</si>
  <si>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</si>
  <si>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</si>
  <si>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</si>
  <si>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</si>
  <si>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</si>
  <si>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</si>
  <si>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</si>
  <si>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</si>
  <si>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</si>
  <si>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</si>
  <si>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</si>
  <si>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</si>
  <si>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</si>
  <si>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</si>
  <si>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</si>
  <si>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</si>
  <si>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</si>
  <si>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</si>
  <si>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</si>
  <si>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</si>
  <si>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</si>
  <si>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</si>
  <si>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</si>
  <si>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</si>
  <si>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</si>
  <si>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</si>
  <si>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</si>
  <si>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</si>
  <si>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</si>
  <si>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</si>
  <si>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</si>
  <si>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</si>
  <si>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</si>
  <si>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</si>
  <si>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</si>
  <si>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</si>
  <si>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</si>
  <si>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</si>
  <si>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</si>
  <si>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</si>
  <si>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</si>
  <si>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</si>
  <si>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</si>
  <si>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</si>
  <si>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</si>
  <si>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</si>
  <si>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</si>
  <si>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</si>
  <si>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</si>
  <si>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</si>
  <si>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</si>
  <si>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</si>
  <si>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</si>
  <si>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</si>
  <si>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</si>
  <si>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</si>
  <si>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</si>
  <si>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</si>
  <si>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</si>
  <si>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</si>
  <si>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</si>
  <si>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</si>
  <si>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</si>
  <si>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</si>
  <si>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</si>
  <si>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</si>
  <si>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</si>
  <si>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</si>
  <si>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</si>
  <si>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</si>
  <si>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</si>
  <si>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</si>
  <si>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</si>
  <si>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</si>
  <si>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</si>
  <si>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</si>
  <si>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</si>
  <si>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</si>
  <si>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</si>
  <si>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</si>
  <si>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</si>
  <si>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</si>
  <si>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</si>
  <si>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</si>
  <si>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</si>
  <si>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</si>
  <si>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</si>
  <si>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</si>
  <si>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</si>
  <si>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</si>
  <si>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</si>
  <si>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</si>
  <si>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</si>
  <si>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</si>
  <si>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</si>
  <si>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</si>
  <si>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</si>
  <si>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</si>
  <si>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</si>
  <si>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</si>
  <si>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</si>
  <si>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</si>
  <si>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</si>
  <si>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</si>
  <si>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</si>
  <si>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</si>
  <si>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</si>
  <si>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</si>
  <si>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</si>
  <si>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</si>
  <si>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</si>
  <si>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</si>
  <si>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</si>
  <si>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</si>
  <si>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</si>
  <si>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</si>
  <si>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</si>
  <si>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</si>
  <si>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</si>
  <si>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</si>
  <si>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</si>
  <si>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</si>
  <si>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</si>
  <si>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</si>
  <si>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</si>
  <si>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</si>
  <si>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</si>
  <si>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</si>
  <si>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</si>
  <si>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</si>
  <si>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</si>
  <si>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</si>
  <si>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</si>
  <si>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</si>
  <si>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</si>
  <si>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</si>
  <si>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</si>
  <si>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</si>
  <si>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</si>
  <si>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</si>
  <si>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</si>
  <si>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</si>
  <si>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</si>
  <si>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</si>
  <si>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</si>
  <si>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</si>
  <si>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</si>
  <si>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</si>
  <si>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</si>
  <si>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</si>
  <si>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</si>
  <si>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</si>
  <si>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</si>
  <si>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</si>
  <si>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</si>
  <si>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</si>
  <si>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</si>
  <si>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</si>
  <si>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</si>
  <si>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</si>
  <si>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</si>
  <si>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</si>
  <si>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</si>
  <si>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</si>
  <si>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</si>
  <si>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</si>
  <si>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</si>
  <si>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</si>
  <si>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</si>
  <si>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</si>
  <si>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</si>
  <si>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</si>
  <si>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</si>
  <si>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</si>
  <si>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</si>
  <si>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</si>
  <si>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</si>
  <si>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</si>
  <si>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</si>
  <si>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</si>
  <si>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</si>
  <si>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</si>
  <si>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</si>
  <si>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</si>
  <si>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</si>
  <si>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</si>
  <si>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</si>
  <si>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</si>
  <si>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</si>
  <si>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</si>
  <si>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</si>
  <si>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</si>
  <si>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</si>
  <si>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</si>
  <si>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</si>
  <si>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</si>
  <si>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</si>
  <si>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</si>
  <si>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</si>
  <si>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</si>
  <si>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</si>
  <si>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</si>
  <si>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</si>
  <si>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</si>
  <si>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</si>
  <si>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</si>
  <si>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</si>
  <si>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</si>
  <si>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</si>
  <si>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</si>
  <si>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</si>
  <si>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</si>
  <si>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</si>
  <si>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</si>
  <si>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</si>
  <si>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</si>
  <si>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</si>
  <si>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</si>
  <si>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</si>
  <si>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</si>
  <si>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</si>
  <si>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</si>
  <si>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</si>
  <si>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</si>
  <si>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</si>
  <si>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</si>
  <si>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</si>
  <si>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</si>
  <si>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</si>
  <si>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</si>
  <si>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</si>
  <si>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</si>
  <si>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</si>
  <si>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</si>
  <si>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</si>
  <si>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</si>
  <si>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</si>
  <si>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</si>
  <si>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</si>
  <si>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</si>
  <si>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</si>
  <si>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</si>
  <si>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</si>
  <si>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</si>
  <si>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</si>
  <si>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</si>
  <si>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</si>
  <si>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</si>
  <si>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</si>
  <si>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</si>
  <si>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</si>
  <si>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</si>
  <si>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</si>
  <si>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</si>
  <si>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</si>
  <si>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</si>
  <si>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</si>
  <si>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</si>
  <si>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</si>
  <si>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</si>
  <si>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</si>
  <si>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</si>
  <si>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</si>
  <si>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</si>
  <si>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</si>
  <si>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</si>
  <si>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</si>
  <si>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</si>
  <si>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</si>
  <si>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</si>
  <si>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</si>
  <si>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</si>
  <si>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</si>
  <si>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</si>
  <si>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</si>
  <si>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</si>
  <si>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</si>
  <si>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</si>
  <si>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</si>
  <si>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</si>
  <si>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</si>
  <si>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</si>
  <si>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</si>
  <si>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</si>
  <si>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</si>
  <si>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</si>
  <si>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</si>
  <si>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</si>
  <si>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</si>
  <si>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</si>
  <si>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</si>
  <si>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</si>
  <si>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</si>
  <si>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</si>
  <si>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</si>
  <si>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</si>
  <si>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</si>
  <si>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</si>
  <si>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</si>
  <si>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</si>
  <si>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</si>
  <si>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</si>
  <si>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</si>
  <si>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</si>
  <si>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</si>
  <si>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</si>
  <si>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</si>
  <si>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</si>
  <si>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</si>
  <si>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</si>
  <si>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</si>
  <si>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</si>
  <si>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</si>
  <si>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</si>
  <si>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</si>
  <si>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</si>
  <si>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</si>
  <si>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</si>
  <si>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</si>
  <si>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</si>
  <si>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</si>
  <si>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</si>
  <si>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</si>
  <si>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</si>
  <si>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</si>
  <si>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</si>
  <si>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</si>
  <si>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</si>
  <si>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</si>
  <si>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</si>
  <si>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</si>
  <si>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</si>
  <si>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</si>
  <si>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</si>
  <si>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</si>
  <si>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</si>
  <si>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</si>
  <si>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</si>
  <si>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</si>
  <si>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</si>
  <si>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</si>
  <si>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</si>
  <si>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</si>
  <si>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</si>
  <si>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</si>
  <si>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</si>
  <si>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</si>
  <si>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</si>
  <si>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</si>
  <si>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</si>
  <si>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</si>
  <si>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</si>
  <si>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</si>
  <si>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</si>
  <si>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</si>
  <si>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</si>
  <si>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</si>
  <si>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</si>
  <si>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</si>
  <si>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</si>
  <si>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</si>
  <si>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</si>
  <si>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</si>
  <si>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</si>
  <si>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</si>
  <si>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</si>
  <si>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</si>
  <si>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</si>
  <si>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</si>
  <si>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</si>
  <si>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</si>
  <si>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</si>
  <si>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</si>
  <si>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</si>
  <si>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</si>
  <si>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</si>
  <si>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</si>
  <si>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</si>
  <si>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</si>
  <si>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</si>
  <si>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</si>
  <si>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</si>
  <si>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</si>
  <si>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</si>
  <si>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</si>
  <si>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</si>
  <si>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</si>
  <si>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</si>
  <si>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</si>
  <si>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</si>
  <si>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</si>
  <si>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</si>
  <si>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</si>
  <si>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</si>
  <si>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</si>
  <si>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</si>
  <si>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</si>
  <si>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</si>
  <si>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</si>
  <si>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</si>
  <si>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</si>
  <si>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</si>
  <si>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</si>
  <si>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</si>
  <si>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</si>
  <si>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</si>
  <si>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</si>
  <si>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</si>
  <si>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</si>
  <si>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</si>
  <si>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</si>
  <si>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</si>
  <si>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</si>
  <si>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</si>
  <si>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</si>
  <si>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</si>
  <si>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</si>
  <si>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</si>
  <si>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</si>
  <si>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</si>
  <si>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</si>
  <si>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</si>
  <si>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</si>
  <si>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</si>
  <si>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</si>
  <si>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</si>
  <si>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</si>
  <si>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</si>
  <si>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</si>
  <si>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</si>
  <si>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</si>
  <si>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</si>
  <si>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</si>
  <si>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</si>
  <si>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</si>
  <si>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</si>
  <si>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</si>
  <si>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</si>
  <si>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</si>
  <si>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</si>
  <si>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</si>
  <si>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</si>
  <si>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</si>
  <si>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</si>
  <si>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</si>
  <si>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</si>
  <si>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</si>
  <si>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</si>
  <si>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</si>
  <si>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</si>
  <si>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</si>
  <si>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</si>
  <si>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</si>
  <si>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</si>
  <si>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</si>
  <si>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</si>
  <si>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</si>
  <si>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</si>
  <si>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</si>
  <si>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</si>
  <si>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</si>
  <si>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</si>
  <si>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</si>
  <si>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</si>
  <si>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</si>
  <si>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</si>
  <si>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</si>
  <si>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</si>
  <si>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</si>
  <si>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</si>
  <si>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</si>
  <si>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</si>
  <si>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</si>
  <si>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</si>
  <si>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</si>
  <si>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</si>
  <si>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</si>
  <si>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</si>
  <si>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</si>
  <si>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</si>
  <si>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</si>
  <si>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</si>
  <si>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</si>
  <si>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</si>
  <si>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</si>
  <si>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</si>
  <si>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</si>
  <si>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</si>
  <si>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</si>
  <si>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</si>
  <si>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</si>
  <si>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</si>
  <si>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</si>
  <si>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</si>
  <si>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</si>
  <si>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</si>
  <si>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</si>
  <si>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</si>
  <si>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</si>
  <si>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</si>
  <si>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</si>
  <si>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</si>
  <si>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</si>
  <si>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</si>
  <si>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</si>
  <si>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</si>
  <si>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</si>
  <si>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</si>
  <si>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</si>
  <si>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</si>
  <si>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</si>
  <si>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</si>
  <si>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A realizar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</si>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</sst>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27</c:v>
                </c:pt>
                <c:pt idx="1">
                  <c:v>27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1121</c:v>
                </c:pt>
                <c:pt idx="1">
                  <c:v>1719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18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8">
      <filters>
        <dateGroupItem year="2026" month="10" day="21" dateTimeGrouping="day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9" activePane="bottomLeft" state="frozen"/>
      <selection pane="bottomLeft" activeCell="A2006" sqref="A200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hidden="1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hidden="1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hidden="1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hidden="1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hidden="1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hidden="1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hidden="1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hidden="1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hidden="1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hidden="1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hidden="1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hidden="1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hidden="1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hidden="1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hidden="1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hidden="1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hidden="1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hidden="1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hidden="1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hidden="1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hidden="1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hidden="1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hidden="1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hidden="1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hidden="1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hidden="1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hidden="1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hidden="1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hidden="1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hidden="1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hidden="1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hidden="1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hidden="1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hidden="1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hidden="1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hidden="1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hidden="1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hidden="1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hidden="1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hidden="1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hidden="1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hidden="1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hidden="1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hidden="1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hidden="1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hidden="1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hidden="1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hidden="1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hidden="1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hidden="1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hidden="1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hidden="1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hidden="1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hidden="1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hidden="1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hidden="1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hidden="1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hidden="1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hidden="1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hidden="1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hidden="1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hidden="1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hidden="1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hidden="1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hidden="1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hidden="1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hidden="1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hidden="1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hidden="1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hidden="1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hidden="1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hidden="1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hidden="1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hidden="1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hidden="1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hidden="1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hidden="1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hidden="1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hidden="1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hidden="1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hidden="1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hidden="1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hidden="1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hidden="1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hidden="1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hidden="1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hidden="1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hidden="1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hidden="1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hidden="1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hidden="1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hidden="1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hidden="1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hidden="1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hidden="1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hidden="1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hidden="1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hidden="1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hidden="1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hidden="1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hidden="1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hidden="1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hidden="1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hidden="1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hidden="1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hidden="1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hidden="1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hidden="1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hidden="1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hidden="1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hidden="1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hidden="1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hidden="1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hidden="1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hidden="1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hidden="1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hidden="1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hidden="1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hidden="1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hidden="1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hidden="1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hidden="1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hidden="1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hidden="1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hidden="1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hidden="1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hidden="1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hidden="1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hidden="1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hidden="1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hidden="1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hidden="1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hidden="1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hidden="1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hidden="1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hidden="1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hidden="1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hidden="1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hidden="1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hidden="1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hidden="1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hidden="1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hidden="1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hidden="1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hidden="1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hidden="1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hidden="1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hidden="1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hidden="1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hidden="1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hidden="1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hidden="1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hidden="1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hidden="1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hidden="1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hidden="1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hidden="1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hidden="1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hidden="1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hidden="1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hidden="1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hidden="1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hidden="1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hidden="1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hidden="1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hidden="1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hidden="1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hidden="1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hidden="1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hidden="1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hidden="1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hidden="1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hidden="1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hidden="1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hidden="1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hidden="1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hidden="1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hidden="1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hidden="1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hidden="1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hidden="1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hidden="1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hidden="1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hidden="1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hidden="1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hidden="1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hidden="1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hidden="1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hidden="1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hidden="1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hidden="1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hidden="1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hidden="1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hidden="1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hidden="1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hidden="1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hidden="1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hidden="1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hidden="1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hidden="1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hidden="1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hidden="1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hidden="1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hidden="1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hidden="1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hidden="1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hidden="1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hidden="1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hidden="1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hidden="1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hidden="1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hidden="1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hidden="1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hidden="1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hidden="1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hidden="1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hidden="1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hidden="1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hidden="1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hidden="1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hidden="1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hidden="1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hidden="1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hidden="1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hidden="1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hidden="1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hidden="1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hidden="1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hidden="1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hidden="1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hidden="1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hidden="1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hidden="1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hidden="1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hidden="1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hidden="1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hidden="1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hidden="1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hidden="1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hidden="1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hidden="1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hidden="1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hidden="1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hidden="1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hidden="1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hidden="1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hidden="1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hidden="1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hidden="1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hidden="1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hidden="1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hidden="1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hidden="1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hidden="1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hidden="1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hidden="1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hidden="1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hidden="1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hidden="1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hidden="1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hidden="1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hidden="1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hidden="1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hidden="1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hidden="1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hidden="1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hidden="1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hidden="1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hidden="1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hidden="1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hidden="1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hidden="1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hidden="1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hidden="1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hidden="1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hidden="1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hidden="1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hidden="1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hidden="1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hidden="1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hidden="1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hidden="1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hidden="1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hidden="1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hidden="1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hidden="1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hidden="1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hidden="1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hidden="1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hidden="1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hidden="1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hidden="1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hidden="1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hidden="1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hidden="1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hidden="1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hidden="1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hidden="1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hidden="1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hidden="1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hidden="1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hidden="1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hidden="1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hidden="1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hidden="1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hidden="1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hidden="1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hidden="1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hidden="1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hidden="1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hidden="1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hidden="1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hidden="1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hidden="1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hidden="1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hidden="1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hidden="1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hidden="1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hidden="1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hidden="1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hidden="1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hidden="1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hidden="1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hidden="1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hidden="1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hidden="1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hidden="1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hidden="1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hidden="1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hidden="1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hidden="1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hidden="1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hidden="1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hidden="1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hidden="1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hidden="1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hidden="1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hidden="1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hidden="1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hidden="1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hidden="1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hidden="1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hidden="1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hidden="1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hidden="1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hidden="1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hidden="1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hidden="1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hidden="1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hidden="1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hidden="1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hidden="1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hidden="1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hidden="1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hidden="1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hidden="1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hidden="1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hidden="1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hidden="1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hidden="1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hidden="1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hidden="1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hidden="1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hidden="1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hidden="1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hidden="1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hidden="1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hidden="1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hidden="1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hidden="1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hidden="1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hidden="1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hidden="1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hidden="1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hidden="1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hidden="1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hidden="1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hidden="1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hidden="1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hidden="1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hidden="1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hidden="1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hidden="1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hidden="1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hidden="1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hidden="1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hidden="1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hidden="1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hidden="1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hidden="1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hidden="1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hidden="1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hidden="1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hidden="1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hidden="1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hidden="1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hidden="1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hidden="1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hidden="1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hidden="1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hidden="1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hidden="1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hidden="1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hidden="1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hidden="1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hidden="1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hidden="1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hidden="1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hidden="1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hidden="1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hidden="1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hidden="1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hidden="1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hidden="1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hidden="1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hidden="1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hidden="1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hidden="1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hidden="1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hidden="1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hidden="1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hidden="1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hidden="1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hidden="1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hidden="1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hidden="1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hidden="1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hidden="1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hidden="1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hidden="1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hidden="1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hidden="1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hidden="1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hidden="1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hidden="1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hidden="1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hidden="1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hidden="1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hidden="1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hidden="1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hidden="1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hidden="1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hidden="1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hidden="1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hidden="1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hidden="1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hidden="1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hidden="1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hidden="1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hidden="1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hidden="1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hidden="1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hidden="1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hidden="1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hidden="1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hidden="1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hidden="1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hidden="1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hidden="1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hidden="1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hidden="1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hidden="1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hidden="1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hidden="1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hidden="1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hidden="1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hidden="1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hidden="1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hidden="1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hidden="1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hidden="1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hidden="1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hidden="1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hidden="1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hidden="1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hidden="1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hidden="1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hidden="1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hidden="1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hidden="1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hidden="1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hidden="1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hidden="1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hidden="1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hidden="1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hidden="1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hidden="1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hidden="1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hidden="1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hidden="1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hidden="1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hidden="1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hidden="1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hidden="1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hidden="1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hidden="1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hidden="1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hidden="1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hidden="1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hidden="1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hidden="1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hidden="1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hidden="1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hidden="1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hidden="1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hidden="1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hidden="1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hidden="1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hidden="1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hidden="1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hidden="1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hidden="1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hidden="1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hidden="1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hidden="1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hidden="1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hidden="1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hidden="1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hidden="1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hidden="1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hidden="1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hidden="1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hidden="1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hidden="1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hidden="1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hidden="1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hidden="1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hidden="1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hidden="1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hidden="1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hidden="1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hidden="1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hidden="1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hidden="1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hidden="1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hidden="1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hidden="1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hidden="1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hidden="1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hidden="1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hidden="1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hidden="1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hidden="1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hidden="1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hidden="1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hidden="1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hidden="1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hidden="1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hidden="1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hidden="1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hidden="1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hidden="1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hidden="1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hidden="1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hidden="1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hidden="1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hidden="1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hidden="1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hidden="1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hidden="1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hidden="1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hidden="1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hidden="1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hidden="1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hidden="1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hidden="1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hidden="1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hidden="1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hidden="1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hidden="1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hidden="1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hidden="1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hidden="1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hidden="1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hidden="1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hidden="1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hidden="1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hidden="1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hidden="1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hidden="1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hidden="1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hidden="1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hidden="1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hidden="1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hidden="1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hidden="1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hidden="1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hidden="1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hidden="1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hidden="1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hidden="1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hidden="1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hidden="1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hidden="1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hidden="1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hidden="1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hidden="1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hidden="1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hidden="1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hidden="1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hidden="1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hidden="1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hidden="1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hidden="1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hidden="1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hidden="1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hidden="1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hidden="1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hidden="1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hidden="1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hidden="1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hidden="1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hidden="1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hidden="1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hidden="1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hidden="1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hidden="1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hidden="1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hidden="1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hidden="1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hidden="1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hidden="1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hidden="1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hidden="1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hidden="1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hidden="1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hidden="1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hidden="1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hidden="1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hidden="1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hidden="1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hidden="1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hidden="1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hidden="1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hidden="1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hidden="1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hidden="1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hidden="1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hidden="1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hidden="1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hidden="1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hidden="1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hidden="1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hidden="1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hidden="1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hidden="1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hidden="1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hidden="1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hidden="1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hidden="1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hidden="1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hidden="1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hidden="1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hidden="1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hidden="1" x14ac:dyDescent="0.2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hidden="1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hidden="1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hidden="1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hidden="1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hidden="1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hidden="1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hidden="1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hidden="1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hidden="1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hidden="1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hidden="1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hidden="1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hidden="1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hidden="1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hidden="1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hidden="1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hidden="1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hidden="1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hidden="1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hidden="1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hidden="1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hidden="1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hidden="1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hidden="1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hidden="1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hidden="1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hidden="1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hidden="1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hidden="1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hidden="1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hidden="1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hidden="1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hidden="1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hidden="1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hidden="1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hidden="1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hidden="1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hidden="1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hidden="1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hidden="1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hidden="1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hidden="1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hidden="1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hidden="1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hidden="1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hidden="1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hidden="1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hidden="1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hidden="1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hidden="1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hidden="1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hidden="1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hidden="1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hidden="1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hidden="1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hidden="1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hidden="1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hidden="1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hidden="1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/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hidden="1" x14ac:dyDescent="0.25">
      <c r="A719" s="153" t="s">
        <v>2948</v>
      </c>
      <c r="B719" s="134">
        <v>2026</v>
      </c>
      <c r="C719" s="151" t="s">
        <v>2949</v>
      </c>
      <c r="D719" s="151" t="s">
        <v>2950</v>
      </c>
      <c r="E719" s="156" t="s">
        <v>2951</v>
      </c>
      <c r="F719" s="167" t="s">
        <v>70</v>
      </c>
      <c r="G719" s="152" t="s">
        <v>80</v>
      </c>
      <c r="H719" s="153" t="s">
        <v>2952</v>
      </c>
      <c r="I719" s="187">
        <v>46321</v>
      </c>
      <c r="J719" s="187">
        <v>46322</v>
      </c>
      <c r="K719" s="115" t="s">
        <v>28</v>
      </c>
      <c r="L719" s="157"/>
      <c r="M719" s="179"/>
      <c r="N719" s="155">
        <v>170</v>
      </c>
      <c r="O719" s="155"/>
      <c r="P719" s="155"/>
      <c r="Q719" s="155"/>
      <c r="R719" s="155">
        <f t="shared" si="14"/>
        <v>0</v>
      </c>
      <c r="S719" s="151">
        <v>14</v>
      </c>
      <c r="T719" s="118" t="s">
        <v>480</v>
      </c>
      <c r="U719" s="208"/>
    </row>
    <row r="720" spans="1:21" ht="30" hidden="1" x14ac:dyDescent="0.25">
      <c r="A720" s="119" t="s">
        <v>2953</v>
      </c>
      <c r="B720" s="134">
        <v>2026</v>
      </c>
      <c r="C720" s="115" t="s">
        <v>23</v>
      </c>
      <c r="D720" s="115" t="s">
        <v>2954</v>
      </c>
      <c r="E720" s="116" t="s">
        <v>2955</v>
      </c>
      <c r="F720" s="117" t="s">
        <v>25</v>
      </c>
      <c r="G720" s="118" t="s">
        <v>207</v>
      </c>
      <c r="H720" s="119" t="s">
        <v>2956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2957</v>
      </c>
      <c r="U720" s="208"/>
    </row>
    <row r="721" spans="1:21" ht="21.75" hidden="1" customHeight="1" x14ac:dyDescent="0.25">
      <c r="A721" s="119" t="s">
        <v>2958</v>
      </c>
      <c r="B721" s="134">
        <v>2026</v>
      </c>
      <c r="C721" s="134" t="s">
        <v>23</v>
      </c>
      <c r="D721" s="134" t="s">
        <v>2870</v>
      </c>
      <c r="E721" s="135" t="s">
        <v>2959</v>
      </c>
      <c r="F721" s="141" t="s">
        <v>89</v>
      </c>
      <c r="G721" s="147" t="s">
        <v>2718</v>
      </c>
      <c r="H721" s="137" t="s">
        <v>2960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2961</v>
      </c>
      <c r="U721" s="208"/>
    </row>
    <row r="722" spans="1:21" ht="25.5" hidden="1" customHeight="1" x14ac:dyDescent="0.25">
      <c r="A722" s="119" t="s">
        <v>2962</v>
      </c>
      <c r="B722" s="115">
        <v>2026</v>
      </c>
      <c r="C722" s="115" t="s">
        <v>23</v>
      </c>
      <c r="D722" s="115" t="s">
        <v>2870</v>
      </c>
      <c r="E722" s="116" t="s">
        <v>2963</v>
      </c>
      <c r="F722" s="117" t="s">
        <v>89</v>
      </c>
      <c r="G722" s="143" t="s">
        <v>2718</v>
      </c>
      <c r="H722" s="119" t="s">
        <v>2964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2965</v>
      </c>
      <c r="U722" s="208"/>
    </row>
    <row r="723" spans="1:21" ht="15" hidden="1" x14ac:dyDescent="0.25">
      <c r="A723" s="119" t="s">
        <v>2966</v>
      </c>
      <c r="B723" s="134">
        <v>2026</v>
      </c>
      <c r="C723" s="151" t="s">
        <v>23</v>
      </c>
      <c r="D723" s="151" t="s">
        <v>2967</v>
      </c>
      <c r="E723" s="156" t="s">
        <v>2968</v>
      </c>
      <c r="F723" s="167" t="s">
        <v>89</v>
      </c>
      <c r="G723" s="152" t="s">
        <v>2718</v>
      </c>
      <c r="H723" s="153" t="s">
        <v>2969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hidden="1" x14ac:dyDescent="0.25">
      <c r="A724" s="153" t="s">
        <v>2970</v>
      </c>
      <c r="B724" s="169">
        <v>2026</v>
      </c>
      <c r="C724" s="151" t="s">
        <v>23</v>
      </c>
      <c r="D724" s="151" t="s">
        <v>2971</v>
      </c>
      <c r="E724" s="156" t="s">
        <v>2972</v>
      </c>
      <c r="F724" s="167" t="s">
        <v>89</v>
      </c>
      <c r="G724" s="152" t="s">
        <v>2718</v>
      </c>
      <c r="H724" s="153" t="s">
        <v>2973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hidden="1" x14ac:dyDescent="0.25">
      <c r="A725" s="153" t="s">
        <v>2974</v>
      </c>
      <c r="B725" s="151">
        <v>2026</v>
      </c>
      <c r="C725" s="151" t="s">
        <v>23</v>
      </c>
      <c r="D725" s="151" t="s">
        <v>2967</v>
      </c>
      <c r="E725" s="156" t="s">
        <v>2975</v>
      </c>
      <c r="F725" s="167" t="s">
        <v>89</v>
      </c>
      <c r="G725" s="152" t="s">
        <v>2718</v>
      </c>
      <c r="H725" s="153" t="s">
        <v>2976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hidden="1" x14ac:dyDescent="0.25">
      <c r="A726" s="153" t="s">
        <v>2977</v>
      </c>
      <c r="B726" s="151">
        <v>2026</v>
      </c>
      <c r="C726" s="151" t="s">
        <v>23</v>
      </c>
      <c r="D726" s="151" t="s">
        <v>2978</v>
      </c>
      <c r="E726" s="156" t="s">
        <v>2979</v>
      </c>
      <c r="F726" s="167" t="s">
        <v>89</v>
      </c>
      <c r="G726" s="152" t="s">
        <v>2718</v>
      </c>
      <c r="H726" s="153" t="s">
        <v>2980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43" si="15">IF(B726="","",SUM(O726:Q726))</f>
        <v>40</v>
      </c>
      <c r="S726" s="151">
        <v>5</v>
      </c>
      <c r="T726" s="152" t="s">
        <v>2981</v>
      </c>
      <c r="U726" s="208"/>
    </row>
    <row r="727" spans="1:21" ht="15" hidden="1" x14ac:dyDescent="0.25">
      <c r="A727" s="153" t="s">
        <v>2982</v>
      </c>
      <c r="B727" s="151">
        <v>2026</v>
      </c>
      <c r="C727" s="151" t="s">
        <v>2949</v>
      </c>
      <c r="D727" s="151" t="s">
        <v>2971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hidden="1" x14ac:dyDescent="0.25">
      <c r="A728" s="153" t="s">
        <v>2985</v>
      </c>
      <c r="B728" s="151">
        <v>2026</v>
      </c>
      <c r="C728" s="151" t="s">
        <v>23</v>
      </c>
      <c r="D728" s="151" t="s">
        <v>2967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2949</v>
      </c>
      <c r="D729" s="151" t="s">
        <v>2967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si="15"/>
        <v>20</v>
      </c>
      <c r="S729" s="151">
        <v>3</v>
      </c>
      <c r="T729" s="152" t="s">
        <v>1922</v>
      </c>
      <c r="U729" s="208"/>
    </row>
    <row r="730" spans="1:21" ht="15" hidden="1" x14ac:dyDescent="0.25">
      <c r="A730" s="153" t="s">
        <v>2991</v>
      </c>
      <c r="B730" s="151">
        <v>2026</v>
      </c>
      <c r="C730" s="151" t="s">
        <v>2949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5"/>
        <v>80</v>
      </c>
      <c r="S730" s="151">
        <v>4</v>
      </c>
      <c r="T730" s="152"/>
      <c r="U730" s="208"/>
    </row>
    <row r="731" spans="1:21" ht="15" hidden="1" x14ac:dyDescent="0.25">
      <c r="A731" s="153" t="s">
        <v>2995</v>
      </c>
      <c r="B731" s="151">
        <v>2026</v>
      </c>
      <c r="C731" s="151" t="s">
        <v>2949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5"/>
        <v>100</v>
      </c>
      <c r="S731" s="151">
        <v>3</v>
      </c>
      <c r="T731" s="152"/>
      <c r="U731" s="208"/>
    </row>
    <row r="732" spans="1:21" ht="15" hidden="1" x14ac:dyDescent="0.25">
      <c r="A732" s="153" t="s">
        <v>2998</v>
      </c>
      <c r="B732" s="151">
        <v>2026</v>
      </c>
      <c r="C732" s="151" t="s">
        <v>2949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5"/>
        <v>50</v>
      </c>
      <c r="S732" s="151"/>
      <c r="T732" s="152"/>
      <c r="U732" s="208"/>
    </row>
    <row r="733" spans="1:21" ht="15" hidden="1" x14ac:dyDescent="0.25">
      <c r="A733" s="153" t="s">
        <v>3002</v>
      </c>
      <c r="B733" s="151">
        <v>2026</v>
      </c>
      <c r="C733" s="151" t="s">
        <v>2949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5"/>
        <v>0</v>
      </c>
      <c r="S733" s="151">
        <v>8</v>
      </c>
      <c r="T733" s="152" t="s">
        <v>2829</v>
      </c>
      <c r="U733" s="208"/>
    </row>
    <row r="734" spans="1:21" ht="15" hidden="1" x14ac:dyDescent="0.25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5"/>
        <v>0</v>
      </c>
      <c r="S734" s="151"/>
      <c r="T734" s="152"/>
      <c r="U734" s="208"/>
    </row>
    <row r="735" spans="1:21" ht="15" hidden="1" x14ac:dyDescent="0.25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5"/>
        <v>30</v>
      </c>
      <c r="S735" s="151">
        <v>8</v>
      </c>
      <c r="T735" s="152" t="s">
        <v>2893</v>
      </c>
      <c r="U735" s="208"/>
    </row>
    <row r="736" spans="1:21" ht="15" hidden="1" x14ac:dyDescent="0.25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5"/>
        <v>21</v>
      </c>
      <c r="S736" s="151">
        <v>12</v>
      </c>
      <c r="T736" s="152" t="s">
        <v>3017</v>
      </c>
      <c r="U736" s="208"/>
    </row>
    <row r="737" spans="1:21" ht="15" hidden="1" x14ac:dyDescent="0.25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5"/>
        <v>20</v>
      </c>
      <c r="S737" s="151">
        <v>9</v>
      </c>
      <c r="T737" s="152" t="s">
        <v>219</v>
      </c>
      <c r="U737" s="208"/>
    </row>
    <row r="738" spans="1:21" ht="15" hidden="1" x14ac:dyDescent="0.25">
      <c r="A738" s="153" t="s">
        <v>3022</v>
      </c>
      <c r="B738" s="115">
        <v>2026</v>
      </c>
      <c r="C738" s="151" t="s">
        <v>2949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5"/>
        <v>0</v>
      </c>
      <c r="S738" s="151">
        <v>10</v>
      </c>
      <c r="T738" s="152" t="s">
        <v>3026</v>
      </c>
      <c r="U738" s="209"/>
    </row>
    <row r="739" spans="1:21" ht="15" hidden="1" x14ac:dyDescent="0.25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5"/>
        <v>21</v>
      </c>
      <c r="S739" s="151">
        <v>8</v>
      </c>
      <c r="T739" s="152" t="s">
        <v>2829</v>
      </c>
      <c r="U739" s="208"/>
    </row>
    <row r="740" spans="1:21" ht="15" hidden="1" x14ac:dyDescent="0.25">
      <c r="A740" s="153" t="s">
        <v>3030</v>
      </c>
      <c r="B740" s="151">
        <v>2026</v>
      </c>
      <c r="C740" s="151" t="s">
        <v>2949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5"/>
        <v>0</v>
      </c>
      <c r="S740" s="151">
        <v>16</v>
      </c>
      <c r="T740" s="152" t="s">
        <v>804</v>
      </c>
      <c r="U740" s="208"/>
    </row>
    <row r="741" spans="1:21" ht="15" hidden="1" x14ac:dyDescent="0.25">
      <c r="A741" s="153" t="s">
        <v>3033</v>
      </c>
      <c r="B741" s="151">
        <v>2026</v>
      </c>
      <c r="C741" s="151" t="s">
        <v>2949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5"/>
        <v>0</v>
      </c>
      <c r="S741" s="151">
        <v>4</v>
      </c>
      <c r="T741" s="152" t="s">
        <v>1910</v>
      </c>
      <c r="U741" s="208"/>
    </row>
    <row r="742" spans="1:21" ht="15" hidden="1" x14ac:dyDescent="0.25">
      <c r="A742" s="153" t="s">
        <v>3037</v>
      </c>
      <c r="B742" s="115">
        <v>2026</v>
      </c>
      <c r="C742" s="151" t="s">
        <v>2949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5"/>
        <v>0</v>
      </c>
      <c r="S742" s="151">
        <v>9.66</v>
      </c>
      <c r="T742" s="152" t="s">
        <v>2893</v>
      </c>
      <c r="U742" s="208"/>
    </row>
    <row r="743" spans="1:21" ht="15" hidden="1" x14ac:dyDescent="0.25">
      <c r="A743" s="153" t="s">
        <v>3040</v>
      </c>
      <c r="B743" s="115">
        <v>2026</v>
      </c>
      <c r="C743" s="151" t="s">
        <v>2949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5"/>
        <v>0</v>
      </c>
      <c r="S743" s="151">
        <v>20</v>
      </c>
      <c r="T743" s="152" t="s">
        <v>557</v>
      </c>
      <c r="U743" s="208"/>
    </row>
    <row r="744" spans="1:21" ht="15" hidden="1" x14ac:dyDescent="0.25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ref="R744:R747" si="16">IF(B744="","",SUM(O744:Q744))</f>
        <v>0</v>
      </c>
      <c r="S744" s="151">
        <v>20</v>
      </c>
      <c r="T744" s="152" t="s">
        <v>3048</v>
      </c>
      <c r="U744" s="208"/>
    </row>
    <row r="745" spans="1:21" ht="15" hidden="1" x14ac:dyDescent="0.25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ref="R745" si="17">IF(B745="","",SUM(O745:Q745))</f>
        <v>80</v>
      </c>
      <c r="S745" s="151">
        <v>2</v>
      </c>
      <c r="T745" s="152"/>
      <c r="U745" s="208"/>
    </row>
    <row r="746" spans="1:21" ht="15" hidden="1" x14ac:dyDescent="0.25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hidden="1" x14ac:dyDescent="0.25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3061</v>
      </c>
      <c r="U747" s="208"/>
    </row>
    <row r="748" spans="1:21" ht="15" hidden="1" x14ac:dyDescent="0.25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/>
      <c r="M748" s="179"/>
      <c r="N748" s="155">
        <v>40</v>
      </c>
      <c r="O748" s="155">
        <v>0</v>
      </c>
      <c r="P748" s="155">
        <v>34</v>
      </c>
      <c r="Q748" s="155">
        <v>0</v>
      </c>
      <c r="R748" s="155">
        <f>IF(B748="","",SUM(O748:Q748))</f>
        <v>34</v>
      </c>
      <c r="S748" s="151">
        <v>20</v>
      </c>
      <c r="T748" s="152" t="s">
        <v>3066</v>
      </c>
      <c r="U748" s="208"/>
    </row>
    <row r="749" spans="1:21" ht="15" hidden="1" x14ac:dyDescent="0.25">
      <c r="A749" s="153" t="s">
        <v>3067</v>
      </c>
      <c r="B749" s="151">
        <v>2026</v>
      </c>
      <c r="C749" s="151" t="s">
        <v>2949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>IF(B749="","",SUM(O749:Q749))</f>
        <v>0</v>
      </c>
      <c r="S749" s="151">
        <v>20</v>
      </c>
      <c r="T749" s="152" t="s">
        <v>3066</v>
      </c>
      <c r="U749" s="208"/>
    </row>
    <row r="750" spans="1:21" ht="15" hidden="1" x14ac:dyDescent="0.25">
      <c r="A750" s="153" t="s">
        <v>3070</v>
      </c>
      <c r="B750" s="151">
        <v>2026</v>
      </c>
      <c r="C750" s="151" t="s">
        <v>2949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>IF(B750="","",SUM(O750:Q750))</f>
        <v>0</v>
      </c>
      <c r="S750" s="151">
        <v>8</v>
      </c>
      <c r="T750" s="152" t="s">
        <v>3074</v>
      </c>
      <c r="U750" s="208"/>
    </row>
    <row r="751" spans="1:21" ht="15" x14ac:dyDescent="0.2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>IF(B751="","",SUM(O751:Q751))</f>
        <v>0</v>
      </c>
      <c r="S751" s="151">
        <v>5</v>
      </c>
      <c r="T751" s="152" t="s">
        <v>2797</v>
      </c>
      <c r="U751" s="208"/>
    </row>
    <row r="752" spans="1:21" ht="15" hidden="1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hidden="1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hidden="1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hidden="1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hidden="1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hidden="1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hidden="1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hidden="1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hidden="1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hidden="1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hidden="1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hidden="1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hidden="1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hidden="1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hidden="1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hidden="1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hidden="1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hidden="1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hidden="1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hidden="1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hidden="1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hidden="1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hidden="1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hidden="1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hidden="1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hidden="1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hidden="1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hidden="1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hidden="1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hidden="1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hidden="1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hidden="1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hidden="1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hidden="1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hidden="1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hidden="1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hidden="1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hidden="1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hidden="1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hidden="1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hidden="1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hidden="1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hidden="1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hidden="1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hidden="1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hidden="1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hidden="1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hidden="1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hidden="1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hidden="1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hidden="1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hidden="1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hidden="1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hidden="1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hidden="1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hidden="1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hidden="1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hidden="1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hidden="1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hidden="1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hidden="1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hidden="1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hidden="1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hidden="1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hidden="1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hidden="1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hidden="1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hidden="1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hidden="1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hidden="1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hidden="1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hidden="1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hidden="1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hidden="1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hidden="1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hidden="1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hidden="1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hidden="1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hidden="1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hidden="1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hidden="1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hidden="1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hidden="1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hidden="1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hidden="1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hidden="1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hidden="1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hidden="1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hidden="1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hidden="1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hidden="1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hidden="1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hidden="1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hidden="1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hidden="1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hidden="1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hidden="1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hidden="1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hidden="1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hidden="1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hidden="1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hidden="1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hidden="1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hidden="1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hidden="1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hidden="1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hidden="1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hidden="1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hidden="1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hidden="1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hidden="1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hidden="1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hidden="1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hidden="1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hidden="1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hidden="1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hidden="1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hidden="1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hidden="1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hidden="1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hidden="1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hidden="1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hidden="1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hidden="1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hidden="1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hidden="1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hidden="1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hidden="1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hidden="1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hidden="1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hidden="1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hidden="1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hidden="1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hidden="1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hidden="1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hidden="1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hidden="1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hidden="1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hidden="1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hidden="1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hidden="1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hidden="1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hidden="1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hidden="1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hidden="1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hidden="1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hidden="1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hidden="1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hidden="1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hidden="1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hidden="1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hidden="1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hidden="1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hidden="1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hidden="1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hidden="1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hidden="1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hidden="1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hidden="1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hidden="1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hidden="1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hidden="1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hidden="1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hidden="1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hidden="1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hidden="1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hidden="1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hidden="1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hidden="1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hidden="1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hidden="1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hidden="1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hidden="1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hidden="1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hidden="1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hidden="1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hidden="1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hidden="1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hidden="1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hidden="1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hidden="1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hidden="1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hidden="1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hidden="1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hidden="1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hidden="1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hidden="1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hidden="1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hidden="1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hidden="1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hidden="1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hidden="1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hidden="1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hidden="1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hidden="1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hidden="1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hidden="1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hidden="1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hidden="1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hidden="1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hidden="1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hidden="1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hidden="1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hidden="1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hidden="1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hidden="1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hidden="1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hidden="1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hidden="1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hidden="1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hidden="1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hidden="1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hidden="1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hidden="1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hidden="1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hidden="1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hidden="1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hidden="1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hidden="1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hidden="1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hidden="1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hidden="1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hidden="1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hidden="1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hidden="1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hidden="1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hidden="1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hidden="1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hidden="1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hidden="1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hidden="1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hidden="1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hidden="1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hidden="1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hidden="1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hidden="1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hidden="1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hidden="1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hidden="1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hidden="1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hidden="1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hidden="1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hidden="1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hidden="1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hidden="1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hidden="1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hidden="1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hidden="1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hidden="1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hidden="1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hidden="1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hidden="1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hidden="1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hidden="1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hidden="1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hidden="1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hidden="1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hidden="1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hidden="1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hidden="1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hidden="1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hidden="1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hidden="1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hidden="1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hidden="1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hidden="1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hidden="1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hidden="1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hidden="1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hidden="1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hidden="1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hidden="1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hidden="1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hidden="1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hidden="1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hidden="1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hidden="1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hidden="1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hidden="1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hidden="1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hidden="1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hidden="1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hidden="1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hidden="1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hidden="1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hidden="1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hidden="1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hidden="1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hidden="1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hidden="1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hidden="1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hidden="1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hidden="1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hidden="1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hidden="1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hidden="1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hidden="1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hidden="1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hidden="1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hidden="1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hidden="1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hidden="1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hidden="1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hidden="1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hidden="1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hidden="1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hidden="1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hidden="1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hidden="1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hidden="1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hidden="1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hidden="1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hidden="1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hidden="1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hidden="1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hidden="1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hidden="1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hidden="1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hidden="1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hidden="1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hidden="1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hidden="1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hidden="1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hidden="1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hidden="1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hidden="1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hidden="1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hidden="1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hidden="1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hidden="1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hidden="1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hidden="1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hidden="1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hidden="1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hidden="1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hidden="1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hidden="1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hidden="1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hidden="1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hidden="1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hidden="1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hidden="1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hidden="1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hidden="1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hidden="1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hidden="1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hidden="1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hidden="1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hidden="1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hidden="1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hidden="1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hidden="1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hidden="1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hidden="1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hidden="1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hidden="1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hidden="1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hidden="1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hidden="1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hidden="1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hidden="1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hidden="1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hidden="1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hidden="1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hidden="1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hidden="1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hidden="1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hidden="1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hidden="1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hidden="1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hidden="1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hidden="1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hidden="1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hidden="1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hidden="1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hidden="1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hidden="1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hidden="1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hidden="1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hidden="1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hidden="1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hidden="1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hidden="1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hidden="1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hidden="1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hidden="1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hidden="1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hidden="1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hidden="1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hidden="1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hidden="1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hidden="1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hidden="1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hidden="1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hidden="1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hidden="1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hidden="1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hidden="1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hidden="1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hidden="1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hidden="1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hidden="1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hidden="1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hidden="1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hidden="1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hidden="1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hidden="1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hidden="1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hidden="1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hidden="1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hidden="1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hidden="1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hidden="1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hidden="1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hidden="1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hidden="1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hidden="1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hidden="1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hidden="1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hidden="1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hidden="1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hidden="1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hidden="1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hidden="1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hidden="1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hidden="1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hidden="1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hidden="1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hidden="1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hidden="1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hidden="1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hidden="1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hidden="1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hidden="1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hidden="1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hidden="1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hidden="1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hidden="1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hidden="1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hidden="1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hidden="1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hidden="1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hidden="1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hidden="1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hidden="1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hidden="1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hidden="1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hidden="1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hidden="1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hidden="1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hidden="1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hidden="1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hidden="1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hidden="1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hidden="1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hidden="1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hidden="1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hidden="1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hidden="1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hidden="1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hidden="1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hidden="1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hidden="1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hidden="1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hidden="1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hidden="1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hidden="1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hidden="1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hidden="1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hidden="1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hidden="1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hidden="1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hidden="1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hidden="1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hidden="1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hidden="1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hidden="1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hidden="1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hidden="1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hidden="1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hidden="1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hidden="1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hidden="1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hidden="1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hidden="1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hidden="1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hidden="1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hidden="1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hidden="1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hidden="1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hidden="1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hidden="1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hidden="1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hidden="1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hidden="1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hidden="1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hidden="1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hidden="1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hidden="1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hidden="1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hidden="1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hidden="1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hidden="1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hidden="1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hidden="1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hidden="1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hidden="1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hidden="1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hidden="1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hidden="1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hidden="1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hidden="1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hidden="1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hidden="1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hidden="1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hidden="1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hidden="1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hidden="1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hidden="1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hidden="1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hidden="1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hidden="1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hidden="1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hidden="1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hidden="1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hidden="1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hidden="1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hidden="1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hidden="1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hidden="1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hidden="1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hidden="1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hidden="1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hidden="1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hidden="1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hidden="1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hidden="1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hidden="1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hidden="1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hidden="1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hidden="1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hidden="1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hidden="1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hidden="1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hidden="1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hidden="1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hidden="1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hidden="1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hidden="1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hidden="1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hidden="1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hidden="1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hidden="1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hidden="1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hidden="1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hidden="1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hidden="1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hidden="1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hidden="1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hidden="1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hidden="1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hidden="1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hidden="1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hidden="1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hidden="1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hidden="1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hidden="1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hidden="1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hidden="1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hidden="1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hidden="1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hidden="1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hidden="1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hidden="1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hidden="1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hidden="1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hidden="1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hidden="1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hidden="1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hidden="1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hidden="1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hidden="1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hidden="1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hidden="1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hidden="1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hidden="1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hidden="1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hidden="1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hidden="1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hidden="1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hidden="1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hidden="1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hidden="1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hidden="1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hidden="1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hidden="1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hidden="1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hidden="1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hidden="1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hidden="1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hidden="1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hidden="1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hidden="1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hidden="1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hidden="1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hidden="1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hidden="1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hidden="1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hidden="1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hidden="1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hidden="1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hidden="1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hidden="1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hidden="1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hidden="1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hidden="1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hidden="1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hidden="1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hidden="1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hidden="1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hidden="1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hidden="1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hidden="1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hidden="1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hidden="1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hidden="1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hidden="1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hidden="1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hidden="1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hidden="1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hidden="1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hidden="1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hidden="1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hidden="1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hidden="1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hidden="1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hidden="1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hidden="1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hidden="1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hidden="1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hidden="1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hidden="1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hidden="1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hidden="1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hidden="1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hidden="1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hidden="1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hidden="1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hidden="1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hidden="1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hidden="1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hidden="1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hidden="1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hidden="1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hidden="1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hidden="1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hidden="1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hidden="1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hidden="1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hidden="1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hidden="1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hidden="1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hidden="1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hidden="1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hidden="1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hidden="1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hidden="1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hidden="1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hidden="1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hidden="1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hidden="1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hidden="1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hidden="1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hidden="1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hidden="1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hidden="1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hidden="1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hidden="1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hidden="1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hidden="1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hidden="1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hidden="1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hidden="1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hidden="1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hidden="1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hidden="1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hidden="1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hidden="1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hidden="1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hidden="1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hidden="1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hidden="1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hidden="1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hidden="1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hidden="1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hidden="1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hidden="1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hidden="1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hidden="1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hidden="1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hidden="1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hidden="1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hidden="1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hidden="1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hidden="1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hidden="1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hidden="1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hidden="1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hidden="1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hidden="1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hidden="1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hidden="1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hidden="1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hidden="1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hidden="1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hidden="1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hidden="1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hidden="1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hidden="1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hidden="1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hidden="1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hidden="1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hidden="1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hidden="1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hidden="1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hidden="1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hidden="1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hidden="1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hidden="1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hidden="1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hidden="1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hidden="1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hidden="1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hidden="1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hidden="1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hidden="1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hidden="1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hidden="1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hidden="1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hidden="1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hidden="1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hidden="1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hidden="1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hidden="1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hidden="1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hidden="1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hidden="1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hidden="1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hidden="1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hidden="1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hidden="1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hidden="1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hidden="1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hidden="1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hidden="1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hidden="1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hidden="1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hidden="1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hidden="1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hidden="1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hidden="1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hidden="1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hidden="1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hidden="1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hidden="1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hidden="1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hidden="1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hidden="1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hidden="1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hidden="1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hidden="1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hidden="1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hidden="1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hidden="1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hidden="1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hidden="1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hidden="1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hidden="1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hidden="1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hidden="1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hidden="1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hidden="1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hidden="1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hidden="1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hidden="1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hidden="1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hidden="1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hidden="1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hidden="1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hidden="1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hidden="1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hidden="1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hidden="1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hidden="1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hidden="1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hidden="1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hidden="1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hidden="1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hidden="1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hidden="1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hidden="1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hidden="1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hidden="1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hidden="1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hidden="1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hidden="1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hidden="1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hidden="1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hidden="1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hidden="1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hidden="1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hidden="1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hidden="1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hidden="1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hidden="1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hidden="1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hidden="1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hidden="1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hidden="1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hidden="1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hidden="1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hidden="1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hidden="1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hidden="1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hidden="1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hidden="1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hidden="1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hidden="1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hidden="1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hidden="1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hidden="1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hidden="1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hidden="1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hidden="1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hidden="1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hidden="1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hidden="1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hidden="1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hidden="1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hidden="1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hidden="1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hidden="1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hidden="1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hidden="1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hidden="1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hidden="1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hidden="1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hidden="1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hidden="1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hidden="1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hidden="1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hidden="1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hidden="1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hidden="1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hidden="1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hidden="1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hidden="1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hidden="1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hidden="1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hidden="1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hidden="1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hidden="1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hidden="1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hidden="1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hidden="1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hidden="1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hidden="1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hidden="1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hidden="1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hidden="1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hidden="1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hidden="1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hidden="1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hidden="1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hidden="1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hidden="1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hidden="1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hidden="1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hidden="1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hidden="1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hidden="1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hidden="1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hidden="1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hidden="1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hidden="1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hidden="1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hidden="1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hidden="1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hidden="1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hidden="1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hidden="1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hidden="1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hidden="1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hidden="1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hidden="1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hidden="1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hidden="1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hidden="1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hidden="1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hidden="1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hidden="1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hidden="1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hidden="1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hidden="1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hidden="1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hidden="1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hidden="1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hidden="1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hidden="1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hidden="1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hidden="1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hidden="1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hidden="1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hidden="1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hidden="1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hidden="1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hidden="1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hidden="1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hidden="1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hidden="1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hidden="1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hidden="1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hidden="1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hidden="1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hidden="1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hidden="1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hidden="1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hidden="1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hidden="1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hidden="1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hidden="1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hidden="1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hidden="1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hidden="1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hidden="1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hidden="1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hidden="1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hidden="1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hidden="1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hidden="1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hidden="1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hidden="1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hidden="1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hidden="1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hidden="1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hidden="1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hidden="1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hidden="1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hidden="1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hidden="1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hidden="1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hidden="1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hidden="1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hidden="1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hidden="1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hidden="1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hidden="1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hidden="1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hidden="1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hidden="1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hidden="1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hidden="1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hidden="1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hidden="1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hidden="1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hidden="1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hidden="1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hidden="1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hidden="1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hidden="1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hidden="1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hidden="1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hidden="1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hidden="1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hidden="1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hidden="1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hidden="1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hidden="1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hidden="1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hidden="1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hidden="1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hidden="1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hidden="1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hidden="1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hidden="1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hidden="1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hidden="1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hidden="1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hidden="1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hidden="1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hidden="1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hidden="1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hidden="1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hidden="1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hidden="1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hidden="1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hidden="1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hidden="1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hidden="1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hidden="1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hidden="1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hidden="1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hidden="1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hidden="1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hidden="1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hidden="1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hidden="1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hidden="1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hidden="1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hidden="1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hidden="1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hidden="1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hidden="1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hidden="1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hidden="1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hidden="1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hidden="1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hidden="1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hidden="1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hidden="1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hidden="1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hidden="1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hidden="1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hidden="1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hidden="1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hidden="1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hidden="1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hidden="1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hidden="1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hidden="1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hidden="1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hidden="1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hidden="1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hidden="1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hidden="1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hidden="1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hidden="1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hidden="1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hidden="1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hidden="1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hidden="1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hidden="1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hidden="1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hidden="1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hidden="1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hidden="1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hidden="1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hidden="1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hidden="1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hidden="1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hidden="1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hidden="1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hidden="1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hidden="1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hidden="1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hidden="1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hidden="1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hidden="1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hidden="1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hidden="1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hidden="1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hidden="1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hidden="1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hidden="1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hidden="1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hidden="1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hidden="1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hidden="1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hidden="1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hidden="1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hidden="1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hidden="1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hidden="1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hidden="1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hidden="1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hidden="1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hidden="1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hidden="1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hidden="1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hidden="1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hidden="1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hidden="1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hidden="1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hidden="1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hidden="1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hidden="1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hidden="1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hidden="1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hidden="1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hidden="1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hidden="1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hidden="1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hidden="1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hidden="1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hidden="1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hidden="1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hidden="1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hidden="1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hidden="1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hidden="1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hidden="1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hidden="1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hidden="1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hidden="1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hidden="1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hidden="1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hidden="1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hidden="1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hidden="1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hidden="1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hidden="1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hidden="1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hidden="1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hidden="1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hidden="1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hidden="1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hidden="1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hidden="1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hidden="1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hidden="1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hidden="1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hidden="1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hidden="1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hidden="1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hidden="1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hidden="1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hidden="1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hidden="1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hidden="1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hidden="1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hidden="1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hidden="1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hidden="1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hidden="1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hidden="1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hidden="1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hidden="1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hidden="1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hidden="1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hidden="1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hidden="1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hidden="1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hidden="1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hidden="1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hidden="1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hidden="1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hidden="1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hidden="1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hidden="1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hidden="1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hidden="1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hidden="1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hidden="1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hidden="1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hidden="1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hidden="1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hidden="1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hidden="1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hidden="1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hidden="1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hidden="1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hidden="1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hidden="1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hidden="1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hidden="1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hidden="1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hidden="1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hidden="1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hidden="1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hidden="1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hidden="1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hidden="1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hidden="1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hidden="1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hidden="1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hidden="1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hidden="1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hidden="1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hidden="1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hidden="1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hidden="1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hidden="1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hidden="1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hidden="1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hidden="1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hidden="1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hidden="1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hidden="1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hidden="1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hidden="1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hidden="1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hidden="1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hidden="1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hidden="1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hidden="1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hidden="1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hidden="1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hidden="1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hidden="1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hidden="1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hidden="1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hidden="1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hidden="1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hidden="1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hidden="1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hidden="1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hidden="1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hidden="1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hidden="1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hidden="1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hidden="1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hidden="1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hidden="1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hidden="1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hidden="1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hidden="1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hidden="1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hidden="1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hidden="1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hidden="1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hidden="1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hidden="1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hidden="1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hidden="1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hidden="1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hidden="1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hidden="1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hidden="1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hidden="1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hidden="1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hidden="1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hidden="1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hidden="1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hidden="1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hidden="1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hidden="1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hidden="1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hidden="1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hidden="1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hidden="1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hidden="1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hidden="1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hidden="1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hidden="1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hidden="1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hidden="1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hidden="1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hidden="1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hidden="1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hidden="1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hidden="1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hidden="1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hidden="1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hidden="1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3078</v>
      </c>
      <c r="H1" s="165" t="s">
        <v>3079</v>
      </c>
    </row>
    <row r="2" spans="1:8" x14ac:dyDescent="0.25">
      <c r="H2" s="164" t="s">
        <v>3080</v>
      </c>
    </row>
    <row r="3" spans="1:8" x14ac:dyDescent="0.25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 x14ac:dyDescent="0.25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 x14ac:dyDescent="0.25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 x14ac:dyDescent="0.25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 x14ac:dyDescent="0.25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3093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3111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3093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3111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3093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3111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3115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3105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3105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3105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3170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3171</v>
      </c>
      <c r="B4" s="223"/>
      <c r="D4" s="224" t="s">
        <v>3172</v>
      </c>
      <c r="E4" s="225"/>
      <c r="G4" s="44" t="s">
        <v>3173</v>
      </c>
    </row>
    <row r="5" spans="1:7" ht="54.95" customHeight="1" thickBot="1" x14ac:dyDescent="0.75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72</v>
      </c>
      <c r="E5" s="43" t="s">
        <v>3174</v>
      </c>
      <c r="G5" s="45">
        <f>COUNTIFS('Ações InCompany'!B:B,2026,'Ações InCompany'!C:C,"A realizar")</f>
        <v>14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3175</v>
      </c>
      <c r="B8" s="219"/>
      <c r="D8" s="219" t="s">
        <v>3176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27</v>
      </c>
      <c r="D11" s="28" t="s">
        <v>3180</v>
      </c>
      <c r="E11" s="29">
        <f>SUMIFS('Ações InCompany'!O:O,'Ações InCompany'!B:B,2026,'Ações InCompany'!C:C,"Realizado")</f>
        <v>1121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3181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18</v>
      </c>
      <c r="D13" s="28" t="s">
        <v>3182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3183</v>
      </c>
      <c r="B14" s="33">
        <f>SUM(B11:B13)</f>
        <v>72</v>
      </c>
      <c r="D14" s="32" t="s">
        <v>3184</v>
      </c>
      <c r="E14" s="33">
        <f>SUM(E11:E13)</f>
        <v>3647</v>
      </c>
    </row>
    <row r="30" spans="1:5" ht="17.25" x14ac:dyDescent="0.3">
      <c r="A30" s="219" t="s">
        <v>3185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8</v>
      </c>
      <c r="C37" s="46">
        <f>COUNTIFS('Ações InCompany'!B:B,2026,'Ações InCompany'!C:C,"A realizar",'Ações InCompany'!G:G,A37)</f>
        <v>2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18</v>
      </c>
      <c r="C38" s="47">
        <f>COUNTIFS('Ações InCompany'!B:B,2026,'Ações InCompany'!C:C,"A realizar",'Ações InCompany'!G:G,A38)</f>
        <v>4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3183</v>
      </c>
      <c r="B45" s="40">
        <f>SUM(B33:B44)</f>
        <v>72</v>
      </c>
      <c r="C45" s="40">
        <f>SUM(C33:C44)</f>
        <v>14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 x14ac:dyDescent="0.25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 x14ac:dyDescent="0.25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 x14ac:dyDescent="0.25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 x14ac:dyDescent="0.25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 x14ac:dyDescent="0.25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 x14ac:dyDescent="0.25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 x14ac:dyDescent="0.25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 x14ac:dyDescent="0.25">
      <c r="A2" s="218" t="s">
        <v>25</v>
      </c>
      <c r="B2" s="218" t="s">
        <v>39</v>
      </c>
      <c r="C2" s="11" t="s">
        <v>3220</v>
      </c>
      <c r="D2" s="11" t="s">
        <v>2949</v>
      </c>
    </row>
    <row r="3" spans="1:4" ht="21" customHeight="1" x14ac:dyDescent="0.25">
      <c r="A3" s="11" t="s">
        <v>70</v>
      </c>
      <c r="B3" s="218" t="s">
        <v>28</v>
      </c>
      <c r="C3" s="11" t="s">
        <v>3221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 x14ac:dyDescent="0.25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 x14ac:dyDescent="0.25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 x14ac:dyDescent="0.25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 x14ac:dyDescent="0.25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 x14ac:dyDescent="0.25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 x14ac:dyDescent="0.25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 x14ac:dyDescent="0.25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 x14ac:dyDescent="0.25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3236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3237</v>
      </c>
    </row>
    <row r="4" spans="1:8" ht="21.95" customHeight="1" x14ac:dyDescent="0.25">
      <c r="A4" s="227" t="s">
        <v>3238</v>
      </c>
      <c r="B4" s="228"/>
      <c r="D4" s="227" t="s">
        <v>3239</v>
      </c>
      <c r="E4" s="228"/>
      <c r="G4" s="227" t="s">
        <v>3240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3246</v>
      </c>
      <c r="B1" s="232"/>
      <c r="C1" s="232"/>
      <c r="D1" s="232"/>
      <c r="E1" s="232"/>
      <c r="F1" s="232"/>
    </row>
    <row r="2" spans="1:7" x14ac:dyDescent="0.25">
      <c r="A2" s="233" t="s">
        <v>3247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www.w3.org/XML/1998/namespace"/>
    <ds:schemaRef ds:uri="http://schemas.microsoft.com/office/infopath/2007/PartnerControls"/>
    <ds:schemaRef ds:uri="91ce1707-6d34-452b-b217-9734c03e6729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2026-10-28T18:19:57Z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