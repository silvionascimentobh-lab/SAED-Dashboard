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85" documentId="13_ncr:1_{6A2CC3E2-FAFB-4D8F-B284-5E8FB5045DFE}" xr6:coauthVersionLast="47" xr6:coauthVersionMax="47" xr10:uidLastSave="{749D75A8-DB2F-4C28-893A-8412AB142F9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<sst xmlns="http://schemas.openxmlformats.org/spreadsheetml/2006/main" count="7244" uniqueCount="3186">
  <si>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</si>
  <si>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</si>
  <si>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</si>
  <si>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</si>
  <si>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</si>
  <si>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</si>
  <si>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</si>
  <si>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</si>
  <si>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</si>
  <si>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</si>
  <si>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</si>
  <si>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</si>
  <si>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</si>
  <si>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</si>
  <si>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</si>
  <si>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</si>
  <si>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</si>
  <si>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</si>
  <si>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</si>
  <si>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</si>
  <si>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</si>
  <si>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</si>
  <si>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</si>
  <si>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</si>
  <si>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</si>
  <si>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</si>
  <si>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</si>
  <si>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</si>
  <si>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</si>
  <si>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</si>
  <si>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</si>
  <si>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</si>
  <si>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</si>
  <si>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</si>
  <si>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</si>
  <si>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</si>
  <si>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</si>
  <si>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</si>
  <si>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</si>
  <si>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</si>
  <si>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</si>
  <si>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</si>
  <si>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</si>
  <si>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</si>
  <si>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</si>
  <si>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</si>
  <si>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</si>
  <si>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</si>
  <si>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</si>
  <si>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</si>
  <si>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</si>
  <si>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</si>
  <si>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</si>
  <si>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</si>
  <si>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</si>
  <si>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</si>
  <si>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</si>
  <si>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</si>
  <si>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</si>
  <si>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</si>
  <si>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</si>
  <si>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</si>
  <si>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</si>
  <si>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</si>
  <si>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</si>
  <si>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</si>
  <si>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</si>
  <si>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</si>
  <si>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</si>
  <si>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</si>
  <si>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</si>
  <si>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</si>
  <si>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</si>
  <si>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</si>
  <si>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</si>
  <si>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</si>
  <si>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</si>
  <si>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</si>
  <si>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</si>
  <si>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</si>
  <si>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</si>
  <si>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</si>
  <si>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</si>
  <si>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</si>
  <si>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</si>
  <si>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</si>
  <si>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</si>
  <si>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</si>
  <si>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</si>
  <si>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</si>
  <si>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</si>
  <si>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</si>
  <si>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</si>
  <si>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</si>
  <si>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</si>
  <si>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</si>
  <si>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</si>
  <si>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</si>
  <si>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</si>
  <si>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</si>
  <si>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</si>
  <si>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</si>
  <si>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</si>
  <si>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</si>
  <si>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</si>
  <si>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</si>
  <si>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</si>
  <si>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</si>
  <si>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</si>
  <si>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</si>
  <si>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</si>
  <si>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</si>
  <si>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</si>
  <si>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</si>
  <si>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</si>
  <si>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</si>
  <si>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</si>
  <si>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</si>
  <si>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</si>
  <si>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</si>
  <si>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</si>
  <si>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</si>
  <si>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</si>
  <si>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</si>
  <si>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</si>
  <si>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</si>
  <si>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</si>
  <si>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</si>
  <si>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</si>
  <si>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</si>
  <si>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</si>
  <si>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</si>
  <si>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</si>
  <si>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</si>
  <si>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</si>
  <si>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</si>
  <si>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</si>
  <si>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</si>
  <si>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</si>
  <si>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</si>
  <si>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</si>
  <si>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</si>
  <si>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</si>
  <si>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</si>
  <si>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</si>
  <si>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</si>
  <si>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</si>
  <si>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</si>
  <si>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</si>
  <si>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</si>
  <si>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</si>
  <si>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</si>
  <si>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</si>
  <si>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</si>
  <si>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</si>
  <si>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</si>
  <si>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</si>
  <si>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</si>
  <si>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</si>
  <si>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</si>
  <si>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</si>
  <si>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</si>
  <si>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</si>
  <si>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</si>
  <si>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</si>
  <si>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</si>
  <si>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</si>
  <si>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</si>
  <si>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</si>
  <si>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</si>
  <si>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</si>
  <si>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</si>
  <si>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</si>
  <si>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</si>
  <si>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</si>
  <si>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</si>
  <si>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</si>
  <si>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</si>
  <si>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</si>
  <si>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</si>
  <si>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</si>
  <si>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</si>
  <si>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</si>
  <si>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</si>
  <si>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</si>
  <si>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</si>
  <si>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</si>
  <si>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</si>
  <si>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</si>
  <si>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</si>
  <si>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</si>
  <si>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</si>
  <si>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</si>
  <si>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</si>
  <si>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</si>
  <si>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</si>
  <si>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</si>
  <si>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</si>
  <si>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</si>
  <si>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</si>
  <si>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</si>
  <si>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</si>
  <si>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</si>
  <si>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</si>
  <si>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</si>
  <si>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</si>
  <si>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</si>
  <si>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</si>
  <si>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</si>
  <si>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</si>
  <si>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</si>
  <si>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</si>
  <si>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</si>
  <si>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</si>
  <si>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</si>
  <si>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</si>
  <si>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</si>
  <si>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</si>
  <si>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</si>
  <si>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</si>
  <si>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</si>
  <si>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</si>
  <si>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</si>
  <si>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</si>
  <si>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</si>
  <si>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</si>
  <si>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</si>
  <si>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</si>
  <si>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</si>
  <si>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</si>
  <si>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</si>
  <si>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</si>
  <si>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</si>
  <si>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</si>
  <si>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</si>
  <si>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</si>
  <si>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</si>
  <si>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</si>
  <si>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</si>
  <si>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</si>
  <si>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</si>
  <si>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</si>
  <si>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</si>
  <si>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</si>
  <si>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</si>
  <si>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</si>
  <si>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</si>
  <si>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</si>
  <si>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</si>
  <si>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</si>
  <si>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</si>
  <si>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</si>
  <si>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</si>
  <si>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</si>
  <si>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</si>
  <si>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</si>
  <si>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</si>
  <si>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</si>
  <si>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</si>
  <si>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</si>
  <si>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</si>
  <si>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</si>
  <si>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</si>
  <si>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</si>
  <si>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</si>
  <si>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</si>
  <si>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</si>
  <si>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</si>
  <si>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</si>
  <si>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</si>
  <si>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</si>
  <si>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</si>
  <si>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</si>
  <si>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</si>
  <si>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</si>
  <si>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</si>
  <si>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</si>
  <si>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</si>
  <si>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</si>
  <si>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</si>
  <si>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</si>
  <si>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</si>
  <si>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</si>
  <si>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</si>
  <si>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</si>
  <si>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</si>
  <si>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</si>
  <si>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</si>
  <si>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</si>
  <si>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</si>
  <si>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</si>
  <si>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</si>
  <si>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</si>
  <si>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</si>
  <si>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</si>
  <si>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</si>
  <si>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</si>
  <si>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</si>
  <si>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</si>
  <si>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</si>
  <si>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</si>
  <si>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</si>
  <si>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</si>
  <si>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</si>
  <si>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</si>
  <si>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</si>
  <si>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</si>
  <si>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</si>
  <si>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</si>
  <si>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</si>
  <si>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</si>
  <si>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</si>
  <si>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</si>
  <si>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</si>
  <si>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</si>
  <si>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</si>
  <si>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</si>
  <si>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</si>
  <si>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</si>
  <si>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</si>
  <si>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</si>
  <si>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</si>
  <si>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</si>
  <si>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</si>
  <si>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</si>
  <si>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</si>
  <si>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</si>
  <si>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</si>
  <si>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</si>
  <si>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</si>
  <si>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</si>
  <si>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</si>
  <si>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</si>
  <si>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</si>
  <si>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</si>
  <si>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</si>
  <si>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</si>
  <si>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</si>
  <si>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</si>
  <si>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</si>
  <si>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</si>
  <si>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</si>
  <si>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</si>
  <si>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</si>
  <si>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</si>
  <si>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</si>
  <si>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</si>
  <si>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</si>
  <si>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</si>
  <si>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</si>
  <si>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</si>
  <si>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</si>
  <si>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</si>
  <si>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</si>
  <si>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</si>
  <si>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</si>
  <si>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</si>
  <si>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</si>
  <si>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</si>
  <si>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</si>
  <si>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</si>
  <si>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</si>
  <si>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</si>
  <si>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</si>
  <si>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</si>
  <si>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</si>
  <si>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</si>
  <si>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</si>
  <si>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</si>
  <si>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</si>
  <si>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</si>
  <si>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</si>
  <si>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</si>
  <si>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</si>
  <si>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</si>
  <si>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</si>
  <si>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</si>
  <si>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</si>
  <si>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</si>
  <si>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</si>
  <si>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</si>
  <si>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</si>
  <si>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</si>
  <si>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</si>
  <si>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</si>
  <si>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</si>
  <si>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</si>
  <si>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</si>
  <si>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</si>
  <si>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</si>
  <si>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</si>
  <si>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</si>
  <si>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</si>
  <si>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</si>
  <si>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</si>
  <si>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</si>
  <si>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</si>
  <si>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</si>
  <si>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</si>
  <si>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</si>
  <si>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</si>
  <si>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</si>
  <si>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</si>
  <si>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</si>
  <si>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</si>
  <si>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</si>
  <si>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</si>
  <si>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</si>
  <si>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</si>
  <si>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</si>
  <si>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</si>
  <si>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</si>
  <si>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</si>
  <si>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</si>
  <si>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</si>
  <si>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</si>
  <si>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</si>
  <si>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</si>
  <si>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</si>
  <si>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</si>
  <si>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</si>
  <si>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</si>
  <si>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</si>
  <si>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</si>
  <si>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</si>
  <si>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</si>
  <si>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</si>
  <si>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</si>
  <si>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</si>
  <si>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</si>
  <si>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</si>
  <si>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</si>
  <si>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</si>
  <si>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</si>
  <si>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</si>
  <si>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</si>
  <si>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</si>
  <si>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</si>
  <si>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</si>
  <si>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</si>
  <si>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</si>
  <si>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</si>
  <si>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</si>
  <si>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</si>
  <si>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</si>
  <si>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</si>
  <si>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</si>
  <si>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</si>
  <si>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</si>
  <si>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</si>
  <si>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</si>
  <si>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</si>
  <si>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</si>
  <si>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</si>
  <si>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</si>
  <si>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</si>
  <si>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</si>
  <si>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</si>
  <si>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</si>
  <si>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</si>
  <si>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</si>
  <si>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</si>
  <si>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</si>
  <si>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</si>
  <si>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</si>
  <si>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</si>
  <si>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</si>
  <si>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</si>
  <si>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</si>
  <si>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</si>
  <si>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</si>
  <si>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</si>
  <si>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</si>
  <si>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</si>
  <si>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</si>
  <si>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</si>
  <si>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</si>
  <si>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</si>
  <si>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</si>
  <si>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</si>
  <si>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</si>
  <si>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</si>
  <si>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</si>
  <si>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</si>
  <si>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</si>
  <si>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</si>
  <si>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</si>
  <si>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</si>
  <si>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</si>
  <si>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</si>
  <si>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</si>
  <si>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</si>
  <si>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</si>
  <si>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</si>
  <si>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</si>
  <si>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</si>
  <si>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</si>
  <si>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</si>
  <si>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</si>
  <si>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</si>
  <si>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</si>
  <si>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</si>
  <si>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</si>
  <si>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</si>
  <si>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</si>
  <si>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</si>
  <si>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</si>
  <si>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</si>
  <si>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</si>
  <si>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</si>
  <si>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</si>
  <si>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</si>
  <si>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</si>
  <si>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</si>
  <si>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</si>
  <si>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</si>
  <si>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</si>
  <si>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</si>
  <si>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</si>
  <si>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</si>
  <si>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</si>
  <si>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</si>
  <si>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</si>
  <si>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</si>
  <si>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</si>
  <si>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</si>
  <si>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</si>
  <si>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</si>
  <si>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</si>
  <si>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</si>
  <si>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</si>
  <si>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</si>
  <si>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</si>
  <si>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</si>
  <si>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</si>
  <si>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</si>
  <si>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</si>
  <si>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</si>
  <si>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</si>
  <si>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</si>
  <si>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</si>
  <si>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</si>
  <si>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</si>
  <si>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</si>
  <si>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</si>
  <si>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</si>
  <si>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</si>
  <si>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</si>
  <si>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</si>
  <si>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</si>
  <si>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</si>
  <si>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</si>
  <si>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</si>
  <si>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</si>
  <si>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</si>
  <si>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</si>
  <si>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</si>
  <si>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</si>
  <si>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</si>
  <si>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</si>
  <si>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</si>
  <si>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</si>
  <si>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</si>
  <si>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</si>
  <si>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</si>
  <si>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</si>
  <si>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</si>
  <si>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</si>
  <si>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</si>
  <si>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</si>
  <si>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</si>
  <si>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</si>
  <si>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</si>
  <si>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</si>
  <si>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</si>
  <si>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</si>
  <si>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</si>
  <si>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</si>
  <si>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</si>
  <si>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</si>
  <si>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</si>
  <si>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</si>
  <si>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</si>
  <si>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</si>
  <si>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</si>
  <si>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</si>
  <si>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</si>
  <si>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</si>
  <si>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</si>
  <si>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</si>
  <si>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</si>
  <si>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</si>
  <si>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</si>
  <si>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</si>
  <si>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</si>
  <si>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</si>
  <si>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</si>
  <si>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</si>
  <si>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</si>
  <si>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</si>
  <si>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</si>
  <si>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</si>
  <si>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</si>
  <si>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</si>
  <si>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</si>
  <si>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</si>
  <si>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</si>
  <si>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</si>
  <si>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</si>
  <si>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</si>
  <si>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</si>
  <si>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</si>
  <si>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</si>
  <si>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</si>
  <si>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</si>
  <si>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</si>
  <si>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</si>
  <si>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</si>
  <si>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</si>
  <si>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</si>
  <si>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</si>
  <si>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</si>
  <si>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</si>
  <si>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</si>
  <si>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</si>
  <si>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</si>
  <si>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</si>
  <si>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</si>
  <si>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</si>
  <si>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</si>
  <si>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</si>
  <si>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</si>
  <si>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</si>
  <si>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</si>
  <si>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</si>
  <si>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</si>
  <si>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</si>
  <si>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</si>
  <si>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</si>
  <si>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</si>
  <si>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</si>
  <si>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</si>
  <si>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</si>
  <si>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</si>
  <si>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</si>
  <si>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</si>
  <si>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</si>
  <si>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</si>
  <si>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</si>
  <si>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</si>
  <si>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</si>
  <si>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</si>
  <si>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</si>
  <si>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</si>
  <si>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</si>
  <si>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</si>
  <si>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</si>
  <si>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</si>
  <si>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</si>
  <si>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</si>
  <si>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</si>
  <si>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</si>
  <si>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</si>
  <si>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</si>
  <si>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</si>
  <si>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</si>
  <si>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</si>
  <si>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</si>
  <si>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</si>
  <si>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</si>
  <si>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</si>
  <si>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</si>
  <si>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</si>
  <si>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</si>
  <si>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</si>
  <si>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</si>
  <si>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</si>
  <si>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</si>
  <si>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</si>
  <si>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</si>
  <si>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</si>
  <si>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</si>
  <si>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</si>
  <si>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</si>
  <si>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</si>
  <si>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</si>
  <si>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</si>
  <si>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</si>
  <si>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</si>
  <si>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</si>
  <si>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</si>
  <si>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</si>
  <si>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</si>
  <si>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</si>
  <si>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</si>
  <si>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</si>
  <si>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</si>
  <si>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</si>
  <si>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</si>
  <si>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</si>
  <si>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</si>
  <si>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</si>
  <si>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</si>
  <si>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</si>
  <si>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</si>
  <si>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</si>
  <si>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</si>
  <si>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</si>
  <si>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</si>
  <si>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</si>
  <si>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</si>
  <si>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</si>
  <si>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</si>
  <si>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</si>
  <si>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</si>
  <si>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</si>
  <si>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</si>
  <si>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</si>
  <si>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</si>
  <si>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</si>
  <si>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</si>
  <si>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</si>
  <si>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</si>
  <si>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</si>
  <si>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</si>
  <si>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</si>
  <si>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</si>
  <si>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</si>
  <si>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</si>
  <si>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</si>
  <si>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</si>
  <si>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</si>
  <si>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</si>
  <si>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</si>
  <si>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</si>
  <si>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</si>
  <si>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</si>
  <si>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</si>
  <si>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</si>
  <si>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</si>
  <si>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</si>
  <si>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</si>
  <si>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</si>
  <si>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</si>
  <si>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</si>
  <si>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</si>
  <si>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</si>
  <si>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</si>
  <si>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</si>
  <si>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</si>
  <si>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</si>
  <si>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</si>
  <si>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</si>
  <si>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</si>
  <si>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</si>
  <si>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</si>
  <si>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</si>
  <si>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</si>
  <si>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</si>
  <si>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</si>
  <si>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</si>
  <si>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</si>
  <si>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</si>
  <si>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</si>
  <si>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</si>
  <si>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</si>
  <si>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</si>
  <si>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</si>
  <si>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</si>
  <si>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</si>
  <si>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</si>
  <si>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</si>
  <si>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</si>
  <si>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</si>
  <si>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</si>
  <si>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</si>
  <si>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</si>
  <si>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</si>
  <si>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</si>
  <si>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</si>
  <si>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</si>
  <si>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</si>
  <si>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</si>
  <si>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</si>
  <si>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</si>
  <si>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</si>
  <si>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</si>
  <si>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</si>
  <si>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</si>
  <si>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</si>
  <si>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</si>
  <si>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</si>
  <si>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</si>
  <si>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</si>
  <si>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</si>
  <si>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</si>
  <si>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</si>
  <si>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</si>
  <si>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</si>
  <si>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</si>
  <si>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</si>
  <si>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</si>
  <si>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</si>
  <si>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</si>
  <si>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</si>
  <si>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</si>
  <si>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</si>
  <si>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</si>
  <si>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</si>
  <si>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</si>
  <si>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</si>
  <si>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</si>
  <si>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</si>
  <si>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</si>
  <si>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</si>
  <si>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</si>
  <si>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</si>
  <si>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</si>
  <si>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</si>
  <si>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</si>
  <si>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</si>
  <si>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</si>
  <si>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</si>
  <si>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</si>
  <si>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</si>
  <si>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</si>
  <si>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</si>
  <si>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</si>
  <si>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</si>
  <si>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</si>
  <si>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</si>
  <si>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</si>
  <si>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</si>
  <si>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</si>
  <si>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</si>
  <si>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</si>
  <si>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</si>
  <si>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</si>
  <si>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</si>
  <si>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</si>
  <si>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</si>
  <si>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</si>
  <si>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</si>
  <si>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</si>
  <si>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</si>
  <si>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</si>
  <si>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</si>
  <si>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</si>
  <si>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</si>
  <si>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</si>
  <si>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</si>
  <si>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</si>
  <si>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</si>
  <si>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</si>
  <si>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</si>
  <si>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</si>
  <si>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</si>
  <si>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</si>
  <si>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</si>
  <si>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</si>
  <si>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</si>
  <si>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</si>
  <si>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</si>
  <si>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</si>
  <si>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</si>
  <si>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</si>
  <si>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</si>
  <si>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</si>
  <si>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</si>
  <si>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</si>
  <si>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</si>
  <si>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</si>
  <si>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</si>
  <si>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</si>
  <si>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</si>
  <si>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</si>
  <si>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</si>
  <si>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</si>
  <si>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</si>
  <si>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</si>
  <si>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</si>
  <si>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</si>
  <si>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</si>
  <si>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</si>
  <si>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</si>
  <si>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</si>
  <si>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</si>
  <si>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</si>
  <si>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</si>
  <si>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</si>
  <si>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</si>
  <si>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</si>
  <si>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</si>
  <si>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</si>
  <si>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</si>
  <si>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</si>
  <si>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</si>
  <si>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</si>
  <si>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</si>
  <si>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</si>
  <si>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</si>
  <si>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</si>
  <si>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</si>
  <si>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</si>
  <si>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</si>
  <si>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</si>
  <si>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</si>
  <si>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</si>
  <si>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</si>
  <si>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</si>
  <si>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</si>
  <si>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</si>
  <si>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</si>
  <si>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</si>
  <si>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</si>
  <si>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</si>
  <si>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</si>
  <si>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</si>
  <si>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</si>
  <si>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</si>
  <si>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</si>
  <si>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</si>
  <si>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</si>
  <si>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</si>
  <si>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</si>
  <si>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</si>
  <si>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</si>
  <si>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</si>
  <si>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</si>
  <si>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</si>
  <si>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</si>
  <si>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</si>
  <si>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</si>
  <si>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</si>
  <si>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</si>
  <si>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</si>
  <si>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</si>
  <si>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</si>
  <si>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</si>
  <si>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</si>
  <si>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</si>
  <si>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</si>
  <si>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</si>
  <si>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</si>
  <si>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</si>
  <si>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</si>
  <si>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</si>
  <si>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</si>
  <si>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</si>
  <si>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</si>
  <si>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</si>
  <si>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</si>
  <si>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</si>
  <si>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</si>
  <si>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</si>
  <si>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</si>
  <si>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</si>
  <si>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</si>
  <si>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</si>
  <si>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</si>
  <si>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</si>
  <si>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</si>
  <si>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</si>
  <si>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</si>
  <si>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</si>
  <si>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</si>
  <si>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</si>
  <si>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</si>
  <si>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</si>
  <si>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</si>
  <si>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</si>
  <si>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</si>
  <si>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</si>
  <si>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</si>
  <si>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</si>
  <si>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</si>
  <si>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</si>
  <si>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</si>
  <si>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</si>
  <si>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</si>
  <si>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</si>
  <si>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</si>
  <si>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</si>
  <si>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</si>
  <si>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</si>
  <si>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</si>
  <si>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</si>
  <si>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</si>
  <si>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</si>
  <si>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</si>
  <si>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</si>
  <si>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</si>
  <si>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</si>
  <si>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</si>
  <si>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</si>
  <si>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</si>
  <si>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</si>
  <si>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</si>
  <si>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</si>
  <si>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</si>
  <si>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</si>
  <si>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</si>
  <si>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</si>
  <si>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</si>
  <si>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</si>
  <si>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</si>
  <si>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</si>
  <si>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</si>
  <si>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</si>
  <si>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</si>
  <si>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</si>
  <si>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</si>
  <si>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</si>
  <si>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</si>
  <si>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</si>
  <si>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</si>
  <si>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</si>
  <si>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</si>
  <si>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</si>
  <si>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</si>
  <si>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</si>
  <si>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</si>
  <si>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</si>
  <si>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</si>
  <si>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</si>
  <si>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</si>
  <si>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</si>
  <si>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</si>
  <si>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</si>
  <si>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</si>
  <si>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</si>
  <si>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</si>
  <si>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</si>
  <si>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</si>
  <si>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</si>
  <si>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</si>
  <si>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</si>
  <si>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</si>
  <si>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</si>
  <si>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</si>
  <si>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</si>
  <si>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</si>
  <si>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</si>
  <si>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</si>
  <si>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</si>
  <si>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</si>
  <si>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</si>
  <si>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</si>
  <si>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</si>
  <si>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</si>
  <si>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</si>
  <si>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</si>
  <si>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</si>
  <si>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</si>
  <si>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</si>
  <si>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</si>
  <si>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</si>
  <si>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</si>
  <si>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</si>
  <si>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</si>
  <si>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</si>
  <si>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</si>
  <si>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</si>
  <si>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</si>
  <si>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</si>
  <si>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</si>
  <si>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</si>
  <si>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</si>
  <si>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</si>
  <si>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</si>
  <si>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</si>
  <si>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</si>
  <si>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</si>
  <si>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</si>
  <si>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</si>
  <si>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</si>
  <si>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</si>
  <si>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</si>
  <si>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</si>
  <si>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</si>
  <si>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</si>
  <si>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</si>
  <si>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</si>
  <si>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</si>
  <si>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</si>
  <si>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</si>
  <si>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</si>
  <si>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</si>
  <si>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</si>
  <si>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</si>
  <si>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</si>
  <si>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</si>
  <si>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</si>
  <si>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</si>
  <si>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</si>
  <si>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</si>
  <si>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</si>
  <si>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</si>
  <si>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</si>
  <si>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</si>
  <si>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</si>
  <si>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</si>
  <si>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</si>
  <si>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</si>
  <si>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</si>
  <si>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</si>
  <si>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</si>
  <si>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</si>
  <si>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</si>
  <si>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</si>
  <si>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</si>
  <si>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</si>
  <si>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</si>
  <si>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</si>
  <si>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</si>
  <si>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</si>
  <si>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</si>
  <si>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</si>
  <si>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</si>
  <si>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</si>
  <si>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</si>
  <si>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</si>
  <si>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</si>
  <si>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</si>
  <si>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</si>
  <si>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</si>
  <si>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</si>
  <si>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</si>
  <si>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</si>
  <si>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</si>
  <si>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</si>
  <si>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</si>
  <si>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</si>
  <si>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</si>
  <si>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</si>
  <si>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</si>
  <si>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</si>
  <si>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</si>
  <si>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</si>
  <si>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</si>
  <si>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</si>
  <si>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</si>
  <si>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</si>
  <si>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</si>
  <si>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</si>
  <si>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</si>
  <si>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</si>
  <si>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</si>
  <si>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</si>
  <si>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</si>
  <si>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</si>
  <si>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</si>
  <si>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</si>
  <si>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</si>
  <si>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</si>
  <si>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</si>
  <si>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</si>
  <si>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</si>
  <si>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</si>
  <si>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</si>
  <si>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</si>
  <si>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</si>
  <si>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</si>
  <si>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</si>
  <si>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</si>
  <si>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</si>
  <si>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</si>
  <si>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</si>
  <si>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</si>
  <si>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</si>
  <si>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</si>
  <si>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</si>
  <si>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</si>
  <si>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</si>
  <si>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</si>
  <si>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</si>
  <si>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</si>
  <si>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</si>
  <si>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</si>
  <si>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</si>
  <si>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</si>
  <si>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</si>
  <si>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</si>
  <si>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</si>
  <si>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</si>
  <si>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</si>
  <si>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</si>
  <si>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</si>
  <si>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</si>
  <si>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</si>
  <si>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</si>
  <si>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</si>
  <si>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</si>
  <si>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</si>
  <si>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</si>
  <si>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</si>
  <si>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</si>
  <si>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</si>
  <si>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</si>
  <si>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</si>
  <si>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</si>
  <si>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</si>
  <si>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</si>
  <si>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</si>
  <si>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</si>
  <si>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</si>
  <si>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</si>
  <si>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</si>
  <si>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</si>
  <si>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</si>
  <si>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</si>
  <si>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</si>
  <si>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</si>
  <si>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</si>
  <si>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</si>
  <si>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</si>
  <si>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</si>
  <si>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</si>
  <si>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</si>
  <si>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</si>
  <si>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</si>
  <si>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</si>
  <si>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</si>
  <si>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</si>
  <si>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</si>
  <si>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</si>
  <si>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</si>
  <si>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</si>
  <si>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</si>
  <si>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</si>
  <si>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</si>
  <si>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</si>
  <si>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</si>
  <si>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</si>
  <si>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</si>
  <si>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</si>
  <si>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</si>
  <si>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</si>
  <si>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</si>
  <si>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</si>
  <si>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</si>
  <si>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</si>
  <si>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</si>
  <si>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</si>
  <si>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</si>
  <si>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</si>
  <si>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</si>
  <si>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</si>
  <si>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</si>
  <si>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</si>
  <si>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</si>
  <si>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</si>
  <si>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</si>
  <si>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</si>
  <si>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</si>
  <si>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</si>
  <si>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</si>
  <si>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</si>
  <si>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</si>
  <si>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</si>
  <si>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</si>
  <si>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</si>
  <si>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</si>
  <si>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</si>
  <si>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</si>
  <si>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</si>
  <si>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</si>
  <si>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</si>
  <si>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</si>
  <si>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</si>
  <si>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</si>
  <si>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</si>
  <si>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</si>
  <si>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</si>
  <si>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</si>
  <si>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</si>
  <si>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</si>
  <si>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</si>
  <si>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</si>
  <si>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</si>
  <si>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</si>
  <si>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</si>
  <si>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</si>
  <si>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</si>
  <si>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</si>
  <si>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</si>
  <si>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</si>
  <si>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</si>
  <si>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</si>
  <si>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</si>
  <si>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</si>
  <si>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</si>
  <si>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</si>
  <si>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</si>
  <si>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</si>
  <si>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</si>
  <si>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</si>
  <si>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</si>
  <si>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</si>
  <si>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</si>
  <si>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</si>
  <si>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</si>
  <si>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</si>
  <si>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</si>
  <si>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</si>
  <si>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</si>
  <si>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</si>
  <si>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</si>
  <si>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</si>
  <si>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</si>
  <si>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</si>
  <si>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</si>
  <si>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</si>
  <si>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</si>
  <si>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</si>
  <si>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</si>
  <si>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</si>
  <si>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</si>
  <si>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</si>
  <si>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</si>
  <si>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</si>
  <si>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</si>
  <si>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</si>
  <si>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</si>
  <si>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</si>
  <si>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</si>
  <si>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</si>
  <si>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</si>
  <si>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</si>
  <si>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</si>
  <si>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</si>
  <si>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</si>
  <si>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</si>
  <si>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</si>
  <si>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</si>
  <si>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</si>
  <si>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</si>
  <si>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</si>
  <si>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</si>
  <si>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</si>
  <si>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</si>
  <si>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</si>
  <si>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</si>
  <si>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</si>
  <si>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</si>
  <si>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</si>
  <si>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</si>
  <si>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</si>
  <si>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</si>
  <si>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</si>
  <si>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</si>
  <si>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</si>
  <si>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</si>
  <si>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</si>
  <si>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</si>
  <si>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</si>
  <si>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</si>
  <si>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</si>
  <si>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</si>
  <si>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</si>
  <si>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</si>
  <si>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</si>
  <si>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</si>
  <si>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</si>
  <si>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</si>
  <si>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</si>
  <si>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</si>
  <si>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</si>
  <si>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</si>
  <si>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</si>
  <si>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</si>
  <si>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</si>
  <si>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</si>
  <si>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</si>
  <si>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</si>
  <si>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</si>
  <si>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</si>
  <si>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</si>
  <si>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</si>
  <si>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</si>
  <si>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</si>
  <si>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</si>
  <si>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</si>
  <si>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</si>
  <si>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</si>
  <si>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</si>
  <si>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</si>
  <si>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</si>
  <si>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</si>
  <si>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</si>
  <si>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</si>
  <si>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</si>
  <si>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</si>
  <si>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</si>
  <si>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</si>
  <si>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</si>
  <si>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</si>
  <si>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</si>
  <si>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</si>
  <si>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</si>
  <si>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</si>
  <si>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</si>
  <si>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</si>
  <si>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</si>
  <si>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</si>
  <si>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</si>
  <si>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</si>
  <si>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</si>
  <si>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</si>
  <si>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</si>
  <si>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</si>
  <si>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</si>
  <si>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</si>
  <si>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</si>
  <si>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</si>
  <si>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</si>
  <si>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</si>
  <si>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</si>
  <si>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</si>
  <si>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</si>
  <si>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</si>
  <si>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</si>
  <si>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</si>
  <si>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</si>
  <si>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</si>
  <si>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</si>
  <si>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</si>
  <si>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</si>
  <si>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</si>
  <si>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</si>
  <si>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</si>
  <si>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</si>
  <si>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</si>
  <si>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</si>
  <si>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</si>
  <si>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</si>
  <si>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</si>
  <si>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</si>
  <si>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</si>
  <si>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</si>
  <si>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</si>
  <si>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</si>
  <si>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</si>
  <si>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</si>
  <si>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</si>
  <si>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</si>
  <si>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</si>
  <si>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</si>
  <si>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</si>
  <si>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</si>
  <si>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</si>
  <si>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</si>
  <si>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</si>
  <si>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</si>
  <si>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</si>
  <si>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</si>
  <si>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</si>
  <si>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</si>
  <si>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</si>
  <si>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</si>
  <si>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</si>
  <si>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</si>
  <si>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</si>
  <si>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</si>
  <si>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</si>
  <si>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</si>
  <si>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</si>
  <si>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</si>
  <si>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</si>
  <si>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</si>
  <si>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</si>
  <si>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</si>
  <si>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</si>
  <si>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</si>
  <si>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</si>
  <si>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</si>
  <si>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</si>
  <si>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</si>
  <si>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</si>
  <si>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</si>
  <si>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</si>
  <si>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</si>
  <si>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</si>
  <si>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</si>
  <si>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</si>
  <si>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</si>
  <si>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</si>
  <si>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</si>
  <si>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</si>
  <si>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</si>
  <si>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</si>
  <si>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</si>
  <si>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</si>
  <si>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</si>
  <si>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</si>
  <si>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</si>
  <si>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</si>
  <si>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</si>
  <si>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</si>
  <si>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</si>
  <si>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</si>
  <si>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</si>
  <si>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</si>
  <si>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</si>
  <si>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</si>
  <si>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</si>
  <si>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</si>
  <si>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</si>
  <si>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</si>
  <si>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</si>
  <si>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</si>
  <si>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</si>
  <si>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</si>
  <si>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</si>
  <si>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</si>
  <si>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</si>
  <si>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</si>
  <si>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</si>
  <si>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</si>
  <si>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</si>
  <si>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</si>
  <si>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</si>
  <si>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</si>
  <si>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</si>
  <si>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</si>
  <si>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</si>
  <si>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</si>
  <si>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</si>
  <si>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</si>
  <si>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</si>
  <si>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</si>
  <si>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</si>
  <si>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</si>
  <si>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</si>
  <si>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</si>
  <si>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</si>
  <si>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</si>
  <si>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</si>
  <si>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</si>
  <si>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</si>
  <si>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</si>
  <si>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</si>
  <si>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</si>
  <si>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</si>
  <si>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</si>
  <si>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</si>
  <si>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</si>
  <si>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</si>
  <si>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</si>
  <si>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</si>
  <si>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</si>
  <si>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</si>
  <si>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</si>
  <si>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</si>
  <si>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</si>
  <si>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</si>
  <si>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</si>
  <si>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</si>
  <si>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</si>
  <si>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</si>
  <si>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</si>
  <si>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</si>
  <si>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</si>
  <si>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</si>
  <si>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</si>
  <si>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</si>
  <si>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</si>
  <si>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</si>
  <si>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</si>
  <si>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</si>
  <si>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</si>
  <si>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</si>
  <si>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</si>
  <si>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</si>
  <si>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</si>
  <si>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</si>
  <si>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</si>
  <si>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</si>
  <si>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</si>
  <si>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</si>
  <si>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</si>
  <si>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</si>
  <si>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</si>
  <si>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</si>
  <si>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</si>
  <si>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</si>
  <si>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</si>
  <si>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</si>
  <si>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</si>
  <si>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</si>
  <si>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</si>
  <si>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</si>
  <si>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</si>
  <si>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</si>
  <si>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</si>
  <si>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</si>
  <si>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</si>
  <si>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</si>
  <si>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</si>
  <si>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</si>
  <si>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</si>
  <si>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</si>
  <si>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</si>
  <si>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</si>
  <si>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</si>
  <si>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</si>
  <si>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</si>
  <si>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</si>
  <si>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</si>
  <si>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</si>
  <si>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</si>
  <si>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</si>
  <si>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</si>
  <si>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</si>
  <si>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</si>
  <si>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</si>
  <si>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</si>
  <si>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</si>
  <si>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</si>
  <si>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</si>
  <si>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</si>
  <si>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</si>
  <si>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</si>
  <si>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</si>
  <si>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</si>
  <si>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</si>
  <si>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</si>
  <si>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</si>
  <si>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</si>
  <si>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</si>
  <si>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</si>
  <si>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</si>
  <si>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</si>
  <si>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</si>
  <si>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</si>
  <si>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</si>
  <si>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</si>
  <si>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</si>
  <si>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</si>
  <si>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</si>
  <si>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</si>
  <si>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</si>
  <si>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</si>
  <si>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</si>
  <si>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</si>
  <si>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</si>
  <si>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</si>
  <si>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</si>
  <si>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</si>
  <si>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</si>
  <si>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</si>
  <si>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</si>
  <si>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</si>
  <si>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</si>
  <si>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</si>
  <si>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</si>
  <si>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</si>
  <si>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</si>
  <si>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</si>
  <si>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</si>
  <si>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</si>
  <si>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</si>
  <si>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</si>
  <si>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</si>
  <si>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</si>
  <si>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</si>
  <si>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</si>
  <si>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</si>
  <si>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</si>
  <si>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</si>
  <si>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</si>
  <si>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</si>
  <si>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</si>
  <si>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</si>
  <si>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</si>
  <si>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</si>
  <si>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</si>
  <si>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</si>
  <si>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</si>
  <si>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</si>
  <si>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</si>
  <si>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</si>
  <si>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</si>
  <si>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</si>
  <si>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</si>
  <si>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</si>
  <si>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</si>
  <si>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</si>
  <si>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</si>
  <si>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</si>
  <si>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</si>
  <si>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</si>
  <si>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</si>
  <si>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</si>
  <si>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</si>
  <si>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</si>
  <si>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</si>
  <si>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</si>
  <si>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</si>
  <si>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</si>
  <si>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</si>
  <si>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</si>
  <si>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</si>
  <si>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</si>
  <si>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</si>
  <si>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</si>
  <si>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</si>
  <si>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</si>
  <si>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</si>
  <si>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</si>
  <si>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</si>
  <si>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</si>
  <si>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</si>
  <si>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</si>
  <si>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</si>
  <si>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</si>
  <si>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</si>
  <si>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</si>
  <si>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</si>
  <si>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</si>
  <si>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</si>
  <si>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</si>
  <si>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</si>
  <si>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</si>
  <si>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</si>
  <si>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</si>
  <si>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</si>
  <si>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</si>
  <si>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</si>
  <si>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</si>
  <si>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</si>
  <si>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</si>
  <si>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</si>
  <si>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</si>
  <si>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</si>
  <si>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</si>
  <si>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</si>
  <si>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</si>
  <si>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</si>
  <si>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</si>
  <si>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</si>
  <si>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</si>
  <si>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</si>
  <si>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</si>
  <si>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</si>
  <si>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</si>
  <si>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</si>
  <si>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</si>
  <si>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</si>
  <si>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</si>
  <si>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</si>
  <si>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</si>
  <si>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</si>
  <si>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</si>
  <si>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</si>
  <si>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</si>
  <si>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</si>
  <si>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</si>
  <si>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</si>
  <si>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</si>
  <si>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</si>
  <si>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</si>
  <si>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</si>
  <si>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</si>
  <si>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</si>
  <si>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</si>
  <si>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</si>
  <si>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</si>
  <si>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</si>
  <si>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</si>
  <si>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</si>
  <si>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</si>
  <si>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</si>
  <si>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</si>
  <si>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</si>
  <si>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</si>
  <si>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</si>
  <si>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</si>
  <si>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</si>
  <si>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</si>
  <si>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</si>
  <si>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</si>
  <si>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</si>
  <si>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</si>
  <si>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</si>
  <si>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</si>
  <si>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</si>
  <si>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</si>
  <si>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</si>
  <si>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</si>
  <si>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</si>
  <si>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</si>
  <si>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</si>
  <si>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</si>
  <si>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</si>
  <si>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</si>
  <si>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</si>
  <si>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</si>
  <si>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</si>
  <si>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</si>
  <si>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</si>
  <si>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</si>
  <si>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</si>
  <si>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</si>
  <si>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</si>
  <si>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</si>
  <si>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</si>
  <si>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</si>
  <si>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</si>
  <si>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</si>
  <si>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</si>
  <si>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</si>
  <si>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</si>
  <si>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</si>
  <si>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</si>
  <si>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</si>
  <si>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</si>
  <si>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</si>
  <si>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</si>
  <si>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</si>
  <si>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</si>
  <si>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</si>
  <si>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</si>
  <si>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</si>
  <si>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</si>
  <si>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</si>
  <si>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</si>
  <si>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</si>
  <si>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</si>
  <si>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</si>
  <si>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</si>
  <si>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</si>
  <si>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</si>
  <si>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</si>
  <si>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</si>
  <si>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</si>
  <si>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</si>
  <si>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</si>
  <si>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</si>
  <si>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</si>
  <si>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</si>
  <si>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</si>
  <si>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</si>
  <si>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</si>
  <si>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</si>
  <si>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</si>
  <si>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</si>
  <si>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</si>
  <si>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</si>
  <si>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</si>
  <si>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</si>
  <si>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</si>
  <si>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</si>
  <si>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</si>
  <si>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</si>
  <si>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</si>
  <si>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</si>
  <si>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</si>
  <si>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</si>
  <si>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</si>
  <si>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</si>
  <si>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</si>
  <si>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</si>
  <si>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</si>
  <si>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</si>
  <si>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</si>
  <si>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</si>
  <si>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</si>
  <si>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</si>
  <si>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</si>
  <si>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</si>
  <si>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</si>
  <si>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</si>
  <si>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</si>
  <si>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</si>
  <si>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</si>
  <si>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</si>
  <si>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</si>
  <si>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</si>
  <si>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</si>
  <si>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</si>
  <si>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</si>
  <si>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</si>
  <si>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</si>
  <si>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</si>
  <si>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</si>
  <si>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</si>
  <si>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</si>
  <si>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</si>
  <si>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</si>
  <si>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</si>
  <si>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</si>
  <si>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</si>
  <si>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</si>
  <si>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</si>
  <si>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</si>
  <si>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</si>
  <si>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</si>
  <si>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</si>
  <si>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</si>
  <si>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</si>
  <si>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</si>
  <si>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</si>
  <si>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</si>
  <si>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</si>
  <si>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</si>
  <si>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</si>
  <si>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</si>
  <si>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</si>
  <si>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</si>
  <si>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</si>
  <si>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</si>
  <si>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</si>
  <si>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</si>
  <si>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</si>
  <si>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</si>
  <si>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</si>
  <si>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</si>
  <si>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</si>
  <si>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</si>
  <si>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</si>
  <si>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</si>
  <si>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</si>
  <si>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</si>
  <si>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</si>
  <si>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</si>
  <si>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</si>
  <si>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</si>
  <si>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</si>
  <si>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</si>
  <si>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</si>
  <si>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</si>
  <si>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</si>
  <si>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</si>
  <si>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</si>
  <si>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</si>
  <si>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</si>
  <si>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</si>
  <si>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</si>
  <si>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</si>
  <si>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</si>
  <si>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</si>
  <si>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</si>
  <si>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</si>
  <si>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</si>
  <si>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</si>
  <si>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</si>
  <si>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</si>
  <si>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</si>
  <si>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</si>
  <si>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</si>
  <si>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</si>
  <si>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</si>
  <si>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</si>
  <si>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</si>
  <si>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</si>
  <si>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</si>
  <si>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</si>
  <si>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</si>
  <si>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</si>
  <si>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</si>
  <si>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</si>
  <si>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</si>
  <si>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</si>
  <si>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</si>
  <si>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</si>
  <si>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</si>
  <si>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</si>
  <si>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</si>
  <si>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</si>
  <si>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</si>
  <si>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</si>
  <si>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</si>
  <si>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</si>
  <si>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</si>
  <si>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</si>
  <si>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</si>
  <si>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</si>
  <si>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</si>
  <si>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</si>
  <si>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</si>
  <si>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</si>
  <si>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</si>
  <si>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</si>
  <si>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</si>
  <si>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</si>
  <si>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</si>
  <si>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</si>
  <si>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</si>
  <si>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</si>
  <si>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</si>
  <si>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</si>
  <si>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</si>
  <si>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</si>
  <si>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</si>
  <si>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</si>
  <si>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</si>
  <si>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</si>
  <si>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</si>
  <si>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</si>
  <si>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</si>
  <si>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</si>
  <si>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</si>
  <si>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</si>
  <si>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</si>
  <si>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</si>
  <si>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</si>
  <si>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</si>
  <si>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</si>
  <si>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</si>
  <si>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</si>
  <si>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</si>
  <si>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</si>
  <si>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</si>
  <si>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</si>
  <si>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</si>
  <si>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</si>
  <si>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</si>
  <si>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</si>
  <si>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</si>
  <si>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</si>
  <si>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</si>
  <si>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</si>
  <si>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</si>
  <si>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</si>
  <si>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</si>
  <si>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</si>
  <si>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</si>
  <si>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</si>
  <si>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</si>
  <si>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</si>
  <si>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</si>
  <si>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</si>
  <si>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</si>
  <si>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</si>
  <si>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</si>
  <si>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</si>
  <si>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</si>
  <si>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</si>
  <si>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</si>
  <si>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</si>
  <si>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</si>
  <si>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</si>
  <si>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</si>
  <si>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</si>
  <si>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</si>
  <si>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</si>
  <si>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</si>
  <si>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</si>
  <si>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</si>
  <si>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</si>
  <si>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</si>
  <si>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</si>
  <si>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</si>
  <si>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</si>
  <si>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</si>
  <si>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</si>
  <si>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</si>
  <si>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</si>
  <si>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</si>
  <si>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</si>
  <si>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</si>
  <si>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</si>
  <si>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</si>
  <si>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</si>
  <si>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</si>
  <si>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</si>
  <si>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</si>
  <si>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</si>
  <si>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</si>
  <si>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</si>
  <si>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</si>
  <si>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</si>
  <si>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</si>
  <si>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</si>
  <si>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</si>
  <si>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</si>
  <si>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</si>
  <si>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</si>
  <si>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</si>
  <si>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</si>
  <si>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</si>
  <si>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</si>
  <si>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</si>
  <si>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</si>
  <si>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</si>
  <si>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</si>
  <si>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</si>
  <si>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</si>
  <si>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</si>
  <si>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</si>
  <si>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</si>
  <si>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</si>
  <si>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</si>
  <si>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</si>
  <si>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</si>
  <si>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</si>
  <si>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</si>
  <si>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</si>
  <si>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</si>
  <si>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</si>
  <si>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</si>
  <si>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</si>
  <si>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</si>
  <si>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</si>
  <si>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</si>
  <si>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</si>
  <si>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</si>
  <si>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</si>
  <si>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</si>
  <si>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</si>
  <si>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</si>
  <si>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</si>
  <si>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</si>
  <si>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</si>
  <si>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</si>
  <si>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</si>
  <si>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</si>
  <si>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</si>
  <si>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</si>
  <si>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</si>
  <si>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</si>
  <si>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</si>
  <si>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</si>
  <si>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</si>
  <si>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</si>
  <si>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</si>
  <si>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</si>
  <si>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</si>
  <si>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</si>
  <si>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</si>
  <si>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</si>
  <si>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</si>
  <si>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</si>
  <si>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</si>
  <si>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</si>
  <si>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</si>
  <si>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</si>
  <si>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</si>
  <si>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</si>
  <si>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</si>
  <si>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</si>
  <si>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</si>
  <si>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</si>
  <si>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</si>
  <si>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</si>
  <si>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</si>
  <si>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</si>
  <si>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</si>
  <si>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</si>
  <si>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</si>
  <si>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</si>
  <si>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</si>
  <si>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</si>
  <si>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</si>
  <si>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</si>
  <si>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</si>
  <si>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</si>
  <si>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</si>
  <si>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</si>
  <si>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</si>
  <si>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</si>
  <si>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</si>
  <si>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</si>
  <si>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</si>
  <si>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</si>
  <si>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</si>
  <si>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</si>
  <si>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</si>
  <si>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</si>
  <si>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</si>
  <si>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</si>
  <si>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</si>
  <si>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</si>
  <si>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</si>
  <si>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</si>
  <si>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</si>
  <si>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</si>
  <si>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</si>
  <si>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</si>
  <si>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</si>
  <si>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</si>
  <si>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</si>
  <si>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</si>
  <si>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</si>
  <si>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</si>
  <si>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</si>
  <si>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</si>
  <si>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</si>
  <si>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</si>
  <si>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</si>
  <si>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</si>
  <si>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</si>
  <si>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</si>
  <si>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</si>
  <si>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</si>
  <si>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</si>
  <si>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</si>
  <si>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</si>
  <si>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</si>
  <si>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</si>
  <si>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</si>
  <si>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</si>
  <si>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</si>
  <si>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</si>
  <si>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</si>
  <si>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</si>
  <si>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</si>
  <si>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</si>
  <si>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</si>
  <si>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</si>
  <si>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</si>
  <si>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</si>
  <si>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</si>
  <si>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</si>
  <si>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</si>
  <si>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</si>
  <si>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</si>
  <si>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</si>
  <si>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</si>
  <si>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</si>
  <si>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</si>
  <si>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</si>
  <si>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</si>
  <si>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</si>
  <si>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</si>
  <si>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</si>
  <si>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</si>
  <si>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</si>
  <si>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</si>
  <si>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</si>
  <si>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</si>
  <si>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</si>
  <si>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</si>
  <si>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</si>
  <si>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</si>
  <si>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</si>
  <si>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</si>
  <si>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</si>
  <si>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</si>
  <si>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</si>
  <si>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</si>
  <si>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</si>
  <si>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</si>
  <si>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</si>
  <si>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</si>
  <si>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</si>
  <si>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</si>
  <si>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</si>
  <si>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</si>
  <si>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</si>
  <si>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</si>
  <si>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</si>
  <si>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</si>
  <si>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</si>
  <si>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</si>
  <si>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</si>
  <si>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</si>
  <si>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</si>
  <si>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</si>
  <si>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</si>
  <si>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</si>
  <si>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</si>
  <si>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</si>
  <si>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</si>
  <si>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</si>
  <si>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</si>
  <si>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</si>
  <si>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</si>
  <si>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</si>
  <si>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</si>
  <si>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</si>
  <si>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</si>
  <si>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</si>
  <si>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</si>
  <si>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</si>
  <si>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</si>
  <si>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</si>
  <si>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</si>
  <si>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</si>
  <si>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</si>
  <si>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</si>
  <si>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</si>
  <si>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</si>
  <si>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</si>
  <si>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</si>
  <si>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</si>
  <si>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</si>
  <si>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</si>
  <si>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</si>
  <si>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</si>
  <si>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</si>
  <si>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</si>
  <si>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</si>
  <si>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</si>
  <si>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</si>
  <si>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</si>
  <si>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</si>
  <si>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</si>
  <si>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</si>
  <si>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</si>
  <si>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</si>
  <si>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</si>
  <si>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</si>
  <si>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</si>
  <si>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</si>
  <si>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</si>
  <si>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</si>
  <si>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</si>
  <si>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</si>
  <si>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</si>
  <si>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</si>
  <si>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</si>
  <si>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</si>
  <si>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</si>
  <si>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</si>
  <si>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</si>
  <si>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</si>
  <si>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</si>
  <si>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</si>
  <si>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</si>
  <si>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</si>
  <si>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</si>
  <si>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</si>
  <si>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</si>
  <si>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</si>
  <si>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</si>
  <si>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</si>
  <si>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</si>
  <si>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</si>
  <si>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</si>
  <si>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</si>
  <si>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</si>
  <si>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</si>
  <si>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</si>
  <si>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</si>
  <si>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</si>
  <si>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</si>
  <si>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</si>
  <si>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</si>
  <si>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</si>
  <si>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</si>
  <si>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</si>
  <si>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</si>
  <si>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</si>
  <si>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</si>
  <si>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</si>
  <si>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</si>
  <si>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</si>
  <si>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</si>
  <si>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</si>
  <si>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</si>
  <si>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</si>
  <si>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</si>
  <si>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</si>
  <si>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</si>
  <si>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</si>
  <si>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</si>
  <si>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</si>
  <si>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</si>
  <si>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</si>
  <si>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</si>
  <si>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</si>
  <si>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</si>
  <si>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</si>
  <si>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</si>
  <si>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</si>
  <si>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</si>
  <si>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</si>
  <si>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</si>
  <si>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</si>
  <si>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</si>
  <si>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</si>
  <si>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</si>
  <si>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</si>
  <si>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</si>
  <si>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</si>
  <si>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</si>
  <si>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</si>
  <si>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</si>
  <si>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</si>
  <si>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</si>
  <si>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</si>
  <si>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</si>
  <si>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</si>
  <si>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</si>
  <si>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</si>
  <si>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</si>
  <si>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</si>
  <si>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</si>
  <si>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</si>
  <si>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</si>
  <si>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</si>
  <si>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</si>
  <si>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</si>
  <si>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</si>
  <si>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</si>
  <si>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</si>
  <si>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</si>
  <si>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</si>
  <si>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</si>
  <si>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</si>
  <si>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</si>
  <si>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</si>
  <si>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</si>
  <si>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</si>
  <si>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</si>
  <si>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</si>
  <si>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</si>
  <si>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</si>
  <si>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</si>
  <si>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</si>
  <si>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</si>
  <si>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</si>
  <si>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</si>
  <si>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</si>
  <si>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</si>
  <si>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</si>
  <si>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</si>
  <si>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</si>
  <si>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</si>
  <si>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</si>
  <si>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</si>
  <si>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</si>
  <si>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</si>
  <si>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</si>
  <si>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</si>
  <si>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</si>
  <si>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</si>
  <si>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</si>
  <si>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</si>
  <si>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</si>
  <si>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</si>
  <si>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</si>
  <si>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</si>
  <si>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</si>
  <si>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</si>
  <si>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</si>
  <si>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</si>
  <si>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</si>
  <si>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</si>
  <si>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</si>
  <si>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</si>
  <si>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</si>
  <si>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</si>
  <si>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</si>
  <si>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</si>
  <si>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</si>
  <si>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</si>
  <si>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</si>
  <si>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</si>
  <si>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</si>
  <si>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</si>
  <si>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</si>
  <si>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</si>
  <si>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</si>
  <si>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</si>
  <si>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</si>
  <si>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</si>
  <si>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</si>
  <si>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</si>
  <si>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</si>
  <si>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</si>
  <si>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</si>
  <si>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</si>
  <si>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</si>
  <si>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</si>
  <si>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</si>
  <si>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</si>
  <si>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</si>
  <si>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</si>
  <si>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</si>
  <si>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</si>
  <si>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</si>
  <si>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</si>
  <si>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</si>
  <si>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</si>
  <si>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</si>
  <si>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</si>
  <si>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</si>
  <si>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</si>
  <si>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</si>
  <si>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</si>
  <si>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</si>
  <si>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</si>
  <si>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</si>
  <si>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</si>
  <si>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</si>
  <si>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</si>
  <si>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</si>
  <si>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</si>
  <si>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</si>
  <si>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</si>
  <si>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</si>
  <si>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</si>
  <si>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</si>
  <si>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</si>
  <si>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</si>
  <si>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</si>
  <si>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</si>
  <si>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</si>
  <si>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</si>
  <si>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</si>
  <si>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</si>
  <si>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</si>
  <si>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</si>
  <si>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</si>
  <si>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</si>
  <si>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</si>
  <si>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</si>
  <si>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</si>
  <si>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</si>
  <si>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</si>
  <si>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</si>
  <si>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</si>
  <si>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</si>
  <si>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</si>
  <si>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</si>
  <si>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</si>
  <si>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</si>
  <si>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</si>
  <si>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</si>
  <si>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</si>
  <si>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</si>
  <si>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</si>
  <si>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</si>
  <si>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</si>
  <si>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</si>
  <si>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</si>
  <si>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</si>
  <si>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</si>
  <si>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</si>
  <si>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</si>
  <si>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</si>
  <si>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</si>
  <si>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</si>
  <si>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</si>
  <si>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</si>
  <si>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</si>
  <si>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</si>
  <si>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</si>
  <si>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</si>
  <si>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</si>
  <si>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</si>
  <si>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</si>
  <si>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</si>
  <si>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</si>
  <si>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</si>
  <si>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</si>
  <si>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</si>
  <si>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</si>
  <si>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</si>
  <si>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</si>
  <si>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</si>
  <si>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</si>
  <si>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</si>
  <si>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</si>
  <si>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</si>
  <si>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</si>
  <si>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</si>
  <si>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</si>
  <si>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</si>
  <si>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</si>
  <si>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</si>
  <si>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</si>
  <si>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</si>
  <si>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</si>
  <si>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</si>
  <si>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</si>
  <si>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</si>
  <si>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</si>
  <si>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</si>
  <si>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</si>
  <si>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</si>
  <si>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</si>
  <si>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</si>
  <si>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</si>
  <si>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</si>
  <si>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</si>
  <si>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</si>
  <si>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</si>
  <si>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</si>
  <si>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</si>
  <si>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</si>
  <si>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</si>
  <si>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</si>
  <si>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</si>
  <si>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</si>
  <si>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</si>
  <si>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</si>
  <si>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</si>
  <si>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</si>
  <si>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</si>
  <si>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</si>
  <si>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</si>
  <si>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</si>
  <si>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</si>
  <si>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</si>
  <si>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</si>
  <si>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</si>
  <si>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</si>
  <si>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</si>
  <si>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</si>
  <si>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</si>
  <si>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</si>
  <si>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</si>
  <si>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</si>
  <si>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</si>
  <si>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</si>
  <si>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</si>
  <si>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</si>
  <si>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</si>
  <si>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</si>
  <si>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</si>
  <si>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</si>
  <si>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</si>
  <si>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</si>
  <si>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</si>
  <si>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</si>
  <si>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</si>
  <si>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</si>
  <si>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</si>
  <si>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</si>
  <si>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</si>
  <si>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</si>
  <si>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</si>
  <si>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</si>
  <si>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</si>
  <si>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</si>
  <si>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</si>
  <si>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</si>
  <si>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</si>
  <si>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</si>
  <si>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</si>
  <si>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</si>
  <si>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</si>
  <si>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</si>
  <si>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</si>
  <si>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</si>
  <si>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</si>
  <si>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</si>
  <si>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</si>
  <si>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</si>
  <si>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</si>
  <si>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</si>
  <si>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</si>
  <si>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</si>
  <si>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</si>
  <si>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</si>
  <si>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</si>
  <si>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</si>
  <si>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</si>
  <si>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</si>
  <si>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</si>
  <si>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</si>
  <si>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</si>
  <si>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</si>
  <si>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</si>
  <si>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</si>
  <si>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</si>
  <si>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</si>
  <si>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</si>
  <si>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</si>
  <si>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</si>
  <si>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</si>
  <si>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</si>
  <si>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</si>
  <si>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</si>
  <si>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</si>
  <si>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</si>
  <si>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</si>
  <si>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</si>
  <si>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</si>
  <si>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</si>
  <si>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</si>
  <si>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</si>
  <si>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</si>
  <si>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</si>
  <si>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</si>
  <si>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</si>
  <si>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</si>
  <si>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</si>
  <si>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</si>
  <si>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</si>
  <si>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</si>
  <si>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</si>
  <si>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</si>
  <si>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</si>
  <si>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</si>
  <si>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</si>
  <si>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</si>
  <si>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</si>
  <si>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</si>
  <si>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</si>
  <si>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</si>
  <si>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</si>
  <si>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</si>
  <si>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</si>
  <si>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</si>
  <si>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</si>
  <si>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</si>
  <si>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</si>
  <si>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</si>
  <si>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</si>
  <si>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</si>
  <si>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</si>
  <si>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</si>
  <si>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</si>
  <si>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</si>
  <si>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</si>
  <si>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</si>
  <si>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</si>
  <si>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</si>
  <si>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</si>
  <si>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</si>
  <si>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</si>
  <si>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</si>
  <si>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</si>
  <si>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</si>
  <si>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</si>
  <si>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</si>
  <si>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</si>
  <si>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</si>
  <si>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</si>
  <si>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</si>
  <si>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</si>
  <si>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</si>
  <si>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</si>
  <si>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</si>
  <si>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</si>
  <si>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</si>
  <si>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</si>
  <si>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</si>
  <si>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</si>
  <si>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</si>
  <si>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</si>
  <si>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</si>
  <si>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</si>
  <si>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</si>
  <si>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</si>
  <si>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</si>
  <si>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</si>
  <si>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</si>
  <si>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</si>
  <si>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</si>
  <si>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</si>
  <si>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</si>
  <si>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</si>
  <si>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</si>
  <si>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</si>
  <si>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</si>
  <si>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</si>
  <si>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</si>
  <si>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</si>
  <si>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</si>
  <si>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</si>
  <si>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</si>
  <si>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</si>
  <si>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</si>
  <si>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</si>
  <si>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</si>
  <si>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</si>
  <si>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</si>
  <si>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</si>
  <si>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</si>
  <si>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</si>
  <si>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</si>
  <si>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</si>
  <si>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</si>
  <si>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</si>
  <si>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</si>
  <si>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</si>
  <si>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</si>
  <si>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</si>
  <si>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</si>
  <si>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</si>
  <si>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</si>
  <si>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</si>
  <si>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</si>
  <si>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</si>
  <si>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</si>
  <si>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</si>
  <si>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</si>
  <si>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</si>
  <si>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</si>
  <si>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</si>
  <si>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</si>
  <si>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</si>
  <si>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</si>
  <si>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</si>
  <si>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</si>
  <si>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</si>
  <si>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</si>
  <si>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</si>
  <si>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</si>
  <si>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</si>
  <si>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</si>
  <si>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</si>
  <si>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</si>
  <si>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</si>
  <si>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</si>
  <si>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</si>
  <si>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</si>
  <si>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</si>
  <si>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</si>
  <si>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</si>
  <si>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</si>
  <si>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</si>
  <si>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</si>
  <si>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</si>
  <si>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</si>
  <si>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</si>
  <si>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</si>
  <si>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</si>
  <si>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</si>
  <si>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</si>
  <si>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</si>
  <si>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</si>
  <si>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</si>
  <si>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</si>
  <si>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</si>
  <si>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</si>
  <si>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</si>
  <si>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</si>
  <si>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</si>
  <si>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</si>
  <si>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</si>
  <si>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</si>
  <si>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</si>
  <si>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</si>
  <si>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</si>
  <si>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</si>
  <si>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</si>
  <si>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</si>
  <si>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</si>
  <si>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</si>
  <si>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</si>
  <si>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</si>
  <si>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</si>
  <si>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</si>
  <si>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</si>
  <si>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</si>
  <si>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</si>
  <si>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</si>
  <si>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</si>
  <si>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</si>
  <si>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</si>
  <si>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</si>
  <si>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</si>
  <si>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</si>
  <si>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</si>
  <si>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</si>
  <si>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</si>
  <si>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</si>
  <si>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</si>
  <si>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</si>
  <si>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</si>
  <si>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</si>
  <si>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</si>
  <si>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</si>
  <si>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</si>
  <si>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</si>
  <si>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</si>
  <si>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</si>
  <si>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</si>
  <si>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</si>
  <si>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</si>
  <si>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</si>
  <si>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</si>
  <si>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</si>
  <si>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</si>
  <si>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</si>
  <si>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</si>
  <si>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</si>
  <si>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</si>
  <si>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</si>
  <si>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</si>
  <si>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</si>
  <si>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</si>
  <si>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</si>
  <si>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</si>
  <si>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</si>
  <si>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</si>
  <si>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</si>
  <si>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</si>
  <si>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</si>
  <si>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</si>
  <si>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</si>
  <si>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</si>
  <si>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</si>
  <si>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</si>
  <si>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</si>
  <si>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</si>
  <si>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</si>
  <si>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</si>
  <si>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</si>
  <si>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</si>
  <si>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</si>
  <si>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</si>
  <si>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</si>
  <si>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</si>
  <si>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</si>
  <si>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</si>
  <si>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</si>
  <si>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</si>
  <si>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</si>
  <si>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</si>
  <si>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</si>
  <si>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</si>
  <si>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</si>
  <si>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</si>
  <si>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</si>
  <si>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</si>
  <si>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</si>
  <si>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</si>
  <si>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</si>
  <si>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</si>
  <si>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</si>
  <si>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</si>
  <si>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</si>
  <si>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</si>
  <si>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</si>
  <si>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</si>
  <si>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</si>
  <si>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</si>
  <si>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</si>
  <si>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</si>
  <si>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</si>
  <si>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</si>
  <si>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</si>
  <si>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</si>
  <si>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</si>
  <si>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</si>
  <si>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</si>
  <si>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</si>
  <si>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</si>
  <si>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</si>
  <si>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</si>
  <si>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</si>
  <si>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</si>
  <si>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</si>
  <si>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</si>
  <si>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</si>
  <si>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</si>
  <si>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</si>
  <si>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</si>
  <si>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</si>
  <si>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</si>
  <si>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</si>
  <si>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</si>
  <si>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</si>
  <si>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</si>
  <si>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</si>
  <si>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</si>
  <si>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</si>
  <si>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</si>
  <si>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</si>
  <si>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</si>
  <si>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</si>
  <si>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</si>
  <si>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</si>
  <si>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</si>
  <si>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</si>
  <si>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</si>
  <si>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</si>
  <si>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</si>
  <si>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</si>
  <si>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</si>
  <si>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</si>
  <si>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</si>
  <si>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</si>
  <si>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</si>
  <si>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</si>
  <si>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</si>
  <si>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</si>
  <si>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</si>
  <si>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</si>
  <si>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</si>
  <si>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</si>
  <si>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</si>
  <si>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</si>
  <si>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</si>
  <si>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</si>
  <si>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</si>
  <si>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</si>
  <si>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</si>
  <si>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</si>
  <si>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</si>
  <si>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</si>
  <si>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</si>
  <si>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</si>
  <si>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</si>
  <si>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</si>
  <si>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</si>
  <si>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</si>
  <si>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</si>
  <si>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</si>
  <si>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</si>
  <si>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</si>
  <si>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</si>
  <si>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</si>
  <si>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</si>
  <si>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</si>
  <si>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</si>
  <si>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</si>
  <si>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</si>
  <si>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</si>
  <si>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</si>
  <si>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</si>
  <si>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</si>
  <si>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</si>
  <si>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</si>
  <si>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</si>
  <si>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</si>
  <si>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</si>
  <si>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</si>
  <si>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</si>
  <si>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</si>
  <si>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</si>
  <si>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</si>
  <si>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</si>
  <si>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</si>
  <si>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</si>
  <si>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</si>
  <si>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</si>
  <si>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</si>
  <si>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</si>
  <si>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</si>
  <si>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</si>
  <si>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</si>
  <si>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</si>
  <si>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</si>
  <si>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</si>
  <si>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</si>
  <si>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</si>
  <si>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</si>
  <si>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</si>
  <si>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</si>
  <si>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</si>
  <si>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</si>
  <si>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</si>
  <si>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</si>
  <si>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</si>
  <si>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</si>
  <si>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</si>
  <si>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</si>
  <si>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</si>
  <si>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</si>
  <si>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</si>
  <si>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</si>
  <si>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</si>
  <si>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</si>
  <si>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</si>
  <si>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</si>
  <si>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</si>
  <si>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</si>
  <si>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</si>
  <si>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</si>
  <si>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</si>
  <si>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</si>
  <si>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</si>
  <si>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</si>
  <si>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</si>
  <si>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</si>
  <si>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</si>
  <si>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</si>
  <si>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</si>
  <si>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</si>
  <si>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</si>
  <si>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</si>
  <si>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</si>
  <si>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</si>
  <si>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</si>
  <si>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</si>
  <si>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</si>
  <si>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</si>
  <si>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</si>
  <si>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</si>
  <si>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</si>
  <si>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</si>
  <si>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</si>
  <si>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</si>
  <si>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</si>
  <si>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</si>
  <si>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</si>
  <si>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</si>
  <si>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</si>
  <si>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</si>
  <si>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</si>
  <si>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</si>
  <si>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</si>
  <si>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</si>
  <si>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</si>
  <si>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</si>
  <si>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</si>
  <si>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</si>
  <si>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</si>
  <si>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</si>
  <si>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</si>
  <si>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</si>
  <si>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</si>
  <si>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</si>
  <si>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</si>
  <si>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</si>
  <si>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</si>
  <si>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</si>
  <si>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</si>
  <si>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</si>
  <si>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</si>
  <si>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</si>
  <si>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</si>
  <si>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</si>
  <si>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</si>
  <si>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</si>
  <si>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</si>
  <si>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</si>
  <si>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</si>
  <si>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</si>
  <si>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</si>
  <si>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</si>
  <si>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</si>
  <si>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</si>
  <si>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</si>
  <si>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</si>
  <si>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</si>
  <si>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</si>
  <si>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</si>
  <si>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</si>
  <si>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</si>
  <si>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</si>
  <si>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</si>
  <si>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</si>
  <si>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</si>
  <si>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</si>
  <si>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</si>
  <si>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</si>
  <si>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</si>
  <si>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</si>
  <si>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</si>
  <si>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</si>
  <si>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</si>
  <si>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</si>
  <si>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</si>
  <si>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</si>
  <si>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</si>
  <si>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</si>
  <si>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</si>
  <si>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</si>
  <si>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</si>
  <si>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</si>
  <si>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</si>
  <si>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</si>
  <si>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</si>
  <si>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</si>
  <si>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</si>
  <si>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</si>
  <si>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</si>
  <si>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</si>
  <si>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</si>
  <si>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</si>
  <si>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</si>
  <si>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</si>
  <si>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</si>
  <si>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</si>
  <si>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</si>
  <si>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</si>
  <si>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</si>
  <si>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</si>
  <si>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</si>
  <si>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</si>
  <si>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</si>
  <si>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</si>
  <si>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</si>
  <si>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</si>
  <si>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</si>
  <si>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</si>
  <si>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</si>
  <si>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</si>
  <si>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</si>
  <si>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</si>
  <si>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</si>
  <si>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</si>
  <si>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</si>
  <si>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</si>
  <si>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</si>
  <si>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02/09/2026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</si>
</sst>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2" dataDxfId="51" totalsRowDxfId="50" totalsRowBorderDxfId="49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7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08" activePane="bottomLeft" state="frozen"/>
      <selection pane="bottomLeft" activeCell="S728" sqref="A728:XFD728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 x14ac:dyDescent="0.2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6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8" t="s">
        <v>2773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9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7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2687</v>
      </c>
      <c r="D726" s="212"/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2687</v>
      </c>
      <c r="D727" s="183"/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2687</v>
      </c>
      <c r="D728" s="183"/>
      <c r="E728" s="180" t="s">
        <v>2972</v>
      </c>
      <c r="F728" s="185"/>
      <c r="G728" s="186" t="s">
        <v>2719</v>
      </c>
      <c r="H728" s="191" t="s">
        <v>3185</v>
      </c>
      <c r="I728" s="192">
        <v>46267</v>
      </c>
      <c r="J728" s="192">
        <v>46267</v>
      </c>
      <c r="K728" s="183" t="s">
        <v>38</v>
      </c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2687</v>
      </c>
      <c r="D729" s="183"/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2687</v>
      </c>
      <c r="D730" s="183"/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2687</v>
      </c>
      <c r="D731" s="183"/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2687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2687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2687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727:C727 E727:T727 A2002:A2006 E2007 A2:T726 A728:T2001">
    <cfRule type="expression" dxfId="1" priority="9">
      <formula>MOD(ROW(),2)=0</formula>
    </cfRule>
  </conditionalFormatting>
  <conditionalFormatting sqref="A727:C727 E727:T727 A2002:A2006 E2007 A2:T726 A728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4" t="s">
        <v>2991</v>
      </c>
    </row>
    <row r="2" spans="1:8" x14ac:dyDescent="0.25">
      <c r="H2" s="213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3" t="s">
        <v>2996</v>
      </c>
    </row>
    <row r="4" spans="1:8" x14ac:dyDescent="0.25">
      <c r="A4">
        <v>1</v>
      </c>
      <c r="B4" t="s">
        <v>2997</v>
      </c>
      <c r="D4" t="s">
        <v>2998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2999</v>
      </c>
    </row>
    <row r="5" spans="1:8" x14ac:dyDescent="0.25">
      <c r="A5">
        <v>2</v>
      </c>
      <c r="B5" t="s">
        <v>2507</v>
      </c>
      <c r="D5" t="s">
        <v>2998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3000</v>
      </c>
    </row>
    <row r="6" spans="1:8" x14ac:dyDescent="0.25">
      <c r="A6">
        <v>3</v>
      </c>
      <c r="B6" t="s">
        <v>1030</v>
      </c>
      <c r="D6" t="s">
        <v>2998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3001</v>
      </c>
      <c r="D7" t="s">
        <v>2998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3002</v>
      </c>
    </row>
    <row r="8" spans="1:8" x14ac:dyDescent="0.25">
      <c r="A8">
        <v>5</v>
      </c>
      <c r="B8" t="s">
        <v>3003</v>
      </c>
      <c r="D8" t="s">
        <v>2998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2998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2998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2998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2998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2998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2998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2998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2998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2998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8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2930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2837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3077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3078</v>
      </c>
      <c r="B4" s="231"/>
      <c r="D4" s="232" t="s">
        <v>3079</v>
      </c>
      <c r="E4" s="233"/>
      <c r="G4" s="45" t="s">
        <v>3080</v>
      </c>
    </row>
    <row r="5" spans="1:7" ht="54.95" customHeight="1" thickBot="1" x14ac:dyDescent="0.75">
      <c r="A5" s="35">
        <f>COUNTIF('Ações InCompany'!B:B,2026)</f>
        <v>80</v>
      </c>
      <c r="B5" s="36" t="s">
        <v>3081</v>
      </c>
      <c r="D5" s="43">
        <f>COUNTIFS('Ações InCompany'!B:B,2026,'Ações InCompany'!C:C,"Realizado")</f>
        <v>40</v>
      </c>
      <c r="E5" s="44" t="s">
        <v>3081</v>
      </c>
      <c r="G5" s="46">
        <f>COUNTIFS('Ações InCompany'!B:B,2026,'Ações InCompany'!C:C,"A realizar")</f>
        <v>37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3082</v>
      </c>
      <c r="B8" s="227"/>
      <c r="D8" s="227" t="s">
        <v>3083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38</v>
      </c>
      <c r="D14" s="33" t="s">
        <v>3091</v>
      </c>
      <c r="E14" s="34">
        <f>SUM(E11:E13)</f>
        <v>1848</v>
      </c>
    </row>
    <row r="30" spans="1:5" ht="17.25" x14ac:dyDescent="0.3">
      <c r="A30" s="227" t="s">
        <v>3092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2687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2695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2794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3143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3144</v>
      </c>
    </row>
    <row r="4" spans="1:8" ht="21.95" customHeight="1" x14ac:dyDescent="0.25">
      <c r="A4" s="235" t="s">
        <v>3145</v>
      </c>
      <c r="B4" s="236"/>
      <c r="D4" s="235" t="s">
        <v>3146</v>
      </c>
      <c r="E4" s="236"/>
      <c r="G4" s="235" t="s">
        <v>3147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3153</v>
      </c>
      <c r="B1" s="240"/>
      <c r="C1" s="240"/>
      <c r="D1" s="240"/>
      <c r="E1" s="240"/>
      <c r="F1" s="240"/>
    </row>
    <row r="2" spans="1:7" x14ac:dyDescent="0.25">
      <c r="A2" s="241" t="s">
        <v>3154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2755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91ce1707-6d34-452b-b217-9734c03e6729"/>
    <ds:schemaRef ds:uri="http://schemas.microsoft.com/office/infopath/2007/PartnerControl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2026-08-05T18:36:52Z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