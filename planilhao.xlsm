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78" documentId="8_{454372C2-A99E-4E47-A759-72B38925853E}" xr6:coauthVersionLast="47" xr6:coauthVersionMax="47" xr10:uidLastSave="{B33F5882-03A6-4010-B58B-5541458E0F4A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2" i="3"/>
  <c r="R706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AE33" i="20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12" i="3"/>
  <c r="R701" i="3"/>
  <c r="R709" i="3"/>
  <c r="R707" i="3"/>
  <c r="R705" i="3"/>
  <c r="R704" i="3"/>
  <c r="R703" i="3"/>
  <c r="R708" i="3"/>
  <c r="R717" i="3"/>
  <c r="R716" i="3"/>
  <c r="R702" i="3"/>
  <c r="R676" i="3"/>
  <c r="R715" i="3"/>
  <c r="R714" i="3"/>
  <c r="R711" i="3"/>
  <c r="R710" i="3"/>
  <c r="R693" i="3"/>
  <c r="R721" i="3"/>
  <c r="R690" i="3"/>
  <c r="R700" i="3"/>
  <c r="R699" i="3"/>
  <c r="R720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8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9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3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l="1"/>
  <c r="T4" i="20" l="1" a="1"/>
  <c r="T4" i="20" s="1"/>
  <c r="A2" i="20" l="1" a="1"/>
  <c r="A2" i="20" s="1"/>
  <c r="A5" i="23" l="1" a="1"/>
  <c r="C53" i="23" s="1"/>
  <c r="E105" i="23"/>
  <c r="E12" i="23" l="1"/>
  <c r="C19" i="23"/>
  <c r="C47" i="23"/>
  <c r="C50" i="23"/>
  <c r="C29" i="23"/>
  <c r="E47" i="23"/>
  <c r="F27" i="23"/>
  <c r="E41" i="23"/>
  <c r="B19" i="23"/>
  <c r="E27" i="23"/>
  <c r="B43" i="23"/>
  <c r="D27" i="23"/>
  <c r="D19" i="23"/>
  <c r="B41" i="23"/>
  <c r="D36" i="23"/>
  <c r="D51" i="23"/>
  <c r="E10" i="23"/>
  <c r="C8" i="23"/>
  <c r="F35" i="23"/>
  <c r="D53" i="23"/>
  <c r="E46" i="23"/>
  <c r="E31" i="23"/>
  <c r="D52" i="23"/>
  <c r="E40" i="23"/>
  <c r="C26" i="23"/>
  <c r="F32" i="23"/>
  <c r="F24" i="23"/>
  <c r="B15" i="23"/>
  <c r="C34" i="23"/>
  <c r="E26" i="23"/>
  <c r="E34" i="23"/>
  <c r="D39" i="23"/>
  <c r="D35" i="23"/>
  <c r="C41" i="23"/>
  <c r="C42" i="23"/>
  <c r="B20" i="23"/>
  <c r="F37" i="23"/>
  <c r="F7" i="23"/>
  <c r="C35" i="23"/>
  <c r="D26" i="23"/>
  <c r="C21" i="23"/>
  <c r="E11" i="23"/>
  <c r="B17" i="23"/>
  <c r="E7" i="23"/>
  <c r="C6" i="23"/>
  <c r="F21" i="23"/>
  <c r="B6" i="23"/>
  <c r="B39" i="23"/>
  <c r="F17" i="23"/>
  <c r="B53" i="23"/>
  <c r="B11" i="23"/>
  <c r="B14" i="23"/>
  <c r="B46" i="23"/>
  <c r="D12" i="23"/>
  <c r="D32" i="23"/>
  <c r="F11" i="23"/>
  <c r="B7" i="23"/>
  <c r="E20" i="23"/>
  <c r="F43" i="23"/>
  <c r="F23" i="23"/>
  <c r="D10" i="23"/>
  <c r="A5" i="23"/>
  <c r="E6" i="23"/>
  <c r="D29" i="23"/>
  <c r="C39" i="23"/>
  <c r="C37" i="23"/>
  <c r="D28" i="23"/>
  <c r="C51" i="23"/>
  <c r="C31" i="23"/>
  <c r="E36" i="23"/>
  <c r="C10" i="23"/>
  <c r="D7" i="23"/>
  <c r="D24" i="23"/>
  <c r="C7" i="23"/>
  <c r="D6" i="23"/>
  <c r="F40" i="23"/>
  <c r="B27" i="23"/>
  <c r="E15" i="23"/>
  <c r="E51" i="23"/>
  <c r="D37" i="23"/>
  <c r="F45" i="23"/>
  <c r="C40" i="23"/>
  <c r="B30" i="23"/>
  <c r="D22" i="23"/>
  <c r="D21" i="23"/>
  <c r="F6" i="23"/>
  <c r="E38" i="23"/>
  <c r="B8" i="23"/>
  <c r="D44" i="23"/>
  <c r="C45" i="23"/>
  <c r="B18" i="23"/>
  <c r="E50" i="23"/>
  <c r="C18" i="23"/>
  <c r="D38" i="23"/>
  <c r="F51" i="23"/>
  <c r="D50" i="23"/>
  <c r="C14" i="23"/>
  <c r="B28" i="23"/>
  <c r="E48" i="23"/>
  <c r="B38" i="23"/>
  <c r="B32" i="23"/>
  <c r="D15" i="23"/>
  <c r="D43" i="23"/>
  <c r="F9" i="23"/>
  <c r="F16" i="23"/>
  <c r="F15" i="23"/>
  <c r="F25" i="23"/>
  <c r="B26" i="23"/>
  <c r="E45" i="23"/>
  <c r="D45" i="23"/>
  <c r="D46" i="23"/>
  <c r="E35" i="23"/>
  <c r="D40" i="23"/>
  <c r="F53" i="23"/>
  <c r="C49" i="23"/>
  <c r="B22" i="23"/>
  <c r="F36" i="23"/>
  <c r="B50" i="23"/>
  <c r="C11" i="23"/>
  <c r="D47" i="23"/>
  <c r="E28" i="23"/>
  <c r="F29" i="23"/>
  <c r="F47" i="23"/>
  <c r="F31" i="23"/>
  <c r="B12" i="23"/>
  <c r="E16" i="23"/>
  <c r="B40" i="23"/>
  <c r="B10" i="23"/>
  <c r="E18" i="23"/>
  <c r="E32" i="23"/>
  <c r="B44" i="23"/>
  <c r="D25" i="23"/>
  <c r="D33" i="23"/>
  <c r="E42" i="23"/>
  <c r="C48" i="23"/>
  <c r="B37" i="23"/>
  <c r="C28" i="23"/>
  <c r="D8" i="23"/>
  <c r="D20" i="23"/>
  <c r="B21" i="23"/>
  <c r="F10" i="23"/>
  <c r="B24" i="23"/>
  <c r="F41" i="23"/>
  <c r="C13" i="23"/>
  <c r="C15" i="23"/>
  <c r="F50" i="23"/>
  <c r="B45" i="23"/>
  <c r="C17" i="23"/>
  <c r="C32" i="23"/>
  <c r="D13" i="23"/>
  <c r="B35" i="23"/>
  <c r="D41" i="23"/>
  <c r="D16" i="23"/>
  <c r="F19" i="23"/>
  <c r="D9" i="23"/>
  <c r="C25" i="23"/>
  <c r="E14" i="23"/>
  <c r="F54" i="23"/>
  <c r="F26" i="23"/>
  <c r="F48" i="23"/>
  <c r="C20" i="23"/>
  <c r="C38" i="23"/>
  <c r="F8" i="23"/>
  <c r="C30" i="23"/>
  <c r="E24" i="23"/>
  <c r="C9" i="23"/>
  <c r="E33" i="23"/>
  <c r="F38" i="23"/>
  <c r="F30" i="23"/>
  <c r="D48" i="23"/>
  <c r="E17" i="23"/>
  <c r="E30" i="23"/>
  <c r="E29" i="23"/>
  <c r="F44" i="23"/>
  <c r="B54" i="23"/>
  <c r="E22" i="23"/>
  <c r="E23" i="23"/>
  <c r="C33" i="23"/>
  <c r="F13" i="23"/>
  <c r="C43" i="23"/>
  <c r="D30" i="23"/>
  <c r="F34" i="23"/>
  <c r="C27" i="23"/>
  <c r="E39" i="23"/>
  <c r="E21" i="23"/>
  <c r="D14" i="23"/>
  <c r="E43" i="23"/>
  <c r="F20" i="23"/>
  <c r="B23" i="23"/>
  <c r="B52" i="23"/>
  <c r="C52" i="23"/>
  <c r="F33" i="23"/>
  <c r="D34" i="23"/>
  <c r="B42" i="23"/>
  <c r="B13" i="23"/>
  <c r="C22" i="23"/>
  <c r="D17" i="23"/>
  <c r="C44" i="23"/>
  <c r="B29" i="23"/>
  <c r="B36" i="23"/>
  <c r="C16" i="23"/>
  <c r="C23" i="23"/>
  <c r="F28" i="23"/>
  <c r="E19" i="23"/>
  <c r="C46" i="23"/>
  <c r="D31" i="23"/>
  <c r="F52" i="23"/>
  <c r="B16" i="23"/>
  <c r="D42" i="23"/>
  <c r="E44" i="23"/>
  <c r="D54" i="23"/>
  <c r="C54" i="23"/>
  <c r="B48" i="23"/>
  <c r="E53" i="23"/>
  <c r="F46" i="23"/>
  <c r="C12" i="23"/>
  <c r="F14" i="23"/>
  <c r="D23" i="23"/>
  <c r="E37" i="23"/>
  <c r="B25" i="23"/>
  <c r="B31" i="23"/>
  <c r="D49" i="23"/>
  <c r="D11" i="23"/>
  <c r="F12" i="23"/>
  <c r="E8" i="23"/>
  <c r="E25" i="23"/>
  <c r="F42" i="23"/>
  <c r="D18" i="23"/>
  <c r="C36" i="23"/>
  <c r="B34" i="23"/>
  <c r="F49" i="23"/>
  <c r="C24" i="23"/>
  <c r="B49" i="23"/>
  <c r="E52" i="23"/>
  <c r="B9" i="23"/>
  <c r="E49" i="23"/>
  <c r="F22" i="23"/>
  <c r="B51" i="23"/>
  <c r="F18" i="23"/>
  <c r="F39" i="23"/>
  <c r="E54" i="23"/>
  <c r="B33" i="23"/>
  <c r="E13" i="23"/>
  <c r="E9" i="23"/>
  <c r="B47" i="23"/>
  <c r="D5" i="23"/>
  <c r="G5" i="23"/>
  <c r="C5" i="23"/>
  <c r="B5" i="23"/>
  <c r="F5" i="23"/>
  <c r="E5" i="23"/>
  <c r="F105" i="23" l="1"/>
  <c r="B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<sst xmlns="http://schemas.openxmlformats.org/spreadsheetml/2006/main" count="6269" uniqueCount="2418">
  <si>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</si>
  <si>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</si>
  <si>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</si>
  <si>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</si>
  <si>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</si>
  <si>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</si>
  <si>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</si>
  <si>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</si>
  <si>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</si>
  <si>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</si>
  <si>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</si>
  <si>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</si>
  <si>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</si>
  <si>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</si>
  <si>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</si>
  <si>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</si>
  <si>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</si>
  <si>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</si>
  <si>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</si>
  <si>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</si>
  <si>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</si>
  <si>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</si>
  <si>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</si>
  <si>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</si>
  <si>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</si>
  <si>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</si>
  <si>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</si>
  <si>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</si>
  <si>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</si>
  <si>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</si>
  <si>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</si>
  <si>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</si>
  <si>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</si>
  <si>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</si>
  <si>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</si>
  <si>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</si>
  <si>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</si>
  <si>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</si>
  <si>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</si>
  <si>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</si>
  <si>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</si>
  <si>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</si>
  <si>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</si>
  <si>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</si>
  <si>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</si>
  <si>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</si>
  <si>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</si>
  <si>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</si>
  <si>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</si>
  <si>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</si>
  <si>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</si>
  <si>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</si>
  <si>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</si>
  <si>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</si>
  <si>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</si>
  <si>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</si>
  <si>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</si>
  <si>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</si>
  <si>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</si>
  <si>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</si>
  <si>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</si>
  <si>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</si>
  <si>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</si>
  <si>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</si>
  <si>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</si>
  <si>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</si>
  <si>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</si>
  <si>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</si>
  <si>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</si>
  <si>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</si>
  <si>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</si>
  <si>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</si>
  <si>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</si>
  <si>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</si>
  <si>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</si>
  <si>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</si>
  <si>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</si>
  <si>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</si>
  <si>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</si>
  <si>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</si>
  <si>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</si>
  <si>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</si>
  <si>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</si>
  <si>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</si>
  <si>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</si>
  <si>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</si>
  <si>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</si>
  <si>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</si>
  <si>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</si>
  <si>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</si>
  <si>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</si>
  <si>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</si>
  <si>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</si>
  <si>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</si>
  <si>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</si>
  <si>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</si>
  <si>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</si>
  <si>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</si>
  <si>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</si>
  <si>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</si>
  <si>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</si>
  <si>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</si>
  <si>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</si>
  <si>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</si>
  <si>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</si>
  <si>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</si>
  <si>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</si>
  <si>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</si>
  <si>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</si>
  <si>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</si>
  <si>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</si>
  <si>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</si>
  <si>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</si>
  <si>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</si>
  <si>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</si>
  <si>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</si>
  <si>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</si>
  <si>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</si>
  <si>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</si>
  <si>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</si>
  <si>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</si>
  <si>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</si>
  <si>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</si>
  <si>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</si>
  <si>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</si>
  <si>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</si>
  <si>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</si>
  <si>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</si>
  <si>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</si>
  <si>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</si>
  <si>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</si>
  <si>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</si>
  <si>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</si>
  <si>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</si>
  <si>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</si>
  <si>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</si>
  <si>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</si>
  <si>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</si>
  <si>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</si>
  <si>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</si>
  <si>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</si>
  <si>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</si>
  <si>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</si>
  <si>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</si>
  <si>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</si>
  <si>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</si>
  <si>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</si>
  <si>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</si>
  <si>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</si>
  <si>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</si>
  <si>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</si>
  <si>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</si>
  <si>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</si>
  <si>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</si>
  <si>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</si>
  <si>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</si>
  <si>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</si>
  <si>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</si>
  <si>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</si>
  <si>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</si>
  <si>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</si>
  <si>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</si>
  <si>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</si>
  <si>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</si>
  <si>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</si>
  <si>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</si>
  <si>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</si>
  <si>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</si>
  <si>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</si>
  <si>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</si>
  <si>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</si>
  <si>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</si>
  <si>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</si>
  <si>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</si>
  <si>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</si>
  <si>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</si>
  <si>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</si>
  <si>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</si>
  <si>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</si>
  <si>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</si>
  <si>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</si>
  <si>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</si>
  <si>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</si>
  <si>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</si>
  <si>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</si>
  <si>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</si>
  <si>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</si>
  <si>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</si>
  <si>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</si>
  <si>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</si>
  <si>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</si>
  <si>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</si>
  <si>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</si>
  <si>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</si>
  <si>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</si>
  <si>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</si>
  <si>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</si>
  <si>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</si>
  <si>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</si>
  <si>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</si>
  <si>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</si>
  <si>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</si>
  <si>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</si>
  <si>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</si>
  <si>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</si>
  <si>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</si>
  <si>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</si>
  <si>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</si>
  <si>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</si>
  <si>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</si>
  <si>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</si>
  <si>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</si>
  <si>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</si>
  <si>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</si>
  <si>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</si>
  <si>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</si>
  <si>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</si>
  <si>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</si>
  <si>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</si>
  <si>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</si>
  <si>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</si>
  <si>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</si>
  <si>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</si>
  <si>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</si>
  <si>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</si>
  <si>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</si>
  <si>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</si>
  <si>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</si>
  <si>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</si>
  <si>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</si>
  <si>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</si>
  <si>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</si>
  <si>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</si>
  <si>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</si>
  <si>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</si>
  <si>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</si>
  <si>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</si>
  <si>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</si>
  <si>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</si>
  <si>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</si>
  <si>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</si>
  <si>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</si>
  <si>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</si>
  <si>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</si>
  <si>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</si>
  <si>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</si>
  <si>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</si>
  <si>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</si>
  <si>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</si>
  <si>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</si>
  <si>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</si>
  <si>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</si>
  <si>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</si>
  <si>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</si>
  <si>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</si>
  <si>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</si>
  <si>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</si>
  <si>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</si>
  <si>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</si>
  <si>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</si>
  <si>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</si>
  <si>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</si>
  <si>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</si>
  <si>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</si>
  <si>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</si>
  <si>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</si>
  <si>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</si>
  <si>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</si>
  <si>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</si>
  <si>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</si>
  <si>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</si>
  <si>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</si>
  <si>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</si>
  <si>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</si>
  <si>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</si>
  <si>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</si>
  <si>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</si>
  <si>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</si>
  <si>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</si>
  <si>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</si>
  <si>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</si>
  <si>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</si>
  <si>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</si>
  <si>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</si>
  <si>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</si>
  <si>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</si>
  <si>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</si>
  <si>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</si>
  <si>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</si>
  <si>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</si>
  <si>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</si>
  <si>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</si>
  <si>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</si>
  <si>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</si>
  <si>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</si>
  <si>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</si>
  <si>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</si>
  <si>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</si>
  <si>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</si>
  <si>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</si>
  <si>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</si>
  <si>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</si>
  <si>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</si>
  <si>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</si>
  <si>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</si>
  <si>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</si>
  <si>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</si>
  <si>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</si>
  <si>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</si>
  <si>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</si>
  <si>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</si>
  <si>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</si>
  <si>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</si>
  <si>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</si>
  <si>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</si>
  <si>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</si>
  <si>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</si>
  <si>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</si>
  <si>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</si>
  <si>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</si>
  <si>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</si>
  <si>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</si>
  <si>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</si>
  <si>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</si>
  <si>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</si>
  <si>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</si>
  <si>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</si>
  <si>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</si>
  <si>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</si>
  <si>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</si>
  <si>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</si>
  <si>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</si>
  <si>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</si>
  <si>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</si>
  <si>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</si>
  <si>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</si>
  <si>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</si>
  <si>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</si>
  <si>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</si>
  <si>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</si>
  <si>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</si>
  <si>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</si>
  <si>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</si>
  <si>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</si>
  <si>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</si>
  <si>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</si>
  <si>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</si>
  <si>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</si>
  <si>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</si>
  <si>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</si>
  <si>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</si>
  <si>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</si>
  <si>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</si>
  <si>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</si>
  <si>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</si>
  <si>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</si>
  <si>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</si>
  <si>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</si>
  <si>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</si>
  <si>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</si>
  <si>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</si>
  <si>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</si>
  <si>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</si>
  <si>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</si>
  <si>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</si>
  <si>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</si>
  <si>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</si>
  <si>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</si>
  <si>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</si>
  <si>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</si>
  <si>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</si>
  <si>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</si>
  <si>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</si>
  <si>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</si>
  <si>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</si>
  <si>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</si>
  <si>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</si>
  <si>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</si>
  <si>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</si>
  <si>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</si>
  <si>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</si>
  <si>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</si>
  <si>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</si>
  <si>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</si>
  <si>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</si>
  <si>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</si>
  <si>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</si>
  <si>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</si>
  <si>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</si>
  <si>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</si>
  <si>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</si>
  <si>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</si>
  <si>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</si>
  <si>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</si>
  <si>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</si>
  <si>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</si>
  <si>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</si>
  <si>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</si>
  <si>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</si>
  <si>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</si>
  <si>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</si>
  <si>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</si>
  <si>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</si>
  <si>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</si>
  <si>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</si>
  <si>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</si>
  <si>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</si>
  <si>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</si>
  <si>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</si>
  <si>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</si>
  <si>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</si>
  <si>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</si>
  <si>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</si>
  <si>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</si>
  <si>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</si>
  <si>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</si>
  <si>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</si>
  <si>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</si>
  <si>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</si>
  <si>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</si>
  <si>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</si>
  <si>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</si>
  <si>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</si>
  <si>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</si>
  <si>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</si>
  <si>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</si>
  <si>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</si>
  <si>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</si>
  <si>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</si>
  <si>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</si>
  <si>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</si>
  <si>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</si>
  <si>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</si>
  <si>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</si>
  <si>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</si>
  <si>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</si>
  <si>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</si>
  <si>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</si>
  <si>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</si>
  <si>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</si>
  <si>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</si>
  <si>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</si>
  <si>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</si>
  <si>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</si>
  <si>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</si>
  <si>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</si>
  <si>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</si>
  <si>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</si>
  <si>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</si>
  <si>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</si>
  <si>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</si>
  <si>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</si>
  <si>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</si>
  <si>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</si>
  <si>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</si>
  <si>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</si>
  <si>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</si>
  <si>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</si>
  <si>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</si>
  <si>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</si>
  <si>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</si>
  <si>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</si>
  <si>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</si>
  <si>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</si>
  <si>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</si>
  <si>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</si>
  <si>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</si>
  <si>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</si>
  <si>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</si>
  <si>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</si>
  <si>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</si>
  <si>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</si>
  <si>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</si>
  <si>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</si>
  <si>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</si>
  <si>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</si>
  <si>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</si>
  <si>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</si>
  <si>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</si>
  <si>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</si>
  <si>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</si>
  <si>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</si>
  <si>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</si>
  <si>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</si>
  <si>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</si>
  <si>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</si>
  <si>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</si>
  <si>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</si>
  <si>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</si>
  <si>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</si>
  <si>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</si>
  <si>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</si>
  <si>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</si>
  <si>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</si>
  <si>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</si>
  <si>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</si>
  <si>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</si>
  <si>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</si>
  <si>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</si>
  <si>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</si>
  <si>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</si>
  <si>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</si>
  <si>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</si>
  <si>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</si>
  <si>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</si>
  <si>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</si>
  <si>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</si>
  <si>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</si>
  <si>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</si>
  <si>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</si>
  <si>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</si>
  <si>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</si>
  <si>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</si>
  <si>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</si>
  <si>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</si>
  <si>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</si>
  <si>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</si>
  <si>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</si>
  <si>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</si>
  <si>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</si>
  <si>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</si>
  <si>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</si>
  <si>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</si>
  <si>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</si>
  <si>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</si>
  <si>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</si>
  <si>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</si>
  <si>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</si>
  <si>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</si>
  <si>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</si>
  <si>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</si>
  <si>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</si>
  <si>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</si>
  <si>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</si>
  <si>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</si>
  <si>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</si>
  <si>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</si>
  <si>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</si>
  <si>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</si>
  <si>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</si>
  <si>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</si>
  <si>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</si>
  <si>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</si>
  <si>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</si>
  <si>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</si>
  <si>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</si>
  <si>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</si>
  <si>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</si>
  <si>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</si>
  <si>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</si>
  <si>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</si>
  <si>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</si>
  <si>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</si>
  <si>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</si>
  <si>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</si>
  <si>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</si>
  <si>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</si>
  <si>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</si>
  <si>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</si>
  <si>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</si>
  <si>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</si>
  <si>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</si>
  <si>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</si>
  <si>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</si>
  <si>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</si>
  <si>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</si>
  <si>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</si>
  <si>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</si>
  <si>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</si>
  <si>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</si>
  <si>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</si>
  <si>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</si>
  <si>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</si>
  <si>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</si>
  <si>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</si>
  <si>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</si>
  <si>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</si>
  <si>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</si>
  <si>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</si>
  <si>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</si>
  <si>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</si>
  <si>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</si>
  <si>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</si>
  <si>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</si>
  <si>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</si>
  <si>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</si>
  <si>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</si>
  <si>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</si>
  <si>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</si>
  <si>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</si>
  <si>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</si>
  <si>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</si>
  <si>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</si>
  <si>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</si>
  <si>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</si>
  <si>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</si>
  <si>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</si>
  <si>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</si>
  <si>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</si>
  <si>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</si>
  <si>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</si>
  <si>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</si>
  <si>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</si>
  <si>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</si>
  <si>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</si>
  <si>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</si>
  <si>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</si>
  <si>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</si>
  <si>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</si>
  <si>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</si>
  <si>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</si>
  <si>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</si>
  <si>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</si>
  <si>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</si>
  <si>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</si>
  <si>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</si>
  <si>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</si>
  <si>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</si>
  <si>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</si>
  <si>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</si>
  <si>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</si>
  <si>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</si>
  <si>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</si>
  <si>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</si>
  <si>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</si>
  <si>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</si>
  <si>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</si>
  <si>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</si>
  <si>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</si>
  <si>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</si>
  <si>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</si>
  <si>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</si>
  <si>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</si>
  <si>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</si>
  <si>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</si>
  <si>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</si>
  <si>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</si>
  <si>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</si>
  <si>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</si>
  <si>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</si>
  <si>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</si>
  <si>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</si>
  <si>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</si>
  <si>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</si>
  <si>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</si>
  <si>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</si>
  <si>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</si>
  <si>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</si>
  <si>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</si>
  <si>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</si>
  <si>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</si>
  <si>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</si>
  <si>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</si>
  <si>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</si>
  <si>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</si>
  <si>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</si>
  <si>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</si>
  <si>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</si>
  <si>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</si>
  <si>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</si>
  <si>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</si>
  <si>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</si>
  <si>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</si>
  <si>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</si>
  <si>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</si>
  <si>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</si>
  <si>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</si>
  <si>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</si>
  <si>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</si>
  <si>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</si>
  <si>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</si>
  <si>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</si>
  <si>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</si>
  <si>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</si>
  <si>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</si>
  <si>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</si>
  <si>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</si>
  <si>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</si>
  <si>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</si>
  <si>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</si>
  <si>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</si>
  <si>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</si>
  <si>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</si>
  <si>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</si>
  <si>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</si>
  <si>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</si>
  <si>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</si>
  <si>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</si>
  <si>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</si>
  <si>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</si>
  <si>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</si>
  <si>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</si>
  <si>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</si>
  <si>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</si>
  <si>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</si>
  <si>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</si>
  <si>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</si>
  <si>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</si>
  <si>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</si>
  <si>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</si>
  <si>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</si>
  <si>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</si>
  <si>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</si>
  <si>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</si>
  <si>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</si>
  <si>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</si>
  <si>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</si>
  <si>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</si>
  <si>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</si>
  <si>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</si>
  <si>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</si>
  <si>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</si>
  <si>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</si>
  <si>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</si>
  <si>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</si>
  <si>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</si>
  <si>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</si>
  <si>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</si>
  <si>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</si>
  <si>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</si>
  <si>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</si>
  <si>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</si>
  <si>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</si>
  <si>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</si>
  <si>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</si>
  <si>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</si>
  <si>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</si>
  <si>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</si>
  <si>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</si>
  <si>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</si>
  <si>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</si>
  <si>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</si>
  <si>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</si>
  <si>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</si>
  <si>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</si>
  <si>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</si>
  <si>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</si>
  <si>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</si>
  <si>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</si>
  <si>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</si>
  <si>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</si>
  <si>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</si>
  <si>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</si>
  <si>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</si>
  <si>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</si>
  <si>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</si>
  <si>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</si>
  <si>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</si>
  <si>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</si>
  <si>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</si>
  <si>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</si>
  <si>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</si>
  <si>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</si>
  <si>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</si>
  <si>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</si>
  <si>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</si>
  <si>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</si>
  <si>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</si>
  <si>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</si>
  <si>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</si>
  <si>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</si>
  <si>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</si>
  <si>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</si>
  <si>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</si>
  <si>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</si>
  <si>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</si>
  <si>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</si>
  <si>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</si>
  <si>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</si>
  <si>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</si>
  <si>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</si>
  <si>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</si>
  <si>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</si>
  <si>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</si>
  <si>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</si>
  <si>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</si>
  <si>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</si>
  <si>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</si>
  <si>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</si>
  <si>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</si>
  <si>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</si>
  <si>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</si>
  <si>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</si>
  <si>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</si>
  <si>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</si>
  <si>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</si>
  <si>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</si>
  <si>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</si>
  <si>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</si>
  <si>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</si>
  <si>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</si>
  <si>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</si>
  <si>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</si>
  <si>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</si>
  <si>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</si>
  <si>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</si>
  <si>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</si>
  <si>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</si>
  <si>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</si>
  <si>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</si>
  <si>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</si>
  <si>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</si>
  <si>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</si>
  <si>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</si>
  <si>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</si>
  <si>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</si>
  <si>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</si>
  <si>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</si>
  <si>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</si>
  <si>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</si>
  <si>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</si>
  <si>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</si>
  <si>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</si>
  <si>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</si>
  <si>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</si>
  <si>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</si>
  <si>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</si>
  <si>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</si>
  <si>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</si>
  <si>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</si>
  <si>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</si>
  <si>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</si>
  <si>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</si>
  <si>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</si>
  <si>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</si>
  <si>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</si>
  <si>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</si>
  <si>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</si>
  <si>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</si>
  <si>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</si>
  <si>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</si>
  <si>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</si>
  <si>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</si>
  <si>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</si>
  <si>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</si>
  <si>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</si>
  <si>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</si>
  <si>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</si>
  <si>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</si>
  <si>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</si>
  <si>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</si>
  <si>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</si>
  <si>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</si>
  <si>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</si>
  <si>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</si>
  <si>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</si>
  <si>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</si>
  <si>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</si>
  <si>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</si>
  <si>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</si>
  <si>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</si>
  <si>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</si>
  <si>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</si>
  <si>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</si>
  <si>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</si>
  <si>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</si>
  <si>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</si>
  <si>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</si>
  <si>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</si>
  <si>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</si>
  <si>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</si>
  <si>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</si>
  <si>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</si>
  <si>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</si>
  <si>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</si>
  <si>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</si>
  <si>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</si>
  <si>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</si>
  <si>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</si>
  <si>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</si>
  <si>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</si>
  <si>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</si>
  <si>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</si>
  <si>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</si>
  <si>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</si>
  <si>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</si>
  <si>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</si>
  <si>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</si>
  <si>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</si>
  <si>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</si>
  <si>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</si>
  <si>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</si>
  <si>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</si>
  <si>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</si>
  <si>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</si>
  <si>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</si>
  <si>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</si>
  <si>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</si>
  <si>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</si>
  <si>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</si>
  <si>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</si>
  <si>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</si>
  <si>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</si>
  <si>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</si>
  <si>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</si>
  <si>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</si>
  <si>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</si>
  <si>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</si>
  <si>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</si>
  <si>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</si>
  <si>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</si>
  <si>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</si>
  <si>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</si>
  <si>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</si>
  <si>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</si>
  <si>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</si>
  <si>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</si>
  <si>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</si>
  <si>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</si>
  <si>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</si>
  <si>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</si>
  <si>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</si>
  <si>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</si>
  <si>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</si>
  <si>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</si>
  <si>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</si>
  <si>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</si>
  <si>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</si>
  <si>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</si>
  <si>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</si>
  <si>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</si>
  <si>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</si>
  <si>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</si>
  <si>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</si>
  <si>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</si>
  <si>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</si>
  <si>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</si>
  <si>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</si>
  <si>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</si>
  <si>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</si>
  <si>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</si>
  <si>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</si>
  <si>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</si>
  <si>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</si>
  <si>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</si>
  <si>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</si>
  <si>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</si>
  <si>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</si>
  <si>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</si>
  <si>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</si>
  <si>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</si>
  <si>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</si>
  <si>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</si>
  <si>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</si>
  <si>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</si>
  <si>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</si>
  <si>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</si>
  <si>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</si>
  <si>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</si>
  <si>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</si>
  <si>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</si>
  <si>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</si>
  <si>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</si>
  <si>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</si>
  <si>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</si>
  <si>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</si>
  <si>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</si>
  <si>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</si>
  <si>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</si>
  <si>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</si>
  <si>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</si>
  <si>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</si>
  <si>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</si>
  <si>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</si>
  <si>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</si>
  <si>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</si>
  <si>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</si>
  <si>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</si>
  <si>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</si>
  <si>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</si>
  <si>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</si>
  <si>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</si>
  <si>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</si>
  <si>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</si>
  <si>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</si>
  <si>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</si>
  <si>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</si>
  <si>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</si>
  <si>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</si>
  <si>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</si>
  <si>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</si>
  <si>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</si>
  <si>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</si>
  <si>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</si>
  <si>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</si>
  <si>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</si>
  <si>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</si>
  <si>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</si>
  <si>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</si>
  <si>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</si>
  <si>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</si>
  <si>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</si>
  <si>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</si>
  <si>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</si>
  <si>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</si>
  <si>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</si>
  <si>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</si>
  <si>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</si>
  <si>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</si>
  <si>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</si>
  <si>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</si>
  <si>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</si>
  <si>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</si>
  <si>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</si>
  <si>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</si>
  <si>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</si>
  <si>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</si>
  <si>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</si>
  <si>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</si>
  <si>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</si>
  <si>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</si>
  <si>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</si>
  <si>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</si>
  <si>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</si>
  <si>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</si>
  <si>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</si>
  <si>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</si>
  <si>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</si>
  <si>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</si>
  <si>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</si>
  <si>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</si>
  <si>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</si>
  <si>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</si>
  <si>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</si>
  <si>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</si>
  <si>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</si>
  <si>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</si>
  <si>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</si>
  <si>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</si>
  <si>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</si>
  <si>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</si>
  <si>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</si>
  <si>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</si>
  <si>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</si>
  <si>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</si>
  <si>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</si>
  <si>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</si>
  <si>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</si>
  <si>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</si>
  <si>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</si>
  <si>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</si>
  <si>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</si>
  <si>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</si>
  <si>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</si>
  <si>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</si>
  <si>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</si>
  <si>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</si>
  <si>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</si>
  <si>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</si>
  <si>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</si>
  <si>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</si>
  <si>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</si>
  <si>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</si>
  <si>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</si>
  <si>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</si>
  <si>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</si>
  <si>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</si>
  <si>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</si>
  <si>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</si>
  <si>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</si>
  <si>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</si>
  <si>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</si>
  <si>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</si>
  <si>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</si>
  <si>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</si>
  <si>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</si>
  <si>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</si>
  <si>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</si>
  <si>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</si>
  <si>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</si>
  <si>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</si>
  <si>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</si>
  <si>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</si>
  <si>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</si>
  <si>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</si>
  <si>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</si>
  <si>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</si>
  <si>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</si>
  <si>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</si>
  <si>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</si>
  <si>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</si>
  <si>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</si>
  <si>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</si>
  <si>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</si>
  <si>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</si>
  <si>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</si>
  <si>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</si>
  <si>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</si>
  <si>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</si>
  <si>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</si>
  <si>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</si>
  <si>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</si>
  <si>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</si>
  <si>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</si>
  <si>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</si>
  <si>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</si>
  <si>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</si>
  <si>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</si>
  <si>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</si>
  <si>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</si>
  <si>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</si>
  <si>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</si>
  <si>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</si>
  <si>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</si>
  <si>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</si>
  <si>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</si>
  <si>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</si>
  <si>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</si>
  <si>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</si>
  <si>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</si>
  <si>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</si>
  <si>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</si>
  <si>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</si>
  <si>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</si>
  <si>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</si>
  <si>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</si>
  <si>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</si>
  <si>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</si>
  <si>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</si>
  <si>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</si>
  <si>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</si>
  <si>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</si>
  <si>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</si>
  <si>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</si>
  <si>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</si>
  <si>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</si>
  <si>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</si>
  <si>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</si>
  <si>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</si>
  <si>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</si>
  <si>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</si>
  <si>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</si>
  <si>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</si>
  <si>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</si>
  <si>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</si>
  <si>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</si>
  <si>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</si>
  <si>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</si>
  <si>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</si>
  <si>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</si>
  <si>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</si>
  <si>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</si>
  <si>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</si>
  <si>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</si>
  <si>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</si>
  <si>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</si>
  <si>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</si>
  <si>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</si>
  <si>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</si>
  <si>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</si>
  <si>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</si>
  <si>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</si>
  <si>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</si>
  <si>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</si>
  <si>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</si>
  <si>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</si>
  <si>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</si>
  <si>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</si>
  <si>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</si>
  <si>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</si>
  <si>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</si>
  <si>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</si>
  <si>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</si>
  <si>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</si>
  <si>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</si>
  <si>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</si>
  <si>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</si>
  <si>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</si>
  <si>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</si>
  <si>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</si>
  <si>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</si>
  <si>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</si>
  <si>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</si>
  <si>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</si>
  <si>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</si>
  <si>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</si>
  <si>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</si>
  <si>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</si>
  <si>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</si>
  <si>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</si>
  <si>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</si>
  <si>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</si>
  <si>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</si>
  <si>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</si>
  <si>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</si>
  <si>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</si>
  <si>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</si>
  <si>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</si>
  <si>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</si>
  <si>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</si>
  <si>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</si>
  <si>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</si>
  <si>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</si>
  <si>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</si>
  <si>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</si>
  <si>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</si>
  <si>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</si>
  <si>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</si>
  <si>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</si>
  <si>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</si>
  <si>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</si>
  <si>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</si>
  <si>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</si>
  <si>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</si>
  <si>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</si>
  <si>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</si>
  <si>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</si>
  <si>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</si>
  <si>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</si>
  <si>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</si>
  <si>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</si>
  <si>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</si>
  <si>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</si>
  <si>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</si>
  <si>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</si>
  <si>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</si>
  <si>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</si>
  <si>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</si>
  <si>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</si>
  <si>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</si>
  <si>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</si>
  <si>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</si>
  <si>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</si>
  <si>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</si>
  <si>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</si>
  <si>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</si>
  <si>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</si>
  <si>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</si>
  <si>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</si>
  <si>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</si>
  <si>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</si>
  <si>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</si>
  <si>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</si>
  <si>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</si>
  <si>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</si>
  <si>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</si>
  <si>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</si>
  <si>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</si>
  <si>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</si>
  <si>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</si>
  <si>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</si>
  <si>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</si>
  <si>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</si>
  <si>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</si>
  <si>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</si>
  <si>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</si>
  <si>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</si>
  <si>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</si>
  <si>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</si>
  <si>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</si>
  <si>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</si>
  <si>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</si>
  <si>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</si>
  <si>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</si>
  <si>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</si>
  <si>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</si>
  <si>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</si>
  <si>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</si>
  <si>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</si>
  <si>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</si>
  <si>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</si>
  <si>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</si>
  <si>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</si>
  <si>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</si>
  <si>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</si>
  <si>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</si>
  <si>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</si>
  <si>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</si>
  <si>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</si>
  <si>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</si>
  <si>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</si>
  <si>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</si>
  <si>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</si>
  <si>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</si>
  <si>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</si>
  <si>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</si>
  <si>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</si>
  <si>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</si>
  <si>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</si>
  <si>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</si>
  <si>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</si>
  <si>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</si>
  <si>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</si>
  <si>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</si>
  <si>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</si>
  <si>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</si>
  <si>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</si>
  <si>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</si>
  <si>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</si>
  <si>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</si>
  <si>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</si>
  <si>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</si>
  <si>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</si>
  <si>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</si>
  <si>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</si>
  <si>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</si>
  <si>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</si>
  <si>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</si>
  <si>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</si>
  <si>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</si>
  <si>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</si>
  <si>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</si>
  <si>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</si>
  <si>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</si>
  <si>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</si>
  <si>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</si>
  <si>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</si>
  <si>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</si>
  <si>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</si>
  <si>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</si>
  <si>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</si>
  <si>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</si>
  <si>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</si>
  <si>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</si>
  <si>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</si>
  <si>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</si>
  <si>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</si>
  <si>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</si>
  <si>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</si>
  <si>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</si>
  <si>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</si>
  <si>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</si>
  <si>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</si>
  <si>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</si>
  <si>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</si>
  <si>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</si>
  <si>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</si>
  <si>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</si>
  <si>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</si>
  <si>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</si>
  <si>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</si>
  <si>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</si>
  <si>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</si>
  <si>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</si>
  <si>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</si>
  <si>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</si>
  <si>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</si>
  <si>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</si>
  <si>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</si>
  <si>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</si>
  <si>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</si>
  <si>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</si>
  <si>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</si>
  <si>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</si>
  <si>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</si>
  <si>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</si>
  <si>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</si>
  <si>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</si>
  <si>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</si>
  <si>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</si>
  <si>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</si>
  <si>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</si>
  <si>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</si>
  <si>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</si>
  <si>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</si>
  <si>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</si>
  <si>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</si>
  <si>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</si>
  <si>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</si>
  <si>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</si>
  <si>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</si>
  <si>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</si>
  <si>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</si>
  <si>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</si>
  <si>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</si>
  <si>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</si>
  <si>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</si>
  <si>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</si>
  <si>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</si>
  <si>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</si>
  <si>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</si>
  <si>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</si>
  <si>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</si>
  <si>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</si>
  <si>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</si>
  <si>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</si>
  <si>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</si>
  <si>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</si>
  <si>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</si>
  <si>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</si>
  <si>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</si>
  <si>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</si>
  <si>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</si>
  <si>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</si>
  <si>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</si>
  <si>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</si>
  <si>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</si>
  <si>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</si>
  <si>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</si>
  <si>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</si>
  <si>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</si>
  <si>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</si>
  <si>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</si>
  <si>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</si>
  <si>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</si>
  <si>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</si>
  <si>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</si>
  <si>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</si>
  <si>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</si>
  <si>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</si>
  <si>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</si>
  <si>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</si>
  <si>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</si>
  <si>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</si>
  <si>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</si>
  <si>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</si>
  <si>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</si>
  <si>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</si>
  <si>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</si>
  <si>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</si>
  <si>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</si>
  <si>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</si>
  <si>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</si>
  <si>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</si>
  <si>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</si>
  <si>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</si>
  <si>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</si>
  <si>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</si>
  <si>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</si>
  <si>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</si>
  <si>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</si>
  <si>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</si>
  <si>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</si>
  <si>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</si>
  <si>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</si>
  <si>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</si>
  <si>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</si>
  <si>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</si>
  <si>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</si>
  <si>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</si>
  <si>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</si>
  <si>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</si>
  <si>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</si>
  <si>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</si>
  <si>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</si>
  <si>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</si>
  <si>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</si>
  <si>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</si>
  <si>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</si>
  <si>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</si>
  <si>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</si>
  <si>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</si>
  <si>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</si>
  <si>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</si>
  <si>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</si>
  <si>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</si>
  <si>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</si>
  <si>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</si>
  <si>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</si>
  <si>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</si>
  <si>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</si>
  <si>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</si>
  <si>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</si>
  <si>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</si>
  <si>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</si>
  <si>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</si>
  <si>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</si>
  <si>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</si>
  <si>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</si>
  <si>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</si>
  <si>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</si>
  <si>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</si>
  <si>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</si>
  <si>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</si>
  <si>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</si>
  <si>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</si>
  <si>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</si>
  <si>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</si>
  <si>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</si>
  <si>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</si>
  <si>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</si>
  <si>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</si>
  <si>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</si>
  <si>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</si>
  <si>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</si>
  <si>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</si>
  <si>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</si>
  <si>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</si>
  <si>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</si>
  <si>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</si>
  <si>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</si>
  <si>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</si>
  <si>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</si>
  <si>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</si>
  <si>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</si>
  <si>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</si>
  <si>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</si>
  <si>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</si>
  <si>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</si>
  <si>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</si>
  <si>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</si>
  <si>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</si>
  <si>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</si>
  <si>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</si>
  <si>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</si>
  <si>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</si>
  <si>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</si>
  <si>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</si>
  <si>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</si>
  <si>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</si>
  <si>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</si>
  <si>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</si>
  <si>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</si>
  <si>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</si>
  <si>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</si>
  <si>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</si>
  <si>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</si>
  <si>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</si>
  <si>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</si>
  <si>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</si>
  <si>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</si>
  <si>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</si>
  <si>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</si>
  <si>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</si>
  <si>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</si>
  <si>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</si>
  <si>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</si>
  <si>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</si>
  <si>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</si>
  <si>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</si>
  <si>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</si>
  <si>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</si>
  <si>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</si>
  <si>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</si>
  <si>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</si>
  <si>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</si>
  <si>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</si>
  <si>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</si>
  <si>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</si>
  <si>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</si>
  <si>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</si>
  <si>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</si>
  <si>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</si>
  <si>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</si>
  <si>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</si>
  <si>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</si>
  <si>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</si>
  <si>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</si>
  <si>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</si>
  <si>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</si>
  <si>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</si>
  <si>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</si>
  <si>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</si>
  <si>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</si>
  <si>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</si>
  <si>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</si>
  <si>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</si>
  <si>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</si>
  <si>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</si>
  <si>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</si>
  <si>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</si>
  <si>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</si>
  <si>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</si>
  <si>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</si>
  <si>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</si>
  <si>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</si>
  <si>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</si>
  <si>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</si>
  <si>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</si>
  <si>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</si>
  <si>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</si>
  <si>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</si>
  <si>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</si>
  <si>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</si>
  <si>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</si>
  <si>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</si>
  <si>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</si>
  <si>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</si>
  <si>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</si>
  <si>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</si>
  <si>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</si>
  <si>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</si>
  <si>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</si>
  <si>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</si>
  <si>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</si>
  <si>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</si>
  <si>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</si>
  <si>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</si>
  <si>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</si>
  <si>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</si>
  <si>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</si>
  <si>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</si>
  <si>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</si>
  <si>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</si>
  <si>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</si>
  <si>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</si>
  <si>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</si>
  <si>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</si>
  <si>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</si>
  <si>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</si>
  <si>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</si>
  <si>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</si>
  <si>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</si>
  <si>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</si>
  <si>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</si>
  <si>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</si>
  <si>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</si>
  <si>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</si>
  <si>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</si>
  <si>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</si>
  <si>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</si>
  <si>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</si>
  <si>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</si>
  <si>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</si>
  <si>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</si>
  <si>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</si>
  <si>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</si>
  <si>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</si>
  <si>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</si>
  <si>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</si>
  <si>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</si>
  <si>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</si>
  <si>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</si>
  <si>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</si>
  <si>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</si>
  <si>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</si>
  <si>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</si>
  <si>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</si>
  <si>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</si>
  <si>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</si>
  <si>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</si>
  <si>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</si>
  <si>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</si>
  <si>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</si>
  <si>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</si>
  <si>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</si>
  <si>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</si>
  <si>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</si>
  <si>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</si>
  <si>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</si>
  <si>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</si>
  <si>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</si>
  <si>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</si>
  <si>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</si>
  <si>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</si>
  <si>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</si>
  <si>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</si>
  <si>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</si>
  <si>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</si>
  <si>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</si>
  <si>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</si>
  <si>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</si>
  <si>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</si>
  <si>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</si>
  <si>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</si>
  <si>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</si>
  <si>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</si>
  <si>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</si>
  <si>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</si>
  <si>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</si>
  <si>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</si>
  <si>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</si>
  <si>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</si>
  <si>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</si>
  <si>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</si>
  <si>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</si>
  <si>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</si>
  <si>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</si>
  <si>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</si>
  <si>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</si>
  <si>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</si>
  <si>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</si>
  <si>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</si>
  <si>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</si>
  <si>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</si>
  <si>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</si>
  <si>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</si>
  <si>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</si>
  <si>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</si>
  <si>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</si>
  <si>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</si>
  <si>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</si>
  <si>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</si>
  <si>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</si>
  <si>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</si>
  <si>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</si>
  <si>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</si>
  <si>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</si>
  <si>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</si>
  <si>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</si>
  <si>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</si>
  <si>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</si>
  <si>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</si>
  <si>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</si>
  <si>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</si>
  <si>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</si>
  <si>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</si>
  <si>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</si>
  <si>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</si>
  <si>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</si>
  <si>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</si>
  <si>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</si>
  <si>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</si>
  <si>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</si>
  <si>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</si>
  <si>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</si>
  <si>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</si>
  <si>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</si>
  <si>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</si>
  <si>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</si>
  <si>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</si>
  <si>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</si>
  <si>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</si>
  <si>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</si>
  <si>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</si>
  <si>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</si>
  <si>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</si>
  <si>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</si>
  <si>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</si>
  <si>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</si>
  <si>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</si>
  <si>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</si>
  <si>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</si>
  <si>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</si>
  <si>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</si>
  <si>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</si>
  <si>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</si>
  <si>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</si>
  <si>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</si>
  <si>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</si>
  <si>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</si>
  <si>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</si>
  <si>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</si>
  <si>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</si>
  <si>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</si>
  <si>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</si>
  <si>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</si>
  <si>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</si>
  <si>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</si>
  <si>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</si>
  <si>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</si>
  <si>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</si>
  <si>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</si>
  <si>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</si>
  <si>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</si>
  <si>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</si>
  <si>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</si>
  <si>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</si>
  <si>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</si>
  <si>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</si>
  <si>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</si>
  <si>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</si>
  <si>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</si>
  <si>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</si>
  <si>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</si>
  <si>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</si>
  <si>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</si>
  <si>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</si>
  <si>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</si>
  <si>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</si>
  <si>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</si>
  <si>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</si>
  <si>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</si>
  <si>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</si>
  <si>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</si>
  <si>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</si>
  <si>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</si>
  <si>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</si>
  <si>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</si>
  <si>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</si>
  <si>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</si>
  <si>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</si>
  <si>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</si>
  <si>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</si>
  <si>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</si>
  <si>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</si>
  <si>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</si>
  <si>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</si>
  <si>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</si>
  <si>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</si>
  <si>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</si>
  <si>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</si>
  <si>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</si>
  <si>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</si>
  <si>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</si>
  <si>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</si>
  <si>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</si>
  <si>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</si>
  <si>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</si>
  <si>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</si>
  <si>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</si>
  <si>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</si>
  <si>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</si>
  <si>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</si>
  <si>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</si>
  <si>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</si>
  <si>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</si>
  <si>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</si>
  <si>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</si>
  <si>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</si>
  <si>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</si>
  <si>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</si>
  <si>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</si>
  <si>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</si>
  <si>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</si>
  <si>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</si>
  <si>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</si>
  <si>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</si>
  <si>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</si>
  <si>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</si>
  <si>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</si>
  <si>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</si>
  <si>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</si>
  <si>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</si>
  <si>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</si>
  <si>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</si>
  <si>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</si>
  <si>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</si>
  <si>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</si>
  <si>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</si>
  <si>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</si>
  <si>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</si>
  <si>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</si>
  <si>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</si>
  <si>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</si>
  <si>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</si>
  <si>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</si>
  <si>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</si>
  <si>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</si>
  <si>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</si>
  <si>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</si>
  <si>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</si>
  <si>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</si>
  <si>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</si>
  <si>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</si>
  <si>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</si>
  <si>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</si>
  <si>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</si>
  <si>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</si>
  <si>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</si>
  <si>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</si>
  <si>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</si>
  <si>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</si>
  <si>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</si>
  <si>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</si>
  <si>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</si>
  <si>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</si>
  <si>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</si>
  <si>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</si>
  <si>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</si>
  <si>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</si>
  <si>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</si>
  <si>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</si>
  <si>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</si>
  <si>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</si>
  <si>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</si>
  <si>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</si>
  <si>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</si>
  <si>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</si>
  <si>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</si>
  <si>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</si>
  <si>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</si>
  <si>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</si>
  <si>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</si>
  <si>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</si>
  <si>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</si>
  <si>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</si>
  <si>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</si>
  <si>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</si>
  <si>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</si>
  <si>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</si>
  <si>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</si>
  <si>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</si>
  <si>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</si>
  <si>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</si>
  <si>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</si>
  <si>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</si>
  <si>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</si>
  <si>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</si>
  <si>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</si>
  <si>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</si>
  <si>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</si>
  <si>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</si>
  <si>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</si>
  <si>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</si>
  <si>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</si>
  <si>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</si>
  <si>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</si>
  <si>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</si>
  <si>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</si>
  <si>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</si>
  <si>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</si>
  <si>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</si>
  <si>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</si>
  <si>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</si>
  <si>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</si>
  <si>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</si>
  <si>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</si>
  <si>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</si>
  <si>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</si>
  <si>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</si>
  <si>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</si>
  <si>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</si>
  <si>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</si>
  <si>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</si>
  <si>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</si>
  <si>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</si>
  <si>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</si>
  <si>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</si>
  <si>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</si>
  <si>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</si>
  <si>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</si>
  <si>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</si>
  <si>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</si>
  <si>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</si>
  <si>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</si>
  <si>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</si>
  <si>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</si>
  <si>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</si>
  <si>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</si>
  <si>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</si>
  <si>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</si>
  <si>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</si>
  <si>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</si>
  <si>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</si>
  <si>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</si>
  <si>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</si>
  <si>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</si>
  <si>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</si>
  <si>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</si>
  <si>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</si>
  <si>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</si>
  <si>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</si>
  <si>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</si>
  <si>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</si>
  <si>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</si>
  <si>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</si>
  <si>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</si>
  <si>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</si>
  <si>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</si>
  <si>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</si>
  <si>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</si>
  <si>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</si>
  <si>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</si>
  <si>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</si>
  <si>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</si>
  <si>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</si>
  <si>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</si>
  <si>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</si>
  <si>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</si>
  <si>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</si>
  <si>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</si>
  <si>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</si>
  <si>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</si>
  <si>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</si>
  <si>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</si>
  <si>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</si>
  <si>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</si>
  <si>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</si>
  <si>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</si>
  <si>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</si>
  <si>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</si>
  <si>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</si>
  <si>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</si>
  <si>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</si>
  <si>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</si>
  <si>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</si>
  <si>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</si>
  <si>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</si>
  <si>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</si>
  <si>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</si>
  <si>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</si>
  <si>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</si>
  <si>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</si>
  <si>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</si>
  <si>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</si>
  <si>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</si>
  <si>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</si>
  <si>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</si>
  <si>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</si>
  <si>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</si>
  <si>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</si>
  <si>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</si>
  <si>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</si>
  <si>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</si>
  <si>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</si>
  <si>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</si>
  <si>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</si>
  <si>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</si>
  <si>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</si>
  <si>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</si>
  <si>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</si>
  <si>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</si>
  <si>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</si>
  <si>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</si>
  <si>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</si>
  <si>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</si>
  <si>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</si>
  <si>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</si>
  <si>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</si>
  <si>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</si>
  <si>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</si>
  <si>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</si>
  <si>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</si>
  <si>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</si>
  <si>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</si>
  <si>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</si>
  <si>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</si>
  <si>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</si>
  <si>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</si>
  <si>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</si>
  <si>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</si>
  <si>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</si>
  <si>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</si>
  <si>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</si>
  <si>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</si>
  <si>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</si>
  <si>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</si>
  <si>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</si>
  <si>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</si>
  <si>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</si>
  <si>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</si>
  <si>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</si>
  <si>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</si>
  <si>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</si>
  <si>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</si>
  <si>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</si>
  <si>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</si>
  <si>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</si>
  <si>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</si>
  <si>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</si>
  <si>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</si>
  <si>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</si>
  <si>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</si>
  <si>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</si>
  <si>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</si>
  <si>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</si>
  <si>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</si>
  <si>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</si>
  <si>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</si>
  <si>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</si>
  <si>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</si>
  <si>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</si>
  <si>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</si>
  <si>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</si>
  <si>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</si>
  <si>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</si>
  <si>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</si>
  <si>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</si>
  <si>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</si>
  <si>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</si>
  <si>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</si>
  <si>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</si>
  <si>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</si>
  <si>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</si>
  <si>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</si>
  <si>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</si>
  <si>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</si>
  <si>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</si>
  <si>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</si>
  <si>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</si>
  <si>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</si>
  <si>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</si>
  <si>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</si>
  <si>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</si>
  <si>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</si>
  <si>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</si>
  <si>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</si>
  <si>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</si>
  <si>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</si>
  <si>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</si>
  <si>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</si>
  <si>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</si>
  <si>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</si>
  <si>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</si>
  <si>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</si>
  <si>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</si>
  <si>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</si>
  <si>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</si>
  <si>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</si>
  <si>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</si>
  <si>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</si>
  <si>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</si>
  <si>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</si>
  <si>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</si>
  <si>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</si>
  <si>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</si>
  <si>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</si>
  <si>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</si>
  <si>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</si>
  <si>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</si>
  <si>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</si>
  <si>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</si>
  <si>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</si>
  <si>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</si>
  <si>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</si>
  <si>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</si>
  <si>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</si>
  <si>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</si>
  <si>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</si>
  <si>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</si>
  <si>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</si>
  <si>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</si>
  <si>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</si>
  <si>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</si>
  <si>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</si>
  <si>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</si>
  <si>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</si>
  <si>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</si>
  <si>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</si>
  <si>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</si>
  <si>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</si>
  <si>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</si>
  <si>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</si>
  <si>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</si>
  <si>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</si>
  <si>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</si>
  <si>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</si>
  <si>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</si>
  <si>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</si>
  <si>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</si>
  <si>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</si>
  <si>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</si>
  <si>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</si>
  <si>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</si>
  <si>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</si>
  <si>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</si>
  <si>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</si>
  <si>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</si>
  <si>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</si>
  <si>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</si>
  <si>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</si>
  <si>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</si>
  <si>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</si>
  <si>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</si>
  <si>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</si>
  <si>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</si>
  <si>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</si>
  <si>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</si>
  <si>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</si>
  <si>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</si>
  <si>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</si>
  <si>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</si>
  <si>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</si>
  <si>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</si>
  <si>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</si>
  <si>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</si>
  <si>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</si>
  <si>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</si>
  <si>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</si>
  <si>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</si>
  <si>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</si>
  <si>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</si>
  <si>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</si>
  <si>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</si>
  <si>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</si>
  <si>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</si>
  <si>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</si>
  <si>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</si>
  <si>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</si>
  <si>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</si>
  <si>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</si>
  <si>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</si>
  <si>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</si>
  <si>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</si>
  <si>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</si>
  <si>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</si>
  <si>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</si>
  <si>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</si>
  <si>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</si>
  <si>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</si>
  <si>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</si>
  <si>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</si>
  <si>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</si>
  <si>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</si>
  <si>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</si>
  <si>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</si>
  <si>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</si>
  <si>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</si>
  <si>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</si>
  <si>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</si>
  <si>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</si>
  <si>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</si>
  <si>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</si>
  <si>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</si>
  <si>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</si>
  <si>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</si>
  <si>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</si>
  <si>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</si>
  <si>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</si>
  <si>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</si>
  <si>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</si>
  <si>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</si>
  <si>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</si>
  <si>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</si>
  <si>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</si>
  <si>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</si>
  <si>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</si>
  <si>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</si>
  <si>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</si>
  <si>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</si>
  <si>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</si>
  <si>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</si>
  <si>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</si>
  <si>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</si>
  <si>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</si>
  <si>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</si>
  <si>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</si>
  <si>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</si>
  <si>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</si>
  <si>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</si>
  <si>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</si>
  <si>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</si>
  <si>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</si>
  <si>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</si>
  <si>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</si>
  <si>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</si>
  <si>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</si>
  <si>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</si>
  <si>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</si>
  <si>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</si>
  <si>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</si>
  <si>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</si>
  <si>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</si>
  <si>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</si>
  <si>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</si>
  <si>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</si>
  <si>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</si>
  <si>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</si>
  <si>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</si>
  <si>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</si>
  <si>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</si>
  <si>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</si>
  <si>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</si>
  <si>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</si>
  <si>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</si>
  <si>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</si>
  <si>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</si>
  <si>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</si>
  <si>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</si>
  <si>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</si>
  <si>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</si>
  <si>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</si>
  <si>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</si>
  <si>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</si>
  <si>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</si>
  <si>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</si>
  <si>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</si>
  <si>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</si>
  <si>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</si>
  <si>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</si>
  <si>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</si>
  <si>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</si>
  <si>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</si>
  <si>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</si>
  <si>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</si>
  <si>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</si>
  <si>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</si>
  <si>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</si>
  <si>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</si>
  <si>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</si>
  <si>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</si>
  <si>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</si>
  <si>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</si>
  <si>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</si>
  <si>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</si>
  <si>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</si>
  <si>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</si>
  <si>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</si>
  <si>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</si>
  <si>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</si>
  <si>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</si>
  <si>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</si>
  <si>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</si>
  <si>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</si>
  <si>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</si>
  <si>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</si>
  <si>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</si>
  <si>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</si>
  <si>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</si>
  <si>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</si>
  <si>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</si>
  <si>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</si>
  <si>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</si>
  <si>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</si>
  <si>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</si>
  <si>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</si>
  <si>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</si>
  <si>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</si>
  <si>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</si>
  <si>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</si>
  <si>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</si>
  <si>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</si>
  <si>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</si>
  <si>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</si>
  <si>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</si>
  <si>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</si>
  <si>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</si>
  <si>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</si>
  <si>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</si>
  <si>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</si>
  <si>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</si>
  <si>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</si>
  <si>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</si>
  <si>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</si>
  <si>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</si>
  <si>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</si>
  <si>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</si>
  <si>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</si>
  <si>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</si>
  <si>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</si>
  <si>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</si>
  <si>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</si>
  <si>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</si>
  <si>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</si>
  <si>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</si>
  <si>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</si>
  <si>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</si>
  <si>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</si>
  <si>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</si>
  <si>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</si>
  <si>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</si>
  <si>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</si>
  <si>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</si>
  <si>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</si>
  <si>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</si>
  <si>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</si>
  <si>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</si>
  <si>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</si>
  <si>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</si>
  <si>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</si>
  <si>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</si>
  <si>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</si>
  <si>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</si>
  <si>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</si>
  <si>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</si>
  <si>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</si>
  <si>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</si>
  <si>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</si>
  <si>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</si>
  <si>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</si>
  <si>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</si>
  <si>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</si>
  <si>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</si>
  <si>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</si>
  <si>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</si>
  <si>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</si>
  <si>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</si>
  <si>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</si>
  <si>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</si>
  <si>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</si>
  <si>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</si>
  <si>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</si>
  <si>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</si>
  <si>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</si>
  <si>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</si>
  <si>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</si>
  <si>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</si>
  <si>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</si>
  <si>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</si>
  <si>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</si>
  <si>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</si>
  <si>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</si>
  <si>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</si>
  <si>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</si>
  <si>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</si>
  <si>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</si>
  <si>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</si>
  <si>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</si>
  <si>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</si>
  <si>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</si>
  <si>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</si>
  <si>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</si>
  <si>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</si>
  <si>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</si>
  <si>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</si>
  <si>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</si>
  <si>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</si>
  <si>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</si>
  <si>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</si>
  <si>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</si>
  <si>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</si>
  <si>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</si>
  <si>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</si>
  <si>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</si>
  <si>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</si>
  <si>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</si>
  <si>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</si>
  <si>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</si>
  <si>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</si>
  <si>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</si>
  <si>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</si>
  <si>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</si>
  <si>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</si>
  <si>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</si>
  <si>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</si>
  <si>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</si>
  <si>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</si>
  <si>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</si>
  <si>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</si>
  <si>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</si>
  <si>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</si>
  <si>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</si>
  <si>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</si>
  <si>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</si>
  <si>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</si>
  <si>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</si>
  <si>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</si>
  <si>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</si>
  <si>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</si>
  <si>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</si>
  <si>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</si>
  <si>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</si>
  <si>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</si>
  <si>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</si>
  <si>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</si>
  <si>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</si>
  <si>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</si>
  <si>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</si>
  <si>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</si>
  <si>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</si>
  <si>
    <t>Sara Cristina Lins Ramos</t>
  </si>
  <si>
    <t>Carina de Souza Mariuba Herthel</t>
  </si>
  <si>
    <t>Elvis Aaron Teixeira dos Santos Lima</t>
  </si>
  <si>
    <t>Tarsila Firmino Ely; Sara Cristina Lins Ramos; Carina de Souza Mariuba Herthel; Elvis Aaron Teixeira dos Santos Lima</t>
  </si>
  <si>
    <t>2026-025</t>
  </si>
  <si>
    <t>2026-056</t>
  </si>
  <si>
    <t>18 e 19/11/2026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</si>
</sst>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9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169" fontId="54" fillId="4" borderId="2" xfId="0" applyNumberFormat="1" applyFont="1" applyFill="1" applyBorder="1" applyAlignment="1">
      <alignment horizontal="center"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49" fontId="41" fillId="4" borderId="1" xfId="0" applyNumberFormat="1" applyFont="1" applyFill="1" applyBorder="1" applyAlignment="1">
      <alignment vertical="center"/>
    </xf>
    <xf numFmtId="0" fontId="55" fillId="4" borderId="2" xfId="0" applyFont="1" applyFill="1" applyBorder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>
    <filterColumn colId="7">
      <filters>
        <dateGroupItem year="2026" month="8" dateTimeGrouping="month"/>
      </filters>
    </filterColumn>
  </autoFilter>
  <sortState xmlns:xlrd2="http://schemas.microsoft.com/office/spreadsheetml/2017/richdata2" ref="B669:T693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6" totalsRowShown="0">
  <autoFilter ref="A3:D96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zoomScaleNormal="100" workbookViewId="0">
      <pane ySplit="1" topLeftCell="A700" activePane="bottomLeft" state="frozen"/>
      <selection pane="bottomLeft" activeCell="E724" sqref="E724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hidden="1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 t="shared" ref="R2:R65" si="0">SUM(O2:Q2)</f>
        <v>20</v>
      </c>
      <c r="S2" s="21">
        <v>20</v>
      </c>
      <c r="T2" s="19"/>
    </row>
    <row r="3" spans="1:20" ht="22.5" hidden="1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 t="shared" si="0"/>
        <v>16</v>
      </c>
      <c r="S3" s="23">
        <v>16</v>
      </c>
      <c r="T3" s="20"/>
    </row>
    <row r="4" spans="1:20" ht="22.5" hidden="1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 t="shared" si="0"/>
        <v>24</v>
      </c>
      <c r="S4" s="21">
        <v>24</v>
      </c>
      <c r="T4" s="19"/>
    </row>
    <row r="5" spans="1:20" ht="22.5" hidden="1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 t="shared" si="0"/>
        <v>16</v>
      </c>
      <c r="S5" s="23">
        <v>16</v>
      </c>
      <c r="T5" s="20"/>
    </row>
    <row r="6" spans="1:20" ht="22.5" hidden="1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 t="shared" si="0"/>
        <v>40</v>
      </c>
      <c r="S6" s="21">
        <v>40</v>
      </c>
      <c r="T6" s="19"/>
    </row>
    <row r="7" spans="1:20" ht="22.5" hidden="1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 t="shared" si="0"/>
        <v>30</v>
      </c>
      <c r="S7" s="23">
        <v>30</v>
      </c>
      <c r="T7" s="20"/>
    </row>
    <row r="8" spans="1:20" ht="22.5" hidden="1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 t="shared" si="0"/>
        <v>24</v>
      </c>
      <c r="S8" s="21">
        <v>24</v>
      </c>
      <c r="T8" s="19"/>
    </row>
    <row r="9" spans="1:20" ht="22.5" hidden="1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 t="shared" si="0"/>
        <v>37</v>
      </c>
      <c r="S9" s="23">
        <v>8</v>
      </c>
      <c r="T9" s="20"/>
    </row>
    <row r="10" spans="1:20" ht="22.5" hidden="1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 t="shared" si="0"/>
        <v>58</v>
      </c>
      <c r="S10" s="21">
        <v>20</v>
      </c>
      <c r="T10" s="19"/>
    </row>
    <row r="11" spans="1:20" ht="22.5" hidden="1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 t="shared" si="0"/>
        <v>25</v>
      </c>
      <c r="S11" s="23">
        <v>20</v>
      </c>
      <c r="T11" s="20" t="s">
        <v>48</v>
      </c>
    </row>
    <row r="12" spans="1:20" ht="22.5" hidden="1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 t="shared" si="0"/>
        <v>85</v>
      </c>
      <c r="S12" s="21">
        <v>20</v>
      </c>
      <c r="T12" s="19" t="s">
        <v>53</v>
      </c>
    </row>
    <row r="13" spans="1:20" ht="22.5" hidden="1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 t="shared" si="0"/>
        <v>19</v>
      </c>
      <c r="S13" s="23">
        <v>40</v>
      </c>
      <c r="T13" s="20" t="s">
        <v>57</v>
      </c>
    </row>
    <row r="14" spans="1:20" ht="22.5" hidden="1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 t="shared" si="0"/>
        <v>89</v>
      </c>
      <c r="S14" s="21">
        <v>20</v>
      </c>
      <c r="T14" s="19" t="s">
        <v>61</v>
      </c>
    </row>
    <row r="15" spans="1:20" ht="22.5" hidden="1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 t="shared" si="0"/>
        <v>37</v>
      </c>
      <c r="S15" s="23">
        <v>30</v>
      </c>
      <c r="T15" s="20" t="s">
        <v>61</v>
      </c>
    </row>
    <row r="16" spans="1:20" ht="22.5" hidden="1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 t="shared" si="0"/>
        <v>0</v>
      </c>
      <c r="S16" s="21">
        <v>5</v>
      </c>
      <c r="T16" s="19"/>
    </row>
    <row r="17" spans="1:20" ht="22.5" hidden="1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 t="shared" si="0"/>
        <v>30</v>
      </c>
      <c r="S17" s="23">
        <v>16</v>
      </c>
      <c r="T17" s="20" t="s">
        <v>72</v>
      </c>
    </row>
    <row r="18" spans="1:20" ht="22.5" hidden="1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 t="shared" si="0"/>
        <v>30</v>
      </c>
      <c r="S18" s="21">
        <v>20</v>
      </c>
      <c r="T18" s="19" t="s">
        <v>76</v>
      </c>
    </row>
    <row r="19" spans="1:20" ht="22.5" hidden="1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 t="shared" si="0"/>
        <v>15</v>
      </c>
      <c r="S19" s="23">
        <v>8</v>
      </c>
      <c r="T19" s="20" t="s">
        <v>80</v>
      </c>
    </row>
    <row r="20" spans="1:20" ht="22.5" hidden="1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 t="shared" si="0"/>
        <v>14</v>
      </c>
      <c r="S20" s="21">
        <v>24</v>
      </c>
      <c r="T20" s="19" t="s">
        <v>84</v>
      </c>
    </row>
    <row r="21" spans="1:20" ht="22.5" hidden="1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 t="shared" si="0"/>
        <v>14</v>
      </c>
      <c r="S21" s="23">
        <v>20</v>
      </c>
      <c r="T21" s="20" t="s">
        <v>88</v>
      </c>
    </row>
    <row r="22" spans="1:20" ht="22.5" hidden="1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 t="shared" si="0"/>
        <v>49</v>
      </c>
      <c r="S22" s="21">
        <v>20</v>
      </c>
      <c r="T22" s="19" t="s">
        <v>92</v>
      </c>
    </row>
    <row r="23" spans="1:20" ht="22.5" hidden="1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 t="shared" si="0"/>
        <v>43</v>
      </c>
      <c r="S23" s="23">
        <v>8</v>
      </c>
      <c r="T23" s="20" t="s">
        <v>96</v>
      </c>
    </row>
    <row r="24" spans="1:20" ht="22.5" hidden="1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 t="shared" si="0"/>
        <v>25</v>
      </c>
      <c r="S24" s="21">
        <v>20</v>
      </c>
      <c r="T24" s="19" t="s">
        <v>100</v>
      </c>
    </row>
    <row r="25" spans="1:20" ht="22.5" hidden="1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 t="shared" si="0"/>
        <v>35</v>
      </c>
      <c r="S25" s="23">
        <v>20</v>
      </c>
      <c r="T25" s="20" t="s">
        <v>104</v>
      </c>
    </row>
    <row r="26" spans="1:20" ht="22.5" hidden="1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 t="shared" si="0"/>
        <v>35</v>
      </c>
      <c r="S26" s="21">
        <v>25</v>
      </c>
      <c r="T26" s="19" t="s">
        <v>108</v>
      </c>
    </row>
    <row r="27" spans="1:20" ht="22.5" hidden="1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 t="shared" si="0"/>
        <v>87</v>
      </c>
      <c r="S27" s="23"/>
      <c r="T27" s="20"/>
    </row>
    <row r="28" spans="1:20" ht="22.5" hidden="1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 t="shared" si="0"/>
        <v>46</v>
      </c>
      <c r="S28" s="21">
        <v>20</v>
      </c>
      <c r="T28" s="19" t="s">
        <v>113</v>
      </c>
    </row>
    <row r="29" spans="1:20" ht="22.5" hidden="1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 t="shared" si="0"/>
        <v>15</v>
      </c>
      <c r="S29" s="23">
        <v>20</v>
      </c>
      <c r="T29" s="31" t="s">
        <v>117</v>
      </c>
    </row>
    <row r="30" spans="1:20" ht="22.5" hidden="1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 t="shared" si="0"/>
        <v>54</v>
      </c>
      <c r="S30" s="21">
        <v>20</v>
      </c>
      <c r="T30" s="19" t="s">
        <v>92</v>
      </c>
    </row>
    <row r="31" spans="1:20" ht="22.5" hidden="1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 t="shared" si="0"/>
        <v>52</v>
      </c>
      <c r="S31" s="23">
        <v>0</v>
      </c>
      <c r="T31" s="20"/>
    </row>
    <row r="32" spans="1:20" ht="22.5" hidden="1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 t="shared" si="0"/>
        <v>46</v>
      </c>
      <c r="S32" s="21">
        <v>20</v>
      </c>
      <c r="T32" s="19" t="s">
        <v>113</v>
      </c>
    </row>
    <row r="33" spans="1:20" ht="22.5" hidden="1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 t="shared" si="0"/>
        <v>14</v>
      </c>
      <c r="S33" s="23">
        <v>8</v>
      </c>
      <c r="T33" s="20" t="s">
        <v>125</v>
      </c>
    </row>
    <row r="34" spans="1:20" ht="22.5" hidden="1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 t="shared" si="0"/>
        <v>25</v>
      </c>
      <c r="S34" s="21">
        <v>20</v>
      </c>
      <c r="T34" s="19"/>
    </row>
    <row r="35" spans="1:20" ht="22.5" hidden="1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 t="shared" si="0"/>
        <v>17</v>
      </c>
      <c r="S35" s="23">
        <v>20</v>
      </c>
      <c r="T35" s="20" t="s">
        <v>129</v>
      </c>
    </row>
    <row r="36" spans="1:20" ht="22.5" hidden="1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 t="shared" si="0"/>
        <v>75</v>
      </c>
      <c r="S36" s="21">
        <v>20</v>
      </c>
      <c r="T36" s="19" t="s">
        <v>61</v>
      </c>
    </row>
    <row r="37" spans="1:20" ht="22.5" hidden="1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 t="shared" si="0"/>
        <v>18</v>
      </c>
      <c r="S37" s="23">
        <v>3</v>
      </c>
      <c r="T37" s="31" t="s">
        <v>136</v>
      </c>
    </row>
    <row r="38" spans="1:20" ht="22.5" hidden="1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 t="shared" si="0"/>
        <v>33</v>
      </c>
      <c r="S38" s="21">
        <v>10</v>
      </c>
      <c r="T38" s="19" t="s">
        <v>140</v>
      </c>
    </row>
    <row r="39" spans="1:20" ht="22.5" hidden="1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 t="shared" si="0"/>
        <v>55</v>
      </c>
      <c r="S39" s="23">
        <v>20</v>
      </c>
      <c r="T39" s="20" t="s">
        <v>92</v>
      </c>
    </row>
    <row r="40" spans="1:20" ht="22.5" hidden="1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 t="shared" si="0"/>
        <v>45</v>
      </c>
      <c r="S40" s="21">
        <v>20</v>
      </c>
      <c r="T40" s="19" t="s">
        <v>147</v>
      </c>
    </row>
    <row r="41" spans="1:20" ht="22.5" hidden="1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 t="shared" si="0"/>
        <v>15</v>
      </c>
      <c r="S41" s="23">
        <v>20</v>
      </c>
      <c r="T41" s="20" t="s">
        <v>150</v>
      </c>
    </row>
    <row r="42" spans="1:20" ht="22.5" hidden="1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 t="shared" si="0"/>
        <v>21</v>
      </c>
      <c r="S42" s="21">
        <v>8</v>
      </c>
      <c r="T42" s="32" t="s">
        <v>154</v>
      </c>
    </row>
    <row r="43" spans="1:20" ht="22.5" hidden="1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 t="shared" si="0"/>
        <v>40</v>
      </c>
      <c r="S43" s="23">
        <v>9</v>
      </c>
      <c r="T43" s="20" t="s">
        <v>159</v>
      </c>
    </row>
    <row r="44" spans="1:20" ht="22.5" hidden="1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 t="shared" si="0"/>
        <v>45</v>
      </c>
      <c r="S44" s="21">
        <v>8</v>
      </c>
      <c r="T44" s="19" t="s">
        <v>163</v>
      </c>
    </row>
    <row r="45" spans="1:20" ht="22.5" hidden="1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 t="shared" si="0"/>
        <v>13</v>
      </c>
      <c r="S45" s="23">
        <v>20</v>
      </c>
      <c r="T45" s="31" t="s">
        <v>167</v>
      </c>
    </row>
    <row r="46" spans="1:20" ht="22.5" hidden="1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 t="shared" si="0"/>
        <v>35</v>
      </c>
      <c r="S46" s="21">
        <v>20</v>
      </c>
      <c r="T46" s="19" t="s">
        <v>171</v>
      </c>
    </row>
    <row r="47" spans="1:20" ht="22.5" hidden="1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 t="shared" si="0"/>
        <v>71</v>
      </c>
      <c r="S47" s="23">
        <v>20</v>
      </c>
      <c r="T47" s="20" t="s">
        <v>175</v>
      </c>
    </row>
    <row r="48" spans="1:20" ht="22.5" hidden="1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 t="shared" si="0"/>
        <v>329</v>
      </c>
      <c r="S48" s="21">
        <v>8</v>
      </c>
      <c r="T48" s="19" t="s">
        <v>180</v>
      </c>
    </row>
    <row r="49" spans="1:20" ht="22.5" hidden="1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 t="shared" si="0"/>
        <v>26</v>
      </c>
      <c r="S49" s="23">
        <v>20</v>
      </c>
      <c r="T49" s="20" t="s">
        <v>184</v>
      </c>
    </row>
    <row r="50" spans="1:20" ht="22.5" hidden="1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 t="shared" si="0"/>
        <v>35</v>
      </c>
      <c r="S50" s="21">
        <v>20</v>
      </c>
      <c r="T50" s="19" t="s">
        <v>188</v>
      </c>
    </row>
    <row r="51" spans="1:20" ht="22.5" hidden="1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 t="shared" si="0"/>
        <v>46</v>
      </c>
      <c r="S51" s="23">
        <v>20</v>
      </c>
      <c r="T51" s="20" t="s">
        <v>92</v>
      </c>
    </row>
    <row r="52" spans="1:20" ht="22.5" hidden="1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 t="shared" si="0"/>
        <v>52</v>
      </c>
      <c r="S52" s="21">
        <v>20</v>
      </c>
      <c r="T52" s="19" t="s">
        <v>92</v>
      </c>
    </row>
    <row r="53" spans="1:20" ht="22.5" hidden="1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 t="shared" si="0"/>
        <v>34</v>
      </c>
      <c r="S53" s="23">
        <v>20</v>
      </c>
      <c r="T53" s="20" t="s">
        <v>195</v>
      </c>
    </row>
    <row r="54" spans="1:20" ht="22.5" hidden="1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 t="shared" si="0"/>
        <v>27</v>
      </c>
      <c r="S54" s="21">
        <v>15</v>
      </c>
      <c r="T54" s="19" t="s">
        <v>199</v>
      </c>
    </row>
    <row r="55" spans="1:20" ht="22.5" hidden="1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 t="shared" si="0"/>
        <v>16</v>
      </c>
      <c r="S55" s="23">
        <v>20</v>
      </c>
      <c r="T55" s="20" t="s">
        <v>129</v>
      </c>
    </row>
    <row r="56" spans="1:20" ht="22.5" hidden="1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 t="shared" si="0"/>
        <v>55</v>
      </c>
      <c r="S56" s="21">
        <v>12</v>
      </c>
      <c r="T56" s="19" t="s">
        <v>206</v>
      </c>
    </row>
    <row r="57" spans="1:20" ht="22.5" hidden="1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 t="shared" si="0"/>
        <v>14</v>
      </c>
      <c r="S57" s="23">
        <v>20</v>
      </c>
      <c r="T57" s="31" t="s">
        <v>167</v>
      </c>
    </row>
    <row r="58" spans="1:20" ht="22.5" hidden="1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 t="shared" si="0"/>
        <v>47</v>
      </c>
      <c r="S58" s="21">
        <v>20</v>
      </c>
      <c r="T58" s="19" t="s">
        <v>212</v>
      </c>
    </row>
    <row r="59" spans="1:20" ht="22.5" hidden="1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 t="shared" si="0"/>
        <v>31</v>
      </c>
      <c r="S59" s="23">
        <v>20</v>
      </c>
      <c r="T59" s="20" t="s">
        <v>216</v>
      </c>
    </row>
    <row r="60" spans="1:20" ht="22.5" hidden="1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 t="shared" si="0"/>
        <v>28</v>
      </c>
      <c r="S60" s="21">
        <v>20</v>
      </c>
      <c r="T60" s="19" t="s">
        <v>92</v>
      </c>
    </row>
    <row r="61" spans="1:20" ht="22.5" hidden="1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 t="shared" si="0"/>
        <v>34</v>
      </c>
      <c r="S61" s="23">
        <v>20</v>
      </c>
      <c r="T61" s="20" t="s">
        <v>92</v>
      </c>
    </row>
    <row r="62" spans="1:20" ht="22.5" hidden="1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 t="shared" si="0"/>
        <v>60</v>
      </c>
      <c r="S62" s="21">
        <v>20</v>
      </c>
      <c r="T62" s="19" t="s">
        <v>224</v>
      </c>
    </row>
    <row r="63" spans="1:20" ht="22.5" hidden="1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 t="shared" si="0"/>
        <v>29</v>
      </c>
      <c r="S63" s="23">
        <v>26</v>
      </c>
      <c r="T63" s="20" t="s">
        <v>227</v>
      </c>
    </row>
    <row r="64" spans="1:20" ht="22.5" hidden="1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 t="shared" si="0"/>
        <v>26</v>
      </c>
      <c r="S64" s="21">
        <v>30</v>
      </c>
      <c r="T64" s="19" t="s">
        <v>129</v>
      </c>
    </row>
    <row r="65" spans="1:20" ht="22.5" hidden="1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 t="shared" si="0"/>
        <v>47</v>
      </c>
      <c r="S65" s="23">
        <v>20</v>
      </c>
      <c r="T65" s="20" t="s">
        <v>92</v>
      </c>
    </row>
    <row r="66" spans="1:20" ht="22.5" hidden="1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 t="shared" ref="R66:R129" si="1">SUM(O66:Q66)</f>
        <v>20</v>
      </c>
      <c r="S66" s="21">
        <v>20</v>
      </c>
      <c r="T66" s="32" t="s">
        <v>167</v>
      </c>
    </row>
    <row r="67" spans="1:20" ht="22.5" hidden="1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 t="shared" si="1"/>
        <v>43</v>
      </c>
      <c r="S67" s="23">
        <v>20</v>
      </c>
      <c r="T67" s="20" t="s">
        <v>61</v>
      </c>
    </row>
    <row r="68" spans="1:20" ht="22.5" hidden="1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 t="shared" si="1"/>
        <v>15</v>
      </c>
      <c r="S68" s="21">
        <v>20</v>
      </c>
      <c r="T68" s="19" t="s">
        <v>195</v>
      </c>
    </row>
    <row r="69" spans="1:20" ht="22.5" hidden="1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 t="shared" si="1"/>
        <v>29</v>
      </c>
      <c r="S69" s="23">
        <v>20</v>
      </c>
      <c r="T69" s="20" t="s">
        <v>244</v>
      </c>
    </row>
    <row r="70" spans="1:20" ht="22.5" hidden="1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 t="shared" si="1"/>
        <v>46</v>
      </c>
      <c r="S70" s="21">
        <v>20</v>
      </c>
      <c r="T70" s="19" t="s">
        <v>92</v>
      </c>
    </row>
    <row r="71" spans="1:20" ht="22.5" hidden="1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 t="shared" si="1"/>
        <v>14</v>
      </c>
      <c r="S71" s="23">
        <v>26</v>
      </c>
      <c r="T71" s="20" t="s">
        <v>249</v>
      </c>
    </row>
    <row r="72" spans="1:20" ht="22.5" hidden="1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 t="shared" si="1"/>
        <v>12</v>
      </c>
      <c r="S72" s="21">
        <v>8</v>
      </c>
      <c r="T72" s="19" t="s">
        <v>125</v>
      </c>
    </row>
    <row r="73" spans="1:20" ht="22.5" hidden="1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 t="shared" si="1"/>
        <v>18</v>
      </c>
      <c r="S73" s="23">
        <v>20</v>
      </c>
      <c r="T73" s="31" t="s">
        <v>167</v>
      </c>
    </row>
    <row r="74" spans="1:20" ht="22.5" hidden="1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 t="shared" si="1"/>
        <v>30</v>
      </c>
      <c r="S74" s="21">
        <v>20</v>
      </c>
      <c r="T74" s="19" t="s">
        <v>72</v>
      </c>
    </row>
    <row r="75" spans="1:20" ht="22.5" hidden="1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 t="shared" si="1"/>
        <v>37</v>
      </c>
      <c r="S75" s="23">
        <v>20</v>
      </c>
      <c r="T75" s="20" t="s">
        <v>261</v>
      </c>
    </row>
    <row r="76" spans="1:20" ht="22.5" hidden="1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 t="shared" si="1"/>
        <v>47</v>
      </c>
      <c r="S76" s="21">
        <v>20</v>
      </c>
      <c r="T76" s="19" t="s">
        <v>212</v>
      </c>
    </row>
    <row r="77" spans="1:20" ht="22.5" hidden="1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 t="shared" si="1"/>
        <v>30</v>
      </c>
      <c r="S77" s="23">
        <v>16</v>
      </c>
      <c r="T77" s="20" t="s">
        <v>267</v>
      </c>
    </row>
    <row r="78" spans="1:20" ht="22.5" hidden="1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 t="shared" si="1"/>
        <v>19</v>
      </c>
      <c r="S78" s="21">
        <v>20</v>
      </c>
      <c r="T78" s="19" t="s">
        <v>216</v>
      </c>
    </row>
    <row r="79" spans="1:20" ht="22.5" hidden="1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 t="shared" si="1"/>
        <v>37</v>
      </c>
      <c r="S79" s="23">
        <v>16</v>
      </c>
      <c r="T79" s="20" t="s">
        <v>274</v>
      </c>
    </row>
    <row r="80" spans="1:20" ht="22.5" hidden="1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 t="shared" si="1"/>
        <v>19</v>
      </c>
      <c r="S80" s="21">
        <v>20</v>
      </c>
      <c r="T80" s="19" t="s">
        <v>216</v>
      </c>
    </row>
    <row r="81" spans="1:20" ht="22.5" hidden="1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 t="shared" si="1"/>
        <v>20</v>
      </c>
      <c r="S81" s="23">
        <v>20</v>
      </c>
      <c r="T81" s="20" t="s">
        <v>280</v>
      </c>
    </row>
    <row r="82" spans="1:20" ht="22.5" hidden="1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 t="shared" si="1"/>
        <v>50</v>
      </c>
      <c r="S82" s="21">
        <v>20</v>
      </c>
      <c r="T82" s="19" t="s">
        <v>285</v>
      </c>
    </row>
    <row r="83" spans="1:20" ht="22.5" hidden="1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 t="shared" si="1"/>
        <v>17</v>
      </c>
      <c r="S83" s="23">
        <v>20</v>
      </c>
      <c r="T83" s="20" t="s">
        <v>184</v>
      </c>
    </row>
    <row r="84" spans="1:20" ht="22.5" hidden="1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 t="shared" si="1"/>
        <v>25</v>
      </c>
      <c r="S84" s="21">
        <v>20</v>
      </c>
      <c r="T84" s="19" t="s">
        <v>61</v>
      </c>
    </row>
    <row r="85" spans="1:20" ht="22.5" hidden="1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 t="shared" si="1"/>
        <v>49</v>
      </c>
      <c r="S85" s="23">
        <v>20</v>
      </c>
      <c r="T85" s="20" t="s">
        <v>113</v>
      </c>
    </row>
    <row r="86" spans="1:20" ht="22.5" hidden="1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 t="shared" si="1"/>
        <v>34</v>
      </c>
      <c r="S86" s="21">
        <v>20</v>
      </c>
      <c r="T86" s="19" t="s">
        <v>61</v>
      </c>
    </row>
    <row r="87" spans="1:20" ht="22.5" hidden="1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 t="shared" si="1"/>
        <v>19</v>
      </c>
      <c r="S87" s="23">
        <v>20</v>
      </c>
      <c r="T87" s="31" t="s">
        <v>167</v>
      </c>
    </row>
    <row r="88" spans="1:20" ht="22.5" hidden="1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 t="shared" si="1"/>
        <v>312</v>
      </c>
      <c r="S88" s="21">
        <v>8</v>
      </c>
      <c r="T88" s="19" t="s">
        <v>301</v>
      </c>
    </row>
    <row r="89" spans="1:20" ht="22.5" hidden="1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 t="shared" si="1"/>
        <v>57</v>
      </c>
      <c r="S89" s="23">
        <v>20</v>
      </c>
      <c r="T89" s="20" t="s">
        <v>92</v>
      </c>
    </row>
    <row r="90" spans="1:20" ht="22.5" hidden="1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 t="shared" si="1"/>
        <v>50</v>
      </c>
      <c r="S90" s="21">
        <v>20</v>
      </c>
      <c r="T90" s="19" t="s">
        <v>92</v>
      </c>
    </row>
    <row r="91" spans="1:20" ht="22.5" hidden="1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 t="shared" si="1"/>
        <v>18</v>
      </c>
      <c r="S91" s="23">
        <v>20</v>
      </c>
      <c r="T91" s="20" t="s">
        <v>57</v>
      </c>
    </row>
    <row r="92" spans="1:20" ht="22.5" hidden="1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 t="shared" si="1"/>
        <v>18</v>
      </c>
      <c r="S92" s="21">
        <v>20</v>
      </c>
      <c r="T92" s="19" t="s">
        <v>314</v>
      </c>
    </row>
    <row r="93" spans="1:20" ht="22.5" hidden="1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 t="shared" si="1"/>
        <v>40</v>
      </c>
      <c r="S93" s="23">
        <v>20</v>
      </c>
      <c r="T93" s="20" t="s">
        <v>317</v>
      </c>
    </row>
    <row r="94" spans="1:20" ht="22.5" hidden="1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 t="shared" si="1"/>
        <v>37</v>
      </c>
      <c r="S94" s="21">
        <v>16</v>
      </c>
      <c r="T94" s="19" t="s">
        <v>321</v>
      </c>
    </row>
    <row r="95" spans="1:20" ht="22.5" hidden="1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 t="shared" si="1"/>
        <v>96</v>
      </c>
      <c r="S95" s="23">
        <v>20</v>
      </c>
      <c r="T95" s="31" t="s">
        <v>324</v>
      </c>
    </row>
    <row r="96" spans="1:20" ht="22.5" hidden="1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 t="shared" si="1"/>
        <v>19</v>
      </c>
      <c r="S96" s="21">
        <v>20</v>
      </c>
      <c r="T96" s="19" t="s">
        <v>88</v>
      </c>
    </row>
    <row r="97" spans="1:20" ht="22.5" hidden="1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 t="shared" si="1"/>
        <v>65</v>
      </c>
      <c r="S97" s="23">
        <v>20</v>
      </c>
      <c r="T97" s="20" t="s">
        <v>92</v>
      </c>
    </row>
    <row r="98" spans="1:20" ht="22.5" hidden="1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 t="shared" si="1"/>
        <v>19</v>
      </c>
      <c r="S98" s="21">
        <v>8</v>
      </c>
      <c r="T98" s="19" t="s">
        <v>88</v>
      </c>
    </row>
    <row r="99" spans="1:20" ht="22.5" hidden="1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 t="shared" si="1"/>
        <v>19</v>
      </c>
      <c r="S99" s="23">
        <v>16</v>
      </c>
      <c r="T99" s="20" t="s">
        <v>216</v>
      </c>
    </row>
    <row r="100" spans="1:20" ht="22.5" hidden="1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 t="shared" si="1"/>
        <v>20</v>
      </c>
      <c r="S100" s="21">
        <v>20</v>
      </c>
      <c r="T100" s="19" t="s">
        <v>88</v>
      </c>
    </row>
    <row r="101" spans="1:20" ht="22.5" hidden="1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 t="shared" si="1"/>
        <v>63</v>
      </c>
      <c r="S101" s="23">
        <v>20</v>
      </c>
      <c r="T101" s="20" t="s">
        <v>342</v>
      </c>
    </row>
    <row r="102" spans="1:20" ht="22.5" hidden="1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 t="shared" si="1"/>
        <v>18</v>
      </c>
      <c r="S102" s="21">
        <v>20</v>
      </c>
      <c r="T102" s="19" t="s">
        <v>150</v>
      </c>
    </row>
    <row r="103" spans="1:20" ht="22.5" hidden="1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 t="shared" si="1"/>
        <v>31</v>
      </c>
      <c r="S103" s="23">
        <v>20</v>
      </c>
      <c r="T103" s="20" t="s">
        <v>347</v>
      </c>
    </row>
    <row r="104" spans="1:20" ht="22.5" hidden="1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 t="shared" si="1"/>
        <v>59</v>
      </c>
      <c r="S104" s="21">
        <v>20</v>
      </c>
      <c r="T104" s="19" t="s">
        <v>212</v>
      </c>
    </row>
    <row r="105" spans="1:20" ht="22.5" hidden="1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 t="shared" si="1"/>
        <v>25</v>
      </c>
      <c r="S105" s="23">
        <v>24</v>
      </c>
      <c r="T105" s="20" t="s">
        <v>355</v>
      </c>
    </row>
    <row r="106" spans="1:20" ht="22.5" hidden="1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 t="shared" si="1"/>
        <v>34</v>
      </c>
      <c r="S106" s="21">
        <v>20</v>
      </c>
      <c r="T106" s="19" t="s">
        <v>359</v>
      </c>
    </row>
    <row r="107" spans="1:20" ht="22.5" hidden="1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 t="shared" si="1"/>
        <v>19</v>
      </c>
      <c r="S107" s="23">
        <v>16</v>
      </c>
      <c r="T107" s="20" t="s">
        <v>216</v>
      </c>
    </row>
    <row r="108" spans="1:20" ht="22.5" hidden="1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 t="shared" si="1"/>
        <v>353</v>
      </c>
      <c r="S108" s="21">
        <v>8</v>
      </c>
      <c r="T108" s="19" t="s">
        <v>365</v>
      </c>
    </row>
    <row r="109" spans="1:20" ht="22.5" hidden="1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 t="shared" si="1"/>
        <v>28</v>
      </c>
      <c r="S109" s="23">
        <v>20</v>
      </c>
      <c r="T109" s="20" t="s">
        <v>347</v>
      </c>
    </row>
    <row r="110" spans="1:20" ht="22.5" hidden="1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 t="shared" si="1"/>
        <v>215</v>
      </c>
      <c r="S110" s="21">
        <v>2</v>
      </c>
      <c r="T110" s="19" t="s">
        <v>371</v>
      </c>
    </row>
    <row r="111" spans="1:20" ht="22.5" hidden="1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 t="shared" si="1"/>
        <v>55</v>
      </c>
      <c r="S111" s="23">
        <v>47</v>
      </c>
      <c r="T111" s="20" t="s">
        <v>375</v>
      </c>
    </row>
    <row r="112" spans="1:20" ht="22.5" hidden="1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 t="shared" si="1"/>
        <v>11</v>
      </c>
      <c r="S112" s="21">
        <v>3.5</v>
      </c>
      <c r="T112" s="19" t="s">
        <v>379</v>
      </c>
    </row>
    <row r="113" spans="1:20" ht="22.5" hidden="1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 t="shared" si="1"/>
        <v>26</v>
      </c>
      <c r="S113" s="23">
        <v>14</v>
      </c>
      <c r="T113" s="20" t="s">
        <v>383</v>
      </c>
    </row>
    <row r="114" spans="1:20" ht="22.5" hidden="1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 t="shared" si="1"/>
        <v>8</v>
      </c>
      <c r="S114" s="21">
        <v>3.5</v>
      </c>
      <c r="T114" s="19" t="s">
        <v>386</v>
      </c>
    </row>
    <row r="115" spans="1:20" ht="22.5" hidden="1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 t="shared" si="1"/>
        <v>38</v>
      </c>
      <c r="S115" s="23">
        <v>4</v>
      </c>
      <c r="T115" s="20" t="s">
        <v>390</v>
      </c>
    </row>
    <row r="116" spans="1:20" ht="22.5" hidden="1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 t="shared" si="1"/>
        <v>18</v>
      </c>
      <c r="S116" s="21">
        <v>20</v>
      </c>
      <c r="T116" s="19" t="s">
        <v>394</v>
      </c>
    </row>
    <row r="117" spans="1:20" ht="22.5" hidden="1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 t="shared" si="1"/>
        <v>45</v>
      </c>
      <c r="S117" s="23">
        <v>18</v>
      </c>
      <c r="T117" s="20" t="s">
        <v>398</v>
      </c>
    </row>
    <row r="118" spans="1:20" ht="22.5" hidden="1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 t="shared" si="1"/>
        <v>45</v>
      </c>
      <c r="S118" s="21">
        <v>20</v>
      </c>
      <c r="T118" s="19" t="s">
        <v>402</v>
      </c>
    </row>
    <row r="119" spans="1:20" ht="22.5" hidden="1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 t="shared" si="1"/>
        <v>44</v>
      </c>
      <c r="S119" s="23">
        <v>12</v>
      </c>
      <c r="T119" s="20" t="s">
        <v>406</v>
      </c>
    </row>
    <row r="120" spans="1:20" ht="22.5" hidden="1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 t="shared" si="1"/>
        <v>50</v>
      </c>
      <c r="S120" s="21">
        <v>4</v>
      </c>
      <c r="T120" s="19" t="s">
        <v>410</v>
      </c>
    </row>
    <row r="121" spans="1:20" ht="22.5" hidden="1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 t="shared" si="1"/>
        <v>41</v>
      </c>
      <c r="S121" s="23">
        <v>12</v>
      </c>
      <c r="T121" s="20" t="s">
        <v>413</v>
      </c>
    </row>
    <row r="122" spans="1:20" ht="22.5" hidden="1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 t="shared" si="1"/>
        <v>44</v>
      </c>
      <c r="S122" s="21">
        <v>4</v>
      </c>
      <c r="T122" s="19" t="s">
        <v>410</v>
      </c>
    </row>
    <row r="123" spans="1:20" ht="22.5" hidden="1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 t="shared" si="1"/>
        <v>40</v>
      </c>
      <c r="S123" s="23">
        <v>4</v>
      </c>
      <c r="T123" s="20" t="s">
        <v>410</v>
      </c>
    </row>
    <row r="124" spans="1:20" ht="22.5" hidden="1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 t="shared" si="1"/>
        <v>12</v>
      </c>
      <c r="S124" s="21">
        <v>8</v>
      </c>
      <c r="T124" s="19" t="s">
        <v>421</v>
      </c>
    </row>
    <row r="125" spans="1:20" ht="22.5" hidden="1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 t="shared" si="1"/>
        <v>19</v>
      </c>
      <c r="S125" s="23">
        <v>12</v>
      </c>
      <c r="T125" s="20" t="s">
        <v>425</v>
      </c>
    </row>
    <row r="126" spans="1:20" ht="22.5" hidden="1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 t="shared" si="1"/>
        <v>14</v>
      </c>
      <c r="S126" s="21">
        <v>12</v>
      </c>
      <c r="T126" s="19" t="s">
        <v>429</v>
      </c>
    </row>
    <row r="127" spans="1:20" ht="22.5" hidden="1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 t="shared" si="1"/>
        <v>19</v>
      </c>
      <c r="S127" s="23">
        <v>12</v>
      </c>
      <c r="T127" s="20" t="s">
        <v>425</v>
      </c>
    </row>
    <row r="128" spans="1:20" ht="22.5" hidden="1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 t="shared" si="1"/>
        <v>9</v>
      </c>
      <c r="S128" s="21">
        <v>8</v>
      </c>
      <c r="T128" s="19" t="s">
        <v>421</v>
      </c>
    </row>
    <row r="129" spans="1:20" ht="22.5" hidden="1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 t="shared" si="1"/>
        <v>45</v>
      </c>
      <c r="S129" s="23">
        <v>4</v>
      </c>
      <c r="T129" s="20" t="s">
        <v>410</v>
      </c>
    </row>
    <row r="130" spans="1:20" ht="22.5" hidden="1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 t="shared" ref="R130:R193" si="2">SUM(O130:Q130)</f>
        <v>25</v>
      </c>
      <c r="S130" s="21">
        <v>12</v>
      </c>
      <c r="T130" s="19" t="s">
        <v>425</v>
      </c>
    </row>
    <row r="131" spans="1:20" ht="22.5" hidden="1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 t="shared" si="2"/>
        <v>15</v>
      </c>
      <c r="S131" s="23">
        <v>12</v>
      </c>
      <c r="T131" s="20" t="s">
        <v>441</v>
      </c>
    </row>
    <row r="132" spans="1:20" ht="22.5" hidden="1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 t="shared" si="2"/>
        <v>26</v>
      </c>
      <c r="S132" s="21">
        <v>16</v>
      </c>
      <c r="T132" s="19" t="s">
        <v>359</v>
      </c>
    </row>
    <row r="133" spans="1:20" ht="22.5" hidden="1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 t="shared" si="2"/>
        <v>16</v>
      </c>
      <c r="S133" s="23">
        <v>8</v>
      </c>
      <c r="T133" s="20" t="s">
        <v>448</v>
      </c>
    </row>
    <row r="134" spans="1:20" ht="22.5" hidden="1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 t="shared" si="2"/>
        <v>15</v>
      </c>
      <c r="S134" s="21">
        <v>8</v>
      </c>
      <c r="T134" s="19" t="s">
        <v>451</v>
      </c>
    </row>
    <row r="135" spans="1:20" ht="22.5" hidden="1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 t="shared" si="2"/>
        <v>14</v>
      </c>
      <c r="S135" s="23">
        <v>12</v>
      </c>
      <c r="T135" s="20" t="s">
        <v>441</v>
      </c>
    </row>
    <row r="136" spans="1:20" ht="22.5" hidden="1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 t="shared" si="2"/>
        <v>182</v>
      </c>
      <c r="S136" s="21">
        <v>8</v>
      </c>
      <c r="T136" s="19" t="s">
        <v>457</v>
      </c>
    </row>
    <row r="137" spans="1:20" ht="22.5" hidden="1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 t="shared" si="2"/>
        <v>34</v>
      </c>
      <c r="S137" s="23">
        <v>16</v>
      </c>
      <c r="T137" s="20" t="s">
        <v>359</v>
      </c>
    </row>
    <row r="138" spans="1:20" ht="22.5" hidden="1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 t="shared" si="2"/>
        <v>17</v>
      </c>
      <c r="S138" s="21">
        <v>16</v>
      </c>
      <c r="T138" s="19" t="s">
        <v>463</v>
      </c>
    </row>
    <row r="139" spans="1:20" ht="22.5" hidden="1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 t="shared" si="2"/>
        <v>20</v>
      </c>
      <c r="S139" s="23">
        <v>20</v>
      </c>
      <c r="T139" s="20" t="s">
        <v>394</v>
      </c>
    </row>
    <row r="140" spans="1:20" ht="22.5" hidden="1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 t="shared" si="2"/>
        <v>40</v>
      </c>
      <c r="S140" s="21">
        <v>20</v>
      </c>
      <c r="T140" s="19" t="s">
        <v>468</v>
      </c>
    </row>
    <row r="141" spans="1:20" ht="22.5" hidden="1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 t="shared" si="2"/>
        <v>12</v>
      </c>
      <c r="S141" s="23">
        <v>12</v>
      </c>
      <c r="T141" s="20" t="s">
        <v>472</v>
      </c>
    </row>
    <row r="142" spans="1:20" ht="22.5" hidden="1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 t="shared" si="2"/>
        <v>12</v>
      </c>
      <c r="S142" s="21">
        <v>16</v>
      </c>
      <c r="T142" s="19" t="s">
        <v>476</v>
      </c>
    </row>
    <row r="143" spans="1:20" ht="22.5" hidden="1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 t="shared" si="2"/>
        <v>19</v>
      </c>
      <c r="S143" s="23">
        <v>12</v>
      </c>
      <c r="T143" s="20" t="s">
        <v>425</v>
      </c>
    </row>
    <row r="144" spans="1:20" ht="22.5" hidden="1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 t="shared" si="2"/>
        <v>12</v>
      </c>
      <c r="S144" s="21">
        <v>20</v>
      </c>
      <c r="T144" s="19" t="s">
        <v>61</v>
      </c>
    </row>
    <row r="145" spans="1:20" ht="22.5" hidden="1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 t="shared" si="2"/>
        <v>31</v>
      </c>
      <c r="S145" s="23">
        <v>12</v>
      </c>
      <c r="T145" s="20" t="s">
        <v>485</v>
      </c>
    </row>
    <row r="146" spans="1:20" ht="22.5" hidden="1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 t="shared" si="2"/>
        <v>27</v>
      </c>
      <c r="S146" s="21">
        <v>16</v>
      </c>
      <c r="T146" s="19" t="s">
        <v>359</v>
      </c>
    </row>
    <row r="147" spans="1:20" ht="22.5" hidden="1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 t="shared" si="2"/>
        <v>54</v>
      </c>
      <c r="S147" s="23">
        <v>1.5</v>
      </c>
      <c r="T147" s="20" t="s">
        <v>490</v>
      </c>
    </row>
    <row r="148" spans="1:20" ht="22.5" hidden="1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 t="shared" si="2"/>
        <v>9</v>
      </c>
      <c r="S148" s="21">
        <v>12</v>
      </c>
      <c r="T148" s="19" t="s">
        <v>494</v>
      </c>
    </row>
    <row r="149" spans="1:20" ht="22.5" hidden="1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 t="shared" si="2"/>
        <v>38</v>
      </c>
      <c r="S149" s="23">
        <v>4</v>
      </c>
      <c r="T149" s="20" t="s">
        <v>497</v>
      </c>
    </row>
    <row r="150" spans="1:20" ht="22.5" hidden="1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 t="shared" si="2"/>
        <v>62</v>
      </c>
      <c r="S150" s="21">
        <v>4</v>
      </c>
      <c r="T150" s="19" t="s">
        <v>497</v>
      </c>
    </row>
    <row r="151" spans="1:20" ht="22.5" hidden="1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 t="shared" si="2"/>
        <v>13</v>
      </c>
      <c r="S151" s="23">
        <v>16</v>
      </c>
      <c r="T151" s="20" t="s">
        <v>441</v>
      </c>
    </row>
    <row r="152" spans="1:20" ht="22.5" hidden="1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 t="shared" si="2"/>
        <v>8</v>
      </c>
      <c r="S152" s="21">
        <v>12</v>
      </c>
      <c r="T152" s="19" t="s">
        <v>494</v>
      </c>
    </row>
    <row r="153" spans="1:20" ht="22.5" hidden="1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 t="shared" si="2"/>
        <v>20</v>
      </c>
      <c r="S153" s="23">
        <v>20</v>
      </c>
      <c r="T153" s="20" t="s">
        <v>507</v>
      </c>
    </row>
    <row r="154" spans="1:20" ht="22.5" hidden="1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 t="shared" si="2"/>
        <v>74</v>
      </c>
      <c r="S154" s="21">
        <v>1.5</v>
      </c>
      <c r="T154" s="19" t="s">
        <v>511</v>
      </c>
    </row>
    <row r="155" spans="1:20" ht="22.5" hidden="1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 t="shared" si="2"/>
        <v>24</v>
      </c>
      <c r="S155" s="23">
        <v>20</v>
      </c>
      <c r="T155" s="20" t="s">
        <v>507</v>
      </c>
    </row>
    <row r="156" spans="1:20" ht="22.5" hidden="1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 t="shared" si="2"/>
        <v>21</v>
      </c>
      <c r="S156" s="21">
        <v>2</v>
      </c>
      <c r="T156" s="19" t="s">
        <v>517</v>
      </c>
    </row>
    <row r="157" spans="1:20" ht="22.5" hidden="1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 t="shared" si="2"/>
        <v>21</v>
      </c>
      <c r="S157" s="23">
        <v>20</v>
      </c>
      <c r="T157" s="20" t="s">
        <v>521</v>
      </c>
    </row>
    <row r="158" spans="1:20" ht="22.5" hidden="1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 t="shared" si="2"/>
        <v>13</v>
      </c>
      <c r="S158" s="21">
        <v>2</v>
      </c>
      <c r="T158" s="19" t="s">
        <v>525</v>
      </c>
    </row>
    <row r="159" spans="1:20" ht="22.5" hidden="1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 t="shared" si="2"/>
        <v>117</v>
      </c>
      <c r="S159" s="23">
        <v>14</v>
      </c>
      <c r="T159" s="20" t="s">
        <v>365</v>
      </c>
    </row>
    <row r="160" spans="1:20" ht="22.5" hidden="1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 t="shared" si="2"/>
        <v>20</v>
      </c>
      <c r="S160" s="21">
        <v>20</v>
      </c>
      <c r="T160" s="19" t="s">
        <v>521</v>
      </c>
    </row>
    <row r="161" spans="1:20" ht="22.5" hidden="1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 t="shared" si="2"/>
        <v>22</v>
      </c>
      <c r="S161" s="23">
        <v>24</v>
      </c>
      <c r="T161" s="20" t="s">
        <v>534</v>
      </c>
    </row>
    <row r="162" spans="1:20" ht="22.5" hidden="1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 t="shared" si="2"/>
        <v>21</v>
      </c>
      <c r="S162" s="21">
        <v>12</v>
      </c>
      <c r="T162" s="32" t="s">
        <v>167</v>
      </c>
    </row>
    <row r="163" spans="1:20" ht="22.5" hidden="1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 t="shared" si="2"/>
        <v>59</v>
      </c>
      <c r="S163" s="23">
        <v>1.5</v>
      </c>
      <c r="T163" s="20" t="s">
        <v>472</v>
      </c>
    </row>
    <row r="164" spans="1:20" ht="22.5" hidden="1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 t="shared" si="2"/>
        <v>24</v>
      </c>
      <c r="S164" s="21">
        <v>20</v>
      </c>
      <c r="T164" s="19" t="s">
        <v>521</v>
      </c>
    </row>
    <row r="165" spans="1:20" ht="22.5" hidden="1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 t="shared" si="2"/>
        <v>41</v>
      </c>
      <c r="S165" s="23">
        <v>1.5</v>
      </c>
      <c r="T165" s="20" t="s">
        <v>546</v>
      </c>
    </row>
    <row r="166" spans="1:20" ht="22.5" hidden="1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 t="shared" si="2"/>
        <v>35</v>
      </c>
      <c r="S166" s="21">
        <v>1.5</v>
      </c>
      <c r="T166" s="19" t="s">
        <v>517</v>
      </c>
    </row>
    <row r="167" spans="1:20" ht="22.5" hidden="1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 t="shared" si="2"/>
        <v>15</v>
      </c>
      <c r="S167" s="23">
        <v>16</v>
      </c>
      <c r="T167" s="20" t="s">
        <v>441</v>
      </c>
    </row>
    <row r="168" spans="1:20" ht="22.5" hidden="1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 t="shared" si="2"/>
        <v>23</v>
      </c>
      <c r="S168" s="21">
        <v>16</v>
      </c>
      <c r="T168" s="32" t="s">
        <v>167</v>
      </c>
    </row>
    <row r="169" spans="1:20" ht="22.5" hidden="1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 t="shared" si="2"/>
        <v>36</v>
      </c>
      <c r="S169" s="23">
        <v>1.5</v>
      </c>
      <c r="T169" s="20" t="s">
        <v>558</v>
      </c>
    </row>
    <row r="170" spans="1:20" ht="22.5" hidden="1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 t="shared" si="2"/>
        <v>84</v>
      </c>
      <c r="S170" s="21">
        <v>1.5</v>
      </c>
      <c r="T170" s="19" t="s">
        <v>558</v>
      </c>
    </row>
    <row r="171" spans="1:20" ht="22.5" hidden="1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 t="shared" si="2"/>
        <v>40</v>
      </c>
      <c r="S171" s="23">
        <v>1.5</v>
      </c>
      <c r="T171" s="20" t="s">
        <v>563</v>
      </c>
    </row>
    <row r="172" spans="1:20" ht="22.5" hidden="1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 t="shared" si="2"/>
        <v>40</v>
      </c>
      <c r="S172" s="21">
        <v>1.5</v>
      </c>
      <c r="T172" s="19" t="s">
        <v>566</v>
      </c>
    </row>
    <row r="173" spans="1:20" ht="22.5" hidden="1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 t="shared" si="2"/>
        <v>44</v>
      </c>
      <c r="S173" s="23">
        <v>1.5</v>
      </c>
      <c r="T173" s="20" t="s">
        <v>569</v>
      </c>
    </row>
    <row r="174" spans="1:20" ht="22.5" hidden="1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 t="shared" si="2"/>
        <v>31</v>
      </c>
      <c r="S174" s="21">
        <v>24</v>
      </c>
      <c r="T174" s="19" t="s">
        <v>573</v>
      </c>
    </row>
    <row r="175" spans="1:20" ht="22.5" hidden="1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 t="shared" si="2"/>
        <v>29</v>
      </c>
      <c r="S175" s="23">
        <v>15</v>
      </c>
      <c r="T175" s="20" t="s">
        <v>61</v>
      </c>
    </row>
    <row r="176" spans="1:20" ht="22.5" hidden="1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 t="shared" si="2"/>
        <v>119</v>
      </c>
      <c r="S176" s="21">
        <v>10</v>
      </c>
      <c r="T176" s="19" t="s">
        <v>365</v>
      </c>
    </row>
    <row r="177" spans="1:20" ht="22.5" hidden="1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 t="shared" si="2"/>
        <v>122</v>
      </c>
      <c r="S177" s="23">
        <v>1</v>
      </c>
      <c r="T177" s="20" t="s">
        <v>583</v>
      </c>
    </row>
    <row r="178" spans="1:20" ht="22.5" hidden="1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 t="shared" si="2"/>
        <v>116</v>
      </c>
      <c r="S178" s="21">
        <v>1</v>
      </c>
      <c r="T178" s="19" t="s">
        <v>583</v>
      </c>
    </row>
    <row r="179" spans="1:20" ht="22.5" hidden="1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 t="shared" si="2"/>
        <v>83</v>
      </c>
      <c r="S179" s="23">
        <v>1</v>
      </c>
      <c r="T179" s="20" t="s">
        <v>588</v>
      </c>
    </row>
    <row r="180" spans="1:20" ht="22.5" hidden="1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 t="shared" si="2"/>
        <v>69</v>
      </c>
      <c r="S180" s="21">
        <v>1</v>
      </c>
      <c r="T180" s="19" t="s">
        <v>583</v>
      </c>
    </row>
    <row r="181" spans="1:20" ht="22.5" hidden="1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 t="shared" si="2"/>
        <v>48</v>
      </c>
      <c r="S181" s="23">
        <v>2.5</v>
      </c>
      <c r="T181" s="20" t="s">
        <v>594</v>
      </c>
    </row>
    <row r="182" spans="1:20" ht="22.5" hidden="1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 t="shared" si="2"/>
        <v>19</v>
      </c>
      <c r="S182" s="21">
        <v>1.5</v>
      </c>
      <c r="T182" s="32" t="s">
        <v>597</v>
      </c>
    </row>
    <row r="183" spans="1:20" ht="22.5" hidden="1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 t="shared" si="2"/>
        <v>73</v>
      </c>
      <c r="S183" s="23">
        <v>1.5</v>
      </c>
      <c r="T183" s="20" t="s">
        <v>76</v>
      </c>
    </row>
    <row r="184" spans="1:20" ht="22.5" hidden="1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 t="shared" si="2"/>
        <v>94</v>
      </c>
      <c r="S184" s="21">
        <v>1</v>
      </c>
      <c r="T184" s="19" t="s">
        <v>604</v>
      </c>
    </row>
    <row r="185" spans="1:20" ht="22.5" hidden="1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 t="shared" si="2"/>
        <v>42</v>
      </c>
      <c r="S185" s="23">
        <v>20</v>
      </c>
      <c r="T185" s="20" t="s">
        <v>607</v>
      </c>
    </row>
    <row r="186" spans="1:20" ht="22.5" hidden="1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 t="shared" si="2"/>
        <v>32</v>
      </c>
      <c r="S186" s="21">
        <v>15</v>
      </c>
      <c r="T186" s="19" t="s">
        <v>611</v>
      </c>
    </row>
    <row r="187" spans="1:20" ht="22.5" hidden="1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 t="shared" si="2"/>
        <v>22</v>
      </c>
      <c r="S187" s="23">
        <v>12</v>
      </c>
      <c r="T187" s="20" t="s">
        <v>425</v>
      </c>
    </row>
    <row r="188" spans="1:20" ht="22.5" hidden="1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 t="shared" si="2"/>
        <v>590</v>
      </c>
      <c r="S188" s="21">
        <v>20</v>
      </c>
      <c r="T188" s="19" t="s">
        <v>618</v>
      </c>
    </row>
    <row r="189" spans="1:20" ht="22.5" hidden="1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 t="shared" si="2"/>
        <v>41</v>
      </c>
      <c r="S189" s="23">
        <v>20</v>
      </c>
      <c r="T189" s="20" t="s">
        <v>621</v>
      </c>
    </row>
    <row r="190" spans="1:20" ht="22.5" hidden="1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 t="shared" si="2"/>
        <v>80</v>
      </c>
      <c r="S190" s="21">
        <v>1.5</v>
      </c>
      <c r="T190" s="19" t="s">
        <v>624</v>
      </c>
    </row>
    <row r="191" spans="1:20" ht="22.5" hidden="1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 t="shared" si="2"/>
        <v>36</v>
      </c>
      <c r="S191" s="23">
        <v>2</v>
      </c>
      <c r="T191" s="20" t="s">
        <v>628</v>
      </c>
    </row>
    <row r="192" spans="1:20" ht="22.5" hidden="1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 t="shared" si="2"/>
        <v>70</v>
      </c>
      <c r="S192" s="21">
        <v>8</v>
      </c>
      <c r="T192" s="19" t="s">
        <v>632</v>
      </c>
    </row>
    <row r="193" spans="1:20" ht="22.5" hidden="1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 t="shared" si="2"/>
        <v>21</v>
      </c>
      <c r="S193" s="23">
        <v>15</v>
      </c>
      <c r="T193" s="20" t="s">
        <v>636</v>
      </c>
    </row>
    <row r="194" spans="1:20" ht="22.5" hidden="1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 t="shared" ref="R194:R257" si="3">SUM(O194:Q194)</f>
        <v>20</v>
      </c>
      <c r="S194" s="21">
        <v>14</v>
      </c>
      <c r="T194" s="19" t="s">
        <v>624</v>
      </c>
    </row>
    <row r="195" spans="1:20" ht="22.5" hidden="1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 t="shared" si="3"/>
        <v>28</v>
      </c>
      <c r="S195" s="23">
        <v>20</v>
      </c>
      <c r="T195" s="20" t="s">
        <v>621</v>
      </c>
    </row>
    <row r="196" spans="1:20" ht="22.5" hidden="1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 t="shared" si="3"/>
        <v>25</v>
      </c>
      <c r="S196" s="21">
        <v>24</v>
      </c>
      <c r="T196" s="19" t="s">
        <v>642</v>
      </c>
    </row>
    <row r="197" spans="1:20" ht="22.5" hidden="1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 t="shared" si="3"/>
        <v>14</v>
      </c>
      <c r="S197" s="23">
        <v>12</v>
      </c>
      <c r="T197" s="20" t="s">
        <v>646</v>
      </c>
    </row>
    <row r="198" spans="1:20" ht="22.5" hidden="1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 t="shared" si="3"/>
        <v>46</v>
      </c>
      <c r="S198" s="21">
        <v>2</v>
      </c>
      <c r="T198" s="19" t="s">
        <v>451</v>
      </c>
    </row>
    <row r="199" spans="1:20" ht="22.5" hidden="1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 t="shared" si="3"/>
        <v>98</v>
      </c>
      <c r="S199" s="23">
        <v>2</v>
      </c>
      <c r="T199" s="20" t="s">
        <v>652</v>
      </c>
    </row>
    <row r="200" spans="1:20" ht="22.5" hidden="1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 t="shared" si="3"/>
        <v>50</v>
      </c>
      <c r="S200" s="21">
        <v>9</v>
      </c>
      <c r="T200" s="19" t="s">
        <v>656</v>
      </c>
    </row>
    <row r="201" spans="1:20" ht="22.5" hidden="1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 t="shared" si="3"/>
        <v>17</v>
      </c>
      <c r="S201" s="23">
        <v>15</v>
      </c>
      <c r="T201" s="20" t="s">
        <v>611</v>
      </c>
    </row>
    <row r="202" spans="1:20" ht="22.5" hidden="1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 t="shared" si="3"/>
        <v>53</v>
      </c>
      <c r="S202" s="21">
        <v>8</v>
      </c>
      <c r="T202" s="19" t="s">
        <v>662</v>
      </c>
    </row>
    <row r="203" spans="1:20" ht="22.5" hidden="1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 t="shared" si="3"/>
        <v>16</v>
      </c>
      <c r="S203" s="23">
        <v>15</v>
      </c>
      <c r="T203" s="20" t="s">
        <v>636</v>
      </c>
    </row>
    <row r="204" spans="1:20" ht="22.5" hidden="1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 t="shared" si="3"/>
        <v>59</v>
      </c>
      <c r="S204" s="21">
        <v>12</v>
      </c>
      <c r="T204" s="19" t="s">
        <v>261</v>
      </c>
    </row>
    <row r="205" spans="1:20" ht="22.5" hidden="1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 t="shared" si="3"/>
        <v>76</v>
      </c>
      <c r="S205" s="23">
        <v>2</v>
      </c>
      <c r="T205" s="20" t="s">
        <v>652</v>
      </c>
    </row>
    <row r="206" spans="1:20" ht="22.5" hidden="1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 t="shared" si="3"/>
        <v>33</v>
      </c>
      <c r="S206" s="21">
        <v>2</v>
      </c>
      <c r="T206" s="32" t="s">
        <v>167</v>
      </c>
    </row>
    <row r="207" spans="1:20" ht="22.5" hidden="1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 t="shared" si="3"/>
        <v>58</v>
      </c>
      <c r="S207" s="23">
        <v>8</v>
      </c>
      <c r="T207" s="20" t="s">
        <v>676</v>
      </c>
    </row>
    <row r="208" spans="1:20" ht="22.5" hidden="1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 t="shared" si="3"/>
        <v>60</v>
      </c>
      <c r="S208" s="21">
        <v>9</v>
      </c>
      <c r="T208" s="19" t="s">
        <v>656</v>
      </c>
    </row>
    <row r="209" spans="1:20" ht="22.5" hidden="1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 t="shared" si="3"/>
        <v>13</v>
      </c>
      <c r="S209" s="23">
        <v>20</v>
      </c>
      <c r="T209" s="20" t="s">
        <v>521</v>
      </c>
    </row>
    <row r="210" spans="1:20" ht="22.5" hidden="1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 t="shared" si="3"/>
        <v>14</v>
      </c>
      <c r="S210" s="21">
        <v>8</v>
      </c>
      <c r="T210" s="19" t="s">
        <v>685</v>
      </c>
    </row>
    <row r="211" spans="1:20" ht="22.5" hidden="1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 t="shared" si="3"/>
        <v>53</v>
      </c>
      <c r="S211" s="23">
        <v>16</v>
      </c>
      <c r="T211" s="20" t="s">
        <v>321</v>
      </c>
    </row>
    <row r="212" spans="1:20" ht="22.5" hidden="1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 t="shared" si="3"/>
        <v>105</v>
      </c>
      <c r="S212" s="21">
        <v>1.5</v>
      </c>
      <c r="T212" s="19" t="s">
        <v>692</v>
      </c>
    </row>
    <row r="213" spans="1:20" ht="22.5" hidden="1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 t="shared" si="3"/>
        <v>635</v>
      </c>
      <c r="S213" s="23">
        <v>4</v>
      </c>
      <c r="T213" s="20" t="s">
        <v>696</v>
      </c>
    </row>
    <row r="214" spans="1:20" ht="22.5" hidden="1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 t="shared" si="3"/>
        <v>34</v>
      </c>
      <c r="S214" s="21">
        <v>2</v>
      </c>
      <c r="T214" s="19" t="s">
        <v>700</v>
      </c>
    </row>
    <row r="215" spans="1:20" ht="22.5" hidden="1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 t="shared" si="3"/>
        <v>32</v>
      </c>
      <c r="S215" s="23">
        <v>4</v>
      </c>
      <c r="T215" s="20" t="s">
        <v>703</v>
      </c>
    </row>
    <row r="216" spans="1:20" ht="22.5" hidden="1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 t="shared" si="3"/>
        <v>10</v>
      </c>
      <c r="S216" s="21">
        <v>10.5</v>
      </c>
      <c r="T216" s="19" t="s">
        <v>707</v>
      </c>
    </row>
    <row r="217" spans="1:20" ht="22.5" hidden="1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 t="shared" si="3"/>
        <v>16</v>
      </c>
      <c r="S217" s="23">
        <v>20</v>
      </c>
      <c r="T217" s="20" t="s">
        <v>521</v>
      </c>
    </row>
    <row r="218" spans="1:20" ht="22.5" hidden="1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 t="shared" si="3"/>
        <v>20</v>
      </c>
      <c r="S218" s="21">
        <v>8</v>
      </c>
      <c r="T218" s="19" t="s">
        <v>713</v>
      </c>
    </row>
    <row r="219" spans="1:20" ht="22.5" hidden="1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 t="shared" si="3"/>
        <v>59</v>
      </c>
      <c r="S219" s="23">
        <v>1</v>
      </c>
      <c r="T219" s="20" t="s">
        <v>717</v>
      </c>
    </row>
    <row r="220" spans="1:20" ht="22.5" hidden="1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 t="shared" si="3"/>
        <v>70</v>
      </c>
      <c r="S220" s="21">
        <v>2</v>
      </c>
      <c r="T220" s="19" t="s">
        <v>652</v>
      </c>
    </row>
    <row r="221" spans="1:20" ht="22.5" hidden="1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 t="shared" si="3"/>
        <v>30</v>
      </c>
      <c r="S221" s="23">
        <v>1</v>
      </c>
      <c r="T221" s="20" t="s">
        <v>717</v>
      </c>
    </row>
    <row r="222" spans="1:20" ht="22.5" hidden="1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 t="shared" si="3"/>
        <v>14</v>
      </c>
      <c r="S222" s="21">
        <v>2</v>
      </c>
      <c r="T222" s="19" t="s">
        <v>725</v>
      </c>
    </row>
    <row r="223" spans="1:20" ht="22.5" hidden="1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 t="shared" si="3"/>
        <v>29</v>
      </c>
      <c r="S223" s="23">
        <v>12</v>
      </c>
      <c r="T223" s="20" t="s">
        <v>729</v>
      </c>
    </row>
    <row r="224" spans="1:20" ht="22.5" hidden="1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 t="shared" si="3"/>
        <v>37</v>
      </c>
      <c r="S224" s="21">
        <v>2</v>
      </c>
      <c r="T224" s="19" t="s">
        <v>733</v>
      </c>
    </row>
    <row r="225" spans="1:20" ht="22.5" hidden="1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 t="shared" si="3"/>
        <v>24</v>
      </c>
      <c r="S225" s="23">
        <v>24</v>
      </c>
      <c r="T225" s="20" t="s">
        <v>737</v>
      </c>
    </row>
    <row r="226" spans="1:20" ht="22.5" hidden="1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 t="shared" si="3"/>
        <v>32</v>
      </c>
      <c r="S226" s="21">
        <v>1.5</v>
      </c>
      <c r="T226" s="19" t="s">
        <v>741</v>
      </c>
    </row>
    <row r="227" spans="1:20" ht="22.5" hidden="1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 t="shared" si="3"/>
        <v>14</v>
      </c>
      <c r="S227" s="23">
        <v>1</v>
      </c>
      <c r="T227" s="20" t="s">
        <v>744</v>
      </c>
    </row>
    <row r="228" spans="1:20" ht="22.5" hidden="1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 t="shared" si="3"/>
        <v>31</v>
      </c>
      <c r="S228" s="21">
        <v>10</v>
      </c>
      <c r="T228" s="19" t="s">
        <v>741</v>
      </c>
    </row>
    <row r="229" spans="1:20" ht="22.5" hidden="1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 t="shared" si="3"/>
        <v>30</v>
      </c>
      <c r="S229" s="23">
        <v>4</v>
      </c>
      <c r="T229" s="20" t="s">
        <v>425</v>
      </c>
    </row>
    <row r="230" spans="1:20" ht="22.5" hidden="1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 t="shared" si="3"/>
        <v>52</v>
      </c>
      <c r="S230" s="21">
        <v>16</v>
      </c>
      <c r="T230" s="19" t="s">
        <v>321</v>
      </c>
    </row>
    <row r="231" spans="1:20" ht="22.5" hidden="1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 t="shared" si="3"/>
        <v>89</v>
      </c>
      <c r="S231" s="23">
        <v>2</v>
      </c>
      <c r="T231" s="20" t="s">
        <v>652</v>
      </c>
    </row>
    <row r="232" spans="1:20" ht="22.5" hidden="1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 t="shared" si="3"/>
        <v>13</v>
      </c>
      <c r="S232" s="21">
        <v>24</v>
      </c>
      <c r="T232" s="19" t="s">
        <v>757</v>
      </c>
    </row>
    <row r="233" spans="1:20" ht="22.5" hidden="1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 t="shared" si="3"/>
        <v>38</v>
      </c>
      <c r="S233" s="23">
        <v>2</v>
      </c>
      <c r="T233" s="20" t="s">
        <v>451</v>
      </c>
    </row>
    <row r="234" spans="1:20" ht="22.5" hidden="1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 t="shared" si="3"/>
        <v>44</v>
      </c>
      <c r="S234" s="21">
        <v>2</v>
      </c>
      <c r="T234" s="19" t="s">
        <v>764</v>
      </c>
    </row>
    <row r="235" spans="1:20" ht="22.5" hidden="1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 t="shared" si="3"/>
        <v>21</v>
      </c>
      <c r="S235" s="23">
        <v>4</v>
      </c>
      <c r="T235" s="20" t="s">
        <v>425</v>
      </c>
    </row>
    <row r="236" spans="1:20" ht="22.5" hidden="1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 t="shared" si="3"/>
        <v>45</v>
      </c>
      <c r="S236" s="21">
        <v>2</v>
      </c>
      <c r="T236" s="19" t="s">
        <v>770</v>
      </c>
    </row>
    <row r="237" spans="1:20" ht="22.5" hidden="1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 t="shared" si="3"/>
        <v>70</v>
      </c>
      <c r="S237" s="23">
        <v>2</v>
      </c>
      <c r="T237" s="20" t="s">
        <v>546</v>
      </c>
    </row>
    <row r="238" spans="1:20" ht="22.5" hidden="1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 t="shared" si="3"/>
        <v>15</v>
      </c>
      <c r="S238" s="21">
        <v>20</v>
      </c>
      <c r="T238" s="19" t="s">
        <v>776</v>
      </c>
    </row>
    <row r="239" spans="1:20" ht="22.5" hidden="1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 t="shared" si="3"/>
        <v>51</v>
      </c>
      <c r="S239" s="23">
        <v>2</v>
      </c>
      <c r="T239" s="20" t="s">
        <v>780</v>
      </c>
    </row>
    <row r="240" spans="1:20" ht="22.5" hidden="1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 t="shared" si="3"/>
        <v>31</v>
      </c>
      <c r="S240" s="21">
        <v>1</v>
      </c>
      <c r="T240" s="19" t="s">
        <v>784</v>
      </c>
    </row>
    <row r="241" spans="1:20" ht="22.5" hidden="1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 t="shared" si="3"/>
        <v>140</v>
      </c>
      <c r="S241" s="23">
        <v>20</v>
      </c>
      <c r="T241" s="20" t="s">
        <v>788</v>
      </c>
    </row>
    <row r="242" spans="1:20" ht="22.5" hidden="1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 t="shared" si="3"/>
        <v>15</v>
      </c>
      <c r="S242" s="21">
        <v>21</v>
      </c>
      <c r="T242" s="19" t="s">
        <v>636</v>
      </c>
    </row>
    <row r="243" spans="1:20" ht="22.5" hidden="1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 t="shared" si="3"/>
        <v>18</v>
      </c>
      <c r="S243" s="23">
        <v>12</v>
      </c>
      <c r="T243" s="20" t="s">
        <v>713</v>
      </c>
    </row>
    <row r="244" spans="1:20" ht="22.5" hidden="1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 t="shared" si="3"/>
        <v>55</v>
      </c>
      <c r="S244" s="21">
        <v>2</v>
      </c>
      <c r="T244" s="19" t="s">
        <v>546</v>
      </c>
    </row>
    <row r="245" spans="1:20" ht="22.5" hidden="1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 t="shared" si="3"/>
        <v>120</v>
      </c>
      <c r="S245" s="23">
        <v>1</v>
      </c>
      <c r="T245" s="20" t="s">
        <v>798</v>
      </c>
    </row>
    <row r="246" spans="1:20" ht="22.5" hidden="1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 t="shared" si="3"/>
        <v>34</v>
      </c>
      <c r="S246" s="21">
        <v>24</v>
      </c>
      <c r="T246" s="19" t="s">
        <v>801</v>
      </c>
    </row>
    <row r="247" spans="1:20" ht="22.5" hidden="1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 t="shared" si="3"/>
        <v>37</v>
      </c>
      <c r="S247" s="23">
        <v>4</v>
      </c>
      <c r="T247" s="20" t="s">
        <v>425</v>
      </c>
    </row>
    <row r="248" spans="1:20" ht="22.5" hidden="1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 t="shared" si="3"/>
        <v>6</v>
      </c>
      <c r="S248" s="21">
        <v>2</v>
      </c>
      <c r="T248" s="19" t="s">
        <v>808</v>
      </c>
    </row>
    <row r="249" spans="1:20" ht="22.5" hidden="1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 t="shared" si="3"/>
        <v>25</v>
      </c>
      <c r="S249" s="23">
        <v>8</v>
      </c>
      <c r="T249" s="20" t="s">
        <v>812</v>
      </c>
    </row>
    <row r="250" spans="1:20" ht="22.5" hidden="1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 t="shared" si="3"/>
        <v>26</v>
      </c>
      <c r="S250" s="21">
        <v>20</v>
      </c>
      <c r="T250" s="19" t="s">
        <v>816</v>
      </c>
    </row>
    <row r="251" spans="1:20" ht="22.5" hidden="1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 t="shared" si="3"/>
        <v>56</v>
      </c>
      <c r="S251" s="23">
        <v>2</v>
      </c>
      <c r="T251" s="20" t="s">
        <v>425</v>
      </c>
    </row>
    <row r="252" spans="1:20" ht="22.5" hidden="1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 t="shared" si="3"/>
        <v>26</v>
      </c>
      <c r="S252" s="21">
        <v>4.5</v>
      </c>
      <c r="T252" s="19" t="s">
        <v>823</v>
      </c>
    </row>
    <row r="253" spans="1:20" ht="22.5" hidden="1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 t="shared" si="3"/>
        <v>26</v>
      </c>
      <c r="S253" s="23">
        <v>1</v>
      </c>
      <c r="T253" s="20" t="s">
        <v>451</v>
      </c>
    </row>
    <row r="254" spans="1:20" ht="22.5" hidden="1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 t="shared" si="3"/>
        <v>11</v>
      </c>
      <c r="S254" s="21">
        <v>66</v>
      </c>
      <c r="T254" s="19" t="s">
        <v>830</v>
      </c>
    </row>
    <row r="255" spans="1:20" ht="22.5" hidden="1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 t="shared" si="3"/>
        <v>14</v>
      </c>
      <c r="S255" s="23">
        <v>7</v>
      </c>
      <c r="T255" s="20" t="s">
        <v>833</v>
      </c>
    </row>
    <row r="256" spans="1:20" ht="22.5" hidden="1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 t="shared" si="3"/>
        <v>49</v>
      </c>
      <c r="S256" s="21">
        <v>10.5</v>
      </c>
      <c r="T256" s="19" t="s">
        <v>656</v>
      </c>
    </row>
    <row r="257" spans="1:20" ht="22.5" hidden="1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 t="shared" si="3"/>
        <v>27</v>
      </c>
      <c r="S257" s="23">
        <v>6</v>
      </c>
      <c r="T257" s="20" t="s">
        <v>840</v>
      </c>
    </row>
    <row r="258" spans="1:20" ht="22.5" hidden="1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 t="shared" ref="R258:R321" si="4">SUM(O258:Q258)</f>
        <v>22</v>
      </c>
      <c r="S258" s="21">
        <v>2</v>
      </c>
      <c r="T258" s="19" t="s">
        <v>685</v>
      </c>
    </row>
    <row r="259" spans="1:20" ht="22.5" hidden="1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 t="shared" si="4"/>
        <v>18</v>
      </c>
      <c r="S259" s="23">
        <v>6</v>
      </c>
      <c r="T259" s="20" t="s">
        <v>847</v>
      </c>
    </row>
    <row r="260" spans="1:20" ht="22.5" hidden="1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 t="shared" si="4"/>
        <v>31</v>
      </c>
      <c r="S260" s="21">
        <v>2</v>
      </c>
      <c r="T260" s="19" t="s">
        <v>851</v>
      </c>
    </row>
    <row r="261" spans="1:20" ht="22.5" hidden="1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 t="shared" si="4"/>
        <v>25</v>
      </c>
      <c r="S261" s="23">
        <v>20</v>
      </c>
      <c r="T261" s="20" t="s">
        <v>558</v>
      </c>
    </row>
    <row r="262" spans="1:20" ht="22.5" hidden="1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 t="shared" si="4"/>
        <v>9</v>
      </c>
      <c r="S262" s="21">
        <v>20</v>
      </c>
      <c r="T262" s="19" t="s">
        <v>521</v>
      </c>
    </row>
    <row r="263" spans="1:20" ht="22.5" hidden="1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 t="shared" si="4"/>
        <v>8</v>
      </c>
      <c r="S263" s="23">
        <v>6</v>
      </c>
      <c r="T263" s="20" t="s">
        <v>858</v>
      </c>
    </row>
    <row r="264" spans="1:20" ht="22.5" hidden="1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 t="shared" si="4"/>
        <v>29</v>
      </c>
      <c r="S264" s="21">
        <v>1</v>
      </c>
      <c r="T264" s="19" t="s">
        <v>784</v>
      </c>
    </row>
    <row r="265" spans="1:20" ht="22.5" hidden="1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 t="shared" si="4"/>
        <v>24</v>
      </c>
      <c r="S265" s="23">
        <v>4</v>
      </c>
      <c r="T265" s="20" t="s">
        <v>365</v>
      </c>
    </row>
    <row r="266" spans="1:20" ht="22.5" hidden="1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 t="shared" si="4"/>
        <v>66</v>
      </c>
      <c r="S266" s="21">
        <v>1.5</v>
      </c>
      <c r="T266" s="32" t="s">
        <v>167</v>
      </c>
    </row>
    <row r="267" spans="1:20" ht="22.5" hidden="1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 t="shared" si="4"/>
        <v>20</v>
      </c>
      <c r="S267" s="23">
        <v>3</v>
      </c>
      <c r="T267" s="20" t="s">
        <v>798</v>
      </c>
    </row>
    <row r="268" spans="1:20" ht="22.5" hidden="1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 t="shared" si="4"/>
        <v>13</v>
      </c>
      <c r="S268" s="21">
        <v>20</v>
      </c>
      <c r="T268" s="19" t="s">
        <v>521</v>
      </c>
    </row>
    <row r="269" spans="1:20" ht="22.5" hidden="1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 t="shared" si="4"/>
        <v>15</v>
      </c>
      <c r="S269" s="23">
        <v>8</v>
      </c>
      <c r="T269" s="20" t="s">
        <v>812</v>
      </c>
    </row>
    <row r="270" spans="1:20" ht="22.5" hidden="1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 t="shared" si="4"/>
        <v>5</v>
      </c>
      <c r="S270" s="21">
        <v>30</v>
      </c>
      <c r="T270" s="19" t="s">
        <v>741</v>
      </c>
    </row>
    <row r="271" spans="1:20" ht="22.5" hidden="1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 t="shared" si="4"/>
        <v>18</v>
      </c>
      <c r="S271" s="23">
        <v>12</v>
      </c>
      <c r="T271" s="20" t="s">
        <v>421</v>
      </c>
    </row>
    <row r="272" spans="1:20" ht="22.5" hidden="1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 t="shared" si="4"/>
        <v>8</v>
      </c>
      <c r="S272" s="21">
        <v>12</v>
      </c>
      <c r="T272" s="19" t="s">
        <v>421</v>
      </c>
    </row>
    <row r="273" spans="1:20" ht="22.5" hidden="1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 t="shared" si="4"/>
        <v>83</v>
      </c>
      <c r="S273" s="23">
        <v>16</v>
      </c>
      <c r="T273" s="20" t="s">
        <v>887</v>
      </c>
    </row>
    <row r="274" spans="1:20" ht="22.5" hidden="1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 t="shared" si="4"/>
        <v>24</v>
      </c>
      <c r="S274" s="21">
        <v>2</v>
      </c>
      <c r="T274" s="19" t="s">
        <v>891</v>
      </c>
    </row>
    <row r="275" spans="1:20" ht="22.5" hidden="1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 t="shared" si="4"/>
        <v>20</v>
      </c>
      <c r="S275" s="23">
        <v>20</v>
      </c>
      <c r="T275" s="20" t="s">
        <v>521</v>
      </c>
    </row>
    <row r="276" spans="1:20" ht="22.5" hidden="1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 t="shared" si="4"/>
        <v>39</v>
      </c>
      <c r="S276" s="21">
        <v>12</v>
      </c>
      <c r="T276" s="19" t="s">
        <v>897</v>
      </c>
    </row>
    <row r="277" spans="1:20" ht="22.5" hidden="1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 t="shared" si="4"/>
        <v>39</v>
      </c>
      <c r="S277" s="23">
        <v>1</v>
      </c>
      <c r="T277" s="20" t="s">
        <v>901</v>
      </c>
    </row>
    <row r="278" spans="1:20" ht="22.5" hidden="1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 t="shared" si="4"/>
        <v>277</v>
      </c>
      <c r="S278" s="21">
        <v>6</v>
      </c>
      <c r="T278" s="53" t="s">
        <v>905</v>
      </c>
    </row>
    <row r="279" spans="1:20" ht="22.5" hidden="1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 t="shared" si="4"/>
        <v>43</v>
      </c>
      <c r="S279" s="23">
        <v>8</v>
      </c>
      <c r="T279" s="20" t="s">
        <v>909</v>
      </c>
    </row>
    <row r="280" spans="1:20" ht="22.5" hidden="1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 t="shared" si="4"/>
        <v>21</v>
      </c>
      <c r="S280" s="21">
        <v>2</v>
      </c>
      <c r="T280" s="19" t="s">
        <v>808</v>
      </c>
    </row>
    <row r="281" spans="1:20" ht="22.5" hidden="1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 t="shared" si="4"/>
        <v>144</v>
      </c>
      <c r="S281" s="23">
        <v>2</v>
      </c>
      <c r="T281" s="20" t="s">
        <v>67</v>
      </c>
    </row>
    <row r="282" spans="1:20" ht="22.5" hidden="1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 t="shared" si="4"/>
        <v>19</v>
      </c>
      <c r="S282" s="21">
        <v>30</v>
      </c>
      <c r="T282" s="19" t="s">
        <v>741</v>
      </c>
    </row>
    <row r="283" spans="1:20" ht="22.5" hidden="1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 t="shared" si="4"/>
        <v>65</v>
      </c>
      <c r="S283" s="23">
        <v>16</v>
      </c>
      <c r="T283" s="20" t="s">
        <v>324</v>
      </c>
    </row>
    <row r="284" spans="1:20" ht="22.5" hidden="1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 t="shared" si="4"/>
        <v>72</v>
      </c>
      <c r="S284" s="21">
        <v>2</v>
      </c>
      <c r="T284" s="19" t="s">
        <v>924</v>
      </c>
    </row>
    <row r="285" spans="1:20" ht="22.5" hidden="1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 t="shared" si="4"/>
        <v>193</v>
      </c>
      <c r="S285" s="23">
        <v>20</v>
      </c>
      <c r="T285" s="20" t="s">
        <v>67</v>
      </c>
    </row>
    <row r="286" spans="1:20" ht="22.5" hidden="1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 t="shared" si="4"/>
        <v>46</v>
      </c>
      <c r="S286" s="21">
        <v>2</v>
      </c>
      <c r="T286" s="19" t="s">
        <v>931</v>
      </c>
    </row>
    <row r="287" spans="1:20" ht="22.5" hidden="1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 t="shared" si="4"/>
        <v>20</v>
      </c>
      <c r="S287" s="23">
        <v>4</v>
      </c>
      <c r="T287" s="20" t="s">
        <v>798</v>
      </c>
    </row>
    <row r="288" spans="1:20" ht="22.5" hidden="1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 t="shared" si="4"/>
        <v>23</v>
      </c>
      <c r="S288" s="21">
        <v>2</v>
      </c>
      <c r="T288" s="19"/>
    </row>
    <row r="289" spans="1:20" ht="22.5" hidden="1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 t="shared" si="4"/>
        <v>80</v>
      </c>
      <c r="S289" s="23">
        <v>16</v>
      </c>
      <c r="T289" s="20" t="s">
        <v>939</v>
      </c>
    </row>
    <row r="290" spans="1:20" ht="22.5" hidden="1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 t="shared" si="4"/>
        <v>21</v>
      </c>
      <c r="S290" s="21">
        <v>21</v>
      </c>
      <c r="T290" s="19" t="s">
        <v>943</v>
      </c>
    </row>
    <row r="291" spans="1:20" ht="22.5" hidden="1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 t="shared" si="4"/>
        <v>28</v>
      </c>
      <c r="S291" s="23">
        <v>20</v>
      </c>
      <c r="T291" s="20" t="s">
        <v>324</v>
      </c>
    </row>
    <row r="292" spans="1:20" ht="22.5" hidden="1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 t="shared" si="4"/>
        <v>35</v>
      </c>
      <c r="S292" s="21">
        <v>10.5</v>
      </c>
      <c r="T292" s="19" t="s">
        <v>948</v>
      </c>
    </row>
    <row r="293" spans="1:20" ht="22.5" hidden="1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 t="shared" si="4"/>
        <v>20</v>
      </c>
      <c r="S293" s="23">
        <v>12</v>
      </c>
      <c r="T293" s="20" t="s">
        <v>425</v>
      </c>
    </row>
    <row r="294" spans="1:20" ht="22.5" hidden="1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 t="shared" si="4"/>
        <v>188</v>
      </c>
      <c r="S294" s="21">
        <v>2</v>
      </c>
      <c r="T294" s="19" t="s">
        <v>955</v>
      </c>
    </row>
    <row r="295" spans="1:20" ht="22.5" hidden="1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 t="shared" si="4"/>
        <v>42</v>
      </c>
      <c r="S295" s="23">
        <v>2</v>
      </c>
      <c r="T295" s="20" t="s">
        <v>959</v>
      </c>
    </row>
    <row r="296" spans="1:20" ht="22.5" hidden="1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 t="shared" si="4"/>
        <v>31</v>
      </c>
      <c r="S296" s="21">
        <v>26</v>
      </c>
      <c r="T296" s="19" t="s">
        <v>963</v>
      </c>
    </row>
    <row r="297" spans="1:20" ht="22.5" hidden="1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 t="shared" si="4"/>
        <v>20</v>
      </c>
      <c r="S297" s="23">
        <v>20</v>
      </c>
      <c r="T297" s="20" t="s">
        <v>61</v>
      </c>
    </row>
    <row r="298" spans="1:20" ht="22.5" hidden="1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 t="shared" si="4"/>
        <v>70</v>
      </c>
      <c r="S298" s="21">
        <v>1.5</v>
      </c>
      <c r="T298" s="19" t="s">
        <v>969</v>
      </c>
    </row>
    <row r="299" spans="1:20" ht="22.5" hidden="1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 t="shared" si="4"/>
        <v>85</v>
      </c>
      <c r="S299" s="23">
        <v>8</v>
      </c>
      <c r="T299" s="20" t="s">
        <v>972</v>
      </c>
    </row>
    <row r="300" spans="1:20" ht="22.5" hidden="1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 t="shared" si="4"/>
        <v>54</v>
      </c>
      <c r="S300" s="21">
        <v>2</v>
      </c>
      <c r="T300" s="19" t="s">
        <v>976</v>
      </c>
    </row>
    <row r="301" spans="1:20" ht="22.5" hidden="1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 t="shared" si="4"/>
        <v>153</v>
      </c>
      <c r="S301" s="23">
        <v>2</v>
      </c>
      <c r="T301" s="20" t="s">
        <v>980</v>
      </c>
    </row>
    <row r="302" spans="1:20" ht="22.5" hidden="1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 t="shared" si="4"/>
        <v>19</v>
      </c>
      <c r="S302" s="21">
        <v>16</v>
      </c>
      <c r="T302" s="19" t="s">
        <v>425</v>
      </c>
    </row>
    <row r="303" spans="1:20" ht="22.5" hidden="1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 t="shared" si="4"/>
        <v>20</v>
      </c>
      <c r="S303" s="23">
        <v>2</v>
      </c>
      <c r="T303" s="20" t="s">
        <v>987</v>
      </c>
    </row>
    <row r="304" spans="1:20" ht="22.5" hidden="1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 t="shared" si="4"/>
        <v>25</v>
      </c>
      <c r="S304" s="21">
        <v>2</v>
      </c>
      <c r="T304" s="19" t="s">
        <v>990</v>
      </c>
    </row>
    <row r="305" spans="1:20" ht="22.5" hidden="1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 t="shared" si="4"/>
        <v>70</v>
      </c>
      <c r="S305" s="23">
        <v>2</v>
      </c>
      <c r="T305" s="20" t="s">
        <v>994</v>
      </c>
    </row>
    <row r="306" spans="1:20" ht="22.5" hidden="1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 t="shared" si="4"/>
        <v>17</v>
      </c>
      <c r="S306" s="21">
        <v>20</v>
      </c>
      <c r="T306" s="19"/>
    </row>
    <row r="307" spans="1:20" ht="22.5" hidden="1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 t="shared" si="4"/>
        <v>24</v>
      </c>
      <c r="S307" s="23">
        <v>20</v>
      </c>
      <c r="T307" s="20" t="s">
        <v>558</v>
      </c>
    </row>
    <row r="308" spans="1:20" ht="22.5" hidden="1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 t="shared" si="4"/>
        <v>17</v>
      </c>
      <c r="S308" s="21">
        <v>6.5</v>
      </c>
      <c r="T308" s="19" t="s">
        <v>1003</v>
      </c>
    </row>
    <row r="309" spans="1:20" ht="22.5" hidden="1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 t="shared" si="4"/>
        <v>17</v>
      </c>
      <c r="S309" s="23">
        <v>16</v>
      </c>
      <c r="T309" s="20" t="s">
        <v>425</v>
      </c>
    </row>
    <row r="310" spans="1:20" ht="22.5" hidden="1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 t="shared" si="4"/>
        <v>45</v>
      </c>
      <c r="S310" s="21">
        <v>1</v>
      </c>
      <c r="T310" s="32" t="s">
        <v>117</v>
      </c>
    </row>
    <row r="311" spans="1:20" ht="22.5" hidden="1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 t="shared" si="4"/>
        <v>26</v>
      </c>
      <c r="S311" s="23">
        <v>2</v>
      </c>
      <c r="T311" s="20" t="s">
        <v>1013</v>
      </c>
    </row>
    <row r="312" spans="1:20" ht="22.5" hidden="1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 t="shared" si="4"/>
        <v>17</v>
      </c>
      <c r="S312" s="21">
        <v>75</v>
      </c>
      <c r="T312" s="53" t="s">
        <v>1016</v>
      </c>
    </row>
    <row r="313" spans="1:20" ht="22.5" hidden="1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 t="shared" si="4"/>
        <v>30</v>
      </c>
      <c r="S313" s="23">
        <v>2</v>
      </c>
      <c r="T313" s="20" t="s">
        <v>685</v>
      </c>
    </row>
    <row r="314" spans="1:20" ht="22.5" hidden="1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 t="shared" si="4"/>
        <v>20</v>
      </c>
      <c r="S314" s="21">
        <v>20</v>
      </c>
      <c r="T314" s="19" t="s">
        <v>61</v>
      </c>
    </row>
    <row r="315" spans="1:20" ht="22.5" hidden="1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 t="shared" si="4"/>
        <v>33</v>
      </c>
      <c r="S315" s="23">
        <v>2</v>
      </c>
      <c r="T315" s="20" t="s">
        <v>1024</v>
      </c>
    </row>
    <row r="316" spans="1:20" ht="22.5" hidden="1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 t="shared" si="4"/>
        <v>17</v>
      </c>
      <c r="S316" s="21">
        <v>5</v>
      </c>
      <c r="T316" s="32" t="s">
        <v>1028</v>
      </c>
    </row>
    <row r="317" spans="1:20" ht="22.5" hidden="1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 t="shared" si="4"/>
        <v>15</v>
      </c>
      <c r="S317" s="23">
        <v>24</v>
      </c>
      <c r="T317" s="20" t="s">
        <v>1032</v>
      </c>
    </row>
    <row r="318" spans="1:20" ht="22.5" hidden="1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 t="shared" si="4"/>
        <v>19</v>
      </c>
      <c r="S318" s="21">
        <v>4</v>
      </c>
      <c r="T318" s="19" t="s">
        <v>324</v>
      </c>
    </row>
    <row r="319" spans="1:20" ht="22.5" hidden="1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 t="shared" si="4"/>
        <v>16</v>
      </c>
      <c r="S319" s="23">
        <v>2</v>
      </c>
      <c r="T319" s="20" t="s">
        <v>1040</v>
      </c>
    </row>
    <row r="320" spans="1:20" ht="22.5" hidden="1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 t="shared" si="4"/>
        <v>49</v>
      </c>
      <c r="S320" s="21">
        <v>2</v>
      </c>
      <c r="T320" s="19" t="s">
        <v>1040</v>
      </c>
    </row>
    <row r="321" spans="1:20" ht="22.5" hidden="1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 t="shared" si="4"/>
        <v>126</v>
      </c>
      <c r="S321" s="23">
        <v>2</v>
      </c>
      <c r="T321" s="20" t="s">
        <v>1040</v>
      </c>
    </row>
    <row r="322" spans="1:20" ht="22.5" hidden="1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 t="shared" ref="R322:R385" si="5">SUM(O322:Q322)</f>
        <v>40</v>
      </c>
      <c r="S322" s="21">
        <v>1</v>
      </c>
      <c r="T322" s="19" t="s">
        <v>1046</v>
      </c>
    </row>
    <row r="323" spans="1:20" ht="22.5" hidden="1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 t="shared" si="5"/>
        <v>40</v>
      </c>
      <c r="S323" s="23">
        <v>1</v>
      </c>
      <c r="T323" s="20" t="s">
        <v>1046</v>
      </c>
    </row>
    <row r="324" spans="1:20" ht="22.5" hidden="1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 t="shared" si="5"/>
        <v>60</v>
      </c>
      <c r="S324" s="21">
        <v>1</v>
      </c>
      <c r="T324" s="19" t="s">
        <v>1046</v>
      </c>
    </row>
    <row r="325" spans="1:20" ht="22.5" hidden="1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 t="shared" si="5"/>
        <v>30</v>
      </c>
      <c r="S325" s="23">
        <v>1</v>
      </c>
      <c r="T325" s="20" t="s">
        <v>1046</v>
      </c>
    </row>
    <row r="326" spans="1:20" ht="22.5" hidden="1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 t="shared" si="5"/>
        <v>21</v>
      </c>
      <c r="S326" s="21">
        <v>30</v>
      </c>
      <c r="T326" s="19" t="s">
        <v>741</v>
      </c>
    </row>
    <row r="327" spans="1:20" ht="22.5" hidden="1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 t="shared" si="5"/>
        <v>20</v>
      </c>
      <c r="S327" s="23">
        <v>20</v>
      </c>
      <c r="T327" s="20" t="s">
        <v>61</v>
      </c>
    </row>
    <row r="328" spans="1:20" ht="22.5" hidden="1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 t="shared" si="5"/>
        <v>40</v>
      </c>
      <c r="S328" s="21">
        <v>9</v>
      </c>
      <c r="T328" s="53" t="s">
        <v>1059</v>
      </c>
    </row>
    <row r="329" spans="1:20" ht="22.5" hidden="1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 t="shared" si="5"/>
        <v>80</v>
      </c>
      <c r="S329" s="23">
        <v>8</v>
      </c>
      <c r="T329" s="20" t="s">
        <v>1063</v>
      </c>
    </row>
    <row r="330" spans="1:20" ht="22.5" hidden="1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 t="shared" si="5"/>
        <v>26</v>
      </c>
      <c r="S330" s="21">
        <v>16</v>
      </c>
      <c r="T330" s="19" t="s">
        <v>425</v>
      </c>
    </row>
    <row r="331" spans="1:20" ht="22.5" hidden="1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 t="shared" si="5"/>
        <v>15</v>
      </c>
      <c r="S331" s="23">
        <v>16</v>
      </c>
      <c r="T331" s="20" t="s">
        <v>1070</v>
      </c>
    </row>
    <row r="332" spans="1:20" ht="22.5" hidden="1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 t="shared" si="5"/>
        <v>23</v>
      </c>
      <c r="S332" s="21">
        <v>46</v>
      </c>
      <c r="T332" s="19" t="s">
        <v>1073</v>
      </c>
    </row>
    <row r="333" spans="1:20" ht="22.5" hidden="1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 t="shared" si="5"/>
        <v>207</v>
      </c>
      <c r="S333" s="23">
        <v>1.5</v>
      </c>
      <c r="T333" s="20" t="s">
        <v>1077</v>
      </c>
    </row>
    <row r="334" spans="1:20" ht="22.5" hidden="1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 t="shared" si="5"/>
        <v>13</v>
      </c>
      <c r="S334" s="21">
        <v>30</v>
      </c>
      <c r="T334" s="19" t="s">
        <v>741</v>
      </c>
    </row>
    <row r="335" spans="1:20" ht="22.5" hidden="1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 t="shared" si="5"/>
        <v>184</v>
      </c>
      <c r="S335" s="23">
        <v>10</v>
      </c>
      <c r="T335" s="20" t="s">
        <v>1083</v>
      </c>
    </row>
    <row r="336" spans="1:20" ht="22.5" hidden="1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 t="shared" si="5"/>
        <v>46</v>
      </c>
      <c r="S336" s="21">
        <v>20</v>
      </c>
      <c r="T336" s="19" t="s">
        <v>1087</v>
      </c>
    </row>
    <row r="337" spans="1:20" ht="22.5" hidden="1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 t="shared" si="5"/>
        <v>60</v>
      </c>
      <c r="S337" s="23">
        <v>2</v>
      </c>
      <c r="T337" s="20" t="s">
        <v>1090</v>
      </c>
    </row>
    <row r="338" spans="1:20" ht="22.5" hidden="1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 t="shared" si="5"/>
        <v>48</v>
      </c>
      <c r="S338" s="21">
        <v>20</v>
      </c>
      <c r="T338" s="19" t="s">
        <v>324</v>
      </c>
    </row>
    <row r="339" spans="1:20" ht="22.5" hidden="1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 t="shared" si="5"/>
        <v>40</v>
      </c>
      <c r="S339" s="23">
        <v>2</v>
      </c>
      <c r="T339" s="20" t="s">
        <v>784</v>
      </c>
    </row>
    <row r="340" spans="1:20" ht="22.5" hidden="1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 t="shared" si="5"/>
        <v>150</v>
      </c>
      <c r="S340" s="21">
        <v>2</v>
      </c>
      <c r="T340" s="19" t="s">
        <v>1100</v>
      </c>
    </row>
    <row r="341" spans="1:20" ht="22.5" hidden="1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 t="shared" si="5"/>
        <v>20</v>
      </c>
      <c r="S341" s="23">
        <v>7</v>
      </c>
      <c r="T341" s="20" t="s">
        <v>808</v>
      </c>
    </row>
    <row r="342" spans="1:20" ht="22.5" hidden="1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 t="shared" si="5"/>
        <v>30</v>
      </c>
      <c r="S342" s="21">
        <v>2</v>
      </c>
      <c r="T342" s="19" t="s">
        <v>784</v>
      </c>
    </row>
    <row r="343" spans="1:20" ht="22.5" hidden="1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 t="shared" si="5"/>
        <v>67</v>
      </c>
      <c r="S343" s="23">
        <v>18</v>
      </c>
      <c r="T343" s="20" t="s">
        <v>1110</v>
      </c>
    </row>
    <row r="344" spans="1:20" ht="22.5" hidden="1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 t="shared" si="5"/>
        <v>67</v>
      </c>
      <c r="S344" s="21">
        <v>2</v>
      </c>
      <c r="T344" s="19" t="s">
        <v>1113</v>
      </c>
    </row>
    <row r="345" spans="1:20" ht="22.5" hidden="1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 t="shared" si="5"/>
        <v>57</v>
      </c>
      <c r="S345" s="23">
        <v>2</v>
      </c>
      <c r="T345" s="20" t="s">
        <v>1113</v>
      </c>
    </row>
    <row r="346" spans="1:20" ht="22.5" hidden="1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 t="shared" si="5"/>
        <v>20</v>
      </c>
      <c r="S346" s="21">
        <v>26</v>
      </c>
      <c r="T346" s="19" t="s">
        <v>1117</v>
      </c>
    </row>
    <row r="347" spans="1:20" ht="22.5" hidden="1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 t="shared" si="5"/>
        <v>315</v>
      </c>
      <c r="S347" s="23">
        <v>8</v>
      </c>
      <c r="T347" s="20" t="s">
        <v>1121</v>
      </c>
    </row>
    <row r="348" spans="1:20" ht="22.5" hidden="1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 t="shared" si="5"/>
        <v>35</v>
      </c>
      <c r="S348" s="21">
        <v>8</v>
      </c>
      <c r="T348" s="19" t="s">
        <v>1125</v>
      </c>
    </row>
    <row r="349" spans="1:20" ht="22.5" hidden="1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 t="shared" si="5"/>
        <v>17</v>
      </c>
      <c r="S349" s="23">
        <f>5*17</f>
        <v>85</v>
      </c>
      <c r="T349" s="20" t="s">
        <v>741</v>
      </c>
    </row>
    <row r="350" spans="1:20" ht="22.5" hidden="1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 t="shared" si="5"/>
        <v>27</v>
      </c>
      <c r="S350" s="21">
        <v>8</v>
      </c>
      <c r="T350" s="19" t="s">
        <v>717</v>
      </c>
    </row>
    <row r="351" spans="1:20" ht="22.5" hidden="1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 t="shared" si="5"/>
        <v>45</v>
      </c>
      <c r="S351" s="23">
        <v>4</v>
      </c>
      <c r="T351" s="20" t="s">
        <v>1135</v>
      </c>
    </row>
    <row r="352" spans="1:20" ht="22.5" hidden="1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 t="shared" si="5"/>
        <v>51</v>
      </c>
      <c r="S352" s="21">
        <v>4</v>
      </c>
      <c r="T352" s="19" t="s">
        <v>1139</v>
      </c>
    </row>
    <row r="353" spans="1:20" ht="22.5" hidden="1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 t="shared" si="5"/>
        <v>5</v>
      </c>
      <c r="S353" s="23">
        <v>28</v>
      </c>
      <c r="T353" s="20" t="s">
        <v>1073</v>
      </c>
    </row>
    <row r="354" spans="1:20" ht="22.5" hidden="1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 t="shared" si="5"/>
        <v>16</v>
      </c>
      <c r="S354" s="21">
        <v>24</v>
      </c>
      <c r="T354" s="19" t="s">
        <v>1032</v>
      </c>
    </row>
    <row r="355" spans="1:20" ht="22.5" hidden="1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 t="shared" si="5"/>
        <v>30</v>
      </c>
      <c r="S355" s="23">
        <v>12</v>
      </c>
      <c r="T355" s="20" t="s">
        <v>1147</v>
      </c>
    </row>
    <row r="356" spans="1:20" ht="22.5" hidden="1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 t="shared" si="5"/>
        <v>64</v>
      </c>
      <c r="S356" s="21">
        <v>12</v>
      </c>
      <c r="T356" s="19"/>
    </row>
    <row r="357" spans="1:20" ht="22.5" hidden="1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 t="shared" si="5"/>
        <v>57</v>
      </c>
      <c r="S357" s="23">
        <v>20</v>
      </c>
      <c r="T357" s="20" t="s">
        <v>1110</v>
      </c>
    </row>
    <row r="358" spans="1:20" ht="22.5" hidden="1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 t="shared" si="5"/>
        <v>39</v>
      </c>
      <c r="S358" s="21">
        <v>25</v>
      </c>
      <c r="T358" s="19" t="s">
        <v>1156</v>
      </c>
    </row>
    <row r="359" spans="1:20" ht="22.5" hidden="1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 t="shared" si="5"/>
        <v>16</v>
      </c>
      <c r="S359" s="23">
        <v>24</v>
      </c>
      <c r="T359" s="20" t="s">
        <v>441</v>
      </c>
    </row>
    <row r="360" spans="1:20" ht="22.5" hidden="1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 t="shared" si="5"/>
        <v>47</v>
      </c>
      <c r="S360" s="21">
        <v>20</v>
      </c>
      <c r="T360" s="19" t="s">
        <v>1087</v>
      </c>
    </row>
    <row r="361" spans="1:20" ht="22.5" hidden="1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 t="shared" si="5"/>
        <v>13</v>
      </c>
      <c r="S361" s="23">
        <v>16</v>
      </c>
      <c r="T361" s="20" t="s">
        <v>1166</v>
      </c>
    </row>
    <row r="362" spans="1:20" ht="22.5" hidden="1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 t="shared" si="5"/>
        <v>26</v>
      </c>
      <c r="S362" s="21">
        <v>30</v>
      </c>
      <c r="T362" s="19" t="s">
        <v>741</v>
      </c>
    </row>
    <row r="363" spans="1:20" ht="22.5" hidden="1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 t="shared" si="5"/>
        <v>43</v>
      </c>
      <c r="S363" s="23">
        <v>12</v>
      </c>
      <c r="T363" s="20" t="s">
        <v>897</v>
      </c>
    </row>
    <row r="364" spans="1:20" ht="22.5" hidden="1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 t="shared" si="5"/>
        <v>11</v>
      </c>
      <c r="S364" s="21">
        <v>24</v>
      </c>
      <c r="T364" s="19" t="s">
        <v>1032</v>
      </c>
    </row>
    <row r="365" spans="1:20" ht="22.5" hidden="1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 t="shared" si="5"/>
        <v>11</v>
      </c>
      <c r="S365" s="23">
        <v>24</v>
      </c>
      <c r="T365" s="20" t="s">
        <v>1176</v>
      </c>
    </row>
    <row r="366" spans="1:20" ht="22.5" hidden="1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 t="shared" si="5"/>
        <v>57</v>
      </c>
      <c r="S366" s="21">
        <v>16</v>
      </c>
      <c r="T366" s="32" t="s">
        <v>324</v>
      </c>
    </row>
    <row r="367" spans="1:20" ht="22.5" hidden="1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 t="shared" si="5"/>
        <v>22</v>
      </c>
      <c r="S367" s="23">
        <v>20</v>
      </c>
      <c r="T367" s="20" t="s">
        <v>1182</v>
      </c>
    </row>
    <row r="368" spans="1:20" ht="22.5" hidden="1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 t="shared" si="5"/>
        <v>176</v>
      </c>
      <c r="S368" s="21">
        <v>2</v>
      </c>
      <c r="T368" s="19"/>
    </row>
    <row r="369" spans="1:20" ht="22.5" hidden="1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 t="shared" si="5"/>
        <v>56</v>
      </c>
      <c r="S369" s="23">
        <v>4</v>
      </c>
      <c r="T369" s="20" t="s">
        <v>1188</v>
      </c>
    </row>
    <row r="370" spans="1:20" ht="22.5" hidden="1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 t="shared" si="5"/>
        <v>23</v>
      </c>
      <c r="S370" s="21">
        <v>8</v>
      </c>
      <c r="T370" s="19" t="s">
        <v>1192</v>
      </c>
    </row>
    <row r="371" spans="1:20" ht="22.5" hidden="1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 t="shared" si="5"/>
        <v>39</v>
      </c>
      <c r="S371" s="23">
        <v>1</v>
      </c>
      <c r="T371" s="20" t="s">
        <v>511</v>
      </c>
    </row>
    <row r="372" spans="1:20" ht="22.5" hidden="1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 t="shared" si="5"/>
        <v>47</v>
      </c>
      <c r="S372" s="21">
        <v>2</v>
      </c>
      <c r="T372" s="19"/>
    </row>
    <row r="373" spans="1:20" ht="22.5" hidden="1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 t="shared" si="5"/>
        <v>53</v>
      </c>
      <c r="S373" s="23">
        <v>16</v>
      </c>
      <c r="T373" s="31" t="s">
        <v>324</v>
      </c>
    </row>
    <row r="374" spans="1:20" ht="22.5" hidden="1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 t="shared" si="5"/>
        <v>28</v>
      </c>
      <c r="S374" s="21">
        <v>2</v>
      </c>
      <c r="T374" s="19" t="s">
        <v>1176</v>
      </c>
    </row>
    <row r="375" spans="1:20" ht="22.5" hidden="1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 t="shared" si="5"/>
        <v>18</v>
      </c>
      <c r="S375" s="23">
        <v>3</v>
      </c>
      <c r="T375" s="20" t="s">
        <v>1182</v>
      </c>
    </row>
    <row r="376" spans="1:20" ht="22.5" hidden="1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 t="shared" si="5"/>
        <v>53</v>
      </c>
      <c r="S376" s="21">
        <v>16</v>
      </c>
      <c r="T376" s="32" t="s">
        <v>324</v>
      </c>
    </row>
    <row r="377" spans="1:20" ht="22.5" hidden="1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 t="shared" si="5"/>
        <v>10</v>
      </c>
      <c r="S377" s="23">
        <v>3</v>
      </c>
      <c r="T377" s="20" t="s">
        <v>1182</v>
      </c>
    </row>
    <row r="378" spans="1:20" ht="22.5" hidden="1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 t="shared" si="5"/>
        <v>34</v>
      </c>
      <c r="S378" s="21">
        <v>3</v>
      </c>
      <c r="T378" s="19" t="s">
        <v>1182</v>
      </c>
    </row>
    <row r="379" spans="1:20" ht="22.5" hidden="1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 t="shared" si="5"/>
        <v>0</v>
      </c>
      <c r="S379" s="23"/>
      <c r="T379" s="20"/>
    </row>
    <row r="380" spans="1:20" ht="22.5" hidden="1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 t="shared" si="5"/>
        <v>15</v>
      </c>
      <c r="S380" s="21">
        <v>2</v>
      </c>
      <c r="T380" s="19" t="s">
        <v>1216</v>
      </c>
    </row>
    <row r="381" spans="1:20" ht="22.5" hidden="1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 t="shared" si="5"/>
        <v>21</v>
      </c>
      <c r="S381" s="23">
        <v>3</v>
      </c>
      <c r="T381" s="20"/>
    </row>
    <row r="382" spans="1:20" ht="22.5" hidden="1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 t="shared" si="5"/>
        <v>17</v>
      </c>
      <c r="S382" s="21">
        <v>16</v>
      </c>
      <c r="T382" s="32" t="s">
        <v>324</v>
      </c>
    </row>
    <row r="383" spans="1:20" ht="22.5" hidden="1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 t="shared" si="5"/>
        <v>13</v>
      </c>
      <c r="S383" s="23">
        <v>3</v>
      </c>
      <c r="T383" s="20" t="s">
        <v>1182</v>
      </c>
    </row>
    <row r="384" spans="1:20" ht="22.5" hidden="1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 t="shared" si="5"/>
        <v>114</v>
      </c>
      <c r="S384" s="21">
        <v>2</v>
      </c>
      <c r="T384" s="19"/>
    </row>
    <row r="385" spans="1:20" ht="22.5" hidden="1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 t="shared" si="5"/>
        <v>5</v>
      </c>
      <c r="S385" s="23">
        <v>16</v>
      </c>
      <c r="T385" s="20" t="s">
        <v>1070</v>
      </c>
    </row>
    <row r="386" spans="1:20" ht="22.5" hidden="1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 t="shared" ref="R386:R449" si="6">SUM(O386:Q386)</f>
        <v>49</v>
      </c>
      <c r="S386" s="21">
        <v>2</v>
      </c>
      <c r="T386" s="19" t="s">
        <v>1230</v>
      </c>
    </row>
    <row r="387" spans="1:20" ht="22.5" hidden="1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 t="shared" si="6"/>
        <v>22</v>
      </c>
      <c r="S387" s="23">
        <v>2</v>
      </c>
      <c r="T387" s="20" t="s">
        <v>365</v>
      </c>
    </row>
    <row r="388" spans="1:20" ht="22.5" hidden="1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 t="shared" si="6"/>
        <v>91</v>
      </c>
      <c r="S388" s="21">
        <v>8</v>
      </c>
      <c r="T388" s="19" t="s">
        <v>365</v>
      </c>
    </row>
    <row r="389" spans="1:20" ht="22.5" hidden="1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 t="shared" si="6"/>
        <v>5</v>
      </c>
      <c r="S389" s="23">
        <v>16</v>
      </c>
      <c r="T389" s="31" t="s">
        <v>324</v>
      </c>
    </row>
    <row r="390" spans="1:20" ht="22.5" hidden="1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 t="shared" si="6"/>
        <v>181</v>
      </c>
      <c r="S390" s="21">
        <v>1</v>
      </c>
      <c r="T390" s="19" t="s">
        <v>61</v>
      </c>
    </row>
    <row r="391" spans="1:20" ht="22.5" hidden="1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 t="shared" si="6"/>
        <v>7</v>
      </c>
      <c r="S391" s="23">
        <v>16</v>
      </c>
      <c r="T391" s="31" t="s">
        <v>324</v>
      </c>
    </row>
    <row r="392" spans="1:20" ht="22.5" hidden="1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 t="shared" si="6"/>
        <v>9</v>
      </c>
      <c r="S392" s="21">
        <v>16</v>
      </c>
      <c r="T392" s="19" t="s">
        <v>1246</v>
      </c>
    </row>
    <row r="393" spans="1:20" ht="22.5" hidden="1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hidden="1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 t="shared" ref="R394:R457" si="7">SUM(O394:Q394)</f>
        <v>31</v>
      </c>
      <c r="S394" s="21">
        <v>16</v>
      </c>
      <c r="T394" s="32" t="s">
        <v>324</v>
      </c>
    </row>
    <row r="395" spans="1:20" ht="22.5" hidden="1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 t="shared" si="7"/>
        <v>19</v>
      </c>
      <c r="S395" s="23">
        <v>2</v>
      </c>
      <c r="T395" s="20" t="s">
        <v>741</v>
      </c>
    </row>
    <row r="396" spans="1:20" ht="22.5" hidden="1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 t="shared" si="7"/>
        <v>45</v>
      </c>
      <c r="S396" s="21">
        <v>8</v>
      </c>
      <c r="T396" s="19" t="s">
        <v>1125</v>
      </c>
    </row>
    <row r="397" spans="1:20" ht="22.5" hidden="1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 t="shared" si="7"/>
        <v>0</v>
      </c>
      <c r="S397" s="23">
        <v>2</v>
      </c>
      <c r="T397" s="20" t="s">
        <v>365</v>
      </c>
    </row>
    <row r="398" spans="1:20" ht="22.5" hidden="1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 t="shared" si="7"/>
        <v>85</v>
      </c>
      <c r="S398" s="21">
        <v>8</v>
      </c>
      <c r="T398" s="19" t="s">
        <v>365</v>
      </c>
    </row>
    <row r="399" spans="1:20" ht="22.5" hidden="1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 t="shared" si="7"/>
        <v>7</v>
      </c>
      <c r="S399" s="23">
        <v>1</v>
      </c>
      <c r="T399" s="20" t="s">
        <v>1265</v>
      </c>
    </row>
    <row r="400" spans="1:20" ht="22.5" hidden="1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 t="shared" si="7"/>
        <v>30</v>
      </c>
      <c r="S400" s="21">
        <v>4</v>
      </c>
      <c r="T400" s="19"/>
    </row>
    <row r="401" spans="1:20" ht="22.5" hidden="1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 t="shared" si="7"/>
        <v>62</v>
      </c>
      <c r="S401" s="23">
        <v>1.5</v>
      </c>
      <c r="T401" s="20" t="s">
        <v>1271</v>
      </c>
    </row>
    <row r="402" spans="1:20" ht="22.5" hidden="1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 t="shared" si="7"/>
        <v>68</v>
      </c>
      <c r="S402" s="21">
        <v>4</v>
      </c>
      <c r="T402" s="19" t="s">
        <v>1275</v>
      </c>
    </row>
    <row r="403" spans="1:20" ht="22.5" hidden="1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 t="shared" si="7"/>
        <v>2</v>
      </c>
      <c r="S403" s="23">
        <v>48</v>
      </c>
      <c r="T403" s="20" t="s">
        <v>167</v>
      </c>
    </row>
    <row r="404" spans="1:20" ht="22.5" hidden="1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 t="shared" si="7"/>
        <v>36</v>
      </c>
      <c r="S404" s="21">
        <v>16</v>
      </c>
      <c r="T404" s="19" t="s">
        <v>1282</v>
      </c>
    </row>
    <row r="405" spans="1:20" ht="22.5" hidden="1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 t="shared" si="7"/>
        <v>14</v>
      </c>
      <c r="S405" s="23">
        <v>16</v>
      </c>
      <c r="T405" s="20" t="s">
        <v>1113</v>
      </c>
    </row>
    <row r="406" spans="1:20" ht="22.5" hidden="1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 t="shared" si="7"/>
        <v>44</v>
      </c>
      <c r="S406" s="21">
        <v>5</v>
      </c>
      <c r="T406" s="53" t="s">
        <v>1289</v>
      </c>
    </row>
    <row r="407" spans="1:20" ht="22.5" hidden="1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 t="shared" si="7"/>
        <v>26</v>
      </c>
      <c r="S407" s="23">
        <v>20</v>
      </c>
      <c r="T407" s="20" t="s">
        <v>61</v>
      </c>
    </row>
    <row r="408" spans="1:20" ht="22.5" hidden="1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 t="shared" si="7"/>
        <v>23</v>
      </c>
      <c r="S408" s="21">
        <v>16</v>
      </c>
      <c r="T408" s="19" t="s">
        <v>1296</v>
      </c>
    </row>
    <row r="409" spans="1:20" ht="22.5" hidden="1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 t="shared" si="7"/>
        <v>20</v>
      </c>
      <c r="S409" s="23">
        <v>2</v>
      </c>
      <c r="T409" s="20" t="s">
        <v>1300</v>
      </c>
    </row>
    <row r="410" spans="1:20" ht="22.5" hidden="1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 t="shared" si="7"/>
        <v>0</v>
      </c>
      <c r="S410" s="21"/>
      <c r="T410" s="19"/>
    </row>
    <row r="411" spans="1:20" ht="22.5" hidden="1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 t="shared" si="7"/>
        <v>16</v>
      </c>
      <c r="S411" s="23">
        <v>16</v>
      </c>
      <c r="T411" s="20" t="s">
        <v>1306</v>
      </c>
    </row>
    <row r="412" spans="1:20" ht="22.5" hidden="1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 t="shared" si="7"/>
        <v>44</v>
      </c>
      <c r="S412" s="21">
        <v>20</v>
      </c>
      <c r="T412" s="19" t="s">
        <v>324</v>
      </c>
    </row>
    <row r="413" spans="1:20" ht="22.5" hidden="1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 t="shared" si="7"/>
        <v>105</v>
      </c>
      <c r="S413" s="23">
        <v>4</v>
      </c>
      <c r="T413" s="20" t="s">
        <v>1313</v>
      </c>
    </row>
    <row r="414" spans="1:20" ht="22.5" hidden="1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 t="shared" si="7"/>
        <v>50</v>
      </c>
      <c r="S414" s="21">
        <v>4</v>
      </c>
      <c r="T414" s="19" t="s">
        <v>1318</v>
      </c>
    </row>
    <row r="415" spans="1:20" ht="22.5" hidden="1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2400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 t="shared" si="7"/>
        <v>25</v>
      </c>
      <c r="S415" s="23">
        <v>20</v>
      </c>
      <c r="T415" s="20" t="s">
        <v>931</v>
      </c>
    </row>
    <row r="416" spans="1:20" ht="22.5" hidden="1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 t="shared" si="7"/>
        <v>9</v>
      </c>
      <c r="S416" s="21">
        <v>20</v>
      </c>
      <c r="T416" s="19" t="s">
        <v>1306</v>
      </c>
    </row>
    <row r="417" spans="1:20" ht="22.5" hidden="1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 t="shared" si="7"/>
        <v>25</v>
      </c>
      <c r="S417" s="23">
        <v>16</v>
      </c>
      <c r="T417" s="20" t="s">
        <v>1326</v>
      </c>
    </row>
    <row r="418" spans="1:20" ht="22.5" hidden="1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 t="shared" si="7"/>
        <v>13</v>
      </c>
      <c r="S418" s="21">
        <v>19</v>
      </c>
      <c r="T418" s="19" t="s">
        <v>1330</v>
      </c>
    </row>
    <row r="419" spans="1:20" ht="22.5" hidden="1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 t="shared" si="7"/>
        <v>49</v>
      </c>
      <c r="S419" s="23">
        <v>16</v>
      </c>
      <c r="T419" s="20" t="s">
        <v>1333</v>
      </c>
    </row>
    <row r="420" spans="1:20" ht="22.5" hidden="1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 t="shared" si="7"/>
        <v>128</v>
      </c>
      <c r="S420" s="21">
        <v>4</v>
      </c>
      <c r="T420" s="19" t="s">
        <v>1337</v>
      </c>
    </row>
    <row r="421" spans="1:20" ht="22.5" hidden="1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 t="shared" si="7"/>
        <v>21</v>
      </c>
      <c r="S421" s="23">
        <v>20</v>
      </c>
      <c r="T421" s="20" t="s">
        <v>61</v>
      </c>
    </row>
    <row r="422" spans="1:20" ht="22.5" hidden="1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 t="shared" si="7"/>
        <v>8</v>
      </c>
      <c r="S422" s="21">
        <v>16</v>
      </c>
      <c r="T422" s="19" t="s">
        <v>1343</v>
      </c>
    </row>
    <row r="423" spans="1:20" ht="22.5" hidden="1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 t="shared" si="7"/>
        <v>93</v>
      </c>
      <c r="S423" s="23">
        <v>4</v>
      </c>
      <c r="T423" s="20" t="s">
        <v>1337</v>
      </c>
    </row>
    <row r="424" spans="1:20" ht="22.5" hidden="1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 t="shared" si="7"/>
        <v>6</v>
      </c>
      <c r="S424" s="21">
        <v>24</v>
      </c>
      <c r="T424" s="19" t="s">
        <v>963</v>
      </c>
    </row>
    <row r="425" spans="1:20" ht="22.5" hidden="1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 t="shared" si="7"/>
        <v>80</v>
      </c>
      <c r="S425" s="23">
        <v>4</v>
      </c>
      <c r="T425" s="20" t="s">
        <v>365</v>
      </c>
    </row>
    <row r="426" spans="1:20" ht="22.5" hidden="1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 t="shared" si="7"/>
        <v>8</v>
      </c>
      <c r="S426" s="21">
        <v>4</v>
      </c>
      <c r="T426" s="19" t="s">
        <v>1354</v>
      </c>
    </row>
    <row r="427" spans="1:20" ht="22.5" hidden="1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 t="shared" si="7"/>
        <v>10</v>
      </c>
      <c r="S427" s="23">
        <v>16</v>
      </c>
      <c r="T427" s="20" t="s">
        <v>1358</v>
      </c>
    </row>
    <row r="428" spans="1:20" ht="22.5" hidden="1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 t="shared" si="7"/>
        <v>80</v>
      </c>
      <c r="S428" s="21">
        <v>4</v>
      </c>
      <c r="T428" s="19" t="s">
        <v>1046</v>
      </c>
    </row>
    <row r="429" spans="1:20" ht="22.5" hidden="1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 t="shared" si="7"/>
        <v>80</v>
      </c>
      <c r="S429" s="23">
        <v>4</v>
      </c>
      <c r="T429" s="20" t="s">
        <v>1046</v>
      </c>
    </row>
    <row r="430" spans="1:20" ht="22.5" hidden="1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 t="shared" si="7"/>
        <v>80</v>
      </c>
      <c r="S430" s="21">
        <v>4</v>
      </c>
      <c r="T430" s="19" t="s">
        <v>1046</v>
      </c>
    </row>
    <row r="431" spans="1:20" ht="22.5" hidden="1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 t="shared" si="7"/>
        <v>80</v>
      </c>
      <c r="S431" s="23">
        <v>4</v>
      </c>
      <c r="T431" s="20" t="s">
        <v>1046</v>
      </c>
    </row>
    <row r="432" spans="1:20" ht="22.5" hidden="1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 t="shared" si="7"/>
        <v>80</v>
      </c>
      <c r="S432" s="21">
        <v>4</v>
      </c>
      <c r="T432" s="19" t="s">
        <v>1046</v>
      </c>
    </row>
    <row r="433" spans="1:20" ht="22.5" hidden="1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 t="shared" si="7"/>
        <v>33</v>
      </c>
      <c r="S433" s="23">
        <v>4</v>
      </c>
      <c r="T433" s="20" t="s">
        <v>1354</v>
      </c>
    </row>
    <row r="434" spans="1:20" ht="22.5" hidden="1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 t="shared" si="7"/>
        <v>0</v>
      </c>
      <c r="S434" s="21"/>
      <c r="T434" s="19"/>
    </row>
    <row r="435" spans="1:20" ht="22.5" hidden="1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 t="shared" si="7"/>
        <v>62</v>
      </c>
      <c r="S435" s="23">
        <v>20</v>
      </c>
      <c r="T435" s="20" t="s">
        <v>324</v>
      </c>
    </row>
    <row r="436" spans="1:20" ht="22.5" hidden="1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 t="shared" si="7"/>
        <v>42</v>
      </c>
      <c r="S436" s="21">
        <v>4</v>
      </c>
      <c r="T436" s="19" t="s">
        <v>1374</v>
      </c>
    </row>
    <row r="437" spans="1:20" ht="22.5" hidden="1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 t="shared" si="7"/>
        <v>6</v>
      </c>
      <c r="S437" s="23">
        <v>4</v>
      </c>
      <c r="T437" s="20" t="s">
        <v>1374</v>
      </c>
    </row>
    <row r="438" spans="1:20" ht="22.5" hidden="1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 t="shared" si="7"/>
        <v>49</v>
      </c>
      <c r="S438" s="21">
        <v>4</v>
      </c>
      <c r="T438" s="19" t="s">
        <v>1374</v>
      </c>
    </row>
    <row r="439" spans="1:20" ht="22.5" hidden="1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 t="shared" si="7"/>
        <v>20</v>
      </c>
      <c r="S439" s="23">
        <v>4</v>
      </c>
      <c r="T439" s="20" t="s">
        <v>1374</v>
      </c>
    </row>
    <row r="440" spans="1:20" ht="22.5" hidden="1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 t="shared" si="7"/>
        <v>28</v>
      </c>
      <c r="S440" s="21">
        <v>12</v>
      </c>
      <c r="T440" s="19" t="s">
        <v>425</v>
      </c>
    </row>
    <row r="441" spans="1:20" ht="22.5" hidden="1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 t="shared" si="7"/>
        <v>17</v>
      </c>
      <c r="S441" s="23">
        <v>20</v>
      </c>
      <c r="T441" s="20" t="s">
        <v>611</v>
      </c>
    </row>
    <row r="442" spans="1:20" ht="22.5" hidden="1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 t="shared" si="7"/>
        <v>17</v>
      </c>
      <c r="S442" s="21">
        <v>20</v>
      </c>
      <c r="T442" s="19" t="s">
        <v>1389</v>
      </c>
    </row>
    <row r="443" spans="1:20" ht="22.5" hidden="1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 t="shared" si="7"/>
        <v>24</v>
      </c>
      <c r="S443" s="23">
        <v>20</v>
      </c>
      <c r="T443" s="20" t="s">
        <v>729</v>
      </c>
    </row>
    <row r="444" spans="1:20" ht="22.5" hidden="1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 t="shared" si="7"/>
        <v>16</v>
      </c>
      <c r="S444" s="21">
        <v>8</v>
      </c>
      <c r="T444" s="19" t="s">
        <v>812</v>
      </c>
    </row>
    <row r="445" spans="1:20" ht="22.5" hidden="1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 t="shared" si="7"/>
        <v>155</v>
      </c>
      <c r="S445" s="23">
        <v>8</v>
      </c>
      <c r="T445" s="20" t="s">
        <v>365</v>
      </c>
    </row>
    <row r="446" spans="1:20" ht="22.5" hidden="1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 t="shared" si="7"/>
        <v>8</v>
      </c>
      <c r="S446" s="21">
        <v>4</v>
      </c>
      <c r="T446" s="19" t="s">
        <v>1354</v>
      </c>
    </row>
    <row r="447" spans="1:20" ht="22.5" hidden="1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 t="shared" si="7"/>
        <v>10</v>
      </c>
      <c r="S447" s="23">
        <v>16</v>
      </c>
      <c r="T447" s="20" t="s">
        <v>1326</v>
      </c>
    </row>
    <row r="448" spans="1:20" ht="22.5" hidden="1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 t="shared" si="7"/>
        <v>15</v>
      </c>
      <c r="S448" s="21">
        <v>16</v>
      </c>
      <c r="T448" s="19" t="s">
        <v>1358</v>
      </c>
    </row>
    <row r="449" spans="1:20" ht="22.5" hidden="1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 t="shared" si="7"/>
        <v>51</v>
      </c>
      <c r="S449" s="23">
        <v>16</v>
      </c>
      <c r="T449" s="20" t="s">
        <v>365</v>
      </c>
    </row>
    <row r="450" spans="1:20" ht="22.5" hidden="1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 t="shared" si="7"/>
        <v>52</v>
      </c>
      <c r="S450" s="21">
        <v>16</v>
      </c>
      <c r="T450" s="19" t="s">
        <v>1330</v>
      </c>
    </row>
    <row r="451" spans="1:20" ht="22.5" hidden="1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 t="shared" si="7"/>
        <v>13</v>
      </c>
      <c r="S451" s="23">
        <v>4</v>
      </c>
      <c r="T451" s="20" t="s">
        <v>1354</v>
      </c>
    </row>
    <row r="452" spans="1:20" ht="22.5" hidden="1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 t="shared" si="7"/>
        <v>90</v>
      </c>
      <c r="S452" s="21">
        <v>3</v>
      </c>
      <c r="T452" s="19" t="s">
        <v>1306</v>
      </c>
    </row>
    <row r="453" spans="1:20" ht="22.5" hidden="1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 t="shared" si="7"/>
        <v>11</v>
      </c>
      <c r="S453" s="23">
        <v>2</v>
      </c>
      <c r="T453" s="20" t="s">
        <v>167</v>
      </c>
    </row>
    <row r="454" spans="1:20" ht="22.5" hidden="1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 t="shared" si="7"/>
        <v>50</v>
      </c>
      <c r="S454" s="21">
        <v>2</v>
      </c>
      <c r="T454" s="222" t="s">
        <v>1419</v>
      </c>
    </row>
    <row r="455" spans="1:20" ht="22.5" hidden="1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 t="shared" si="7"/>
        <v>8</v>
      </c>
      <c r="S455" s="23">
        <v>4</v>
      </c>
      <c r="T455" s="20" t="s">
        <v>1354</v>
      </c>
    </row>
    <row r="456" spans="1:20" ht="22.5" hidden="1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 t="shared" si="7"/>
        <v>0</v>
      </c>
      <c r="S456" s="21"/>
      <c r="T456" s="19"/>
    </row>
    <row r="457" spans="1:20" ht="22.5" hidden="1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 t="shared" si="7"/>
        <v>23</v>
      </c>
      <c r="S457" s="23">
        <v>20</v>
      </c>
      <c r="T457" s="20" t="s">
        <v>1358</v>
      </c>
    </row>
    <row r="458" spans="1:20" ht="22.5" hidden="1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 t="shared" ref="R458:R521" si="8">SUM(O458:Q458)</f>
        <v>23</v>
      </c>
      <c r="S458" s="21">
        <v>76</v>
      </c>
      <c r="T458" s="19" t="s">
        <v>365</v>
      </c>
    </row>
    <row r="459" spans="1:20" ht="22.5" hidden="1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 t="shared" si="8"/>
        <v>89</v>
      </c>
      <c r="S459" s="23">
        <v>12</v>
      </c>
      <c r="T459" s="223" t="s">
        <v>1431</v>
      </c>
    </row>
    <row r="460" spans="1:20" ht="22.5" hidden="1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 t="shared" si="8"/>
        <v>22</v>
      </c>
      <c r="S460" s="21">
        <v>19</v>
      </c>
      <c r="T460" s="19" t="s">
        <v>573</v>
      </c>
    </row>
    <row r="461" spans="1:20" ht="22.5" hidden="1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 t="shared" si="8"/>
        <v>11</v>
      </c>
      <c r="S461" s="23">
        <v>4</v>
      </c>
      <c r="T461" s="20" t="s">
        <v>1354</v>
      </c>
    </row>
    <row r="462" spans="1:20" ht="22.5" hidden="1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 t="shared" si="8"/>
        <v>21</v>
      </c>
      <c r="S462" s="21">
        <v>12</v>
      </c>
      <c r="T462" s="19" t="s">
        <v>1440</v>
      </c>
    </row>
    <row r="463" spans="1:20" ht="22.5" hidden="1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 t="shared" si="8"/>
        <v>51</v>
      </c>
      <c r="S463" s="23">
        <v>16</v>
      </c>
      <c r="T463" s="223" t="s">
        <v>425</v>
      </c>
    </row>
    <row r="464" spans="1:20" ht="22.5" hidden="1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 t="shared" si="8"/>
        <v>7</v>
      </c>
      <c r="S464" s="21">
        <v>4</v>
      </c>
      <c r="T464" s="19" t="s">
        <v>1354</v>
      </c>
    </row>
    <row r="465" spans="1:20" ht="22.5" hidden="1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 t="shared" si="8"/>
        <v>22</v>
      </c>
      <c r="S465" s="23">
        <v>12</v>
      </c>
      <c r="T465" s="20" t="s">
        <v>1449</v>
      </c>
    </row>
    <row r="466" spans="1:20" ht="22.5" hidden="1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 t="shared" si="8"/>
        <v>213</v>
      </c>
      <c r="S466" s="21">
        <v>24</v>
      </c>
      <c r="T466" s="19" t="s">
        <v>365</v>
      </c>
    </row>
    <row r="467" spans="1:20" ht="22.5" hidden="1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 t="shared" si="8"/>
        <v>92</v>
      </c>
      <c r="S467" s="23">
        <v>8</v>
      </c>
      <c r="T467" s="20" t="s">
        <v>365</v>
      </c>
    </row>
    <row r="468" spans="1:20" ht="22.5" hidden="1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 t="shared" si="8"/>
        <v>18</v>
      </c>
      <c r="S468" s="21">
        <v>4</v>
      </c>
      <c r="T468" s="19" t="s">
        <v>1458</v>
      </c>
    </row>
    <row r="469" spans="1:20" ht="22.5" hidden="1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 t="shared" si="8"/>
        <v>8</v>
      </c>
      <c r="S469" s="23">
        <v>4</v>
      </c>
      <c r="T469" s="20" t="s">
        <v>1354</v>
      </c>
    </row>
    <row r="470" spans="1:20" ht="22.5" hidden="1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 t="shared" si="8"/>
        <v>8</v>
      </c>
      <c r="S470" s="21">
        <v>4</v>
      </c>
      <c r="T470" s="19" t="s">
        <v>1354</v>
      </c>
    </row>
    <row r="471" spans="1:20" ht="22.5" hidden="1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 t="shared" si="8"/>
        <v>384</v>
      </c>
      <c r="S471" s="23">
        <v>8</v>
      </c>
      <c r="T471" s="20" t="s">
        <v>365</v>
      </c>
    </row>
    <row r="472" spans="1:20" ht="22.5" hidden="1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 t="shared" si="8"/>
        <v>24</v>
      </c>
      <c r="S472" s="21">
        <v>12</v>
      </c>
      <c r="T472" s="19" t="s">
        <v>1469</v>
      </c>
    </row>
    <row r="473" spans="1:20" ht="22.5" hidden="1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 t="shared" si="8"/>
        <v>35</v>
      </c>
      <c r="S473" s="23">
        <v>20</v>
      </c>
      <c r="T473" s="20" t="s">
        <v>1473</v>
      </c>
    </row>
    <row r="474" spans="1:20" ht="22.5" hidden="1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 t="shared" si="8"/>
        <v>53</v>
      </c>
      <c r="S474" s="21">
        <v>4</v>
      </c>
      <c r="T474" s="19" t="s">
        <v>1477</v>
      </c>
    </row>
    <row r="475" spans="1:20" ht="22.5" hidden="1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 t="shared" si="8"/>
        <v>12</v>
      </c>
      <c r="S475" s="23">
        <v>8</v>
      </c>
      <c r="T475" s="20" t="s">
        <v>1481</v>
      </c>
    </row>
    <row r="476" spans="1:20" ht="22.5" hidden="1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 t="shared" si="8"/>
        <v>60</v>
      </c>
      <c r="S476" s="21">
        <v>4</v>
      </c>
      <c r="T476" s="19" t="s">
        <v>1485</v>
      </c>
    </row>
    <row r="477" spans="1:20" ht="22.5" hidden="1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 t="shared" si="8"/>
        <v>14</v>
      </c>
      <c r="S477" s="23">
        <v>4</v>
      </c>
      <c r="T477" s="20" t="s">
        <v>808</v>
      </c>
    </row>
    <row r="478" spans="1:20" ht="22.5" hidden="1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 t="shared" si="8"/>
        <v>20</v>
      </c>
      <c r="S478" s="21">
        <v>12</v>
      </c>
      <c r="T478" s="19" t="s">
        <v>1449</v>
      </c>
    </row>
    <row r="479" spans="1:20" ht="22.5" hidden="1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 t="shared" si="8"/>
        <v>56</v>
      </c>
      <c r="S479" s="23">
        <v>20</v>
      </c>
      <c r="T479" s="20" t="s">
        <v>1495</v>
      </c>
    </row>
    <row r="480" spans="1:20" ht="22.5" hidden="1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 t="shared" si="8"/>
        <v>38</v>
      </c>
      <c r="S480" s="21">
        <v>12</v>
      </c>
      <c r="T480" s="19" t="s">
        <v>808</v>
      </c>
    </row>
    <row r="481" spans="1:20" ht="22.5" hidden="1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 t="shared" si="8"/>
        <v>13</v>
      </c>
      <c r="S481" s="23">
        <v>16</v>
      </c>
      <c r="T481" s="20" t="s">
        <v>1501</v>
      </c>
    </row>
    <row r="482" spans="1:20" ht="22.5" hidden="1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 t="shared" si="8"/>
        <v>24</v>
      </c>
      <c r="S482" s="21">
        <v>18</v>
      </c>
      <c r="T482" s="19" t="s">
        <v>1505</v>
      </c>
    </row>
    <row r="483" spans="1:20" ht="22.5" hidden="1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 t="shared" si="8"/>
        <v>19</v>
      </c>
      <c r="S483" s="23">
        <v>16</v>
      </c>
      <c r="T483" s="20" t="s">
        <v>1306</v>
      </c>
    </row>
    <row r="484" spans="1:20" ht="22.5" hidden="1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 t="shared" si="8"/>
        <v>10</v>
      </c>
      <c r="S484" s="21">
        <v>4</v>
      </c>
      <c r="T484" s="19" t="s">
        <v>808</v>
      </c>
    </row>
    <row r="485" spans="1:20" ht="22.5" hidden="1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 t="shared" si="8"/>
        <v>5</v>
      </c>
      <c r="S485" s="23">
        <v>4</v>
      </c>
      <c r="T485" s="20" t="s">
        <v>1354</v>
      </c>
    </row>
    <row r="486" spans="1:20" ht="22.5" hidden="1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 t="shared" si="8"/>
        <v>21</v>
      </c>
      <c r="S486" s="21">
        <v>24</v>
      </c>
      <c r="T486" s="19" t="s">
        <v>963</v>
      </c>
    </row>
    <row r="487" spans="1:20" ht="22.5" hidden="1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 t="shared" si="8"/>
        <v>19</v>
      </c>
      <c r="S487" s="23">
        <v>20</v>
      </c>
      <c r="T487" s="20" t="s">
        <v>167</v>
      </c>
    </row>
    <row r="488" spans="1:20" ht="22.5" hidden="1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 t="shared" si="8"/>
        <v>7</v>
      </c>
      <c r="S488" s="21">
        <v>4</v>
      </c>
      <c r="T488" s="19" t="s">
        <v>1354</v>
      </c>
    </row>
    <row r="489" spans="1:20" ht="22.5" hidden="1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 t="shared" si="8"/>
        <v>19</v>
      </c>
      <c r="S489" s="63">
        <v>20</v>
      </c>
      <c r="T489" s="44" t="s">
        <v>61</v>
      </c>
    </row>
    <row r="490" spans="1:20" ht="22.5" hidden="1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 t="shared" si="8"/>
        <v>61</v>
      </c>
      <c r="S490" s="69">
        <v>20</v>
      </c>
      <c r="T490" s="66" t="s">
        <v>1495</v>
      </c>
    </row>
    <row r="491" spans="1:20" ht="22.5" hidden="1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 t="shared" si="8"/>
        <v>32</v>
      </c>
      <c r="S491" s="63">
        <v>8</v>
      </c>
      <c r="T491" s="44" t="s">
        <v>1523</v>
      </c>
    </row>
    <row r="492" spans="1:20" ht="22.5" hidden="1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 t="shared" si="8"/>
        <v>43</v>
      </c>
      <c r="S492" s="69">
        <v>20</v>
      </c>
      <c r="T492" s="66" t="s">
        <v>1527</v>
      </c>
    </row>
    <row r="493" spans="1:20" ht="22.5" hidden="1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 t="shared" si="8"/>
        <v>8</v>
      </c>
      <c r="S493" s="63">
        <v>8</v>
      </c>
      <c r="T493" s="44" t="s">
        <v>365</v>
      </c>
    </row>
    <row r="494" spans="1:20" ht="22.5" hidden="1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 t="shared" si="8"/>
        <v>80</v>
      </c>
      <c r="S494" s="69">
        <v>2</v>
      </c>
      <c r="T494" s="66" t="s">
        <v>1534</v>
      </c>
    </row>
    <row r="495" spans="1:20" ht="22.5" hidden="1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 t="shared" si="8"/>
        <v>0</v>
      </c>
      <c r="S495" s="23"/>
      <c r="T495" s="223"/>
    </row>
    <row r="496" spans="1:20" ht="22.5" hidden="1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 t="shared" si="8"/>
        <v>170</v>
      </c>
      <c r="S496" s="69">
        <v>1</v>
      </c>
      <c r="T496" s="66" t="s">
        <v>1541</v>
      </c>
    </row>
    <row r="497" spans="1:20" ht="22.5" hidden="1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 t="shared" si="8"/>
        <v>31</v>
      </c>
      <c r="S497" s="63">
        <v>4</v>
      </c>
      <c r="T497" s="44" t="s">
        <v>1458</v>
      </c>
    </row>
    <row r="498" spans="1:20" ht="22.5" hidden="1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 t="shared" si="8"/>
        <v>11</v>
      </c>
      <c r="S498" s="69">
        <v>16</v>
      </c>
      <c r="T498" s="66" t="s">
        <v>1358</v>
      </c>
    </row>
    <row r="499" spans="1:20" ht="22.5" hidden="1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 t="shared" si="8"/>
        <v>45</v>
      </c>
      <c r="S499" s="63">
        <v>1</v>
      </c>
      <c r="T499" s="44" t="s">
        <v>1549</v>
      </c>
    </row>
    <row r="500" spans="1:20" ht="22.5" hidden="1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 t="shared" si="8"/>
        <v>40</v>
      </c>
      <c r="S500" s="69">
        <v>4</v>
      </c>
      <c r="T500" s="66" t="s">
        <v>1553</v>
      </c>
    </row>
    <row r="501" spans="1:20" ht="22.5" hidden="1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 t="shared" si="8"/>
        <v>0</v>
      </c>
      <c r="S501" s="63">
        <v>4</v>
      </c>
      <c r="T501" s="44" t="s">
        <v>1354</v>
      </c>
    </row>
    <row r="502" spans="1:20" ht="22.5" hidden="1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 t="shared" si="8"/>
        <v>34</v>
      </c>
      <c r="S502" s="69">
        <v>16</v>
      </c>
      <c r="T502" s="66" t="s">
        <v>1559</v>
      </c>
    </row>
    <row r="503" spans="1:20" ht="22.5" hidden="1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 t="shared" si="8"/>
        <v>21</v>
      </c>
      <c r="S503" s="63">
        <v>16</v>
      </c>
      <c r="T503" s="44" t="s">
        <v>1306</v>
      </c>
    </row>
    <row r="504" spans="1:20" ht="22.5" hidden="1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 t="shared" si="8"/>
        <v>16</v>
      </c>
      <c r="S504" s="69">
        <v>24</v>
      </c>
      <c r="T504" s="66" t="s">
        <v>1389</v>
      </c>
    </row>
    <row r="505" spans="1:20" ht="22.5" hidden="1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 t="shared" si="8"/>
        <v>20</v>
      </c>
      <c r="S505" s="23">
        <v>4</v>
      </c>
      <c r="T505" s="20" t="s">
        <v>1569</v>
      </c>
    </row>
    <row r="506" spans="1:20" ht="22.5" hidden="1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 t="shared" si="8"/>
        <v>8</v>
      </c>
      <c r="S506" s="21">
        <v>4</v>
      </c>
      <c r="T506" s="19" t="s">
        <v>1354</v>
      </c>
    </row>
    <row r="507" spans="1:20" ht="22.5" hidden="1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 t="shared" si="8"/>
        <v>0</v>
      </c>
      <c r="S507" s="23">
        <v>20</v>
      </c>
      <c r="T507" s="20" t="s">
        <v>1575</v>
      </c>
    </row>
    <row r="508" spans="1:20" ht="22.5" hidden="1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 t="shared" si="8"/>
        <v>13</v>
      </c>
      <c r="S508" s="21">
        <v>48</v>
      </c>
      <c r="T508" s="19" t="s">
        <v>741</v>
      </c>
    </row>
    <row r="509" spans="1:20" ht="22.5" hidden="1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 t="shared" si="8"/>
        <v>170</v>
      </c>
      <c r="S509" s="23">
        <v>1</v>
      </c>
      <c r="T509" s="20" t="s">
        <v>1580</v>
      </c>
    </row>
    <row r="510" spans="1:20" ht="22.5" hidden="1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 t="shared" si="8"/>
        <v>66</v>
      </c>
      <c r="S510" s="21">
        <v>20</v>
      </c>
      <c r="T510" s="19" t="s">
        <v>1495</v>
      </c>
    </row>
    <row r="511" spans="1:20" ht="22.5" hidden="1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 t="shared" si="8"/>
        <v>140</v>
      </c>
      <c r="S511" s="23">
        <v>1</v>
      </c>
      <c r="T511" s="20" t="s">
        <v>1586</v>
      </c>
    </row>
    <row r="512" spans="1:20" ht="22.5" hidden="1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 t="shared" si="8"/>
        <v>45</v>
      </c>
      <c r="S512" s="21">
        <v>12</v>
      </c>
      <c r="T512" s="19" t="s">
        <v>1590</v>
      </c>
    </row>
    <row r="513" spans="1:20" ht="22.5" hidden="1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 t="shared" si="8"/>
        <v>19</v>
      </c>
      <c r="S513" s="23">
        <v>4</v>
      </c>
      <c r="T513" s="20" t="s">
        <v>1594</v>
      </c>
    </row>
    <row r="514" spans="1:20" ht="22.5" hidden="1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 t="shared" si="8"/>
        <v>15</v>
      </c>
      <c r="S514" s="21">
        <v>20</v>
      </c>
      <c r="T514" s="19" t="s">
        <v>167</v>
      </c>
    </row>
    <row r="515" spans="1:20" ht="22.5" hidden="1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 t="shared" si="8"/>
        <v>41</v>
      </c>
      <c r="S515" s="23">
        <v>16</v>
      </c>
      <c r="T515" s="20" t="s">
        <v>1600</v>
      </c>
    </row>
    <row r="516" spans="1:20" ht="22.5" hidden="1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 t="shared" si="8"/>
        <v>96</v>
      </c>
      <c r="S516" s="21">
        <v>2</v>
      </c>
      <c r="T516" s="19" t="s">
        <v>365</v>
      </c>
    </row>
    <row r="517" spans="1:20" ht="22.5" hidden="1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 t="shared" si="8"/>
        <v>6</v>
      </c>
      <c r="S517" s="23">
        <v>4</v>
      </c>
      <c r="T517" s="20" t="s">
        <v>1606</v>
      </c>
    </row>
    <row r="518" spans="1:20" ht="22.5" hidden="1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 t="shared" si="8"/>
        <v>47</v>
      </c>
      <c r="S518" s="21">
        <v>12</v>
      </c>
      <c r="T518" s="19" t="s">
        <v>1610</v>
      </c>
    </row>
    <row r="519" spans="1:20" ht="22.5" hidden="1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 t="shared" si="8"/>
        <v>37</v>
      </c>
      <c r="S519" s="23">
        <v>12</v>
      </c>
      <c r="T519" s="20" t="s">
        <v>1125</v>
      </c>
    </row>
    <row r="520" spans="1:20" ht="22.5" hidden="1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 t="shared" si="8"/>
        <v>20</v>
      </c>
      <c r="S520" s="21">
        <v>16</v>
      </c>
      <c r="T520" s="19" t="s">
        <v>1296</v>
      </c>
    </row>
    <row r="521" spans="1:20" ht="22.5" hidden="1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 t="shared" si="8"/>
        <v>19</v>
      </c>
      <c r="S521" s="23">
        <v>16</v>
      </c>
      <c r="T521" s="20" t="s">
        <v>425</v>
      </c>
    </row>
    <row r="522" spans="1:20" ht="22.5" hidden="1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 t="shared" ref="R522:R585" si="9">SUM(O522:Q522)</f>
        <v>0</v>
      </c>
      <c r="S522" s="21">
        <v>21</v>
      </c>
      <c r="T522" s="19" t="s">
        <v>1046</v>
      </c>
    </row>
    <row r="523" spans="1:20" ht="22.5" hidden="1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 t="shared" si="9"/>
        <v>0</v>
      </c>
      <c r="S523" s="23">
        <v>6</v>
      </c>
      <c r="T523" s="20" t="s">
        <v>1624</v>
      </c>
    </row>
    <row r="524" spans="1:20" ht="22.5" hidden="1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 t="shared" si="9"/>
        <v>6</v>
      </c>
      <c r="S524" s="21"/>
      <c r="T524" s="19"/>
    </row>
    <row r="525" spans="1:20" ht="22.5" hidden="1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 t="shared" si="9"/>
        <v>46</v>
      </c>
      <c r="S525" s="23">
        <v>16</v>
      </c>
      <c r="T525" s="20" t="s">
        <v>1629</v>
      </c>
    </row>
    <row r="526" spans="1:20" ht="22.5" hidden="1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 t="shared" si="9"/>
        <v>20</v>
      </c>
      <c r="S526" s="21">
        <v>16</v>
      </c>
      <c r="T526" s="19" t="s">
        <v>1306</v>
      </c>
    </row>
    <row r="527" spans="1:20" ht="22.5" hidden="1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 t="shared" si="9"/>
        <v>0</v>
      </c>
      <c r="S527" s="23"/>
      <c r="T527" s="20" t="s">
        <v>1632</v>
      </c>
    </row>
    <row r="528" spans="1:20" ht="22.5" hidden="1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 t="shared" si="9"/>
        <v>20</v>
      </c>
      <c r="S528" s="21">
        <v>8</v>
      </c>
      <c r="T528" s="19" t="s">
        <v>1636</v>
      </c>
    </row>
    <row r="529" spans="1:20" ht="22.5" hidden="1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 t="shared" si="9"/>
        <v>28</v>
      </c>
      <c r="S529" s="23">
        <v>20</v>
      </c>
      <c r="T529" s="20"/>
    </row>
    <row r="530" spans="1:20" ht="22.5" hidden="1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 t="shared" si="9"/>
        <v>138</v>
      </c>
      <c r="S530" s="21">
        <v>8</v>
      </c>
      <c r="T530" s="19" t="s">
        <v>365</v>
      </c>
    </row>
    <row r="531" spans="1:20" ht="22.5" hidden="1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 t="shared" si="9"/>
        <v>19</v>
      </c>
      <c r="S531" s="23">
        <v>12</v>
      </c>
      <c r="T531" s="20" t="s">
        <v>1431</v>
      </c>
    </row>
    <row r="532" spans="1:20" ht="22.5" hidden="1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 t="shared" si="9"/>
        <v>118</v>
      </c>
      <c r="S532" s="21">
        <v>1</v>
      </c>
      <c r="T532" s="19" t="s">
        <v>1648</v>
      </c>
    </row>
    <row r="533" spans="1:20" ht="22.5" hidden="1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 t="shared" si="9"/>
        <v>4</v>
      </c>
      <c r="S533" s="23">
        <v>4</v>
      </c>
      <c r="T533" s="20" t="s">
        <v>1354</v>
      </c>
    </row>
    <row r="534" spans="1:20" ht="22.5" hidden="1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 t="shared" si="9"/>
        <v>49</v>
      </c>
      <c r="S534" s="21">
        <v>4</v>
      </c>
      <c r="T534" s="19" t="s">
        <v>1653</v>
      </c>
    </row>
    <row r="535" spans="1:20" ht="22.5" hidden="1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 t="shared" si="9"/>
        <v>94</v>
      </c>
      <c r="S535" s="23">
        <v>20</v>
      </c>
      <c r="T535" s="20" t="s">
        <v>1495</v>
      </c>
    </row>
    <row r="536" spans="1:20" ht="22.5" hidden="1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 t="shared" si="9"/>
        <v>0</v>
      </c>
      <c r="S536" s="21"/>
      <c r="T536" s="19"/>
    </row>
    <row r="537" spans="1:20" ht="22.5" hidden="1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 t="shared" si="9"/>
        <v>21</v>
      </c>
      <c r="S537" s="23">
        <v>20</v>
      </c>
      <c r="T537" s="20" t="s">
        <v>61</v>
      </c>
    </row>
    <row r="538" spans="1:20" ht="22.5" hidden="1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 t="shared" si="9"/>
        <v>49</v>
      </c>
      <c r="S538" s="21"/>
      <c r="T538" s="19"/>
    </row>
    <row r="539" spans="1:20" ht="22.5" hidden="1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 t="shared" si="9"/>
        <v>26</v>
      </c>
      <c r="S539" s="23">
        <v>16</v>
      </c>
      <c r="T539" s="20" t="s">
        <v>1306</v>
      </c>
    </row>
    <row r="540" spans="1:20" ht="22.5" hidden="1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 t="shared" si="9"/>
        <v>8</v>
      </c>
      <c r="S540" s="21">
        <v>8</v>
      </c>
      <c r="T540" s="19" t="s">
        <v>365</v>
      </c>
    </row>
    <row r="541" spans="1:20" ht="22.5" hidden="1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 t="shared" si="9"/>
        <v>14</v>
      </c>
      <c r="S541" s="23">
        <v>12</v>
      </c>
      <c r="T541" s="20" t="s">
        <v>1449</v>
      </c>
    </row>
    <row r="542" spans="1:20" ht="22.5" hidden="1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 t="shared" si="9"/>
        <v>30</v>
      </c>
      <c r="S542" s="21">
        <v>20</v>
      </c>
      <c r="T542" s="19" t="s">
        <v>1326</v>
      </c>
    </row>
    <row r="543" spans="1:20" ht="22.5" hidden="1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 t="shared" si="9"/>
        <v>11</v>
      </c>
      <c r="S543" s="23">
        <v>20</v>
      </c>
      <c r="T543" s="20" t="s">
        <v>1358</v>
      </c>
    </row>
    <row r="544" spans="1:20" ht="22.5" hidden="1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 t="shared" si="9"/>
        <v>43</v>
      </c>
      <c r="S544" s="21">
        <v>12</v>
      </c>
      <c r="T544" s="19" t="s">
        <v>1333</v>
      </c>
    </row>
    <row r="545" spans="1:20" ht="22.5" hidden="1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 t="shared" si="9"/>
        <v>54</v>
      </c>
      <c r="S545" s="23">
        <v>20</v>
      </c>
      <c r="T545" s="20" t="s">
        <v>729</v>
      </c>
    </row>
    <row r="546" spans="1:20" ht="22.5" hidden="1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 t="shared" si="9"/>
        <v>3</v>
      </c>
      <c r="S546" s="21">
        <v>16</v>
      </c>
      <c r="T546" s="19" t="s">
        <v>1070</v>
      </c>
    </row>
    <row r="547" spans="1:20" ht="22.5" hidden="1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 t="shared" si="9"/>
        <v>21</v>
      </c>
      <c r="S547" s="23">
        <v>8</v>
      </c>
      <c r="T547" s="20" t="s">
        <v>1523</v>
      </c>
    </row>
    <row r="548" spans="1:20" ht="22.5" hidden="1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 t="shared" si="9"/>
        <v>44</v>
      </c>
      <c r="S548" s="21">
        <v>4</v>
      </c>
      <c r="T548" s="19" t="s">
        <v>365</v>
      </c>
    </row>
    <row r="549" spans="1:20" ht="22.5" hidden="1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 t="shared" si="9"/>
        <v>49</v>
      </c>
      <c r="S549" s="23">
        <v>20</v>
      </c>
      <c r="T549" s="20" t="s">
        <v>61</v>
      </c>
    </row>
    <row r="550" spans="1:20" ht="22.5" hidden="1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 t="shared" si="9"/>
        <v>16</v>
      </c>
      <c r="S550" s="21">
        <v>16</v>
      </c>
      <c r="T550" s="19" t="s">
        <v>1700</v>
      </c>
    </row>
    <row r="551" spans="1:20" ht="22.5" hidden="1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 t="shared" si="9"/>
        <v>27</v>
      </c>
      <c r="S551" s="23">
        <v>40</v>
      </c>
      <c r="T551" s="20" t="s">
        <v>1704</v>
      </c>
    </row>
    <row r="552" spans="1:20" ht="22.5" hidden="1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 t="shared" si="9"/>
        <v>114</v>
      </c>
      <c r="S552" s="21">
        <v>2</v>
      </c>
      <c r="T552" s="19" t="s">
        <v>365</v>
      </c>
    </row>
    <row r="553" spans="1:20" ht="22.5" hidden="1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 t="shared" si="9"/>
        <v>24</v>
      </c>
      <c r="S553" s="23">
        <v>8</v>
      </c>
      <c r="T553" s="20" t="s">
        <v>1523</v>
      </c>
    </row>
    <row r="554" spans="1:20" ht="22.5" hidden="1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 t="shared" si="9"/>
        <v>21</v>
      </c>
      <c r="S554" s="21">
        <v>20</v>
      </c>
      <c r="T554" s="19" t="s">
        <v>167</v>
      </c>
    </row>
    <row r="555" spans="1:20" ht="22.5" hidden="1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 t="shared" si="9"/>
        <v>38</v>
      </c>
      <c r="S555" s="23">
        <v>12</v>
      </c>
      <c r="T555" s="20" t="s">
        <v>1632</v>
      </c>
    </row>
    <row r="556" spans="1:20" ht="22.5" hidden="1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 t="shared" si="9"/>
        <v>97</v>
      </c>
      <c r="S556" s="21">
        <v>16</v>
      </c>
      <c r="T556" s="19" t="s">
        <v>1718</v>
      </c>
    </row>
    <row r="557" spans="1:20" ht="22.5" hidden="1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 t="shared" si="9"/>
        <v>38</v>
      </c>
      <c r="S557" s="23">
        <v>12</v>
      </c>
      <c r="T557" s="20" t="s">
        <v>1632</v>
      </c>
    </row>
    <row r="558" spans="1:20" ht="22.5" hidden="1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 t="shared" si="9"/>
        <v>8</v>
      </c>
      <c r="S558" s="21">
        <v>8</v>
      </c>
      <c r="T558" s="19" t="s">
        <v>365</v>
      </c>
    </row>
    <row r="559" spans="1:20" ht="22.5" hidden="1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 t="shared" si="9"/>
        <v>23</v>
      </c>
      <c r="S559" s="23">
        <v>20</v>
      </c>
      <c r="T559" s="20" t="s">
        <v>61</v>
      </c>
    </row>
    <row r="560" spans="1:20" ht="22.5" hidden="1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 t="shared" si="9"/>
        <v>20</v>
      </c>
      <c r="S560" s="21">
        <v>16</v>
      </c>
      <c r="T560" s="19" t="s">
        <v>1729</v>
      </c>
    </row>
    <row r="561" spans="1:20" ht="22.5" hidden="1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 t="shared" si="9"/>
        <v>13</v>
      </c>
      <c r="S561" s="23">
        <v>16</v>
      </c>
      <c r="T561" s="20" t="s">
        <v>1733</v>
      </c>
    </row>
    <row r="562" spans="1:20" ht="22.5" hidden="1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 t="shared" si="9"/>
        <v>250</v>
      </c>
      <c r="S562" s="21">
        <v>12</v>
      </c>
      <c r="T562" s="19" t="s">
        <v>365</v>
      </c>
    </row>
    <row r="563" spans="1:20" ht="22.5" hidden="1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 t="shared" si="9"/>
        <v>32</v>
      </c>
      <c r="S563" s="23">
        <v>16</v>
      </c>
      <c r="T563" s="20" t="s">
        <v>546</v>
      </c>
    </row>
    <row r="564" spans="1:20" ht="22.5" hidden="1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 t="shared" si="9"/>
        <v>41</v>
      </c>
      <c r="S564" s="21">
        <v>16</v>
      </c>
      <c r="T564" s="19" t="s">
        <v>1629</v>
      </c>
    </row>
    <row r="565" spans="1:20" ht="22.5" hidden="1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 t="shared" si="9"/>
        <v>75</v>
      </c>
      <c r="S565" s="23">
        <v>2</v>
      </c>
      <c r="T565" s="20" t="s">
        <v>1745</v>
      </c>
    </row>
    <row r="566" spans="1:20" ht="22.5" hidden="1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 t="shared" si="9"/>
        <v>100</v>
      </c>
      <c r="S566" s="21">
        <v>1</v>
      </c>
      <c r="T566" s="19" t="s">
        <v>1749</v>
      </c>
    </row>
    <row r="567" spans="1:20" ht="22.5" hidden="1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 t="shared" si="9"/>
        <v>20</v>
      </c>
      <c r="S567" s="23">
        <v>8</v>
      </c>
      <c r="T567" s="20" t="s">
        <v>1700</v>
      </c>
    </row>
    <row r="568" spans="1:20" ht="22.5" hidden="1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 t="shared" si="9"/>
        <v>40</v>
      </c>
      <c r="S568" s="21">
        <v>16</v>
      </c>
      <c r="T568" s="19" t="s">
        <v>1629</v>
      </c>
    </row>
    <row r="569" spans="1:20" ht="22.5" hidden="1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 t="shared" si="9"/>
        <v>48</v>
      </c>
      <c r="S569" s="23">
        <v>12</v>
      </c>
      <c r="T569" s="20" t="s">
        <v>808</v>
      </c>
    </row>
    <row r="570" spans="1:20" ht="22.5" hidden="1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 t="shared" si="9"/>
        <v>16</v>
      </c>
      <c r="S570" s="21">
        <v>20</v>
      </c>
      <c r="T570" s="19" t="s">
        <v>1358</v>
      </c>
    </row>
    <row r="571" spans="1:20" ht="22.5" hidden="1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 t="shared" si="9"/>
        <v>170</v>
      </c>
      <c r="S571" s="23">
        <v>2</v>
      </c>
      <c r="T571" s="19" t="s">
        <v>1763</v>
      </c>
    </row>
    <row r="572" spans="1:20" ht="22.5" hidden="1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 t="shared" si="9"/>
        <v>80</v>
      </c>
      <c r="S572" s="21">
        <v>1</v>
      </c>
      <c r="T572" s="19"/>
    </row>
    <row r="573" spans="1:20" ht="22.5" hidden="1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 t="shared" si="9"/>
        <v>176</v>
      </c>
      <c r="S573" s="23">
        <v>4</v>
      </c>
      <c r="T573" s="20" t="s">
        <v>365</v>
      </c>
    </row>
    <row r="574" spans="1:20" ht="22.5" hidden="1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 t="shared" si="9"/>
        <v>0</v>
      </c>
      <c r="S574" s="21"/>
      <c r="T574" s="19" t="s">
        <v>741</v>
      </c>
    </row>
    <row r="575" spans="1:20" ht="22.5" hidden="1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 t="shared" si="9"/>
        <v>44</v>
      </c>
      <c r="S575" s="23">
        <v>20</v>
      </c>
      <c r="T575" s="20" t="s">
        <v>61</v>
      </c>
    </row>
    <row r="576" spans="1:20" ht="22.5" hidden="1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 t="shared" si="9"/>
        <v>41</v>
      </c>
      <c r="S576" s="21">
        <v>12</v>
      </c>
      <c r="T576" s="19" t="s">
        <v>1632</v>
      </c>
    </row>
    <row r="577" spans="1:20" ht="22.5" hidden="1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 t="shared" si="9"/>
        <v>170</v>
      </c>
      <c r="S577" s="23">
        <v>2</v>
      </c>
      <c r="T577" s="20" t="s">
        <v>1780</v>
      </c>
    </row>
    <row r="578" spans="1:20" ht="22.5" hidden="1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 t="shared" si="9"/>
        <v>40</v>
      </c>
      <c r="S578" s="21">
        <v>3</v>
      </c>
      <c r="T578" s="42" t="s">
        <v>1784</v>
      </c>
    </row>
    <row r="579" spans="1:20" ht="22.5" hidden="1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 t="shared" si="9"/>
        <v>40</v>
      </c>
      <c r="S579" s="23">
        <v>3</v>
      </c>
      <c r="T579" s="43" t="s">
        <v>1784</v>
      </c>
    </row>
    <row r="580" spans="1:20" ht="22.5" hidden="1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 t="shared" si="9"/>
        <v>18</v>
      </c>
      <c r="S580" s="21">
        <v>12</v>
      </c>
      <c r="T580" s="19" t="s">
        <v>1790</v>
      </c>
    </row>
    <row r="581" spans="1:20" ht="22.5" hidden="1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 t="shared" si="9"/>
        <v>18</v>
      </c>
      <c r="S581" s="23">
        <v>12</v>
      </c>
      <c r="T581" s="20" t="s">
        <v>1590</v>
      </c>
    </row>
    <row r="582" spans="1:20" ht="22.5" hidden="1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 t="shared" si="9"/>
        <v>38</v>
      </c>
      <c r="S582" s="21">
        <v>16</v>
      </c>
      <c r="T582" s="19" t="s">
        <v>741</v>
      </c>
    </row>
    <row r="583" spans="1:20" ht="22.5" hidden="1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 t="shared" si="9"/>
        <v>15</v>
      </c>
      <c r="S583" s="23">
        <v>12</v>
      </c>
      <c r="T583" s="20" t="s">
        <v>1333</v>
      </c>
    </row>
    <row r="584" spans="1:20" ht="22.5" hidden="1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 t="shared" si="9"/>
        <v>31</v>
      </c>
      <c r="S584" s="21">
        <v>12</v>
      </c>
      <c r="T584" s="19" t="s">
        <v>1632</v>
      </c>
    </row>
    <row r="585" spans="1:20" ht="22.5" hidden="1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 t="shared" si="9"/>
        <v>29</v>
      </c>
      <c r="S585" s="23">
        <v>25</v>
      </c>
      <c r="T585" s="20" t="s">
        <v>57</v>
      </c>
    </row>
    <row r="586" spans="1:20" ht="22.5" hidden="1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 t="shared" ref="R586:R649" si="10">SUM(O586:Q586)</f>
        <v>30</v>
      </c>
      <c r="S586" s="21">
        <v>3</v>
      </c>
      <c r="T586" s="222" t="s">
        <v>1549</v>
      </c>
    </row>
    <row r="587" spans="1:20" ht="22.5" hidden="1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 t="shared" si="10"/>
        <v>14</v>
      </c>
      <c r="S587" s="23">
        <v>20</v>
      </c>
      <c r="T587" s="223" t="s">
        <v>1358</v>
      </c>
    </row>
    <row r="588" spans="1:20" ht="22.5" hidden="1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 t="shared" si="10"/>
        <v>27</v>
      </c>
      <c r="S588" s="21">
        <v>8</v>
      </c>
      <c r="T588" s="222" t="s">
        <v>1812</v>
      </c>
    </row>
    <row r="589" spans="1:20" ht="22.5" hidden="1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 t="shared" si="10"/>
        <v>14</v>
      </c>
      <c r="S589" s="23">
        <v>8</v>
      </c>
      <c r="T589" s="223" t="s">
        <v>167</v>
      </c>
    </row>
    <row r="590" spans="1:20" ht="22.5" hidden="1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 t="shared" si="10"/>
        <v>33</v>
      </c>
      <c r="S590" s="21">
        <v>15</v>
      </c>
      <c r="T590" s="19" t="s">
        <v>1819</v>
      </c>
    </row>
    <row r="591" spans="1:20" ht="22.5" hidden="1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 t="shared" si="10"/>
        <v>42</v>
      </c>
      <c r="S591" s="23">
        <v>20</v>
      </c>
      <c r="T591" s="20" t="s">
        <v>324</v>
      </c>
    </row>
    <row r="592" spans="1:20" ht="22.5" hidden="1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 t="shared" si="10"/>
        <v>22</v>
      </c>
      <c r="S592" s="21">
        <v>8</v>
      </c>
      <c r="T592" s="19" t="s">
        <v>1826</v>
      </c>
    </row>
    <row r="593" spans="1:20" ht="22.5" hidden="1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 t="shared" si="10"/>
        <v>9</v>
      </c>
      <c r="S593" s="23">
        <v>16</v>
      </c>
      <c r="T593" s="20" t="s">
        <v>1830</v>
      </c>
    </row>
    <row r="594" spans="1:20" ht="22.5" hidden="1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 t="shared" si="10"/>
        <v>20</v>
      </c>
      <c r="S594" s="21">
        <v>4</v>
      </c>
      <c r="T594" s="19" t="s">
        <v>1834</v>
      </c>
    </row>
    <row r="595" spans="1:20" ht="22.5" hidden="1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 t="shared" si="10"/>
        <v>25</v>
      </c>
      <c r="S595" s="23">
        <v>5</v>
      </c>
      <c r="T595" s="20" t="s">
        <v>784</v>
      </c>
    </row>
    <row r="596" spans="1:20" ht="22.5" hidden="1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 t="shared" si="10"/>
        <v>24</v>
      </c>
      <c r="S596" s="69">
        <v>4</v>
      </c>
      <c r="T596" s="78" t="s">
        <v>1840</v>
      </c>
    </row>
    <row r="597" spans="1:20" ht="22.5" hidden="1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 t="shared" si="10"/>
        <v>46</v>
      </c>
      <c r="S597" s="23">
        <v>12</v>
      </c>
      <c r="T597" s="20" t="s">
        <v>1125</v>
      </c>
    </row>
    <row r="598" spans="1:20" ht="22.5" hidden="1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 t="shared" si="10"/>
        <v>37</v>
      </c>
      <c r="S598" s="69">
        <v>12</v>
      </c>
      <c r="T598" s="66" t="s">
        <v>1847</v>
      </c>
    </row>
    <row r="599" spans="1:20" ht="22.5" hidden="1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 t="shared" si="10"/>
        <v>24</v>
      </c>
      <c r="S599" s="63">
        <v>20</v>
      </c>
      <c r="T599" s="104" t="s">
        <v>1851</v>
      </c>
    </row>
    <row r="600" spans="1:20" ht="22.5" hidden="1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 t="shared" si="10"/>
        <v>30</v>
      </c>
      <c r="S600" s="69">
        <v>16</v>
      </c>
      <c r="T600" s="66" t="s">
        <v>1855</v>
      </c>
    </row>
    <row r="601" spans="1:20" ht="22.5" hidden="1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 t="shared" si="10"/>
        <v>21</v>
      </c>
      <c r="S601" s="63">
        <v>8</v>
      </c>
      <c r="T601" s="44" t="s">
        <v>1826</v>
      </c>
    </row>
    <row r="602" spans="1:20" ht="22.5" hidden="1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 t="shared" si="10"/>
        <v>27</v>
      </c>
      <c r="S602" s="21">
        <v>8</v>
      </c>
      <c r="T602" s="19" t="s">
        <v>1523</v>
      </c>
    </row>
    <row r="603" spans="1:20" ht="22.5" hidden="1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 t="shared" si="10"/>
        <v>26</v>
      </c>
      <c r="S603" s="23">
        <v>36</v>
      </c>
      <c r="T603" s="20" t="s">
        <v>441</v>
      </c>
    </row>
    <row r="604" spans="1:20" ht="22.5" hidden="1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 t="shared" si="10"/>
        <v>28</v>
      </c>
      <c r="S604" s="21">
        <v>40</v>
      </c>
      <c r="T604" s="19" t="s">
        <v>1867</v>
      </c>
    </row>
    <row r="605" spans="1:20" ht="22.5" hidden="1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 t="shared" si="10"/>
        <v>20</v>
      </c>
      <c r="S605" s="23">
        <v>4</v>
      </c>
      <c r="T605" s="20" t="s">
        <v>1870</v>
      </c>
    </row>
    <row r="606" spans="1:20" ht="22.5" hidden="1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 t="shared" si="10"/>
        <v>170</v>
      </c>
      <c r="S606" s="21">
        <v>2</v>
      </c>
      <c r="T606" s="53" t="s">
        <v>1874</v>
      </c>
    </row>
    <row r="607" spans="1:20" ht="22.5" hidden="1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 t="shared" si="10"/>
        <v>170</v>
      </c>
      <c r="S607" s="23">
        <v>2</v>
      </c>
      <c r="T607" s="45" t="s">
        <v>1876</v>
      </c>
    </row>
    <row r="608" spans="1:20" ht="22.5" hidden="1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 t="shared" si="10"/>
        <v>19</v>
      </c>
      <c r="S608" s="21">
        <v>20</v>
      </c>
      <c r="T608" s="19" t="s">
        <v>611</v>
      </c>
    </row>
    <row r="609" spans="1:20" ht="22.5" hidden="1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 t="shared" si="10"/>
        <v>19</v>
      </c>
      <c r="S609" s="23">
        <v>12</v>
      </c>
      <c r="T609" s="20" t="s">
        <v>1883</v>
      </c>
    </row>
    <row r="610" spans="1:20" ht="22.5" hidden="1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 t="shared" si="10"/>
        <v>31</v>
      </c>
      <c r="S610" s="21">
        <v>3</v>
      </c>
      <c r="T610" s="19" t="s">
        <v>1549</v>
      </c>
    </row>
    <row r="611" spans="1:20" ht="22.5" hidden="1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 t="shared" si="10"/>
        <v>15</v>
      </c>
      <c r="S611" s="23">
        <v>16</v>
      </c>
      <c r="T611" s="223" t="s">
        <v>1889</v>
      </c>
    </row>
    <row r="612" spans="1:20" ht="22.5" hidden="1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 t="shared" si="10"/>
        <v>100</v>
      </c>
      <c r="S612" s="21">
        <v>1.5</v>
      </c>
      <c r="T612" s="19" t="s">
        <v>1893</v>
      </c>
    </row>
    <row r="613" spans="1:20" ht="22.5" hidden="1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 t="shared" si="10"/>
        <v>114</v>
      </c>
      <c r="S613" s="23">
        <v>3</v>
      </c>
      <c r="T613" s="45" t="s">
        <v>1895</v>
      </c>
    </row>
    <row r="614" spans="1:20" ht="22.5" hidden="1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 t="shared" si="10"/>
        <v>491</v>
      </c>
      <c r="S614" s="21">
        <v>8</v>
      </c>
      <c r="T614" s="19" t="s">
        <v>365</v>
      </c>
    </row>
    <row r="615" spans="1:20" ht="22.5" hidden="1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 t="shared" si="10"/>
        <v>27</v>
      </c>
      <c r="S615" s="23">
        <v>8</v>
      </c>
      <c r="T615" s="20" t="s">
        <v>1125</v>
      </c>
    </row>
    <row r="616" spans="1:20" ht="22.5" hidden="1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 t="shared" si="10"/>
        <v>63</v>
      </c>
      <c r="S616" s="21">
        <v>16</v>
      </c>
      <c r="T616" s="102" t="s">
        <v>1855</v>
      </c>
    </row>
    <row r="617" spans="1:20" ht="22.5" hidden="1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 t="shared" si="10"/>
        <v>42</v>
      </c>
      <c r="S617" s="23">
        <v>4</v>
      </c>
      <c r="T617" s="20" t="s">
        <v>1907</v>
      </c>
    </row>
    <row r="618" spans="1:20" ht="22.5" hidden="1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 t="shared" si="10"/>
        <v>27</v>
      </c>
      <c r="S618" s="21">
        <v>4</v>
      </c>
      <c r="T618" s="102" t="s">
        <v>1911</v>
      </c>
    </row>
    <row r="619" spans="1:20" ht="22.5" hidden="1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 t="shared" si="10"/>
        <v>40</v>
      </c>
      <c r="S619" s="23">
        <v>4</v>
      </c>
      <c r="T619" s="20" t="s">
        <v>1477</v>
      </c>
    </row>
    <row r="620" spans="1:20" ht="22.5" hidden="1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 t="shared" si="10"/>
        <v>47</v>
      </c>
      <c r="S620" s="21">
        <v>12</v>
      </c>
      <c r="T620" s="19" t="s">
        <v>1590</v>
      </c>
    </row>
    <row r="621" spans="1:20" ht="22.5" hidden="1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 t="shared" si="10"/>
        <v>23</v>
      </c>
      <c r="S621" s="23">
        <v>4</v>
      </c>
      <c r="T621" s="45" t="s">
        <v>1920</v>
      </c>
    </row>
    <row r="622" spans="1:20" ht="22.5" hidden="1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 t="shared" si="10"/>
        <v>21</v>
      </c>
      <c r="S622" s="21">
        <v>8</v>
      </c>
      <c r="T622" s="19" t="s">
        <v>1812</v>
      </c>
    </row>
    <row r="623" spans="1:20" ht="22.5" hidden="1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 t="shared" si="10"/>
        <v>26</v>
      </c>
      <c r="S623" s="23">
        <v>6</v>
      </c>
      <c r="T623" s="20" t="s">
        <v>1926</v>
      </c>
    </row>
    <row r="624" spans="1:20" ht="22.5" hidden="1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 t="shared" si="10"/>
        <v>88</v>
      </c>
      <c r="S624" s="21">
        <v>3</v>
      </c>
      <c r="T624" s="42" t="s">
        <v>1784</v>
      </c>
    </row>
    <row r="625" spans="1:20" ht="22.5" hidden="1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 t="shared" si="10"/>
        <v>33</v>
      </c>
      <c r="S625" s="23">
        <v>4</v>
      </c>
      <c r="T625" s="45" t="s">
        <v>1840</v>
      </c>
    </row>
    <row r="626" spans="1:20" ht="22.5" hidden="1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 t="shared" si="10"/>
        <v>128</v>
      </c>
      <c r="S626" s="21">
        <v>3</v>
      </c>
      <c r="T626" s="42" t="s">
        <v>1784</v>
      </c>
    </row>
    <row r="627" spans="1:20" ht="22.5" hidden="1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 t="shared" si="10"/>
        <v>0</v>
      </c>
      <c r="S627" s="23"/>
      <c r="T627" s="20" t="s">
        <v>365</v>
      </c>
    </row>
    <row r="628" spans="1:20" ht="22.5" hidden="1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 t="shared" si="10"/>
        <v>80</v>
      </c>
      <c r="S628" s="23">
        <v>2</v>
      </c>
      <c r="T628" s="20"/>
    </row>
    <row r="629" spans="1:20" ht="22.5" hidden="1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 t="shared" si="10"/>
        <v>23</v>
      </c>
      <c r="S629" s="21" t="s">
        <v>1938</v>
      </c>
      <c r="T629" s="19" t="s">
        <v>1939</v>
      </c>
    </row>
    <row r="630" spans="1:20" ht="22.5" hidden="1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 t="shared" si="10"/>
        <v>49</v>
      </c>
      <c r="S630" s="23">
        <v>16</v>
      </c>
      <c r="T630" s="20" t="s">
        <v>1943</v>
      </c>
    </row>
    <row r="631" spans="1:20" ht="22.5" hidden="1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 t="shared" si="10"/>
        <v>228</v>
      </c>
      <c r="S631" s="21">
        <v>14</v>
      </c>
      <c r="T631" s="19" t="s">
        <v>365</v>
      </c>
    </row>
    <row r="632" spans="1:20" ht="22.5" hidden="1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 t="shared" si="10"/>
        <v>28</v>
      </c>
      <c r="S632" s="23">
        <v>8</v>
      </c>
      <c r="T632" s="20" t="s">
        <v>1523</v>
      </c>
    </row>
    <row r="633" spans="1:20" ht="22.5" hidden="1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 t="shared" si="10"/>
        <v>16</v>
      </c>
      <c r="S633" s="21">
        <v>48</v>
      </c>
      <c r="T633" s="53" t="s">
        <v>1952</v>
      </c>
    </row>
    <row r="634" spans="1:20" ht="22.5" hidden="1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 t="shared" si="10"/>
        <v>40</v>
      </c>
      <c r="S634" s="23">
        <v>12</v>
      </c>
      <c r="T634" s="20" t="s">
        <v>1847</v>
      </c>
    </row>
    <row r="635" spans="1:20" ht="22.5" hidden="1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 t="shared" si="10"/>
        <v>80</v>
      </c>
      <c r="S635" s="21">
        <v>4</v>
      </c>
      <c r="T635" s="222"/>
    </row>
    <row r="636" spans="1:20" ht="22.5" hidden="1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 t="shared" si="10"/>
        <v>70</v>
      </c>
      <c r="S636" s="23">
        <v>1</v>
      </c>
      <c r="T636" s="103" t="s">
        <v>1749</v>
      </c>
    </row>
    <row r="637" spans="1:20" ht="22.5" hidden="1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 t="shared" si="10"/>
        <v>28</v>
      </c>
      <c r="S637" s="21">
        <v>12</v>
      </c>
      <c r="T637" s="19" t="s">
        <v>1964</v>
      </c>
    </row>
    <row r="638" spans="1:20" ht="22.5" hidden="1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 t="shared" si="10"/>
        <v>30</v>
      </c>
      <c r="S638" s="23">
        <v>12</v>
      </c>
      <c r="T638" s="20" t="s">
        <v>1968</v>
      </c>
    </row>
    <row r="639" spans="1:20" ht="22.5" hidden="1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 t="shared" si="10"/>
        <v>21</v>
      </c>
      <c r="S639" s="21" t="s">
        <v>1938</v>
      </c>
      <c r="T639" s="19" t="s">
        <v>1939</v>
      </c>
    </row>
    <row r="640" spans="1:20" ht="22.5" hidden="1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 t="shared" si="10"/>
        <v>179</v>
      </c>
      <c r="S640" s="23">
        <v>14</v>
      </c>
      <c r="T640" s="20" t="s">
        <v>365</v>
      </c>
    </row>
    <row r="641" spans="1:20" ht="22.5" hidden="1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 t="shared" si="10"/>
        <v>0</v>
      </c>
      <c r="S641" s="21">
        <v>2</v>
      </c>
      <c r="T641" s="19"/>
    </row>
    <row r="642" spans="1:20" ht="22.5" hidden="1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hidden="1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 t="shared" ref="R643:R650" si="11">SUM(O643:Q643)</f>
        <v>33</v>
      </c>
      <c r="S643" s="21">
        <v>20</v>
      </c>
      <c r="T643" s="19" t="s">
        <v>1632</v>
      </c>
    </row>
    <row r="644" spans="1:20" ht="22.5" hidden="1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 t="shared" si="11"/>
        <v>39</v>
      </c>
      <c r="S644" s="23">
        <v>4</v>
      </c>
      <c r="T644" s="43" t="s">
        <v>1784</v>
      </c>
    </row>
    <row r="645" spans="1:20" ht="22.5" hidden="1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 t="shared" si="11"/>
        <v>39</v>
      </c>
      <c r="S645" s="21">
        <v>4</v>
      </c>
      <c r="T645" s="42" t="s">
        <v>1986</v>
      </c>
    </row>
    <row r="646" spans="1:20" ht="22.5" hidden="1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 t="shared" si="11"/>
        <v>170</v>
      </c>
      <c r="S646" s="23">
        <v>2</v>
      </c>
      <c r="T646" s="45" t="s">
        <v>1968</v>
      </c>
    </row>
    <row r="647" spans="1:20" ht="22.5" hidden="1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 t="shared" si="11"/>
        <v>13</v>
      </c>
      <c r="S647" s="21">
        <v>20</v>
      </c>
      <c r="T647" s="19" t="s">
        <v>611</v>
      </c>
    </row>
    <row r="648" spans="1:20" ht="22.5" hidden="1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2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 t="shared" si="11"/>
        <v>34</v>
      </c>
      <c r="S648" s="23">
        <v>20</v>
      </c>
      <c r="T648" s="20" t="s">
        <v>1527</v>
      </c>
    </row>
    <row r="649" spans="1:20" ht="22.5" hidden="1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 t="shared" si="11"/>
        <v>45</v>
      </c>
      <c r="S649" s="21">
        <v>12</v>
      </c>
      <c r="T649" s="19" t="s">
        <v>1855</v>
      </c>
    </row>
    <row r="650" spans="1:20" ht="22.5" hidden="1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 t="shared" si="11"/>
        <v>72</v>
      </c>
      <c r="S650" s="23">
        <v>8</v>
      </c>
      <c r="T650" s="45" t="s">
        <v>2000</v>
      </c>
    </row>
    <row r="651" spans="1:20" ht="22.5" hidden="1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hidden="1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hidden="1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hidden="1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hidden="1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hidden="1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hidden="1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hidden="1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hidden="1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hidden="1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hidden="1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hidden="1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 t="shared" ref="R662:R668" si="12">SUM(O662:Q662)</f>
        <v>20</v>
      </c>
      <c r="S662" s="21">
        <v>12</v>
      </c>
      <c r="T662" s="53" t="s">
        <v>2046</v>
      </c>
    </row>
    <row r="663" spans="1:20" ht="22.5" hidden="1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 t="shared" si="12"/>
        <v>19</v>
      </c>
      <c r="S663" s="23">
        <v>20</v>
      </c>
      <c r="T663" s="20" t="s">
        <v>61</v>
      </c>
    </row>
    <row r="664" spans="1:20" ht="22.5" hidden="1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 t="shared" si="12"/>
        <v>33</v>
      </c>
      <c r="S664" s="21">
        <v>20</v>
      </c>
      <c r="T664" s="53" t="s">
        <v>2053</v>
      </c>
    </row>
    <row r="665" spans="1:20" ht="22.5" hidden="1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 t="shared" si="12"/>
        <v>20</v>
      </c>
      <c r="S665" s="23">
        <v>8</v>
      </c>
      <c r="T665" s="20" t="s">
        <v>2058</v>
      </c>
    </row>
    <row r="666" spans="1:20" ht="22.5" hidden="1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 t="shared" si="12"/>
        <v>20</v>
      </c>
      <c r="S666" s="21">
        <v>20</v>
      </c>
      <c r="T666" s="19" t="s">
        <v>61</v>
      </c>
    </row>
    <row r="667" spans="1:20" ht="22.5" hidden="1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 t="shared" si="12"/>
        <v>127</v>
      </c>
      <c r="S667" s="23">
        <v>4</v>
      </c>
      <c r="T667" s="20" t="s">
        <v>365</v>
      </c>
    </row>
    <row r="668" spans="1:20" ht="22.5" hidden="1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 t="shared" si="12"/>
        <v>192</v>
      </c>
      <c r="S668" s="21">
        <v>14</v>
      </c>
      <c r="T668" s="19" t="s">
        <v>365</v>
      </c>
    </row>
    <row r="669" spans="1:20" ht="22.5" hidden="1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hidden="1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hidden="1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hidden="1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hidden="1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hidden="1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2370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hidden="1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hidden="1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hidden="1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2372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hidden="1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hidden="1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2371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hidden="1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hidden="1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0" t="s">
        <v>2144</v>
      </c>
      <c r="F681" s="242" t="s">
        <v>51</v>
      </c>
      <c r="G681" s="263" t="s">
        <v>2035</v>
      </c>
      <c r="H681" s="313" t="s">
        <v>2145</v>
      </c>
      <c r="I681" s="314">
        <v>46157</v>
      </c>
      <c r="J681" s="314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65</v>
      </c>
      <c r="T681" s="244" t="s">
        <v>2037</v>
      </c>
    </row>
    <row r="682" spans="1:20" ht="22.5" hidden="1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5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hidden="1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hidden="1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1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hidden="1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hidden="1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hidden="1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hidden="1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hidden="1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hidden="1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hidden="1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hidden="1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hidden="1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hidden="1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hidden="1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hidden="1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hidden="1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 t="shared" ref="R697:R712" si="13">IF(B697="","",SUM(O697:Q697))</f>
        <v>0</v>
      </c>
      <c r="S697" s="236">
        <v>24</v>
      </c>
      <c r="T697" s="244" t="s">
        <v>2098</v>
      </c>
    </row>
    <row r="698" spans="1:20" ht="22.5" hidden="1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>
        <v>4.9000000000000004</v>
      </c>
      <c r="N698" s="251">
        <v>30</v>
      </c>
      <c r="O698" s="254"/>
      <c r="P698" s="254"/>
      <c r="Q698" s="254"/>
      <c r="R698" s="254">
        <f t="shared" si="13"/>
        <v>0</v>
      </c>
      <c r="S698" s="235">
        <v>20</v>
      </c>
      <c r="T698" s="243" t="s">
        <v>324</v>
      </c>
    </row>
    <row r="699" spans="1:20" ht="22.5" hidden="1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 t="shared" si="13"/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 t="shared" si="13"/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>2026-045</v>
      </c>
      <c r="B701" s="316">
        <v>2026</v>
      </c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2406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>
        <f t="shared" si="13"/>
        <v>0</v>
      </c>
      <c r="S701" s="235">
        <v>15</v>
      </c>
      <c r="T701" s="243" t="s">
        <v>2042</v>
      </c>
    </row>
    <row r="702" spans="1:20" ht="22.5" customHeight="1" x14ac:dyDescent="0.25">
      <c r="A702" s="189" t="str">
        <f>IF(B702="","",B702&amp;"-"&amp;TEXT(COUNTIF(B$2:B702,B702),"000"))</f>
        <v>2026-046</v>
      </c>
      <c r="B702" s="69">
        <v>2026</v>
      </c>
      <c r="C702" s="234" t="s">
        <v>2102</v>
      </c>
      <c r="D702" s="236" t="s">
        <v>2190</v>
      </c>
      <c r="E702" s="240" t="s">
        <v>2191</v>
      </c>
      <c r="F702" s="242" t="s">
        <v>51</v>
      </c>
      <c r="G702" s="244" t="s">
        <v>59</v>
      </c>
      <c r="H702" s="246" t="s">
        <v>2160</v>
      </c>
      <c r="I702" s="248">
        <v>46244</v>
      </c>
      <c r="J702" s="248">
        <v>46245</v>
      </c>
      <c r="K702" s="236" t="s">
        <v>32</v>
      </c>
      <c r="L702" s="302"/>
      <c r="M702" s="250"/>
      <c r="N702" s="252">
        <v>40</v>
      </c>
      <c r="O702" s="255"/>
      <c r="P702" s="255"/>
      <c r="Q702" s="255"/>
      <c r="R702" s="255">
        <f t="shared" si="13"/>
        <v>0</v>
      </c>
      <c r="S702" s="236">
        <v>8</v>
      </c>
      <c r="T702" s="260" t="s">
        <v>2192</v>
      </c>
    </row>
    <row r="703" spans="1:20" ht="22.5" customHeight="1" x14ac:dyDescent="0.25">
      <c r="A703" s="188" t="str">
        <f>IF(B703="","",B703&amp;"-"&amp;TEXT(COUNTIF(B$2:B703,B703),"000"))</f>
        <v>2026-047</v>
      </c>
      <c r="B703" s="69">
        <v>2026</v>
      </c>
      <c r="C703" s="234" t="s">
        <v>2102</v>
      </c>
      <c r="D703" s="235" t="s">
        <v>2378</v>
      </c>
      <c r="E703" s="237" t="s">
        <v>2399</v>
      </c>
      <c r="F703" s="241" t="s">
        <v>51</v>
      </c>
      <c r="G703" s="243" t="s">
        <v>59</v>
      </c>
      <c r="H703" s="245" t="s">
        <v>2381</v>
      </c>
      <c r="I703" s="247">
        <v>46244</v>
      </c>
      <c r="J703" s="247">
        <v>46244</v>
      </c>
      <c r="K703" s="235" t="s">
        <v>32</v>
      </c>
      <c r="L703" s="302">
        <v>1990</v>
      </c>
      <c r="M703" s="250"/>
      <c r="N703" s="251">
        <v>20</v>
      </c>
      <c r="O703" s="254"/>
      <c r="P703" s="254"/>
      <c r="Q703" s="254"/>
      <c r="R703" s="254">
        <f t="shared" si="13"/>
        <v>0</v>
      </c>
      <c r="S703" s="235">
        <v>4</v>
      </c>
      <c r="T703" s="243" t="s">
        <v>1847</v>
      </c>
    </row>
    <row r="704" spans="1:20" ht="22.5" customHeight="1" x14ac:dyDescent="0.25">
      <c r="A704" s="189" t="str">
        <f>IF(B704="","",B704&amp;"-"&amp;TEXT(COUNTIF(B$2:B704,B704),"000"))</f>
        <v>2026-048</v>
      </c>
      <c r="B704" s="69">
        <v>2026</v>
      </c>
      <c r="C704" s="234" t="s">
        <v>2102</v>
      </c>
      <c r="D704" s="236" t="s">
        <v>2383</v>
      </c>
      <c r="E704" s="239" t="s">
        <v>2401</v>
      </c>
      <c r="F704" s="242" t="s">
        <v>51</v>
      </c>
      <c r="G704" s="244" t="s">
        <v>59</v>
      </c>
      <c r="H704" s="246" t="s">
        <v>2381</v>
      </c>
      <c r="I704" s="248">
        <v>46244</v>
      </c>
      <c r="J704" s="248">
        <v>46244</v>
      </c>
      <c r="K704" s="236" t="s">
        <v>32</v>
      </c>
      <c r="L704" s="302">
        <v>3520</v>
      </c>
      <c r="M704" s="250"/>
      <c r="N704" s="252">
        <v>30</v>
      </c>
      <c r="O704" s="255"/>
      <c r="P704" s="255"/>
      <c r="Q704" s="255"/>
      <c r="R704" s="255">
        <f t="shared" si="13"/>
        <v>0</v>
      </c>
      <c r="S704" s="236">
        <v>4</v>
      </c>
      <c r="T704" s="244" t="s">
        <v>2385</v>
      </c>
    </row>
    <row r="705" spans="1:21" ht="22.5" customHeight="1" x14ac:dyDescent="0.25">
      <c r="A705" s="188" t="str">
        <f>IF(B705="","",B705&amp;"-"&amp;TEXT(COUNTIF(B$2:B705,B705),"000"))</f>
        <v>2026-049</v>
      </c>
      <c r="B705" s="69">
        <v>2026</v>
      </c>
      <c r="C705" s="234" t="s">
        <v>2102</v>
      </c>
      <c r="D705" s="235" t="s">
        <v>2386</v>
      </c>
      <c r="E705" s="237" t="s">
        <v>2402</v>
      </c>
      <c r="F705" s="241" t="s">
        <v>51</v>
      </c>
      <c r="G705" s="243" t="s">
        <v>59</v>
      </c>
      <c r="H705" s="245" t="s">
        <v>2387</v>
      </c>
      <c r="I705" s="247">
        <v>46245</v>
      </c>
      <c r="J705" s="247">
        <v>46245</v>
      </c>
      <c r="K705" s="235" t="s">
        <v>32</v>
      </c>
      <c r="L705" s="302">
        <v>3520</v>
      </c>
      <c r="M705" s="250"/>
      <c r="N705" s="251">
        <v>30</v>
      </c>
      <c r="O705" s="254"/>
      <c r="P705" s="254"/>
      <c r="Q705" s="254"/>
      <c r="R705" s="254">
        <f t="shared" si="13"/>
        <v>0</v>
      </c>
      <c r="S705" s="235">
        <v>4</v>
      </c>
      <c r="T705" s="243" t="s">
        <v>1855</v>
      </c>
    </row>
    <row r="706" spans="1:21" ht="22.5" customHeight="1" x14ac:dyDescent="0.25">
      <c r="A706" s="189" t="str">
        <f>IF(B706="","",B706&amp;"-"&amp;TEXT(COUNTIF(B$2:B706,B706),"000"))</f>
        <v>2026-050</v>
      </c>
      <c r="B706" s="69">
        <v>2026</v>
      </c>
      <c r="C706" s="234" t="s">
        <v>2102</v>
      </c>
      <c r="D706" s="236" t="s">
        <v>2377</v>
      </c>
      <c r="E706" s="239" t="s">
        <v>2379</v>
      </c>
      <c r="F706" s="242" t="s">
        <v>51</v>
      </c>
      <c r="G706" s="244" t="s">
        <v>59</v>
      </c>
      <c r="H706" s="246" t="s">
        <v>2380</v>
      </c>
      <c r="I706" s="248">
        <v>46246</v>
      </c>
      <c r="J706" s="248">
        <v>46246</v>
      </c>
      <c r="K706" s="236" t="s">
        <v>32</v>
      </c>
      <c r="L706" s="302">
        <v>2347</v>
      </c>
      <c r="M706" s="250"/>
      <c r="N706" s="252">
        <v>50</v>
      </c>
      <c r="O706" s="255"/>
      <c r="P706" s="255"/>
      <c r="Q706" s="255"/>
      <c r="R706" s="255">
        <f t="shared" si="13"/>
        <v>0</v>
      </c>
      <c r="S706" s="236">
        <v>4</v>
      </c>
      <c r="T706" s="244" t="s">
        <v>1477</v>
      </c>
    </row>
    <row r="707" spans="1:21" ht="22.5" customHeight="1" x14ac:dyDescent="0.25">
      <c r="A707" s="188" t="str">
        <f>IF(B707="","",B707&amp;"-"&amp;TEXT(COUNTIF(B$2:B707,B707),"000"))</f>
        <v>2026-051</v>
      </c>
      <c r="B707" s="69">
        <v>2026</v>
      </c>
      <c r="C707" s="234" t="s">
        <v>2102</v>
      </c>
      <c r="D707" s="236" t="s">
        <v>2388</v>
      </c>
      <c r="E707" s="239" t="s">
        <v>2403</v>
      </c>
      <c r="F707" s="242" t="s">
        <v>51</v>
      </c>
      <c r="G707" s="244" t="s">
        <v>59</v>
      </c>
      <c r="H707" s="246" t="s">
        <v>2380</v>
      </c>
      <c r="I707" s="248">
        <v>46246</v>
      </c>
      <c r="J707" s="248">
        <v>46246</v>
      </c>
      <c r="K707" s="236" t="s">
        <v>32</v>
      </c>
      <c r="L707" s="302">
        <v>3520</v>
      </c>
      <c r="M707" s="250"/>
      <c r="N707" s="252">
        <v>30</v>
      </c>
      <c r="O707" s="255"/>
      <c r="P707" s="255"/>
      <c r="Q707" s="255"/>
      <c r="R707" s="255">
        <f t="shared" si="13"/>
        <v>0</v>
      </c>
      <c r="S707" s="236">
        <v>4</v>
      </c>
      <c r="T707" s="244" t="s">
        <v>2390</v>
      </c>
    </row>
    <row r="708" spans="1:21" ht="22.5" customHeight="1" x14ac:dyDescent="0.25">
      <c r="A708" s="189" t="str">
        <f>IF(B708="","",B708&amp;"-"&amp;TEXT(COUNTIF(B$2:B708,B708),"000"))</f>
        <v>2026-052</v>
      </c>
      <c r="B708" s="69">
        <v>2026</v>
      </c>
      <c r="C708" s="234" t="s">
        <v>2102</v>
      </c>
      <c r="D708" s="235" t="s">
        <v>2373</v>
      </c>
      <c r="E708" s="237" t="s">
        <v>2398</v>
      </c>
      <c r="F708" s="241" t="s">
        <v>51</v>
      </c>
      <c r="G708" s="243" t="s">
        <v>59</v>
      </c>
      <c r="H708" s="245" t="s">
        <v>2374</v>
      </c>
      <c r="I708" s="247">
        <v>46247</v>
      </c>
      <c r="J708" s="247">
        <v>46247</v>
      </c>
      <c r="K708" s="235" t="s">
        <v>32</v>
      </c>
      <c r="L708" s="302">
        <v>1770</v>
      </c>
      <c r="M708" s="250"/>
      <c r="N708" s="251">
        <v>50</v>
      </c>
      <c r="O708" s="254"/>
      <c r="P708" s="254"/>
      <c r="Q708" s="254"/>
      <c r="R708" s="254">
        <f t="shared" si="13"/>
        <v>0</v>
      </c>
      <c r="S708" s="235">
        <v>4</v>
      </c>
      <c r="T708" s="243" t="s">
        <v>2376</v>
      </c>
    </row>
    <row r="709" spans="1:21" ht="22.5" customHeight="1" x14ac:dyDescent="0.25">
      <c r="A709" s="188" t="str">
        <f>IF(B709="","",B709&amp;"-"&amp;TEXT(COUNTIF(B$2:B709,B709),"000"))</f>
        <v>2026-053</v>
      </c>
      <c r="B709" s="69">
        <v>2026</v>
      </c>
      <c r="C709" s="234" t="s">
        <v>2102</v>
      </c>
      <c r="D709" s="235" t="s">
        <v>2391</v>
      </c>
      <c r="E709" s="237" t="s">
        <v>2404</v>
      </c>
      <c r="F709" s="241" t="s">
        <v>51</v>
      </c>
      <c r="G709" s="243" t="s">
        <v>59</v>
      </c>
      <c r="H709" s="245" t="s">
        <v>2374</v>
      </c>
      <c r="I709" s="247">
        <v>46247</v>
      </c>
      <c r="J709" s="247">
        <v>46247</v>
      </c>
      <c r="K709" s="235" t="s">
        <v>32</v>
      </c>
      <c r="L709" s="302">
        <v>3520</v>
      </c>
      <c r="M709" s="250"/>
      <c r="N709" s="251">
        <v>30</v>
      </c>
      <c r="O709" s="254"/>
      <c r="P709" s="254"/>
      <c r="Q709" s="254"/>
      <c r="R709" s="254">
        <f t="shared" si="13"/>
        <v>0</v>
      </c>
      <c r="S709" s="235">
        <v>4</v>
      </c>
      <c r="T709" s="243" t="s">
        <v>2393</v>
      </c>
      <c r="U709" s="230"/>
    </row>
    <row r="710" spans="1:21" ht="22.5" customHeight="1" x14ac:dyDescent="0.25">
      <c r="A710" s="189" t="str">
        <f>IF(B710="","",B710&amp;"-"&amp;TEXT(COUNTIF(B$2:B710,B710),"000"))</f>
        <v>2026-054</v>
      </c>
      <c r="B710" s="69">
        <v>2026</v>
      </c>
      <c r="C710" s="234" t="s">
        <v>2102</v>
      </c>
      <c r="D710" s="235" t="s">
        <v>2084</v>
      </c>
      <c r="E710" s="237" t="s">
        <v>2181</v>
      </c>
      <c r="F710" s="241" t="s">
        <v>66</v>
      </c>
      <c r="G710" s="243" t="s">
        <v>2072</v>
      </c>
      <c r="H710" s="245" t="s">
        <v>2182</v>
      </c>
      <c r="I710" s="247">
        <v>46254</v>
      </c>
      <c r="J710" s="247">
        <v>46254</v>
      </c>
      <c r="K710" s="235" t="s">
        <v>32</v>
      </c>
      <c r="L710" s="302"/>
      <c r="M710" s="250"/>
      <c r="N710" s="251">
        <v>80</v>
      </c>
      <c r="O710" s="254"/>
      <c r="P710" s="254"/>
      <c r="Q710" s="254"/>
      <c r="R710" s="254">
        <f t="shared" si="13"/>
        <v>0</v>
      </c>
      <c r="S710" s="235">
        <v>4</v>
      </c>
      <c r="T710" s="259" t="s">
        <v>2183</v>
      </c>
    </row>
    <row r="711" spans="1:21" ht="22.5" customHeight="1" x14ac:dyDescent="0.25">
      <c r="A711" s="188" t="str">
        <f>IF(B711="","",B711&amp;"-"&amp;TEXT(COUNTIF(B$2:B711,B711),"000"))</f>
        <v>2026-055</v>
      </c>
      <c r="B711" s="69">
        <v>2026</v>
      </c>
      <c r="C711" s="234" t="s">
        <v>2102</v>
      </c>
      <c r="D711" s="235" t="s">
        <v>2084</v>
      </c>
      <c r="E711" s="240" t="s">
        <v>2181</v>
      </c>
      <c r="F711" s="242" t="s">
        <v>66</v>
      </c>
      <c r="G711" s="244" t="s">
        <v>2072</v>
      </c>
      <c r="H711" s="246" t="s">
        <v>2184</v>
      </c>
      <c r="I711" s="248">
        <v>46255</v>
      </c>
      <c r="J711" s="248">
        <v>46255</v>
      </c>
      <c r="K711" s="236" t="s">
        <v>32</v>
      </c>
      <c r="L711" s="302"/>
      <c r="M711" s="250"/>
      <c r="N711" s="252">
        <v>80</v>
      </c>
      <c r="O711" s="255"/>
      <c r="P711" s="255"/>
      <c r="Q711" s="255"/>
      <c r="R711" s="255">
        <f t="shared" si="13"/>
        <v>0</v>
      </c>
      <c r="S711" s="236">
        <v>4</v>
      </c>
      <c r="T711" s="260" t="s">
        <v>2185</v>
      </c>
    </row>
    <row r="712" spans="1:21" ht="22.5" customHeight="1" x14ac:dyDescent="0.25">
      <c r="A712" s="189" t="str">
        <f>IF(B712="","",B712&amp;"-"&amp;TEXT(COUNTIF(B$2:B712,B712),"000"))</f>
        <v>2026-056</v>
      </c>
      <c r="B712" s="69">
        <v>2026</v>
      </c>
      <c r="C712" s="234" t="s">
        <v>2102</v>
      </c>
      <c r="D712" s="236" t="s">
        <v>2408</v>
      </c>
      <c r="E712" s="239" t="s">
        <v>2409</v>
      </c>
      <c r="F712" s="242" t="s">
        <v>51</v>
      </c>
      <c r="G712" s="244" t="s">
        <v>59</v>
      </c>
      <c r="H712" s="320" t="s">
        <v>2410</v>
      </c>
      <c r="I712" s="248">
        <v>46259</v>
      </c>
      <c r="J712" s="248">
        <v>46268</v>
      </c>
      <c r="K712" s="236" t="s">
        <v>32</v>
      </c>
      <c r="L712" s="302"/>
      <c r="M712" s="250"/>
      <c r="N712" s="252">
        <v>30</v>
      </c>
      <c r="O712" s="255"/>
      <c r="P712" s="255"/>
      <c r="Q712" s="255"/>
      <c r="R712" s="255">
        <f t="shared" si="13"/>
        <v>0</v>
      </c>
      <c r="S712" s="236">
        <v>20</v>
      </c>
      <c r="T712" s="244" t="s">
        <v>2414</v>
      </c>
    </row>
    <row r="713" spans="1:21" ht="22.5" hidden="1" customHeight="1" x14ac:dyDescent="0.25">
      <c r="A713" s="189" t="str">
        <f>IF(B713="","",B713&amp;"-"&amp;TEXT(COUNTIF(B$2:B713,B713),"000"))</f>
        <v>2026-057</v>
      </c>
      <c r="B713" s="69">
        <v>2026</v>
      </c>
      <c r="C713" s="47" t="s">
        <v>2102</v>
      </c>
      <c r="D713" s="21" t="s">
        <v>2114</v>
      </c>
      <c r="E713" s="81" t="s">
        <v>2115</v>
      </c>
      <c r="F713" s="28" t="s">
        <v>66</v>
      </c>
      <c r="G713" s="19" t="s">
        <v>2072</v>
      </c>
      <c r="H713" s="35" t="s">
        <v>2407</v>
      </c>
      <c r="I713" s="36">
        <v>46273</v>
      </c>
      <c r="J713" s="36">
        <v>46283</v>
      </c>
      <c r="K713" s="21" t="s">
        <v>25</v>
      </c>
      <c r="L713" s="297">
        <v>25200</v>
      </c>
      <c r="M713" s="183"/>
      <c r="N713" s="40">
        <v>60</v>
      </c>
      <c r="O713" s="22"/>
      <c r="P713" s="22"/>
      <c r="Q713" s="22"/>
      <c r="R713" s="22">
        <f>SUM(O713:Q713)</f>
        <v>0</v>
      </c>
      <c r="S713" s="21">
        <v>32</v>
      </c>
      <c r="T713" s="19" t="s">
        <v>2116</v>
      </c>
    </row>
    <row r="714" spans="1:21" ht="22.5" hidden="1" customHeight="1" x14ac:dyDescent="0.25">
      <c r="A714" s="189" t="str">
        <f>IF(B714="","",B714&amp;"-"&amp;TEXT(COUNTIF(B$2:B714,B714),"000"))</f>
        <v>2026-058</v>
      </c>
      <c r="B714" s="69">
        <v>2026</v>
      </c>
      <c r="C714" s="234" t="s">
        <v>2102</v>
      </c>
      <c r="D714" s="235" t="s">
        <v>2084</v>
      </c>
      <c r="E714" s="237" t="s">
        <v>2181</v>
      </c>
      <c r="F714" s="241" t="s">
        <v>66</v>
      </c>
      <c r="G714" s="243" t="s">
        <v>2072</v>
      </c>
      <c r="H714" s="245" t="s">
        <v>2186</v>
      </c>
      <c r="I714" s="247">
        <v>46289</v>
      </c>
      <c r="J714" s="247">
        <v>46289</v>
      </c>
      <c r="K714" s="235" t="s">
        <v>32</v>
      </c>
      <c r="L714" s="302"/>
      <c r="M714" s="250"/>
      <c r="N714" s="251">
        <v>80</v>
      </c>
      <c r="O714" s="254"/>
      <c r="P714" s="254"/>
      <c r="Q714" s="254"/>
      <c r="R714" s="254">
        <f>IF(B714="","",SUM(O714:Q714))</f>
        <v>0</v>
      </c>
      <c r="S714" s="235">
        <v>4</v>
      </c>
      <c r="T714" s="260" t="s">
        <v>2185</v>
      </c>
    </row>
    <row r="715" spans="1:21" ht="22.5" hidden="1" customHeight="1" x14ac:dyDescent="0.25">
      <c r="A715" s="188" t="str">
        <f>IF(B715="","",B715&amp;"-"&amp;TEXT(COUNTIF(B$2:B715,B715),"000"))</f>
        <v>2026-059</v>
      </c>
      <c r="B715" s="69">
        <v>2026</v>
      </c>
      <c r="C715" s="234" t="s">
        <v>2102</v>
      </c>
      <c r="D715" s="235" t="s">
        <v>2084</v>
      </c>
      <c r="E715" s="240" t="s">
        <v>2181</v>
      </c>
      <c r="F715" s="242" t="s">
        <v>66</v>
      </c>
      <c r="G715" s="244" t="s">
        <v>2072</v>
      </c>
      <c r="H715" s="246" t="s">
        <v>2187</v>
      </c>
      <c r="I715" s="248">
        <v>46290</v>
      </c>
      <c r="J715" s="248">
        <v>46290</v>
      </c>
      <c r="K715" s="236" t="s">
        <v>32</v>
      </c>
      <c r="L715" s="302"/>
      <c r="M715" s="250"/>
      <c r="N715" s="252">
        <v>80</v>
      </c>
      <c r="O715" s="255"/>
      <c r="P715" s="255"/>
      <c r="Q715" s="255"/>
      <c r="R715" s="255">
        <f>IF(B715="","",SUM(O715:Q715))</f>
        <v>0</v>
      </c>
      <c r="S715" s="236">
        <v>4</v>
      </c>
      <c r="T715" s="260" t="s">
        <v>2185</v>
      </c>
    </row>
    <row r="716" spans="1:21" ht="22.5" hidden="1" customHeight="1" x14ac:dyDescent="0.25">
      <c r="A716" s="189" t="str">
        <f>IF(B716="","",B716&amp;"-"&amp;TEXT(COUNTIF(B$2:B716,B716),"000"))</f>
        <v>2026-060</v>
      </c>
      <c r="B716" s="69">
        <v>2026</v>
      </c>
      <c r="C716" s="234" t="s">
        <v>2102</v>
      </c>
      <c r="D716" s="235" t="s">
        <v>2084</v>
      </c>
      <c r="E716" s="237" t="s">
        <v>2181</v>
      </c>
      <c r="F716" s="241" t="s">
        <v>66</v>
      </c>
      <c r="G716" s="243" t="s">
        <v>2072</v>
      </c>
      <c r="H716" s="245" t="s">
        <v>2193</v>
      </c>
      <c r="I716" s="247">
        <v>46303</v>
      </c>
      <c r="J716" s="247">
        <v>46303</v>
      </c>
      <c r="K716" s="235" t="s">
        <v>32</v>
      </c>
      <c r="L716" s="302"/>
      <c r="M716" s="250"/>
      <c r="N716" s="251"/>
      <c r="O716" s="254"/>
      <c r="P716" s="254"/>
      <c r="Q716" s="254"/>
      <c r="R716" s="254">
        <f>IF(B716="","",SUM(O716:Q716))</f>
        <v>0</v>
      </c>
      <c r="S716" s="235">
        <v>4</v>
      </c>
      <c r="T716" s="260" t="s">
        <v>2185</v>
      </c>
    </row>
    <row r="717" spans="1:21" ht="22.5" hidden="1" customHeight="1" x14ac:dyDescent="0.25">
      <c r="A717" s="188" t="str">
        <f>IF(B717="","",B717&amp;"-"&amp;TEXT(COUNTIF(B$2:B717,B717),"000"))</f>
        <v>2026-061</v>
      </c>
      <c r="B717" s="69">
        <v>2026</v>
      </c>
      <c r="C717" s="234" t="s">
        <v>2102</v>
      </c>
      <c r="D717" s="236" t="s">
        <v>2084</v>
      </c>
      <c r="E717" s="240" t="s">
        <v>2181</v>
      </c>
      <c r="F717" s="242" t="s">
        <v>66</v>
      </c>
      <c r="G717" s="244" t="s">
        <v>2072</v>
      </c>
      <c r="H717" s="246" t="s">
        <v>2194</v>
      </c>
      <c r="I717" s="248">
        <v>46304</v>
      </c>
      <c r="J717" s="248">
        <v>46274</v>
      </c>
      <c r="K717" s="236" t="s">
        <v>32</v>
      </c>
      <c r="L717" s="302"/>
      <c r="M717" s="250"/>
      <c r="N717" s="252"/>
      <c r="O717" s="255"/>
      <c r="P717" s="255"/>
      <c r="Q717" s="255"/>
      <c r="R717" s="255">
        <f>IF(B717="","",SUM(O717:Q717))</f>
        <v>0</v>
      </c>
      <c r="S717" s="236">
        <v>4</v>
      </c>
      <c r="T717" s="260" t="s">
        <v>2185</v>
      </c>
    </row>
    <row r="718" spans="1:21" ht="22.5" hidden="1" customHeight="1" x14ac:dyDescent="0.25">
      <c r="A718" s="189" t="str">
        <f>IF(B718="","",B718&amp;"-"&amp;TEXT(COUNTIF(B$2:B718,B718),"000"))</f>
        <v>2026-062</v>
      </c>
      <c r="B718" s="69">
        <v>2026</v>
      </c>
      <c r="C718" s="234" t="s">
        <v>2102</v>
      </c>
      <c r="D718" s="235" t="s">
        <v>2117</v>
      </c>
      <c r="E718" s="237" t="s">
        <v>2118</v>
      </c>
      <c r="F718" s="241" t="s">
        <v>51</v>
      </c>
      <c r="G718" s="243" t="s">
        <v>59</v>
      </c>
      <c r="H718" s="245" t="s">
        <v>2119</v>
      </c>
      <c r="I718" s="247">
        <v>46321</v>
      </c>
      <c r="J718" s="247">
        <v>46322</v>
      </c>
      <c r="K718" s="249" t="s">
        <v>25</v>
      </c>
      <c r="L718" s="302"/>
      <c r="M718" s="250"/>
      <c r="N718" s="251">
        <v>170</v>
      </c>
      <c r="O718" s="254"/>
      <c r="P718" s="254"/>
      <c r="Q718" s="254"/>
      <c r="R718" s="254">
        <f>IF(B718="","",SUM(O718:Q718))</f>
        <v>0</v>
      </c>
      <c r="S718" s="235">
        <v>14</v>
      </c>
      <c r="T718" s="257" t="s">
        <v>365</v>
      </c>
    </row>
    <row r="719" spans="1:21" ht="22.5" hidden="1" customHeight="1" x14ac:dyDescent="0.25">
      <c r="A719" s="188" t="str">
        <f>IF(B719="","",B719&amp;"-"&amp;TEXT(COUNTIF(B$2:B719,B719),"000"))</f>
        <v>2026-063</v>
      </c>
      <c r="B719" s="63">
        <v>2026</v>
      </c>
      <c r="C719" s="21" t="s">
        <v>2102</v>
      </c>
      <c r="D719" s="163" t="s">
        <v>2110</v>
      </c>
      <c r="E719" s="322" t="s">
        <v>2111</v>
      </c>
      <c r="F719" s="30" t="s">
        <v>51</v>
      </c>
      <c r="G719" s="20" t="s">
        <v>59</v>
      </c>
      <c r="H719" s="165" t="s">
        <v>2112</v>
      </c>
      <c r="I719" s="166">
        <v>46335</v>
      </c>
      <c r="J719" s="166">
        <v>46335</v>
      </c>
      <c r="K719" s="23" t="s">
        <v>25</v>
      </c>
      <c r="L719" s="300"/>
      <c r="M719" s="184"/>
      <c r="N719" s="167">
        <v>170</v>
      </c>
      <c r="O719" s="168"/>
      <c r="P719" s="168"/>
      <c r="Q719" s="168"/>
      <c r="R719" s="168">
        <f>SUM(O719:Q719)</f>
        <v>0</v>
      </c>
      <c r="S719" s="163">
        <v>14</v>
      </c>
      <c r="T719" s="20" t="s">
        <v>365</v>
      </c>
    </row>
    <row r="720" spans="1:21" ht="22.5" hidden="1" customHeight="1" x14ac:dyDescent="0.25">
      <c r="A720" s="282" t="str">
        <f>IF(B720="","",B720&amp;"-"&amp;TEXT(COUNTIF(B$2:B720,B720),"000"))</f>
        <v>2026-064</v>
      </c>
      <c r="B720" s="69">
        <v>2026</v>
      </c>
      <c r="C720" s="261" t="s">
        <v>2102</v>
      </c>
      <c r="D720" s="284" t="s">
        <v>2158</v>
      </c>
      <c r="E720" s="285" t="s">
        <v>2159</v>
      </c>
      <c r="F720" s="323" t="s">
        <v>22</v>
      </c>
      <c r="G720" s="287" t="s">
        <v>56</v>
      </c>
      <c r="H720" s="289" t="s">
        <v>2417</v>
      </c>
      <c r="I720" s="291">
        <v>46344</v>
      </c>
      <c r="J720" s="291">
        <v>46345</v>
      </c>
      <c r="K720" s="284" t="s">
        <v>25</v>
      </c>
      <c r="L720" s="303">
        <v>13000</v>
      </c>
      <c r="M720" s="264"/>
      <c r="N720" s="292"/>
      <c r="O720" s="293"/>
      <c r="P720" s="293"/>
      <c r="Q720" s="293"/>
      <c r="R720" s="293">
        <f t="shared" ref="R720:R748" si="14">IF(B720="","",SUM(O720:Q720))</f>
        <v>0</v>
      </c>
      <c r="S720" s="284">
        <v>10</v>
      </c>
      <c r="T720" s="287" t="s">
        <v>2161</v>
      </c>
    </row>
    <row r="721" spans="1:20" ht="22.5" hidden="1" customHeight="1" x14ac:dyDescent="0.25">
      <c r="A721" s="188" t="str">
        <f>IF(B721="","",B721&amp;"-"&amp;TEXT(COUNTIF(B$2:B721,B721),"000"))</f>
        <v>2026-065</v>
      </c>
      <c r="B721" s="21">
        <v>2026</v>
      </c>
      <c r="C721" s="234" t="s">
        <v>2102</v>
      </c>
      <c r="D721" s="235" t="s">
        <v>2173</v>
      </c>
      <c r="E721" s="237" t="s">
        <v>2174</v>
      </c>
      <c r="F721" s="241" t="s">
        <v>51</v>
      </c>
      <c r="G721" s="243" t="s">
        <v>59</v>
      </c>
      <c r="H721" s="245" t="s">
        <v>2145</v>
      </c>
      <c r="I721" s="247" t="s">
        <v>2175</v>
      </c>
      <c r="J721" s="247" t="s">
        <v>2176</v>
      </c>
      <c r="K721" s="235" t="s">
        <v>32</v>
      </c>
      <c r="L721" s="302"/>
      <c r="M721" s="250"/>
      <c r="N721" s="251"/>
      <c r="O721" s="254"/>
      <c r="P721" s="254"/>
      <c r="Q721" s="254"/>
      <c r="R721" s="254">
        <f t="shared" si="14"/>
        <v>0</v>
      </c>
      <c r="S721" s="235">
        <v>17.45</v>
      </c>
      <c r="T721" s="243" t="s">
        <v>2177</v>
      </c>
    </row>
    <row r="722" spans="1:20" ht="22.5" hidden="1" customHeight="1" x14ac:dyDescent="0.25">
      <c r="A722" s="189" t="str">
        <f>IF(B722="","",B722&amp;"-"&amp;TEXT(COUNTIF(B$2:B722,B722),"000"))</f>
        <v>2026-066</v>
      </c>
      <c r="B722" s="69">
        <v>2026</v>
      </c>
      <c r="C722" s="234" t="s">
        <v>2102</v>
      </c>
      <c r="D722" s="236" t="s">
        <v>2397</v>
      </c>
      <c r="E722" s="238" t="s">
        <v>2405</v>
      </c>
      <c r="F722" s="242" t="s">
        <v>51</v>
      </c>
      <c r="G722" s="244" t="s">
        <v>59</v>
      </c>
      <c r="H722" s="317" t="s">
        <v>2394</v>
      </c>
      <c r="I722" s="318" t="s">
        <v>2394</v>
      </c>
      <c r="J722" s="318" t="s">
        <v>2394</v>
      </c>
      <c r="K722" s="236" t="s">
        <v>32</v>
      </c>
      <c r="L722" s="302">
        <v>3520</v>
      </c>
      <c r="M722" s="250"/>
      <c r="N722" s="252">
        <v>30</v>
      </c>
      <c r="O722" s="255"/>
      <c r="P722" s="255"/>
      <c r="Q722" s="255"/>
      <c r="R722" s="319">
        <f t="shared" si="14"/>
        <v>0</v>
      </c>
      <c r="S722" s="236">
        <v>4</v>
      </c>
      <c r="T722" s="244" t="s">
        <v>2396</v>
      </c>
    </row>
    <row r="723" spans="1:20" ht="22.5" hidden="1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2"/>
      <c r="M723" s="250"/>
      <c r="N723" s="251"/>
      <c r="O723" s="254"/>
      <c r="P723" s="254"/>
      <c r="Q723" s="254"/>
      <c r="R723" s="254" t="str">
        <f t="shared" si="14"/>
        <v/>
      </c>
      <c r="S723" s="235"/>
      <c r="T723" s="243"/>
    </row>
    <row r="724" spans="1:20" ht="22.5" hidden="1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2"/>
      <c r="M724" s="250"/>
      <c r="N724" s="252"/>
      <c r="O724" s="255"/>
      <c r="P724" s="255"/>
      <c r="Q724" s="255"/>
      <c r="R724" s="255" t="str">
        <f t="shared" si="14"/>
        <v/>
      </c>
      <c r="S724" s="236"/>
      <c r="T724" s="244"/>
    </row>
    <row r="725" spans="1:20" ht="22.5" hidden="1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2"/>
      <c r="M725" s="250"/>
      <c r="N725" s="251"/>
      <c r="O725" s="254"/>
      <c r="P725" s="254"/>
      <c r="Q725" s="254"/>
      <c r="R725" s="254" t="str">
        <f t="shared" si="14"/>
        <v/>
      </c>
      <c r="S725" s="235"/>
      <c r="T725" s="243"/>
    </row>
    <row r="726" spans="1:20" ht="22.5" hidden="1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2"/>
      <c r="M726" s="250"/>
      <c r="N726" s="252"/>
      <c r="O726" s="255"/>
      <c r="P726" s="255"/>
      <c r="Q726" s="255"/>
      <c r="R726" s="255" t="str">
        <f t="shared" si="14"/>
        <v/>
      </c>
      <c r="S726" s="236"/>
      <c r="T726" s="244"/>
    </row>
    <row r="727" spans="1:20" ht="22.5" hidden="1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2"/>
      <c r="M727" s="250"/>
      <c r="N727" s="251"/>
      <c r="O727" s="254"/>
      <c r="P727" s="254"/>
      <c r="Q727" s="254"/>
      <c r="R727" s="254" t="str">
        <f t="shared" si="14"/>
        <v/>
      </c>
      <c r="S727" s="235"/>
      <c r="T727" s="243"/>
    </row>
    <row r="728" spans="1:20" ht="22.5" hidden="1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2"/>
      <c r="M728" s="250"/>
      <c r="N728" s="252"/>
      <c r="O728" s="255"/>
      <c r="P728" s="255"/>
      <c r="Q728" s="255"/>
      <c r="R728" s="255" t="str">
        <f t="shared" si="14"/>
        <v/>
      </c>
      <c r="S728" s="236"/>
      <c r="T728" s="244"/>
    </row>
    <row r="729" spans="1:20" ht="22.5" hidden="1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2"/>
      <c r="M729" s="250"/>
      <c r="N729" s="251"/>
      <c r="O729" s="254"/>
      <c r="P729" s="254"/>
      <c r="Q729" s="254"/>
      <c r="R729" s="254" t="str">
        <f t="shared" si="14"/>
        <v/>
      </c>
      <c r="S729" s="235"/>
      <c r="T729" s="243"/>
    </row>
    <row r="730" spans="1:20" ht="22.5" hidden="1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2"/>
      <c r="M730" s="250"/>
      <c r="N730" s="252"/>
      <c r="O730" s="255"/>
      <c r="P730" s="255"/>
      <c r="Q730" s="255"/>
      <c r="R730" s="255" t="str">
        <f t="shared" si="14"/>
        <v/>
      </c>
      <c r="S730" s="236"/>
      <c r="T730" s="244"/>
    </row>
    <row r="731" spans="1:20" ht="22.5" hidden="1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2"/>
      <c r="M731" s="250"/>
      <c r="N731" s="251"/>
      <c r="O731" s="254"/>
      <c r="P731" s="254"/>
      <c r="Q731" s="254"/>
      <c r="R731" s="254" t="str">
        <f t="shared" si="14"/>
        <v/>
      </c>
      <c r="S731" s="235"/>
      <c r="T731" s="243"/>
    </row>
    <row r="732" spans="1:20" ht="22.5" hidden="1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2"/>
      <c r="M732" s="250"/>
      <c r="N732" s="252"/>
      <c r="O732" s="255"/>
      <c r="P732" s="255"/>
      <c r="Q732" s="255"/>
      <c r="R732" s="255" t="str">
        <f t="shared" si="14"/>
        <v/>
      </c>
      <c r="S732" s="236"/>
      <c r="T732" s="244"/>
    </row>
    <row r="733" spans="1:20" ht="22.5" hidden="1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2"/>
      <c r="M733" s="250"/>
      <c r="N733" s="251"/>
      <c r="O733" s="254"/>
      <c r="P733" s="254"/>
      <c r="Q733" s="254"/>
      <c r="R733" s="254" t="str">
        <f t="shared" si="14"/>
        <v/>
      </c>
      <c r="S733" s="235"/>
      <c r="T733" s="243"/>
    </row>
    <row r="734" spans="1:20" ht="22.5" hidden="1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2"/>
      <c r="M734" s="250"/>
      <c r="N734" s="252"/>
      <c r="O734" s="255"/>
      <c r="P734" s="255"/>
      <c r="Q734" s="255"/>
      <c r="R734" s="255" t="str">
        <f t="shared" si="14"/>
        <v/>
      </c>
      <c r="S734" s="236"/>
      <c r="T734" s="244"/>
    </row>
    <row r="735" spans="1:20" ht="22.5" hidden="1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2"/>
      <c r="M735" s="250"/>
      <c r="N735" s="251"/>
      <c r="O735" s="254"/>
      <c r="P735" s="254"/>
      <c r="Q735" s="254"/>
      <c r="R735" s="254" t="str">
        <f t="shared" si="14"/>
        <v/>
      </c>
      <c r="S735" s="235"/>
      <c r="T735" s="243"/>
    </row>
    <row r="736" spans="1:20" ht="22.5" hidden="1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2"/>
      <c r="M736" s="250"/>
      <c r="N736" s="252"/>
      <c r="O736" s="255"/>
      <c r="P736" s="255"/>
      <c r="Q736" s="255"/>
      <c r="R736" s="255" t="str">
        <f t="shared" si="14"/>
        <v/>
      </c>
      <c r="S736" s="236"/>
      <c r="T736" s="244"/>
    </row>
    <row r="737" spans="1:20" ht="22.5" hidden="1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2"/>
      <c r="M737" s="250"/>
      <c r="N737" s="251"/>
      <c r="O737" s="254"/>
      <c r="P737" s="254"/>
      <c r="Q737" s="254"/>
      <c r="R737" s="254" t="str">
        <f t="shared" si="14"/>
        <v/>
      </c>
      <c r="S737" s="235"/>
      <c r="T737" s="243"/>
    </row>
    <row r="738" spans="1:20" ht="22.5" hidden="1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2"/>
      <c r="M738" s="250"/>
      <c r="N738" s="252"/>
      <c r="O738" s="255"/>
      <c r="P738" s="255"/>
      <c r="Q738" s="255"/>
      <c r="R738" s="255" t="str">
        <f t="shared" si="14"/>
        <v/>
      </c>
      <c r="S738" s="236"/>
      <c r="T738" s="244"/>
    </row>
    <row r="739" spans="1:20" ht="22.5" hidden="1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2"/>
      <c r="M739" s="250"/>
      <c r="N739" s="251"/>
      <c r="O739" s="254"/>
      <c r="P739" s="254"/>
      <c r="Q739" s="254"/>
      <c r="R739" s="254" t="str">
        <f t="shared" si="14"/>
        <v/>
      </c>
      <c r="S739" s="235"/>
      <c r="T739" s="243"/>
    </row>
    <row r="740" spans="1:20" ht="22.5" hidden="1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2"/>
      <c r="M740" s="250"/>
      <c r="N740" s="252"/>
      <c r="O740" s="255"/>
      <c r="P740" s="255"/>
      <c r="Q740" s="255"/>
      <c r="R740" s="255" t="str">
        <f t="shared" si="14"/>
        <v/>
      </c>
      <c r="S740" s="236"/>
      <c r="T740" s="244"/>
    </row>
    <row r="741" spans="1:20" ht="22.5" hidden="1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2"/>
      <c r="M741" s="250"/>
      <c r="N741" s="251"/>
      <c r="O741" s="254"/>
      <c r="P741" s="254"/>
      <c r="Q741" s="254"/>
      <c r="R741" s="254" t="str">
        <f t="shared" si="14"/>
        <v/>
      </c>
      <c r="S741" s="235"/>
      <c r="T741" s="243"/>
    </row>
    <row r="742" spans="1:20" ht="22.5" hidden="1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2"/>
      <c r="M742" s="250"/>
      <c r="N742" s="252"/>
      <c r="O742" s="255"/>
      <c r="P742" s="255"/>
      <c r="Q742" s="255"/>
      <c r="R742" s="255" t="str">
        <f t="shared" si="14"/>
        <v/>
      </c>
      <c r="S742" s="236"/>
      <c r="T742" s="244"/>
    </row>
    <row r="743" spans="1:20" ht="22.5" hidden="1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2"/>
      <c r="M743" s="250"/>
      <c r="N743" s="251"/>
      <c r="O743" s="254"/>
      <c r="P743" s="254"/>
      <c r="Q743" s="254"/>
      <c r="R743" s="254" t="str">
        <f t="shared" si="14"/>
        <v/>
      </c>
      <c r="S743" s="235"/>
      <c r="T743" s="243"/>
    </row>
    <row r="744" spans="1:20" ht="22.5" hidden="1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2"/>
      <c r="M744" s="250"/>
      <c r="N744" s="252"/>
      <c r="O744" s="255"/>
      <c r="P744" s="255"/>
      <c r="Q744" s="255"/>
      <c r="R744" s="255" t="str">
        <f t="shared" si="14"/>
        <v/>
      </c>
      <c r="S744" s="236"/>
      <c r="T744" s="244"/>
    </row>
    <row r="745" spans="1:20" ht="22.5" hidden="1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2"/>
      <c r="M745" s="250"/>
      <c r="N745" s="251"/>
      <c r="O745" s="254"/>
      <c r="P745" s="254"/>
      <c r="Q745" s="254"/>
      <c r="R745" s="254" t="str">
        <f t="shared" si="14"/>
        <v/>
      </c>
      <c r="S745" s="235"/>
      <c r="T745" s="243"/>
    </row>
    <row r="746" spans="1:20" ht="22.5" hidden="1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2"/>
      <c r="M746" s="250"/>
      <c r="N746" s="252"/>
      <c r="O746" s="255"/>
      <c r="P746" s="255"/>
      <c r="Q746" s="255"/>
      <c r="R746" s="255" t="str">
        <f t="shared" si="14"/>
        <v/>
      </c>
      <c r="S746" s="236"/>
      <c r="T746" s="244"/>
    </row>
    <row r="747" spans="1:20" ht="22.5" hidden="1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2"/>
      <c r="M747" s="250"/>
      <c r="N747" s="251"/>
      <c r="O747" s="254"/>
      <c r="P747" s="254"/>
      <c r="Q747" s="254"/>
      <c r="R747" s="254" t="str">
        <f t="shared" si="14"/>
        <v/>
      </c>
      <c r="S747" s="235"/>
      <c r="T747" s="243"/>
    </row>
    <row r="748" spans="1:20" ht="22.5" hidden="1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2"/>
      <c r="M748" s="250"/>
      <c r="N748" s="252"/>
      <c r="O748" s="255"/>
      <c r="P748" s="255"/>
      <c r="Q748" s="255"/>
      <c r="R748" s="255" t="str">
        <f t="shared" si="14"/>
        <v/>
      </c>
      <c r="S748" s="236"/>
      <c r="T748" s="244"/>
    </row>
    <row r="749" spans="1:20" ht="22.5" hidden="1" customHeight="1" x14ac:dyDescent="0.25">
      <c r="A749" s="187"/>
      <c r="B749" s="267"/>
      <c r="C749" s="234"/>
      <c r="D749" s="234"/>
      <c r="E749" s="268"/>
      <c r="F749" s="269"/>
      <c r="G749" s="258"/>
      <c r="H749" s="270"/>
      <c r="I749" s="271"/>
      <c r="J749" s="271"/>
      <c r="K749" s="234"/>
      <c r="L749" s="307"/>
      <c r="M749" s="272"/>
      <c r="N749" s="253"/>
      <c r="O749" s="256"/>
      <c r="P749" s="256"/>
      <c r="Q749" s="256"/>
      <c r="R749" s="256"/>
      <c r="S749" s="234"/>
      <c r="T749" s="258"/>
    </row>
    <row r="750" spans="1:20" ht="22.5" hidden="1" customHeight="1" x14ac:dyDescent="0.25"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hidden="1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hidden="1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hidden="1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hidden="1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hidden="1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hidden="1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hidden="1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hidden="1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hidden="1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hidden="1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hidden="1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hidden="1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hidden="1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hidden="1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hidden="1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hidden="1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hidden="1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hidden="1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hidden="1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hidden="1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hidden="1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hidden="1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hidden="1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hidden="1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hidden="1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hidden="1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hidden="1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hidden="1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hidden="1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hidden="1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hidden="1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hidden="1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hidden="1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hidden="1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hidden="1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hidden="1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hidden="1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hidden="1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hidden="1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hidden="1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hidden="1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hidden="1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hidden="1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hidden="1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hidden="1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hidden="1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hidden="1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hidden="1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hidden="1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hidden="1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hidden="1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hidden="1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hidden="1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hidden="1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hidden="1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hidden="1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hidden="1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hidden="1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hidden="1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hidden="1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hidden="1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hidden="1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hidden="1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hidden="1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hidden="1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hidden="1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hidden="1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hidden="1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hidden="1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hidden="1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hidden="1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hidden="1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hidden="1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hidden="1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hidden="1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hidden="1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hidden="1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hidden="1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hidden="1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hidden="1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hidden="1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hidden="1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hidden="1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hidden="1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hidden="1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hidden="1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hidden="1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hidden="1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hidden="1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hidden="1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hidden="1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hidden="1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hidden="1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hidden="1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hidden="1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hidden="1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hidden="1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hidden="1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hidden="1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hidden="1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hidden="1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hidden="1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hidden="1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hidden="1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hidden="1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hidden="1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hidden="1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hidden="1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hidden="1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hidden="1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hidden="1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hidden="1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hidden="1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hidden="1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hidden="1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hidden="1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hidden="1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hidden="1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hidden="1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hidden="1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hidden="1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hidden="1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hidden="1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hidden="1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hidden="1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hidden="1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hidden="1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hidden="1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hidden="1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hidden="1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hidden="1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hidden="1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hidden="1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hidden="1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hidden="1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hidden="1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hidden="1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hidden="1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hidden="1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hidden="1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hidden="1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hidden="1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hidden="1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hidden="1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hidden="1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hidden="1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hidden="1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hidden="1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hidden="1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hidden="1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hidden="1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hidden="1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hidden="1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hidden="1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hidden="1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hidden="1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hidden="1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hidden="1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hidden="1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hidden="1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hidden="1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hidden="1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hidden="1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hidden="1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hidden="1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hidden="1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hidden="1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hidden="1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hidden="1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hidden="1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hidden="1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hidden="1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hidden="1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hidden="1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hidden="1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hidden="1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hidden="1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hidden="1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hidden="1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hidden="1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hidden="1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hidden="1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hidden="1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hidden="1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hidden="1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hidden="1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hidden="1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hidden="1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hidden="1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hidden="1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hidden="1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hidden="1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hidden="1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hidden="1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hidden="1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hidden="1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hidden="1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hidden="1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hidden="1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hidden="1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hidden="1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hidden="1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hidden="1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hidden="1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hidden="1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hidden="1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hidden="1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hidden="1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hidden="1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hidden="1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hidden="1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hidden="1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hidden="1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hidden="1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hidden="1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hidden="1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hidden="1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hidden="1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hidden="1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hidden="1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hidden="1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hidden="1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hidden="1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hidden="1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hidden="1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hidden="1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hidden="1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hidden="1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hidden="1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hidden="1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hidden="1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hidden="1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hidden="1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hidden="1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hidden="1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hidden="1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hidden="1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hidden="1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hidden="1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hidden="1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hidden="1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hidden="1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hidden="1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hidden="1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hidden="1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hidden="1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hidden="1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hidden="1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hidden="1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hidden="1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hidden="1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hidden="1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hidden="1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hidden="1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hidden="1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hidden="1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hidden="1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hidden="1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hidden="1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hidden="1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hidden="1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hidden="1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hidden="1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hidden="1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hidden="1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hidden="1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hidden="1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hidden="1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hidden="1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hidden="1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hidden="1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hidden="1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hidden="1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hidden="1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hidden="1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hidden="1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hidden="1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hidden="1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hidden="1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hidden="1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hidden="1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hidden="1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hidden="1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hidden="1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hidden="1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hidden="1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hidden="1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hidden="1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hidden="1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hidden="1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hidden="1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hidden="1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hidden="1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hidden="1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hidden="1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hidden="1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hidden="1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hidden="1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hidden="1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hidden="1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hidden="1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hidden="1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hidden="1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hidden="1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hidden="1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hidden="1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hidden="1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hidden="1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hidden="1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hidden="1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hidden="1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hidden="1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hidden="1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hidden="1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hidden="1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hidden="1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hidden="1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hidden="1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hidden="1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hidden="1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hidden="1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hidden="1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hidden="1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hidden="1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hidden="1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hidden="1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hidden="1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hidden="1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hidden="1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hidden="1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hidden="1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hidden="1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hidden="1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hidden="1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hidden="1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hidden="1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hidden="1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hidden="1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hidden="1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hidden="1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hidden="1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hidden="1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hidden="1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hidden="1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hidden="1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hidden="1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hidden="1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hidden="1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hidden="1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hidden="1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hidden="1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hidden="1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hidden="1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hidden="1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hidden="1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hidden="1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hidden="1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hidden="1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hidden="1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hidden="1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hidden="1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hidden="1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hidden="1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hidden="1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hidden="1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hidden="1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hidden="1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hidden="1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hidden="1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hidden="1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hidden="1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hidden="1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hidden="1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hidden="1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hidden="1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hidden="1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hidden="1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hidden="1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hidden="1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hidden="1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hidden="1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hidden="1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hidden="1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hidden="1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hidden="1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hidden="1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hidden="1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hidden="1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hidden="1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hidden="1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hidden="1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hidden="1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hidden="1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hidden="1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hidden="1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hidden="1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hidden="1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hidden="1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hidden="1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hidden="1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hidden="1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hidden="1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hidden="1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hidden="1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hidden="1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hidden="1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hidden="1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hidden="1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hidden="1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hidden="1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hidden="1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hidden="1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hidden="1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hidden="1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hidden="1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hidden="1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hidden="1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hidden="1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hidden="1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hidden="1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hidden="1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hidden="1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hidden="1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hidden="1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hidden="1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hidden="1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hidden="1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hidden="1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hidden="1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hidden="1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hidden="1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hidden="1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hidden="1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hidden="1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hidden="1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hidden="1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hidden="1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hidden="1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hidden="1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hidden="1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hidden="1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hidden="1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hidden="1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hidden="1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hidden="1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hidden="1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hidden="1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hidden="1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hidden="1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hidden="1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hidden="1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hidden="1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hidden="1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hidden="1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hidden="1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hidden="1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hidden="1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hidden="1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hidden="1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hidden="1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hidden="1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hidden="1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hidden="1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hidden="1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hidden="1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hidden="1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hidden="1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hidden="1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hidden="1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hidden="1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hidden="1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hidden="1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hidden="1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hidden="1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hidden="1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hidden="1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hidden="1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hidden="1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hidden="1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hidden="1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hidden="1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hidden="1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hidden="1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hidden="1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hidden="1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hidden="1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hidden="1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hidden="1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hidden="1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hidden="1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hidden="1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hidden="1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hidden="1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hidden="1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hidden="1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hidden="1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hidden="1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hidden="1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hidden="1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hidden="1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hidden="1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hidden="1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hidden="1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hidden="1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hidden="1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hidden="1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hidden="1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hidden="1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hidden="1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hidden="1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hidden="1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hidden="1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hidden="1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hidden="1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hidden="1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hidden="1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hidden="1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hidden="1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hidden="1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hidden="1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hidden="1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hidden="1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hidden="1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hidden="1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hidden="1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hidden="1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hidden="1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hidden="1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hidden="1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hidden="1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hidden="1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hidden="1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hidden="1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hidden="1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hidden="1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hidden="1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hidden="1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hidden="1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hidden="1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hidden="1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hidden="1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hidden="1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hidden="1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hidden="1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hidden="1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hidden="1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hidden="1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hidden="1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hidden="1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hidden="1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hidden="1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hidden="1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hidden="1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hidden="1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hidden="1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hidden="1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hidden="1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hidden="1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hidden="1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hidden="1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hidden="1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hidden="1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hidden="1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hidden="1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hidden="1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hidden="1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hidden="1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hidden="1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hidden="1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hidden="1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hidden="1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hidden="1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hidden="1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hidden="1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hidden="1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hidden="1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hidden="1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hidden="1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hidden="1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hidden="1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hidden="1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hidden="1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hidden="1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hidden="1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hidden="1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hidden="1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hidden="1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hidden="1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hidden="1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hidden="1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hidden="1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hidden="1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hidden="1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hidden="1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hidden="1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hidden="1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hidden="1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hidden="1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hidden="1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hidden="1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hidden="1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hidden="1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hidden="1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hidden="1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hidden="1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hidden="1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hidden="1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hidden="1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hidden="1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hidden="1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hidden="1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hidden="1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hidden="1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hidden="1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hidden="1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hidden="1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hidden="1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hidden="1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hidden="1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hidden="1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hidden="1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hidden="1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hidden="1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hidden="1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hidden="1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hidden="1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hidden="1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hidden="1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hidden="1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hidden="1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hidden="1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hidden="1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hidden="1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hidden="1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hidden="1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hidden="1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hidden="1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hidden="1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hidden="1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hidden="1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hidden="1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hidden="1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hidden="1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hidden="1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hidden="1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hidden="1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hidden="1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hidden="1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hidden="1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hidden="1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hidden="1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hidden="1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hidden="1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hidden="1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hidden="1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hidden="1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hidden="1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hidden="1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hidden="1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hidden="1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hidden="1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hidden="1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hidden="1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hidden="1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hidden="1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hidden="1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hidden="1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hidden="1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hidden="1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hidden="1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hidden="1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hidden="1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hidden="1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hidden="1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hidden="1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hidden="1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hidden="1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hidden="1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hidden="1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hidden="1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hidden="1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hidden="1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hidden="1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hidden="1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hidden="1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hidden="1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hidden="1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hidden="1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hidden="1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hidden="1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hidden="1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hidden="1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hidden="1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hidden="1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hidden="1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hidden="1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hidden="1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hidden="1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hidden="1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hidden="1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hidden="1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hidden="1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hidden="1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hidden="1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hidden="1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hidden="1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hidden="1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hidden="1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hidden="1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hidden="1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hidden="1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hidden="1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hidden="1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hidden="1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hidden="1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hidden="1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hidden="1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hidden="1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hidden="1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hidden="1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hidden="1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hidden="1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hidden="1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hidden="1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hidden="1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hidden="1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hidden="1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hidden="1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hidden="1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hidden="1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hidden="1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hidden="1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hidden="1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hidden="1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hidden="1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hidden="1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hidden="1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hidden="1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hidden="1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hidden="1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hidden="1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hidden="1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hidden="1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hidden="1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hidden="1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hidden="1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hidden="1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hidden="1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hidden="1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hidden="1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hidden="1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hidden="1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hidden="1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hidden="1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hidden="1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hidden="1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hidden="1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hidden="1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hidden="1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hidden="1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hidden="1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hidden="1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hidden="1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hidden="1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hidden="1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hidden="1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hidden="1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hidden="1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hidden="1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hidden="1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hidden="1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hidden="1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hidden="1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hidden="1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hidden="1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hidden="1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hidden="1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hidden="1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hidden="1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hidden="1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hidden="1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hidden="1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hidden="1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hidden="1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hidden="1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hidden="1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hidden="1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hidden="1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hidden="1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hidden="1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hidden="1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hidden="1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hidden="1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hidden="1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hidden="1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hidden="1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hidden="1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hidden="1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hidden="1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hidden="1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hidden="1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hidden="1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hidden="1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hidden="1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hidden="1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hidden="1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hidden="1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hidden="1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hidden="1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hidden="1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hidden="1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hidden="1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hidden="1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hidden="1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hidden="1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hidden="1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hidden="1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hidden="1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hidden="1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hidden="1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hidden="1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hidden="1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hidden="1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hidden="1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hidden="1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hidden="1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hidden="1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hidden="1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hidden="1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hidden="1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hidden="1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hidden="1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hidden="1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hidden="1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hidden="1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hidden="1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hidden="1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hidden="1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hidden="1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hidden="1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hidden="1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hidden="1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hidden="1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hidden="1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hidden="1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hidden="1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hidden="1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hidden="1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hidden="1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hidden="1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hidden="1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hidden="1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hidden="1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hidden="1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hidden="1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hidden="1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hidden="1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hidden="1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hidden="1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hidden="1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hidden="1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hidden="1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hidden="1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hidden="1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hidden="1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hidden="1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hidden="1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hidden="1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hidden="1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hidden="1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hidden="1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hidden="1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hidden="1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hidden="1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hidden="1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hidden="1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hidden="1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hidden="1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hidden="1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hidden="1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hidden="1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hidden="1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hidden="1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hidden="1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hidden="1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hidden="1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hidden="1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hidden="1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hidden="1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hidden="1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hidden="1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hidden="1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hidden="1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hidden="1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hidden="1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hidden="1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hidden="1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hidden="1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hidden="1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hidden="1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hidden="1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hidden="1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hidden="1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hidden="1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hidden="1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hidden="1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hidden="1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hidden="1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hidden="1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hidden="1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hidden="1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hidden="1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hidden="1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hidden="1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hidden="1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hidden="1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hidden="1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hidden="1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hidden="1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hidden="1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hidden="1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hidden="1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hidden="1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hidden="1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hidden="1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hidden="1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hidden="1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hidden="1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hidden="1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hidden="1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hidden="1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hidden="1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hidden="1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hidden="1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hidden="1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hidden="1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hidden="1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hidden="1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hidden="1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hidden="1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hidden="1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hidden="1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hidden="1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hidden="1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hidden="1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hidden="1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hidden="1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hidden="1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hidden="1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hidden="1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hidden="1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hidden="1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hidden="1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hidden="1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hidden="1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hidden="1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hidden="1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hidden="1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hidden="1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hidden="1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hidden="1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hidden="1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hidden="1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hidden="1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hidden="1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hidden="1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hidden="1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hidden="1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hidden="1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hidden="1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hidden="1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hidden="1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hidden="1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hidden="1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hidden="1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hidden="1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hidden="1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hidden="1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hidden="1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hidden="1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hidden="1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hidden="1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hidden="1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hidden="1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hidden="1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hidden="1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hidden="1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hidden="1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hidden="1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hidden="1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hidden="1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hidden="1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hidden="1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hidden="1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hidden="1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hidden="1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hidden="1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hidden="1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hidden="1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hidden="1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hidden="1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hidden="1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hidden="1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hidden="1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hidden="1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hidden="1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hidden="1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hidden="1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hidden="1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hidden="1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hidden="1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hidden="1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hidden="1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hidden="1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hidden="1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hidden="1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hidden="1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hidden="1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hidden="1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hidden="1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hidden="1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hidden="1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hidden="1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hidden="1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hidden="1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hidden="1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hidden="1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hidden="1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hidden="1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hidden="1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hidden="1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hidden="1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hidden="1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hidden="1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hidden="1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hidden="1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hidden="1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hidden="1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hidden="1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hidden="1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hidden="1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hidden="1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hidden="1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hidden="1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hidden="1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hidden="1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hidden="1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hidden="1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hidden="1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hidden="1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hidden="1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hidden="1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hidden="1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hidden="1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hidden="1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hidden="1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hidden="1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hidden="1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hidden="1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hidden="1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hidden="1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hidden="1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hidden="1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hidden="1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hidden="1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hidden="1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hidden="1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hidden="1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hidden="1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hidden="1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hidden="1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hidden="1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hidden="1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hidden="1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hidden="1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hidden="1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hidden="1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hidden="1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hidden="1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hidden="1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hidden="1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hidden="1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hidden="1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hidden="1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hidden="1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hidden="1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hidden="1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hidden="1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hidden="1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hidden="1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hidden="1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hidden="1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hidden="1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hidden="1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hidden="1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hidden="1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hidden="1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hidden="1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hidden="1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hidden="1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hidden="1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hidden="1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hidden="1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hidden="1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hidden="1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hidden="1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hidden="1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hidden="1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hidden="1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hidden="1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hidden="1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hidden="1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hidden="1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hidden="1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hidden="1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hidden="1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hidden="1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hidden="1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hidden="1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hidden="1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hidden="1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hidden="1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hidden="1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hidden="1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hidden="1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hidden="1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hidden="1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hidden="1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hidden="1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hidden="1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hidden="1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hidden="1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hidden="1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hidden="1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hidden="1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hidden="1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hidden="1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hidden="1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hidden="1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hidden="1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hidden="1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hidden="1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hidden="1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hidden="1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hidden="1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hidden="1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hidden="1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hidden="1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hidden="1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hidden="1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hidden="1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hidden="1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hidden="1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hidden="1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hidden="1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hidden="1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hidden="1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hidden="1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hidden="1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hidden="1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hidden="1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hidden="1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hidden="1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hidden="1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hidden="1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hidden="1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hidden="1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hidden="1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hidden="1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hidden="1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hidden="1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hidden="1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hidden="1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hidden="1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hidden="1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hidden="1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hidden="1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hidden="1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hidden="1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hidden="1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hidden="1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hidden="1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hidden="1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hidden="1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hidden="1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hidden="1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hidden="1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hidden="1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hidden="1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hidden="1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hidden="1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hidden="1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hidden="1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hidden="1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hidden="1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hidden="1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hidden="1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hidden="1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hidden="1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hidden="1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hidden="1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hidden="1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hidden="1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hidden="1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hidden="1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hidden="1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hidden="1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hidden="1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hidden="1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hidden="1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hidden="1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hidden="1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hidden="1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hidden="1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hidden="1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hidden="1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hidden="1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hidden="1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hidden="1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hidden="1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hidden="1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hidden="1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hidden="1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hidden="1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hidden="1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hidden="1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hidden="1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hidden="1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hidden="1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hidden="1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hidden="1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hidden="1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hidden="1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hidden="1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hidden="1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hidden="1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hidden="1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hidden="1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hidden="1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hidden="1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hidden="1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hidden="1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hidden="1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hidden="1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hidden="1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hidden="1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hidden="1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hidden="1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hidden="1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hidden="1" customHeight="1" x14ac:dyDescent="0.25">
      <c r="B2000" s="273"/>
      <c r="C2000" s="261"/>
      <c r="D2000" s="261"/>
      <c r="E2000" s="274"/>
      <c r="F2000" s="275"/>
      <c r="G2000" s="276"/>
      <c r="H2000" s="277"/>
      <c r="I2000" s="278"/>
      <c r="J2000" s="278"/>
      <c r="K2000" s="261"/>
      <c r="L2000" s="308"/>
      <c r="M2000" s="279"/>
      <c r="N2000" s="280"/>
      <c r="O2000" s="281"/>
      <c r="P2000" s="281"/>
      <c r="Q2000" s="281"/>
      <c r="R2000" s="281"/>
      <c r="S2000" s="261"/>
      <c r="T2000" s="276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721:J1048576 I704:J719 I681:J702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6"/>
  <sheetViews>
    <sheetView topLeftCell="A69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2375</v>
      </c>
      <c r="D88" t="s">
        <v>2202</v>
      </c>
    </row>
    <row r="89" spans="1:4" x14ac:dyDescent="0.25">
      <c r="A89">
        <v>87</v>
      </c>
      <c r="B89" t="s">
        <v>2283</v>
      </c>
      <c r="D89" t="s">
        <v>2202</v>
      </c>
    </row>
    <row r="90" spans="1:4" x14ac:dyDescent="0.25">
      <c r="A90">
        <v>88</v>
      </c>
      <c r="B90" t="s">
        <v>2384</v>
      </c>
      <c r="D90" t="s">
        <v>2202</v>
      </c>
    </row>
    <row r="91" spans="1:4" x14ac:dyDescent="0.25">
      <c r="A91">
        <v>89</v>
      </c>
      <c r="B91" t="s">
        <v>2389</v>
      </c>
      <c r="D91" t="s">
        <v>2202</v>
      </c>
    </row>
    <row r="92" spans="1:4" x14ac:dyDescent="0.25">
      <c r="A92">
        <v>90</v>
      </c>
      <c r="B92" t="s">
        <v>2392</v>
      </c>
      <c r="D92" t="s">
        <v>2202</v>
      </c>
    </row>
    <row r="93" spans="1:4" x14ac:dyDescent="0.25">
      <c r="A93">
        <v>91</v>
      </c>
      <c r="B93" t="s">
        <v>2395</v>
      </c>
      <c r="D93" t="s">
        <v>2202</v>
      </c>
    </row>
    <row r="94" spans="1:4" x14ac:dyDescent="0.25">
      <c r="A94">
        <v>92</v>
      </c>
      <c r="B94" t="s">
        <v>2411</v>
      </c>
      <c r="D94" t="s">
        <v>2202</v>
      </c>
    </row>
    <row r="95" spans="1:4" x14ac:dyDescent="0.25">
      <c r="A95">
        <v>93</v>
      </c>
      <c r="B95" t="s">
        <v>2412</v>
      </c>
      <c r="D95" t="s">
        <v>2202</v>
      </c>
    </row>
    <row r="96" spans="1:4" x14ac:dyDescent="0.25">
      <c r="A96">
        <v>94</v>
      </c>
      <c r="B96" t="s">
        <v>2413</v>
      </c>
      <c r="D96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0" activePane="bottomLeft" state="frozen"/>
      <selection pane="bottomLeft" activeCell="K69" sqref="K69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3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8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2415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2415</v>
      </c>
      <c r="Y38" s="218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2278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2026-045</v>
      </c>
      <c r="N40" t="str">
        <v>A realizar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2279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2280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2280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2281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2281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2282</v>
      </c>
      <c r="Y45" t="s">
        <v>2283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2282</v>
      </c>
      <c r="Y46" t="s">
        <v>2284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2282</v>
      </c>
      <c r="Y47" t="s">
        <v>2285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2282</v>
      </c>
      <c r="Y48" t="s">
        <v>2286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 Luiz Felipe Tenório de Lima Gondim; Priscila Nolasco de Oliveira</v>
      </c>
      <c r="R49">
        <v>5</v>
      </c>
      <c r="S49">
        <v>99</v>
      </c>
      <c r="T49">
        <v>94</v>
      </c>
      <c r="X49" t="s">
        <v>2282</v>
      </c>
      <c r="Y49" t="s">
        <v>2287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104</v>
      </c>
      <c r="T50">
        <v>99</v>
      </c>
      <c r="X50" t="s">
        <v>2282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Curso de formação sobre "Programa de Descentralização Progressiva das Ações de Saúde - PDPAS</v>
      </c>
      <c r="P51">
        <v>20</v>
      </c>
      <c r="Q51" t="str">
        <v>Tarsila Firmino Ely; Sara Cristina Lins Ramos; Carina de Souza Mariuba Herthel; Elvis Aaron Teixeira dos Santos Lima</v>
      </c>
      <c r="R51">
        <v>4</v>
      </c>
      <c r="S51">
        <v>108</v>
      </c>
      <c r="T51">
        <v>104</v>
      </c>
      <c r="X51" t="s">
        <v>2282</v>
      </c>
      <c r="Y51" t="s">
        <v>2288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2026-058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113</v>
      </c>
      <c r="T52">
        <v>108</v>
      </c>
      <c r="X52" t="s">
        <v>2282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118</v>
      </c>
      <c r="T53">
        <v>113</v>
      </c>
      <c r="X53" t="s">
        <v>2282</v>
      </c>
      <c r="Y53" t="s">
        <v>2289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123</v>
      </c>
      <c r="T54">
        <v>118</v>
      </c>
      <c r="X54" t="s">
        <v>2282</v>
      </c>
      <c r="Y54" t="s">
        <v>2290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128</v>
      </c>
      <c r="T55">
        <v>123</v>
      </c>
      <c r="X55" t="s">
        <v>2247</v>
      </c>
      <c r="Y55" t="s">
        <v>2283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2026-065</v>
      </c>
      <c r="N56" t="str">
        <v>A realizar</v>
      </c>
      <c r="O56" t="str">
        <v>Contratações de TIC com base na jurisprudência do TCDF - EAD</v>
      </c>
      <c r="P56">
        <v>17.45</v>
      </c>
      <c r="Q56" t="str">
        <v>Flávio José Fonseca de Souza; Felipe da Costa Malaquias</v>
      </c>
      <c r="R56">
        <v>2</v>
      </c>
      <c r="S56">
        <v>130</v>
      </c>
      <c r="T56">
        <v>128</v>
      </c>
      <c r="X56" t="s">
        <v>2382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Oficina Temática - SEMAT: Matriz de Riscos em contratos de obras e serviços de engenharia</v>
      </c>
      <c r="P57">
        <v>4</v>
      </c>
      <c r="Q57" t="str">
        <v>Silvia Lima Damasceno Carvalho; Renan Dias da Silva</v>
      </c>
      <c r="R57">
        <v>2</v>
      </c>
      <c r="S57">
        <v>132</v>
      </c>
      <c r="T57">
        <v>130</v>
      </c>
      <c r="X57" t="s">
        <v>2416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  <c r="T58">
        <v>132</v>
      </c>
      <c r="X58" t="s">
        <v>2416</v>
      </c>
      <c r="Y58" s="321" t="s">
        <v>2413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X59" t="s">
        <v>2416</v>
      </c>
      <c r="Y59" t="s">
        <v>2412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2416</v>
      </c>
      <c r="Y60" t="s">
        <v>2411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>A realizar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Adriana Cuoco Portugal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Cinthia Thais de Carvalho Luz Thomazi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Fernanda Viana de Souza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Luiz Felipe Tenório de Lima Gondim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2026-054</v>
      </c>
      <c r="C100" t="str">
        <v>A realizar</v>
      </c>
      <c r="D100" t="str">
        <v>TCendo o Futuro</v>
      </c>
      <c r="E100">
        <v>4</v>
      </c>
      <c r="F100" t="str">
        <v>Priscila Nolasco de Oliveira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Adriana Cuoco Portugal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Cinthia Thais de Carvalho Luz Thomazi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Fernanda Viana de Souza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Luiz Felipe Tenório de Lima Gondim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Priscila Nolasco de Oliveira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Curso de formação sobre "Programa de Descentralização Progressiva das Ações de Saúde - PDPAS</v>
      </c>
      <c r="E106">
        <v>20</v>
      </c>
      <c r="F106" t="str">
        <v>Tarsila Firmino Ely</v>
      </c>
      <c r="G106">
        <v>4</v>
      </c>
      <c r="H106">
        <v>20</v>
      </c>
      <c r="I106">
        <v>3.6</v>
      </c>
      <c r="J106">
        <v>23.6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Curso de formação sobre "Programa de Descentralização Progressiva das Ações de Saúde - PDPAS</v>
      </c>
      <c r="E107">
        <v>20</v>
      </c>
      <c r="F107" t="str">
        <v>Sara Cristina Lins Ramos</v>
      </c>
      <c r="G107">
        <v>4</v>
      </c>
      <c r="H107">
        <v>8</v>
      </c>
      <c r="I107">
        <v>2.4</v>
      </c>
      <c r="J107">
        <v>10.4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Curso de formação sobre "Programa de Descentralização Progressiva das Ações de Saúde - PDPAS</v>
      </c>
      <c r="E108">
        <v>20</v>
      </c>
      <c r="F108" t="str">
        <v>Carina de Souza Mariuba Herthel</v>
      </c>
      <c r="G108">
        <v>4</v>
      </c>
      <c r="H108">
        <v>8</v>
      </c>
      <c r="I108">
        <v>2.4</v>
      </c>
      <c r="J108">
        <v>10.4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Curso de formação sobre "Programa de Descentralização Progressiva das Ações de Saúde - PDPAS</v>
      </c>
      <c r="E109">
        <v>20</v>
      </c>
      <c r="F109" t="str">
        <v>Elvis Aaron Teixeira dos Santos Lima</v>
      </c>
      <c r="G109">
        <v>4</v>
      </c>
      <c r="H109">
        <v>0</v>
      </c>
      <c r="I109">
        <v>0</v>
      </c>
      <c r="J109">
        <v>0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Adriana Cuoco Portugal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Cinthia Thais de Carvalho Luz Thomazi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Fernanda Viana de Souza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Luiz Felipe Tenório de Lima Gondim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2026-061</v>
      </c>
      <c r="C129" t="str">
        <v>A realizar</v>
      </c>
      <c r="D129" t="str">
        <v>TCendo o Futuro</v>
      </c>
      <c r="E129">
        <v>4</v>
      </c>
      <c r="F129" t="str">
        <v>Priscila Nolasco de Oliveira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2026-065</v>
      </c>
      <c r="C130" t="str">
        <v>A realizar</v>
      </c>
      <c r="D130" t="str">
        <v>Contratações de TIC com base na jurisprudência do TCDF - EAD</v>
      </c>
      <c r="E130">
        <v>17.45</v>
      </c>
      <c r="F130" t="str">
        <v>Flávio José Fonseca de Souza</v>
      </c>
      <c r="G130">
        <v>2</v>
      </c>
      <c r="H130">
        <v>17.45</v>
      </c>
      <c r="I130">
        <v>5.2349999999999994</v>
      </c>
      <c r="J130">
        <v>22.684999999999999</v>
      </c>
      <c r="R130" t="str">
        <v/>
      </c>
      <c r="S130" t="str">
        <v/>
      </c>
    </row>
    <row r="131" spans="1:19" x14ac:dyDescent="0.25">
      <c r="A131">
        <v>2026</v>
      </c>
      <c r="B131" t="str">
        <v>2026-065</v>
      </c>
      <c r="C131" t="str">
        <v>A realizar</v>
      </c>
      <c r="D131" t="str">
        <v>Contratações de TIC com base na jurisprudência do TCDF - EAD</v>
      </c>
      <c r="E131">
        <v>17.45</v>
      </c>
      <c r="F131" t="str">
        <v>Felipe da Costa Malaquias</v>
      </c>
      <c r="G131">
        <v>2</v>
      </c>
      <c r="H131">
        <v>17.45</v>
      </c>
      <c r="I131">
        <v>5.2349999999999994</v>
      </c>
      <c r="J131">
        <v>22.684999999999999</v>
      </c>
      <c r="R131" t="str">
        <v/>
      </c>
      <c r="S131" t="str">
        <v/>
      </c>
    </row>
    <row r="132" spans="1:19" x14ac:dyDescent="0.25">
      <c r="A132">
        <v>2026</v>
      </c>
      <c r="B132" t="str">
        <v>2026-066</v>
      </c>
      <c r="C132" t="str">
        <v>A realizar</v>
      </c>
      <c r="D132" t="str">
        <v>Oficina Temática - SEMAT: Matriz de Riscos em contratos de obras e serviços de engenharia</v>
      </c>
      <c r="E132">
        <v>4</v>
      </c>
      <c r="F132" t="str">
        <v>Silvia Lima Damasceno Carvalho</v>
      </c>
      <c r="G132">
        <v>2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2026-066</v>
      </c>
      <c r="C133" t="str">
        <v>A realizar</v>
      </c>
      <c r="D133" t="str">
        <v>Oficina Temática - SEMAT: Matriz de Riscos em contratos de obras e serviços de engenharia</v>
      </c>
      <c r="E133">
        <v>4</v>
      </c>
      <c r="F133" t="str">
        <v>Renan Dias da Silva</v>
      </c>
      <c r="G133">
        <v>2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R134" t="str">
        <v/>
      </c>
      <c r="S134" t="str">
        <v/>
      </c>
    </row>
    <row r="135" spans="1:19" x14ac:dyDescent="0.25">
      <c r="R135" t="str">
        <v/>
      </c>
      <c r="S135" t="str">
        <v/>
      </c>
    </row>
    <row r="136" spans="1:19" x14ac:dyDescent="0.25">
      <c r="R136" t="str">
        <v/>
      </c>
      <c r="S136" t="str">
        <v/>
      </c>
    </row>
    <row r="137" spans="1:19" x14ac:dyDescent="0.25"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6" t="s">
        <v>2291</v>
      </c>
      <c r="B1" s="326"/>
      <c r="C1" s="326"/>
      <c r="D1" s="326"/>
      <c r="E1" s="326"/>
      <c r="F1" s="326"/>
      <c r="G1" s="326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7" t="s">
        <v>2292</v>
      </c>
      <c r="B4" s="328"/>
      <c r="D4" s="329" t="s">
        <v>2293</v>
      </c>
      <c r="E4" s="330"/>
      <c r="G4" s="123" t="s">
        <v>2294</v>
      </c>
    </row>
    <row r="5" spans="1:7" ht="54.95" customHeight="1" thickBot="1" x14ac:dyDescent="0.75">
      <c r="A5" s="113">
        <f>COUNTIF('Ações InCompany'!B:B,2026)</f>
        <v>66</v>
      </c>
      <c r="B5" s="114" t="s">
        <v>2295</v>
      </c>
      <c r="D5" s="121">
        <f>COUNTIFS('Ações InCompany'!B:B,2026,'Ações InCompany'!C:C,"Realizado")</f>
        <v>37</v>
      </c>
      <c r="E5" s="122" t="s">
        <v>2295</v>
      </c>
      <c r="G5" s="124">
        <f>COUNTIFS('Ações InCompany'!B:B,2026,'Ações InCompany'!C:C,"A realizar")</f>
        <v>26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24" t="s">
        <v>2296</v>
      </c>
      <c r="B8" s="324"/>
      <c r="D8" s="324" t="s">
        <v>2297</v>
      </c>
      <c r="E8" s="324"/>
    </row>
    <row r="9" spans="1:7" ht="5.0999999999999996" customHeight="1" x14ac:dyDescent="0.25">
      <c r="A9" s="325"/>
      <c r="B9" s="325"/>
      <c r="D9" s="325"/>
      <c r="E9" s="325"/>
    </row>
    <row r="10" spans="1:7" ht="24.95" customHeight="1" x14ac:dyDescent="0.25">
      <c r="A10" s="106" t="s">
        <v>5</v>
      </c>
      <c r="B10" s="106" t="s">
        <v>2298</v>
      </c>
      <c r="D10" s="106" t="s">
        <v>2299</v>
      </c>
      <c r="E10" s="106" t="s">
        <v>2300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2301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2302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7</v>
      </c>
      <c r="D13" s="107" t="s">
        <v>2303</v>
      </c>
      <c r="E13" s="108">
        <f>SUMIFS('Ações InCompany'!Q:Q,'Ações InCompany'!B:B,2026,'Ações InCompany'!C:C,"Realizado")</f>
        <v>433</v>
      </c>
    </row>
    <row r="14" spans="1:7" ht="27.95" customHeight="1" x14ac:dyDescent="0.3">
      <c r="A14" s="111" t="s">
        <v>2304</v>
      </c>
      <c r="B14" s="112">
        <f>SUM(B11:B13)</f>
        <v>37</v>
      </c>
      <c r="D14" s="111" t="s">
        <v>2305</v>
      </c>
      <c r="E14" s="112">
        <f>SUM(E11:E13)</f>
        <v>1776</v>
      </c>
    </row>
    <row r="30" spans="1:5" ht="17.25" x14ac:dyDescent="0.3">
      <c r="A30" s="324" t="s">
        <v>2306</v>
      </c>
      <c r="B30" s="324"/>
      <c r="C30" s="324"/>
      <c r="D30" s="324"/>
      <c r="E30" s="324"/>
    </row>
    <row r="31" spans="1:5" ht="5.0999999999999996" customHeight="1" x14ac:dyDescent="0.25">
      <c r="A31" s="325"/>
      <c r="B31" s="325"/>
      <c r="C31" s="325"/>
      <c r="D31" s="325"/>
      <c r="E31" s="325"/>
    </row>
    <row r="32" spans="1:5" ht="24.95" customHeight="1" x14ac:dyDescent="0.25">
      <c r="A32" s="106" t="s">
        <v>6</v>
      </c>
      <c r="B32" s="106" t="s">
        <v>2307</v>
      </c>
      <c r="C32" s="106" t="s">
        <v>2308</v>
      </c>
      <c r="D32" s="106" t="s">
        <v>2309</v>
      </c>
      <c r="E32" s="106" t="s">
        <v>2310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14</v>
      </c>
      <c r="D33" s="115">
        <f t="shared" ref="D33:D44" si="0">B33+C33</f>
        <v>21</v>
      </c>
      <c r="E33" s="116">
        <f t="shared" ref="E33:E44" si="1">D33/$D$45</f>
        <v>0.33333333333333331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4.7619047619047616E-2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9.5238095238095233E-2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1</v>
      </c>
      <c r="D36" s="117">
        <f t="shared" si="0"/>
        <v>3</v>
      </c>
      <c r="E36" s="118">
        <f t="shared" si="1"/>
        <v>4.7619047619047616E-2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3.1746031746031744E-2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7</v>
      </c>
      <c r="C38" s="126">
        <f>COUNTIFS('Ações InCompany'!B:B,2026,'Ações InCompany'!C:C,"A realizar",'Ações InCompany'!G:G,A38)</f>
        <v>7</v>
      </c>
      <c r="D38" s="117">
        <f t="shared" si="0"/>
        <v>14</v>
      </c>
      <c r="E38" s="118">
        <f t="shared" si="1"/>
        <v>0.22222222222222221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6.3492063492063489E-2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1</v>
      </c>
      <c r="D40" s="151">
        <f>B40+C40</f>
        <v>1</v>
      </c>
      <c r="E40" s="156">
        <f>D40/$D$45</f>
        <v>1.5873015873015872E-2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0.1111111111111111</v>
      </c>
    </row>
    <row r="42" spans="1:5" ht="24" customHeight="1" x14ac:dyDescent="0.25">
      <c r="A42" s="154" t="s">
        <v>2311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3.1746031746031744E-2</v>
      </c>
    </row>
    <row r="44" spans="1:5" ht="24" customHeight="1" x14ac:dyDescent="0.25">
      <c r="A44" s="146" t="s">
        <v>2312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2304</v>
      </c>
      <c r="B45" s="119">
        <f>SUM(B33:B44)</f>
        <v>37</v>
      </c>
      <c r="C45" s="119">
        <f>SUM(C33:C44)</f>
        <v>26</v>
      </c>
      <c r="D45" s="119">
        <f>SUM(D33:D44)</f>
        <v>63</v>
      </c>
      <c r="E45" s="120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2318</v>
      </c>
      <c r="B2" s="12" t="s">
        <v>2319</v>
      </c>
      <c r="C2" s="12" t="s">
        <v>1316</v>
      </c>
      <c r="D2" s="12" t="s">
        <v>2320</v>
      </c>
      <c r="E2" s="12" t="s">
        <v>2321</v>
      </c>
    </row>
    <row r="3" spans="1:5" ht="18" customHeight="1" x14ac:dyDescent="0.25">
      <c r="A3" s="12" t="s">
        <v>2318</v>
      </c>
      <c r="B3" s="12" t="s">
        <v>2319</v>
      </c>
      <c r="C3" s="14" t="s">
        <v>23</v>
      </c>
      <c r="D3" s="12" t="s">
        <v>2322</v>
      </c>
      <c r="E3" s="12" t="s">
        <v>2323</v>
      </c>
    </row>
    <row r="4" spans="1:5" ht="18" customHeight="1" x14ac:dyDescent="0.25">
      <c r="A4" s="12" t="s">
        <v>2318</v>
      </c>
      <c r="B4" s="12" t="s">
        <v>2319</v>
      </c>
      <c r="C4" s="12" t="s">
        <v>56</v>
      </c>
      <c r="D4" s="12" t="s">
        <v>2320</v>
      </c>
      <c r="E4" s="12" t="s">
        <v>2324</v>
      </c>
    </row>
    <row r="5" spans="1:5" ht="18" customHeight="1" x14ac:dyDescent="0.25">
      <c r="A5" s="12" t="s">
        <v>2318</v>
      </c>
      <c r="B5" s="12" t="s">
        <v>2319</v>
      </c>
      <c r="C5" s="12" t="s">
        <v>59</v>
      </c>
      <c r="D5" s="12" t="s">
        <v>2325</v>
      </c>
      <c r="E5" s="12" t="s">
        <v>2326</v>
      </c>
    </row>
    <row r="6" spans="1:5" ht="18" customHeight="1" x14ac:dyDescent="0.25">
      <c r="A6" s="12" t="s">
        <v>2318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2318</v>
      </c>
      <c r="B7" s="12" t="s">
        <v>2329</v>
      </c>
      <c r="C7" s="12" t="s">
        <v>30</v>
      </c>
      <c r="D7" s="12" t="s">
        <v>2330</v>
      </c>
      <c r="E7" s="12" t="s">
        <v>2331</v>
      </c>
    </row>
    <row r="8" spans="1:5" ht="18" customHeight="1" x14ac:dyDescent="0.25">
      <c r="A8" s="12" t="s">
        <v>2318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2318</v>
      </c>
      <c r="B9" s="12" t="s">
        <v>2334</v>
      </c>
      <c r="C9" s="12" t="s">
        <v>353</v>
      </c>
      <c r="D9" s="12" t="s">
        <v>2335</v>
      </c>
      <c r="E9" s="12" t="s">
        <v>2336</v>
      </c>
    </row>
    <row r="10" spans="1:5" ht="18" customHeight="1" x14ac:dyDescent="0.25">
      <c r="A10" s="12" t="s">
        <v>2318</v>
      </c>
      <c r="B10" s="12" t="s">
        <v>2334</v>
      </c>
      <c r="C10" s="12" t="s">
        <v>157</v>
      </c>
      <c r="D10" s="12" t="s">
        <v>22</v>
      </c>
      <c r="E10" s="12" t="s">
        <v>2337</v>
      </c>
    </row>
    <row r="11" spans="1:5" ht="18" customHeight="1" x14ac:dyDescent="0.25">
      <c r="A11" s="12" t="s">
        <v>2318</v>
      </c>
      <c r="B11" s="12" t="s">
        <v>2334</v>
      </c>
      <c r="C11" s="12" t="s">
        <v>283</v>
      </c>
      <c r="D11" s="12" t="s">
        <v>22</v>
      </c>
      <c r="E11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2339</v>
      </c>
      <c r="B1" s="5" t="s">
        <v>10</v>
      </c>
      <c r="C1" s="15" t="s">
        <v>2340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2341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2342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2343</v>
      </c>
      <c r="B2" s="12" t="s">
        <v>2319</v>
      </c>
      <c r="C2" s="14" t="s">
        <v>23</v>
      </c>
      <c r="D2" s="12" t="s">
        <v>2320</v>
      </c>
      <c r="E2" s="17" t="s">
        <v>2344</v>
      </c>
    </row>
    <row r="3" spans="1:5" ht="18" customHeight="1" x14ac:dyDescent="0.25">
      <c r="A3" s="12" t="s">
        <v>2343</v>
      </c>
      <c r="B3" s="12" t="s">
        <v>2319</v>
      </c>
      <c r="C3" s="12" t="s">
        <v>56</v>
      </c>
      <c r="D3" s="12" t="s">
        <v>2322</v>
      </c>
      <c r="E3" s="12" t="s">
        <v>2345</v>
      </c>
    </row>
    <row r="4" spans="1:5" ht="18" customHeight="1" x14ac:dyDescent="0.25">
      <c r="A4" s="12" t="s">
        <v>2343</v>
      </c>
      <c r="B4" s="12" t="s">
        <v>2319</v>
      </c>
      <c r="C4" s="12" t="s">
        <v>59</v>
      </c>
      <c r="D4" s="12" t="s">
        <v>2325</v>
      </c>
      <c r="E4" s="12" t="s">
        <v>2346</v>
      </c>
    </row>
    <row r="5" spans="1:5" ht="27.75" customHeight="1" x14ac:dyDescent="0.25">
      <c r="A5" s="12" t="s">
        <v>2343</v>
      </c>
      <c r="B5" s="12" t="s">
        <v>2319</v>
      </c>
      <c r="C5" s="12" t="s">
        <v>2035</v>
      </c>
      <c r="D5" s="17" t="s">
        <v>2347</v>
      </c>
      <c r="E5" s="12" t="s">
        <v>2348</v>
      </c>
    </row>
    <row r="6" spans="1:5" ht="18" customHeight="1" x14ac:dyDescent="0.25">
      <c r="A6" s="12" t="s">
        <v>2343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2343</v>
      </c>
      <c r="B7" s="12" t="s">
        <v>2329</v>
      </c>
      <c r="C7" s="12" t="s">
        <v>2056</v>
      </c>
      <c r="D7" s="12" t="s">
        <v>2349</v>
      </c>
      <c r="E7" s="12" t="s">
        <v>2350</v>
      </c>
    </row>
    <row r="8" spans="1:5" ht="18" customHeight="1" x14ac:dyDescent="0.25">
      <c r="A8" s="12" t="s">
        <v>2343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2343</v>
      </c>
      <c r="B9" s="12" t="s">
        <v>2329</v>
      </c>
      <c r="C9" s="12" t="s">
        <v>2040</v>
      </c>
      <c r="D9" s="12" t="s">
        <v>2351</v>
      </c>
      <c r="E9" s="17" t="s">
        <v>2352</v>
      </c>
    </row>
    <row r="10" spans="1:5" ht="18" customHeight="1" x14ac:dyDescent="0.25">
      <c r="A10" s="12" t="s">
        <v>2343</v>
      </c>
      <c r="B10" s="12" t="s">
        <v>2353</v>
      </c>
      <c r="C10" s="12" t="s">
        <v>2311</v>
      </c>
      <c r="D10" s="12" t="s">
        <v>2354</v>
      </c>
      <c r="E10" s="17" t="s">
        <v>2355</v>
      </c>
    </row>
    <row r="11" spans="1:5" ht="18" customHeight="1" x14ac:dyDescent="0.25">
      <c r="A11" s="12" t="s">
        <v>2343</v>
      </c>
      <c r="B11" s="12" t="s">
        <v>2353</v>
      </c>
      <c r="C11" s="12" t="s">
        <v>157</v>
      </c>
      <c r="D11" s="12" t="s">
        <v>22</v>
      </c>
      <c r="E11" s="12" t="s">
        <v>2337</v>
      </c>
    </row>
    <row r="12" spans="1:5" ht="18" customHeight="1" x14ac:dyDescent="0.25">
      <c r="A12" s="12" t="s">
        <v>2343</v>
      </c>
      <c r="B12" s="12" t="s">
        <v>2353</v>
      </c>
      <c r="C12" s="12" t="s">
        <v>283</v>
      </c>
      <c r="D12" s="12" t="s">
        <v>22</v>
      </c>
      <c r="E12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31" t="s">
        <v>2356</v>
      </c>
      <c r="B1" s="331"/>
      <c r="C1" s="331"/>
      <c r="D1" s="331"/>
      <c r="E1" s="331"/>
      <c r="F1" s="331"/>
      <c r="G1" s="331"/>
      <c r="H1" s="331"/>
    </row>
    <row r="2" spans="1:8" x14ac:dyDescent="0.25">
      <c r="A2" s="128" t="s">
        <v>2357</v>
      </c>
    </row>
    <row r="4" spans="1:8" ht="21.95" customHeight="1" x14ac:dyDescent="0.25">
      <c r="A4" s="332" t="s">
        <v>2358</v>
      </c>
      <c r="B4" s="333"/>
      <c r="D4" s="332" t="s">
        <v>2359</v>
      </c>
      <c r="E4" s="333"/>
      <c r="G4" s="332" t="s">
        <v>2360</v>
      </c>
      <c r="H4" s="333"/>
    </row>
    <row r="5" spans="1:8" ht="35.1" customHeight="1" x14ac:dyDescent="0.25">
      <c r="A5" s="336">
        <f>COUNTIF('Ações InCompany'!E:E,"*maratona*")</f>
        <v>13</v>
      </c>
      <c r="B5" s="335"/>
      <c r="D5" s="334">
        <f>SUM(H8:H100)</f>
        <v>1762</v>
      </c>
      <c r="E5" s="335"/>
      <c r="G5" s="334">
        <f>IFERROR(ROUND(D5/A5,0),"-")</f>
        <v>136</v>
      </c>
      <c r="H5" s="335"/>
    </row>
    <row r="6" spans="1:8" ht="9.9499999999999993" customHeight="1" x14ac:dyDescent="0.25"/>
    <row r="7" spans="1:8" ht="24.95" customHeight="1" thickBot="1" x14ac:dyDescent="0.3">
      <c r="A7" s="141" t="s">
        <v>2361</v>
      </c>
      <c r="B7" s="141" t="s">
        <v>2362</v>
      </c>
      <c r="C7" s="141" t="s">
        <v>1</v>
      </c>
      <c r="D7" s="141" t="s">
        <v>2363</v>
      </c>
      <c r="E7" s="141" t="s">
        <v>2364</v>
      </c>
      <c r="F7" s="141" t="s">
        <v>2236</v>
      </c>
      <c r="G7" s="141" t="s">
        <v>5</v>
      </c>
      <c r="H7" s="141" t="s">
        <v>2365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7" t="s">
        <v>2366</v>
      </c>
      <c r="B1" s="337"/>
      <c r="C1" s="337"/>
      <c r="D1" s="337"/>
      <c r="E1" s="337"/>
      <c r="F1" s="337"/>
    </row>
    <row r="2" spans="1:7" x14ac:dyDescent="0.25">
      <c r="A2" s="338" t="s">
        <v>2367</v>
      </c>
      <c r="B2" s="338"/>
      <c r="C2" s="338"/>
      <c r="D2" s="338"/>
      <c r="E2" s="338"/>
      <c r="F2" s="338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2368</v>
      </c>
      <c r="E4" s="100" t="s">
        <v>2241</v>
      </c>
      <c r="F4" s="100" t="s">
        <v>2369</v>
      </c>
    </row>
    <row r="5" spans="1:7" x14ac:dyDescent="0.25">
      <c r="A5" t="str" cm="1">
        <f t="array" ref="A5:A54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Carina de Souza Mariuba Herthel</v>
      </c>
      <c r="B9" s="101">
        <f>IF($A9="","",SUMIFS('GECC 2026'!H$2:H$200,'GECC 2026'!F$2:F$200,$A9))</f>
        <v>8</v>
      </c>
      <c r="C9" s="101">
        <f>IF($A9="","",SUMIFS('GECC 2026'!I$2:I$200,'GECC 2026'!F$2:F$200,$A9))</f>
        <v>2.4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10.4</v>
      </c>
      <c r="F9" s="99">
        <f>IF($A9="","",COUNTIFS('GECC 2026'!F$2:F$200,$A9))</f>
        <v>1</v>
      </c>
    </row>
    <row r="10" spans="1:7" x14ac:dyDescent="0.25">
      <c r="A10" t="str">
        <v>Carlos Antônio</v>
      </c>
      <c r="B10" s="101">
        <f>IF($A10="","",SUMIFS('GECC 2026'!H$2:H$200,'GECC 2026'!F$2:F$200,$A10))</f>
        <v>4</v>
      </c>
      <c r="C10" s="101">
        <f>IF($A10="","",SUMIFS('GECC 2026'!I$2:I$200,'GECC 2026'!F$2:F$200,$A10))</f>
        <v>1.2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5.2</v>
      </c>
      <c r="F10" s="99">
        <f>IF($A10="","",COUNTIFS('GECC 2026'!F$2:F$200,$A10))</f>
        <v>1</v>
      </c>
    </row>
    <row r="11" spans="1:7" x14ac:dyDescent="0.25">
      <c r="A11" t="str">
        <v>Carolina Pereira de Oliveira</v>
      </c>
      <c r="B11" s="101">
        <f>IF($A11="","",SUMIFS('GECC 2026'!H$2:H$200,'GECC 2026'!F$2:F$200,$A11))</f>
        <v>8</v>
      </c>
      <c r="C11" s="101">
        <f>IF($A11="","",SUMIFS('GECC 2026'!I$2:I$200,'GECC 2026'!F$2:F$200,$A11))</f>
        <v>0.24</v>
      </c>
      <c r="D11" s="214">
        <f>IF($A11="","",SUMIFS('GECC 2026'!$AE$3:$AE$32,'GECC 2026'!$AD$3:$AD$32,$A11))</f>
        <v>0</v>
      </c>
      <c r="E11" s="203">
        <f>IF($A11="","",SUMIFS('GECC 2026'!J$2:J$200,'GECC 2026'!F$2:F$200,$A11)+SUMIFS('GECC 2026'!$AE$3:$AE$32,'GECC 2026'!$AD$3:$AD$32,$A11))</f>
        <v>8.24</v>
      </c>
      <c r="F11" s="99">
        <f>IF($A11="","",COUNTIFS('GECC 2026'!F$2:F$200,$A11))</f>
        <v>1</v>
      </c>
    </row>
    <row r="12" spans="1:7" x14ac:dyDescent="0.25">
      <c r="A12" t="str">
        <v>Cássio Murilo Alves Costa Filho</v>
      </c>
      <c r="B12" s="101">
        <f>IF($A12="","",SUMIFS('GECC 2026'!H$2:H$200,'GECC 2026'!F$2:F$200,$A12))</f>
        <v>16</v>
      </c>
      <c r="C12" s="101">
        <f>IF($A12="","",SUMIFS('GECC 2026'!I$2:I$200,'GECC 2026'!F$2:F$200,$A12))</f>
        <v>4.8</v>
      </c>
      <c r="D12" s="214">
        <f>IF($A12="","",SUMIFS('GECC 2026'!$AE$3:$AE$32,'GECC 2026'!$AD$3:$AD$32,$A12))</f>
        <v>16</v>
      </c>
      <c r="E12" s="203">
        <f>IF($A12="","",SUMIFS('GECC 2026'!J$2:J$200,'GECC 2026'!F$2:F$200,$A12)+SUMIFS('GECC 2026'!$AE$3:$AE$32,'GECC 2026'!$AD$3:$AD$32,$A12))</f>
        <v>36.799999999999997</v>
      </c>
      <c r="F12" s="99">
        <f>IF($A12="","",COUNTIFS('GECC 2026'!F$2:F$200,$A12))</f>
        <v>1</v>
      </c>
    </row>
    <row r="13" spans="1:7" x14ac:dyDescent="0.25">
      <c r="A13" t="str">
        <v>Cinthia Thais de Carvalho Luz Thomazi</v>
      </c>
      <c r="B13" s="101">
        <f>IF($A13="","",SUMIFS('GECC 2026'!H$2:H$200,'GECC 2026'!F$2:F$200,$A13))</f>
        <v>76</v>
      </c>
      <c r="C13" s="101">
        <f>IF($A13="","",SUMIFS('GECC 2026'!I$2:I$200,'GECC 2026'!F$2:F$200,$A13))</f>
        <v>11.879999999999999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87.88000000000001</v>
      </c>
      <c r="F13" s="99">
        <f>IF($A13="","",COUNTIFS('GECC 2026'!F$2:F$200,$A13))</f>
        <v>12</v>
      </c>
    </row>
    <row r="14" spans="1:7" x14ac:dyDescent="0.25">
      <c r="A14" t="str">
        <v>Davi Assunção Salvador Nery de Castro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David da Silva de Araújo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1.2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13.2</v>
      </c>
      <c r="F15" s="99">
        <f>IF($A15="","",COUNTIFS('GECC 2026'!F$2:F$200,$A15))</f>
        <v>1</v>
      </c>
    </row>
    <row r="16" spans="1:7" x14ac:dyDescent="0.25">
      <c r="A16" t="str">
        <v>Denise Duarte Guirra Kuhlmann</v>
      </c>
      <c r="B16" s="101">
        <f>IF($A16="","",SUMIFS('GECC 2026'!H$2:H$200,'GECC 2026'!F$2:F$200,$A16))</f>
        <v>12</v>
      </c>
      <c r="C16" s="101">
        <f>IF($A16="","",SUMIFS('GECC 2026'!I$2:I$200,'GECC 2026'!F$2:F$200,$A16))</f>
        <v>2.6399999999999997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14.64</v>
      </c>
      <c r="F16" s="99">
        <f>IF($A16="","",COUNTIFS('GECC 2026'!F$2:F$200,$A16))</f>
        <v>3</v>
      </c>
    </row>
    <row r="17" spans="1:6" x14ac:dyDescent="0.25">
      <c r="A17" t="str">
        <v>Diversos</v>
      </c>
      <c r="B17" s="101">
        <f>IF($A17="","",SUMIFS('GECC 2026'!H$2:H$200,'GECC 2026'!F$2:F$200,$A17))</f>
        <v>24</v>
      </c>
      <c r="C17" s="101">
        <f>IF($A17="","",SUMIFS('GECC 2026'!I$2:I$200,'GECC 2026'!F$2:F$200,$A17))</f>
        <v>7.2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31.2</v>
      </c>
      <c r="F17" s="99">
        <f>IF($A17="","",COUNTIFS('GECC 2026'!F$2:F$200,$A17))</f>
        <v>2</v>
      </c>
    </row>
    <row r="18" spans="1:6" x14ac:dyDescent="0.25">
      <c r="A18" t="str">
        <v>Douglas Vieira Silva Filho</v>
      </c>
      <c r="B18" s="101">
        <f>IF($A18="","",SUMIFS('GECC 2026'!H$2:H$200,'GECC 2026'!F$2:F$200,$A18))</f>
        <v>4</v>
      </c>
      <c r="C18" s="101">
        <f>IF($A18="","",SUMIFS('GECC 2026'!I$2:I$200,'GECC 2026'!F$2:F$200,$A18))</f>
        <v>0.6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4.5999999999999996</v>
      </c>
      <c r="F18" s="99">
        <f>IF($A18="","",COUNTIFS('GECC 2026'!F$2:F$200,$A18))</f>
        <v>1</v>
      </c>
    </row>
    <row r="19" spans="1:6" x14ac:dyDescent="0.25">
      <c r="A19" t="str">
        <v>Elvis Aaron Teixeira dos Santos Lima</v>
      </c>
      <c r="B19" s="101">
        <f>IF($A19="","",SUMIFS('GECC 2026'!H$2:H$200,'GECC 2026'!F$2:F$200,$A19))</f>
        <v>0</v>
      </c>
      <c r="C19" s="101">
        <f>IF($A19="","",SUMIFS('GECC 2026'!I$2:I$200,'GECC 2026'!F$2:F$200,$A19))</f>
        <v>0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0</v>
      </c>
      <c r="F19" s="99">
        <f>IF($A19="","",COUNTIFS('GECC 2026'!F$2:F$200,$A19))</f>
        <v>1</v>
      </c>
    </row>
    <row r="20" spans="1:6" x14ac:dyDescent="0.25">
      <c r="A20" t="str">
        <v>Eustáquio Rabelo de Souza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Felipe da Costa Malaquias</v>
      </c>
      <c r="B21" s="101">
        <f>IF($A21="","",SUMIFS('GECC 2026'!H$2:H$200,'GECC 2026'!F$2:F$200,$A21))</f>
        <v>25.45</v>
      </c>
      <c r="C21" s="101">
        <f>IF($A21="","",SUMIFS('GECC 2026'!I$2:I$200,'GECC 2026'!F$2:F$200,$A21))</f>
        <v>7.6349999999999998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33.085000000000001</v>
      </c>
      <c r="F21" s="99">
        <f>IF($A21="","",COUNTIFS('GECC 2026'!F$2:F$200,$A21))</f>
        <v>2</v>
      </c>
    </row>
    <row r="22" spans="1:6" x14ac:dyDescent="0.25">
      <c r="A22" t="str">
        <v>Felipe Ramos Barbosa</v>
      </c>
      <c r="B22" s="101">
        <f>IF($A22="","",SUMIFS('GECC 2026'!H$2:H$200,'GECC 2026'!F$2:F$200,$A22))</f>
        <v>8</v>
      </c>
      <c r="C22" s="101">
        <f>IF($A22="","",SUMIFS('GECC 2026'!I$2:I$200,'GECC 2026'!F$2:F$200,$A22))</f>
        <v>0.24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8.24</v>
      </c>
      <c r="F22" s="99">
        <f>IF($A22="","",COUNTIFS('GECC 2026'!F$2:F$200,$A22))</f>
        <v>1</v>
      </c>
    </row>
    <row r="23" spans="1:6" x14ac:dyDescent="0.25">
      <c r="A23" t="str">
        <v>Fernanda Viana de Souza</v>
      </c>
      <c r="B23" s="101">
        <f>IF($A23="","",SUMIFS('GECC 2026'!H$2:H$200,'GECC 2026'!F$2:F$200,$A23))</f>
        <v>39</v>
      </c>
      <c r="C23" s="101">
        <f>IF($A23="","",SUMIFS('GECC 2026'!I$2:I$200,'GECC 2026'!F$2:F$200,$A23))</f>
        <v>8.370000000000001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47.370000000000012</v>
      </c>
      <c r="F23" s="99">
        <f>IF($A23="","",COUNTIFS('GECC 2026'!F$2:F$200,$A23))</f>
        <v>10</v>
      </c>
    </row>
    <row r="24" spans="1:6" x14ac:dyDescent="0.25">
      <c r="A24" t="str">
        <v>Flávio José Fonseca de Souza</v>
      </c>
      <c r="B24" s="101">
        <f>IF($A24="","",SUMIFS('GECC 2026'!H$2:H$200,'GECC 2026'!F$2:F$200,$A24))</f>
        <v>25.45</v>
      </c>
      <c r="C24" s="101">
        <f>IF($A24="","",SUMIFS('GECC 2026'!I$2:I$200,'GECC 2026'!F$2:F$200,$A24))</f>
        <v>7.6349999999999998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33.085000000000001</v>
      </c>
      <c r="F24" s="99">
        <f>IF($A24="","",COUNTIFS('GECC 2026'!F$2:F$200,$A24))</f>
        <v>2</v>
      </c>
    </row>
    <row r="25" spans="1:6" x14ac:dyDescent="0.25">
      <c r="A25" t="str">
        <v>Gabriel Heller</v>
      </c>
      <c r="B25" s="101">
        <f>IF($A25="","",SUMIFS('GECC 2026'!H$2:H$200,'GECC 2026'!F$2:F$200,$A25))</f>
        <v>28</v>
      </c>
      <c r="C25" s="101">
        <f>IF($A25="","",SUMIFS('GECC 2026'!I$2:I$200,'GECC 2026'!F$2:F$200,$A25))</f>
        <v>5.52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33.520000000000003</v>
      </c>
      <c r="F25" s="99">
        <f>IF($A25="","",COUNTIFS('GECC 2026'!F$2:F$200,$A25))</f>
        <v>2</v>
      </c>
    </row>
    <row r="26" spans="1:6" x14ac:dyDescent="0.25">
      <c r="A26" t="str">
        <v>Guilherme Bride Fernandes</v>
      </c>
      <c r="B26" s="101">
        <f>IF($A26="","",SUMIFS('GECC 2026'!H$2:H$200,'GECC 2026'!F$2:F$200,$A26))</f>
        <v>8</v>
      </c>
      <c r="C26" s="101">
        <f>IF($A26="","",SUMIFS('GECC 2026'!I$2:I$200,'GECC 2026'!F$2:F$200,$A26))</f>
        <v>0.24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8.24</v>
      </c>
      <c r="F26" s="99">
        <f>IF($A26="","",COUNTIFS('GECC 2026'!F$2:F$200,$A26))</f>
        <v>1</v>
      </c>
    </row>
    <row r="27" spans="1:6" x14ac:dyDescent="0.25">
      <c r="A27" t="str">
        <v>Gustavo Takahashi</v>
      </c>
      <c r="B27" s="101">
        <f>IF($A27="","",SUMIFS('GECC 2026'!H$2:H$200,'GECC 2026'!F$2:F$200,$A27))</f>
        <v>33</v>
      </c>
      <c r="C27" s="101">
        <f>IF($A27="","",SUMIFS('GECC 2026'!I$2:I$200,'GECC 2026'!F$2:F$200,$A27))</f>
        <v>3.5999999999999996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36.599999999999994</v>
      </c>
      <c r="F27" s="99">
        <f>IF($A27="","",COUNTIFS('GECC 2026'!F$2:F$200,$A27))</f>
        <v>5</v>
      </c>
    </row>
    <row r="28" spans="1:6" x14ac:dyDescent="0.25">
      <c r="A28" t="str">
        <v>Hamilton de Jesus Lopes Neto</v>
      </c>
      <c r="B28" s="101">
        <f>IF($A28="","",SUMIFS('GECC 2026'!H$2:H$200,'GECC 2026'!F$2:F$200,$A28))</f>
        <v>12</v>
      </c>
      <c r="C28" s="101">
        <f>IF($A28="","",SUMIFS('GECC 2026'!I$2:I$200,'GECC 2026'!F$2:F$200,$A28))</f>
        <v>1.2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13.2</v>
      </c>
      <c r="F28" s="99">
        <f>IF($A28="","",COUNTIFS('GECC 2026'!F$2:F$200,$A28))</f>
        <v>1</v>
      </c>
    </row>
    <row r="29" spans="1:6" x14ac:dyDescent="0.25">
      <c r="A29" t="str">
        <v>Igor Queiroz</v>
      </c>
      <c r="B29" s="101">
        <f>IF($A29="","",SUMIFS('GECC 2026'!H$2:H$200,'GECC 2026'!F$2:F$200,$A29))</f>
        <v>8</v>
      </c>
      <c r="C29" s="101">
        <f>IF($A29="","",SUMIFS('GECC 2026'!I$2:I$200,'GECC 2026'!F$2:F$200,$A29))</f>
        <v>0.24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8.24</v>
      </c>
      <c r="F29" s="99">
        <f>IF($A29="","",COUNTIFS('GECC 2026'!F$2:F$200,$A29))</f>
        <v>1</v>
      </c>
    </row>
    <row r="30" spans="1:6" x14ac:dyDescent="0.25">
      <c r="A30" t="str">
        <v>Indio Artiaga do Brasil Rabelo</v>
      </c>
      <c r="B30" s="101">
        <f>IF($A30="","",SUMIFS('GECC 2026'!H$2:H$200,'GECC 2026'!F$2:F$200,$A30))</f>
        <v>16</v>
      </c>
      <c r="C30" s="101">
        <f>IF($A30="","",SUMIFS('GECC 2026'!I$2:I$200,'GECC 2026'!F$2:F$200,$A30))</f>
        <v>2.4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18.399999999999999</v>
      </c>
      <c r="F30" s="99">
        <f>IF($A30="","",COUNTIFS('GECC 2026'!F$2:F$200,$A30))</f>
        <v>2</v>
      </c>
    </row>
    <row r="31" spans="1:6" x14ac:dyDescent="0.25">
      <c r="A31" t="str">
        <v>Jamile Medeiros Fon</v>
      </c>
      <c r="B31" s="101">
        <f>IF($A31="","",SUMIFS('GECC 2026'!H$2:H$200,'GECC 2026'!F$2:F$200,$A31))</f>
        <v>4</v>
      </c>
      <c r="C31" s="101">
        <f>IF($A31="","",SUMIFS('GECC 2026'!I$2:I$200,'GECC 2026'!F$2:F$200,$A31))</f>
        <v>0.6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4.5999999999999996</v>
      </c>
      <c r="F31" s="99">
        <f>IF($A31="","",COUNTIFS('GECC 2026'!F$2:F$200,$A31))</f>
        <v>1</v>
      </c>
    </row>
    <row r="32" spans="1:6" x14ac:dyDescent="0.25">
      <c r="A32" t="str">
        <v>José Roberto Alcuri Júnior</v>
      </c>
      <c r="B32" s="101">
        <f>IF($A32="","",SUMIFS('GECC 2026'!H$2:H$200,'GECC 2026'!F$2:F$200,$A32))</f>
        <v>12</v>
      </c>
      <c r="C32" s="101">
        <f>IF($A32="","",SUMIFS('GECC 2026'!I$2:I$200,'GECC 2026'!F$2:F$200,$A32))</f>
        <v>0.84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12.84</v>
      </c>
      <c r="F32" s="99">
        <f>IF($A32="","",COUNTIFS('GECC 2026'!F$2:F$200,$A32))</f>
        <v>2</v>
      </c>
    </row>
    <row r="33" spans="1:6" x14ac:dyDescent="0.25">
      <c r="A33" t="str">
        <v>Leonardo de Melo</v>
      </c>
      <c r="B33" s="101">
        <f>IF($A33="","",SUMIFS('GECC 2026'!H$2:H$200,'GECC 2026'!F$2:F$200,$A33))</f>
        <v>16</v>
      </c>
      <c r="C33" s="101">
        <f>IF($A33="","",SUMIFS('GECC 2026'!I$2:I$200,'GECC 2026'!F$2:F$200,$A33))</f>
        <v>2.4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18.399999999999999</v>
      </c>
      <c r="F33" s="99">
        <f>IF($A33="","",COUNTIFS('GECC 2026'!F$2:F$200,$A33))</f>
        <v>2</v>
      </c>
    </row>
    <row r="34" spans="1:6" x14ac:dyDescent="0.25">
      <c r="A34" t="str">
        <v>Leonardo José Alves Leal Neri</v>
      </c>
      <c r="B34" s="101">
        <f>IF($A34="","",SUMIFS('GECC 2026'!H$2:H$200,'GECC 2026'!F$2:F$200,$A34))</f>
        <v>40</v>
      </c>
      <c r="C34" s="101">
        <f>IF($A34="","",SUMIFS('GECC 2026'!I$2:I$200,'GECC 2026'!F$2:F$200,$A34))</f>
        <v>12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52</v>
      </c>
      <c r="F34" s="99">
        <f>IF($A34="","",COUNTIFS('GECC 2026'!F$2:F$200,$A34))</f>
        <v>2</v>
      </c>
    </row>
    <row r="35" spans="1:6" x14ac:dyDescent="0.25">
      <c r="A35" t="str">
        <v>Luciana Alvim</v>
      </c>
      <c r="B35" s="101">
        <f>IF($A35="","",SUMIFS('GECC 2026'!H$2:H$200,'GECC 2026'!F$2:F$200,$A35))</f>
        <v>60</v>
      </c>
      <c r="C35" s="101">
        <f>IF($A35="","",SUMIFS('GECC 2026'!I$2:I$200,'GECC 2026'!F$2:F$200,$A35))</f>
        <v>74</v>
      </c>
      <c r="D35" s="214">
        <f>IF($A35="","",SUMIFS('GECC 2026'!$AE$3:$AE$32,'GECC 2026'!$AD$3:$AD$32,$A35))</f>
        <v>0</v>
      </c>
      <c r="E35" s="203">
        <f>IF($A35="","",SUMIFS('GECC 2026'!J$2:J$200,'GECC 2026'!F$2:F$200,$A35)+SUMIFS('GECC 2026'!$AE$3:$AE$32,'GECC 2026'!$AD$3:$AD$32,$A35))</f>
        <v>134</v>
      </c>
      <c r="F35" s="99">
        <f>IF($A35="","",COUNTIFS('GECC 2026'!F$2:F$200,$A35))</f>
        <v>6</v>
      </c>
    </row>
    <row r="36" spans="1:6" x14ac:dyDescent="0.25">
      <c r="A36" t="str">
        <v>Luiz Felipe Tenório de Lima Gondim</v>
      </c>
      <c r="B36" s="101">
        <f>IF($A36="","",SUMIFS('GECC 2026'!H$2:H$200,'GECC 2026'!F$2:F$200,$A36))</f>
        <v>24</v>
      </c>
      <c r="C36" s="101">
        <f>IF($A36="","",SUMIFS('GECC 2026'!I$2:I$200,'GECC 2026'!F$2:F$200,$A36))</f>
        <v>5.28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29.279999999999998</v>
      </c>
      <c r="F36" s="99">
        <f>IF($A36="","",COUNTIFS('GECC 2026'!F$2:F$200,$A36))</f>
        <v>6</v>
      </c>
    </row>
    <row r="37" spans="1:6" x14ac:dyDescent="0.25">
      <c r="A37" t="str">
        <v>Marcelo Bálbio Moraes</v>
      </c>
      <c r="B37" s="101">
        <f>IF($A37="","",SUMIFS('GECC 2026'!H$2:H$200,'GECC 2026'!F$2:F$200,$A37))</f>
        <v>0</v>
      </c>
      <c r="C37" s="101">
        <f>IF($A37="","",SUMIFS('GECC 2026'!I$2:I$200,'GECC 2026'!F$2:F$200,$A37))</f>
        <v>0</v>
      </c>
      <c r="D37" s="214">
        <f>IF($A37="","",SUMIFS('GECC 2026'!$AE$3:$AE$32,'GECC 2026'!$AD$3:$AD$32,$A37))</f>
        <v>16</v>
      </c>
      <c r="E37" s="203">
        <f>IF($A37="","",SUMIFS('GECC 2026'!J$2:J$200,'GECC 2026'!F$2:F$200,$A37)+SUMIFS('GECC 2026'!$AE$3:$AE$32,'GECC 2026'!$AD$3:$AD$32,$A37))</f>
        <v>16</v>
      </c>
      <c r="F37" s="99">
        <f>IF($A37="","",COUNTIFS('GECC 2026'!F$2:F$200,$A37))</f>
        <v>0</v>
      </c>
    </row>
    <row r="38" spans="1:6" x14ac:dyDescent="0.25">
      <c r="A38" t="str">
        <v>Marcelo Santana</v>
      </c>
      <c r="B38" s="101">
        <f>IF($A38="","",SUMIFS('GECC 2026'!H$2:H$200,'GECC 2026'!F$2:F$200,$A38))</f>
        <v>8</v>
      </c>
      <c r="C38" s="101">
        <f>IF($A38="","",SUMIFS('GECC 2026'!I$2:I$200,'GECC 2026'!F$2:F$200,$A38))</f>
        <v>0.24</v>
      </c>
      <c r="D38" s="214">
        <f>IF($A38="","",SUMIFS('GECC 2026'!$AE$3:$AE$32,'GECC 2026'!$AD$3:$AD$32,$A38))</f>
        <v>0</v>
      </c>
      <c r="E38" s="203">
        <f>IF($A38="","",SUMIFS('GECC 2026'!J$2:J$200,'GECC 2026'!F$2:F$200,$A38)+SUMIFS('GECC 2026'!$AE$3:$AE$32,'GECC 2026'!$AD$3:$AD$32,$A38))</f>
        <v>8.24</v>
      </c>
      <c r="F38" s="99">
        <f>IF($A38="","",COUNTIFS('GECC 2026'!F$2:F$200,$A38))</f>
        <v>1</v>
      </c>
    </row>
    <row r="39" spans="1:6" x14ac:dyDescent="0.25">
      <c r="A39" t="str">
        <v>Marcelo Silva Santana</v>
      </c>
      <c r="B39" s="101">
        <f>IF($A39="","",SUMIFS('GECC 2026'!H$2:H$200,'GECC 2026'!F$2:F$200,$A39))</f>
        <v>4</v>
      </c>
      <c r="C39" s="101">
        <f>IF($A39="","",SUMIFS('GECC 2026'!I$2:I$200,'GECC 2026'!F$2:F$200,$A39))</f>
        <v>0.6</v>
      </c>
      <c r="D39" s="214">
        <f>IF($A39="","",SUMIFS('GECC 2026'!$AE$3:$AE$32,'GECC 2026'!$AD$3:$AD$32,$A39))</f>
        <v>0</v>
      </c>
      <c r="E39" s="203">
        <f>IF($A39="","",SUMIFS('GECC 2026'!J$2:J$200,'GECC 2026'!F$2:F$200,$A39)+SUMIFS('GECC 2026'!$AE$3:$AE$32,'GECC 2026'!$AD$3:$AD$32,$A39))</f>
        <v>4.5999999999999996</v>
      </c>
      <c r="F39" s="99">
        <f>IF($A39="","",COUNTIFS('GECC 2026'!F$2:F$200,$A39))</f>
        <v>1</v>
      </c>
    </row>
    <row r="40" spans="1:6" x14ac:dyDescent="0.25">
      <c r="A40" t="str">
        <v>Mauri Siqueira Montessi</v>
      </c>
      <c r="B40" s="101">
        <f>IF($A40="","",SUMIFS('GECC 2026'!H$2:H$200,'GECC 2026'!F$2:F$200,$A40))</f>
        <v>0</v>
      </c>
      <c r="C40" s="101">
        <f>IF($A40="","",SUMIFS('GECC 2026'!I$2:I$200,'GECC 2026'!F$2:F$200,$A40))</f>
        <v>0</v>
      </c>
      <c r="D40" s="214">
        <f>IF($A40="","",SUMIFS('GECC 2026'!$AE$3:$AE$32,'GECC 2026'!$AD$3:$AD$32,$A40))</f>
        <v>16</v>
      </c>
      <c r="E40" s="203">
        <f>IF($A40="","",SUMIFS('GECC 2026'!J$2:J$200,'GECC 2026'!F$2:F$200,$A40)+SUMIFS('GECC 2026'!$AE$3:$AE$32,'GECC 2026'!$AD$3:$AD$32,$A40))</f>
        <v>16</v>
      </c>
      <c r="F40" s="99">
        <f>IF($A40="","",COUNTIFS('GECC 2026'!F$2:F$200,$A40))</f>
        <v>0</v>
      </c>
    </row>
    <row r="41" spans="1:6" x14ac:dyDescent="0.25">
      <c r="A41" t="str">
        <v>Michel Martins de Morais</v>
      </c>
      <c r="B41" s="101">
        <f>IF($A41="","",SUMIFS('GECC 2026'!H$2:H$200,'GECC 2026'!F$2:F$200,$A41))</f>
        <v>0</v>
      </c>
      <c r="C41" s="101">
        <f>IF($A41="","",SUMIFS('GECC 2026'!I$2:I$200,'GECC 2026'!F$2:F$200,$A41))</f>
        <v>0</v>
      </c>
      <c r="D41" s="214">
        <f>IF($A41="","",SUMIFS('GECC 2026'!$AE$3:$AE$32,'GECC 2026'!$AD$3:$AD$32,$A41))</f>
        <v>16</v>
      </c>
      <c r="E41" s="203">
        <f>IF($A41="","",SUMIFS('GECC 2026'!J$2:J$200,'GECC 2026'!F$2:F$200,$A41)+SUMIFS('GECC 2026'!$AE$3:$AE$32,'GECC 2026'!$AD$3:$AD$32,$A41))</f>
        <v>16</v>
      </c>
      <c r="F41" s="99">
        <f>IF($A41="","",COUNTIFS('GECC 2026'!F$2:F$200,$A41))</f>
        <v>0</v>
      </c>
    </row>
    <row r="42" spans="1:6" x14ac:dyDescent="0.25">
      <c r="A42" t="str">
        <v>Paulo José Góes Daltro</v>
      </c>
      <c r="B42" s="101">
        <f>IF($A42="","",SUMIFS('GECC 2026'!H$2:H$200,'GECC 2026'!F$2:F$200,$A42))</f>
        <v>43</v>
      </c>
      <c r="C42" s="101">
        <f>IF($A42="","",SUMIFS('GECC 2026'!I$2:I$200,'GECC 2026'!F$2:F$200,$A42))</f>
        <v>12.899999999999999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55.9</v>
      </c>
      <c r="F42" s="99">
        <f>IF($A42="","",COUNTIFS('GECC 2026'!F$2:F$200,$A42))</f>
        <v>4</v>
      </c>
    </row>
    <row r="43" spans="1:6" x14ac:dyDescent="0.25">
      <c r="A43" t="str">
        <v>Priscila Nolasco de Oliveira</v>
      </c>
      <c r="B43" s="101">
        <f>IF($A43="","",SUMIFS('GECC 2026'!H$2:H$200,'GECC 2026'!F$2:F$200,$A43))</f>
        <v>36</v>
      </c>
      <c r="C43" s="101">
        <f>IF($A43="","",SUMIFS('GECC 2026'!I$2:I$200,'GECC 2026'!F$2:F$200,$A43))</f>
        <v>6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42.000000000000007</v>
      </c>
      <c r="F43" s="99">
        <f>IF($A43="","",COUNTIFS('GECC 2026'!F$2:F$200,$A43))</f>
        <v>9</v>
      </c>
    </row>
    <row r="44" spans="1:6" x14ac:dyDescent="0.25">
      <c r="A44" t="str">
        <v>Reinaldo Alencar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Renan Dias da Silva</v>
      </c>
      <c r="B45" s="101">
        <f>IF($A45="","",SUMIFS('GECC 2026'!H$2:H$200,'GECC 2026'!F$2:F$200,$A45))</f>
        <v>4</v>
      </c>
      <c r="C45" s="101">
        <f>IF($A45="","",SUMIFS('GECC 2026'!I$2:I$200,'GECC 2026'!F$2:F$200,$A45))</f>
        <v>1.2</v>
      </c>
      <c r="D45" s="214">
        <f>IF($A45="","",SUMIFS('GECC 2026'!$AE$3:$AE$32,'GECC 2026'!$AD$3:$AD$32,$A45))</f>
        <v>0</v>
      </c>
      <c r="E45" s="203">
        <f>IF($A45="","",SUMIFS('GECC 2026'!J$2:J$200,'GECC 2026'!F$2:F$200,$A45)+SUMIFS('GECC 2026'!$AE$3:$AE$32,'GECC 2026'!$AD$3:$AD$32,$A45))</f>
        <v>5.2</v>
      </c>
      <c r="F45" s="99">
        <f>IF($A45="","",COUNTIFS('GECC 2026'!F$2:F$200,$A45))</f>
        <v>1</v>
      </c>
    </row>
    <row r="46" spans="1:6" x14ac:dyDescent="0.25">
      <c r="A46" t="str">
        <v>Rogério Ribeiro</v>
      </c>
      <c r="B46" s="101">
        <f>IF($A46="","",SUMIFS('GECC 2026'!H$2:H$200,'GECC 2026'!F$2:F$200,$A46))</f>
        <v>56</v>
      </c>
      <c r="C46" s="101">
        <f>IF($A46="","",SUMIFS('GECC 2026'!I$2:I$200,'GECC 2026'!F$2:F$200,$A46))</f>
        <v>7.3199999999999994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63.32</v>
      </c>
      <c r="F46" s="99">
        <f>IF($A46="","",COUNTIFS('GECC 2026'!F$2:F$200,$A46))</f>
        <v>3</v>
      </c>
    </row>
    <row r="47" spans="1:6" x14ac:dyDescent="0.25">
      <c r="A47" t="str">
        <v>Rômulo Miranda Alvim</v>
      </c>
      <c r="B47" s="101">
        <f>IF($A47="","",SUMIFS('GECC 2026'!H$2:H$200,'GECC 2026'!F$2:F$200,$A47))</f>
        <v>32</v>
      </c>
      <c r="C47" s="101">
        <f>IF($A47="","",SUMIFS('GECC 2026'!I$2:I$200,'GECC 2026'!F$2:F$200,$A47))</f>
        <v>3.7199999999999998</v>
      </c>
      <c r="D47" s="214">
        <f>IF($A47="","",SUMIFS('GECC 2026'!$AE$3:$AE$32,'GECC 2026'!$AD$3:$AD$32,$A47))</f>
        <v>16</v>
      </c>
      <c r="E47" s="203">
        <f>IF($A47="","",SUMIFS('GECC 2026'!J$2:J$200,'GECC 2026'!F$2:F$200,$A47)+SUMIFS('GECC 2026'!$AE$3:$AE$32,'GECC 2026'!$AD$3:$AD$32,$A47))</f>
        <v>51.72</v>
      </c>
      <c r="F47" s="99">
        <f>IF($A47="","",COUNTIFS('GECC 2026'!F$2:F$200,$A47))</f>
        <v>2</v>
      </c>
    </row>
    <row r="48" spans="1:6" x14ac:dyDescent="0.25">
      <c r="A48" t="str">
        <v>Sara Cristina Lins Ramos</v>
      </c>
      <c r="B48" s="101">
        <f>IF($A48="","",SUMIFS('GECC 2026'!H$2:H$200,'GECC 2026'!F$2:F$200,$A48))</f>
        <v>8</v>
      </c>
      <c r="C48" s="101">
        <f>IF($A48="","",SUMIFS('GECC 2026'!I$2:I$200,'GECC 2026'!F$2:F$200,$A48))</f>
        <v>2.4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10.4</v>
      </c>
      <c r="F48" s="99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101">
        <f>IF($A49="","",SUMIFS('GECC 2026'!H$2:H$200,'GECC 2026'!F$2:F$200,$A49))</f>
        <v>0</v>
      </c>
      <c r="C49" s="101">
        <f>IF($A49="","",SUMIFS('GECC 2026'!I$2:I$200,'GECC 2026'!F$2:F$200,$A49))</f>
        <v>0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0</v>
      </c>
      <c r="F49" s="99">
        <f>IF($A49="","",COUNTIFS('GECC 2026'!F$2:F$200,$A49))</f>
        <v>1</v>
      </c>
    </row>
    <row r="50" spans="1:6" x14ac:dyDescent="0.25">
      <c r="A50" t="str">
        <v>Silvia Lima Damasceno Carvalho</v>
      </c>
      <c r="B50" s="101">
        <f>IF($A50="","",SUMIFS('GECC 2026'!H$2:H$200,'GECC 2026'!F$2:F$200,$A50))</f>
        <v>28</v>
      </c>
      <c r="C50" s="101">
        <f>IF($A50="","",SUMIFS('GECC 2026'!I$2:I$200,'GECC 2026'!F$2:F$200,$A50))</f>
        <v>3.84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31.84</v>
      </c>
      <c r="F50" s="99">
        <f>IF($A50="","",COUNTIFS('GECC 2026'!F$2:F$200,$A50))</f>
        <v>6</v>
      </c>
    </row>
    <row r="51" spans="1:6" x14ac:dyDescent="0.25">
      <c r="A51" t="str">
        <v>Tarsila Firmino Ely</v>
      </c>
      <c r="B51" s="101">
        <f>IF($A51="","",SUMIFS('GECC 2026'!H$2:H$200,'GECC 2026'!F$2:F$200,$A51))</f>
        <v>76</v>
      </c>
      <c r="C51" s="101">
        <f>IF($A51="","",SUMIFS('GECC 2026'!I$2:I$200,'GECC 2026'!F$2:F$200,$A51))</f>
        <v>79.999999999999986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155.99999999999997</v>
      </c>
      <c r="F51" s="99">
        <f>IF($A51="","",COUNTIFS('GECC 2026'!F$2:F$200,$A51))</f>
        <v>6</v>
      </c>
    </row>
    <row r="52" spans="1:6" x14ac:dyDescent="0.25">
      <c r="A52" t="str">
        <v>Thiago Magalhães de Oliveira</v>
      </c>
      <c r="B52" s="101">
        <f>IF($A52="","",SUMIFS('GECC 2026'!H$2:H$200,'GECC 2026'!F$2:F$200,$A52))</f>
        <v>4</v>
      </c>
      <c r="C52" s="101">
        <f>IF($A52="","",SUMIFS('GECC 2026'!I$2:I$200,'GECC 2026'!F$2:F$200,$A52))</f>
        <v>0.6</v>
      </c>
      <c r="D52" s="214">
        <f>IF($A52="","",SUMIFS('GECC 2026'!$AE$3:$AE$32,'GECC 2026'!$AD$3:$AD$32,$A52))</f>
        <v>0</v>
      </c>
      <c r="E52" s="203">
        <f>IF($A52="","",SUMIFS('GECC 2026'!J$2:J$200,'GECC 2026'!F$2:F$200,$A52)+SUMIFS('GECC 2026'!$AE$3:$AE$32,'GECC 2026'!$AD$3:$AD$32,$A52))</f>
        <v>4.5999999999999996</v>
      </c>
      <c r="F52" s="99">
        <f>IF($A52="","",COUNTIFS('GECC 2026'!F$2:F$200,$A52))</f>
        <v>1</v>
      </c>
    </row>
    <row r="53" spans="1:6" x14ac:dyDescent="0.25">
      <c r="A53" t="str">
        <v>Túllio Herbeth Teixeira Moraes</v>
      </c>
      <c r="B53" s="101">
        <f>IF($A53="","",SUMIFS('GECC 2026'!H$2:H$200,'GECC 2026'!F$2:F$200,$A53))</f>
        <v>3</v>
      </c>
      <c r="C53" s="101">
        <f>IF($A53="","",SUMIFS('GECC 2026'!I$2:I$200,'GECC 2026'!F$2:F$200,$A53))</f>
        <v>0.44999999999999996</v>
      </c>
      <c r="D53" s="214">
        <f>IF($A53="","",SUMIFS('GECC 2026'!$AE$3:$AE$32,'GECC 2026'!$AD$3:$AD$32,$A53))</f>
        <v>0</v>
      </c>
      <c r="E53" s="203">
        <f>IF($A53="","",SUMIFS('GECC 2026'!J$2:J$200,'GECC 2026'!F$2:F$200,$A53)+SUMIFS('GECC 2026'!$AE$3:$AE$32,'GECC 2026'!$AD$3:$AD$32,$A53))</f>
        <v>3.45</v>
      </c>
      <c r="F53" s="99">
        <f>IF($A53="","",COUNTIFS('GECC 2026'!F$2:F$200,$A53))</f>
        <v>1</v>
      </c>
    </row>
    <row r="54" spans="1:6" x14ac:dyDescent="0.25">
      <c r="A54" t="str">
        <v>Wibys Pereira</v>
      </c>
      <c r="B54" s="101">
        <f>IF($A54="","",SUMIFS('GECC 2026'!H$2:H$200,'GECC 2026'!F$2:F$200,$A54))</f>
        <v>4</v>
      </c>
      <c r="C54" s="101">
        <f>IF($A54="","",SUMIFS('GECC 2026'!I$2:I$200,'GECC 2026'!F$2:F$200,$A54))</f>
        <v>0.6</v>
      </c>
      <c r="D54" s="214">
        <f>IF($A54="","",SUMIFS('GECC 2026'!$AE$3:$AE$32,'GECC 2026'!$AD$3:$AD$32,$A54))</f>
        <v>0</v>
      </c>
      <c r="E54" s="203">
        <f>IF($A54="","",SUMIFS('GECC 2026'!J$2:J$200,'GECC 2026'!F$2:F$200,$A54)+SUMIFS('GECC 2026'!$AE$3:$AE$32,'GECC 2026'!$AD$3:$AD$32,$A54))</f>
        <v>4.5999999999999996</v>
      </c>
      <c r="F54" s="99">
        <f>IF($A54="","",COUNTIFS('GECC 2026'!F$2:F$200,$A54))</f>
        <v>1</v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2305</v>
      </c>
      <c r="B105" s="205">
        <f>SUM(B5:B100)</f>
        <v>1017.9</v>
      </c>
      <c r="C105" s="205">
        <f>SUM(C5:C100)</f>
        <v>314.95000000000005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132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fe686eaa-0658-4f15-b230-9e46c4d089fd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91ce1707-6d34-452b-b217-9734c03e6729"/>
    <ds:schemaRef ds:uri="http://purl.org/dc/dcmitype/"/>
    <ds:schemaRef ds:uri="http://purl.org/dc/terms/"/>
    <ds:schemaRef ds:uri="http://purl.org/dc/elements/1.1/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2026-07-28T17:35:49Z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