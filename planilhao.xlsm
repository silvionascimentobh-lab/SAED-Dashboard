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83" documentId="13_ncr:1_{6A2CC3E2-FAFB-4D8F-B284-5E8FB5045DFE}" xr6:coauthVersionLast="47" xr6:coauthVersionMax="47" xr10:uidLastSave="{8A05F59A-169B-408F-BF65-39872DBB52A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2" i="20" s="1"/>
  <c r="A5" i="23" l="1" a="1"/>
  <c r="F54" i="23" s="1"/>
  <c r="E105" i="23"/>
  <c r="C16" i="23" l="1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A5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B5" i="23"/>
  <c r="D5" i="23"/>
  <c r="C5" i="23"/>
  <c r="C105" i="23" s="1"/>
  <c r="F5" i="23"/>
  <c r="F105" i="23" s="1"/>
  <c r="G5" i="23"/>
  <c r="E5" i="23"/>
  <c r="B105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<sst xmlns="http://schemas.openxmlformats.org/spreadsheetml/2006/main" count="7279" uniqueCount="3199">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</sst>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ª Maratona Temática em Saúde Pública - Boas Práticas"/>
        <filter val="Maratona Temática - educação"/>
        <filter val="Maratona temática - Governança em Saúde"/>
        <filter val="Maratona Temática - Mobilidade Urbana"/>
        <filter val="Maratona Temática - Obras Públicas"/>
        <filter val="Maratona Temática “O Olhar dos Tribunais de Contas sobre Políticas Públicas&quot;"/>
        <filter val="Maratona temática: auditoria em mobilidade urbana"/>
        <filter val="Maratona Temática: auditoria em resíduos sólidos"/>
        <filter val="Maratona Temática: Auditoria em saúde"/>
        <filter val="Maratona Temática: Obras Públicas"/>
        <filter val="Maratona temática: primeira infância"/>
        <filter val="Maratona Temática: Segurança Pública"/>
        <filter val="Maratona Temática: Transparência Públic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F1" zoomScaleNormal="100" workbookViewId="0">
      <pane ySplit="1" topLeftCell="A2" activePane="bottomLeft" state="frozen"/>
      <selection pane="bottomLeft" activeCell="F2011" sqref="F201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2566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Em andamento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Em andamento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51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8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49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8.8607594936708861E-2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9</v>
      </c>
      <c r="C38" s="48">
        <f>COUNTIFS('Ações InCompany'!B:B,2026,'Ações InCompany'!C:C,"A realizar",'Ações InCompany'!G:G,A38)</f>
        <v>12</v>
      </c>
      <c r="D38" s="39">
        <f t="shared" si="0"/>
        <v>21</v>
      </c>
      <c r="E38" s="40">
        <f t="shared" si="1"/>
        <v>0.26582278481012656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51</v>
      </c>
      <c r="C45" s="41">
        <f>SUM(C33:C44)</f>
        <v>28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2026-08-21T17:47:24Z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