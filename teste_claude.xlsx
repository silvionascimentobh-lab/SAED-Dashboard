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tcdf.sharepoint.com/sites/SAED/Shared Documents/General/SAED/SAED - arquivos/"/>
    </mc:Choice>
  </mc:AlternateContent>
  <xr:revisionPtr revIDLastSave="45" documentId="13_ncr:1_{C887EC22-7CD1-4717-84BE-7303F42C5C0A}" xr6:coauthVersionLast="47" xr6:coauthVersionMax="47" xr10:uidLastSave="{FD7D0F7E-8C14-4241-8B4E-7DF683C9B8A4}"/>
  <bookViews>
    <workbookView xWindow="28680" yWindow="-120" windowWidth="29040" windowHeight="15720" activeTab="4" xr2:uid="{00000000-000D-0000-FFFF-FFFF00000000}"/>
  </bookViews>
  <sheets>
    <sheet name="Dashboard 2026" sheetId="26" r:id="rId1"/>
    <sheet name="Dashboard 2025" sheetId="25" r:id="rId2"/>
    <sheet name="PlanoCap" sheetId="5" state="hidden" r:id="rId3"/>
    <sheet name="Validação Dados" sheetId="4" state="hidden" r:id="rId4"/>
    <sheet name="Ações InCompany" sheetId="3" r:id="rId5"/>
    <sheet name="GECC 2026" sheetId="20" r:id="rId6"/>
    <sheet name="Ações 2026" sheetId="15" state="hidden" r:id="rId7"/>
    <sheet name="Controle Arq." sheetId="13" state="hidden" r:id="rId8"/>
    <sheet name="PlanoCap2627" sheetId="14" state="hidden" r:id="rId9"/>
    <sheet name="Dashboard GECC 2026" sheetId="23" r:id="rId10"/>
    <sheet name="legado" sheetId="24" r:id="rId11"/>
  </sheets>
  <definedNames>
    <definedName name="_xlnm._FilterDatabase" localSheetId="6" hidden="1">'Ações 2026'!$B$7:$N$17</definedName>
    <definedName name="_xlnm._FilterDatabase" localSheetId="4" hidden="1">'Ações InCompany'!#REF!</definedName>
    <definedName name="_xlnm._FilterDatabase" localSheetId="7" hidden="1">'Controle Arq.'!$G$64:$H$89</definedName>
    <definedName name="_xlnm._FilterDatabase" localSheetId="10" hidden="1">legado!$G$1875:$G$1875</definedName>
    <definedName name="_xlnm.Print_Area" localSheetId="4">'Ações InCompany'!$A$1:$T$676</definedName>
    <definedName name="_xlnm.Print_Area" localSheetId="10">legado!$A$1:$AA$758</definedName>
  </definedNames>
  <calcPr calcId="191028"/>
  <customWorkbookViews>
    <customWorkbookView name="Filtro 41" guid="{CA3FE984-959D-4FD1-AD51-F273057287D0}" maximized="1" windowWidth="0" windowHeight="0" activeSheetId="0"/>
    <customWorkbookView name="Filtro 40" guid="{32D42168-6533-486B-BA4F-1FCBEE1D5E70}" maximized="1" windowWidth="0" windowHeight="0" activeSheetId="0"/>
    <customWorkbookView name="Filtro 43" guid="{983434C3-FA2A-4410-B75A-EB842981FB7E}" maximized="1" windowWidth="0" windowHeight="0" activeSheetId="0"/>
    <customWorkbookView name="Filtro 42" guid="{66204134-7843-4E4D-9132-12589B1C9904}" maximized="1" windowWidth="0" windowHeight="0" activeSheetId="0"/>
    <customWorkbookView name="Filtro 45" guid="{37A81383-EB82-4415-9CA7-3B544A1BA6DF}" maximized="1" windowWidth="0" windowHeight="0" activeSheetId="0"/>
    <customWorkbookView name="Filtro 44" guid="{466B00F4-CD06-4459-9EAD-5E099599461D}" maximized="1" windowWidth="0" windowHeight="0" activeSheetId="0"/>
    <customWorkbookView name="Filtro 47" guid="{B3051128-E594-4E84-A90F-3E0AA1920164}" maximized="1" windowWidth="0" windowHeight="0" activeSheetId="0"/>
    <customWorkbookView name="Filtro 46" guid="{426752F7-EFAA-494A-8C44-3FE740F51102}" maximized="1" windowWidth="0" windowHeight="0" activeSheetId="0"/>
    <customWorkbookView name="Filtro 49" guid="{888656D7-51D7-4D86-82B1-69398E74949E}" maximized="1" windowWidth="0" windowHeight="0" activeSheetId="0"/>
    <customWorkbookView name="Filtro 48" guid="{437C4520-960F-4EE8-BC29-5EAC5035FDE9}" maximized="1" windowWidth="0" windowHeight="0" activeSheetId="0"/>
    <customWorkbookView name="Filtro 3" guid="{34EB6BDD-DB10-46C3-8070-38A1FF20F467}" maximized="1" windowWidth="0" windowHeight="0" activeSheetId="0"/>
    <customWorkbookView name="Filtro 2" guid="{DC0F290D-0110-4230-A92A-0C9FF5FA3573}" maximized="1" windowWidth="0" windowHeight="0" activeSheetId="0"/>
    <customWorkbookView name="Filtro 1" guid="{69BC16F3-55B0-4A0A-9007-3B0C4D012204}" maximized="1" windowWidth="0" windowHeight="0" activeSheetId="0"/>
    <customWorkbookView name="Filtro 7" guid="{E936EEA7-993F-4552-BBDF-E1DB0091DFDE}" maximized="1" windowWidth="0" windowHeight="0" activeSheetId="0"/>
    <customWorkbookView name="Filtro 6" guid="{6A040256-BBC3-4938-A5D6-D77105714F23}" maximized="1" windowWidth="0" windowHeight="0" activeSheetId="0"/>
    <customWorkbookView name="Filtro 5" guid="{1C752AA4-ECD6-4155-AAB6-DB036719A0D6}" maximized="1" windowWidth="0" windowHeight="0" activeSheetId="0"/>
    <customWorkbookView name="Filtro 4" guid="{091F3115-1E32-40D6-93A0-F16A7E814F96}" maximized="1" windowWidth="0" windowHeight="0" activeSheetId="0"/>
    <customWorkbookView name="Filtro 30" guid="{2AB5F1EE-8485-44BA-A278-7AE3DE9CF145}" maximized="1" windowWidth="0" windowHeight="0" activeSheetId="0"/>
    <customWorkbookView name="Filtro 32" guid="{265C295C-DFB6-4951-B01D-86C18934578C}" maximized="1" windowWidth="0" windowHeight="0" activeSheetId="0"/>
    <customWorkbookView name="Filtro 31" guid="{678EC2BA-6745-461E-BAC1-D09F77FA1062}" maximized="1" windowWidth="0" windowHeight="0" activeSheetId="0"/>
    <customWorkbookView name="Filtro 34" guid="{C7C27644-1A5D-4074-B300-764545BFC964}" maximized="1" windowWidth="0" windowHeight="0" activeSheetId="0"/>
    <customWorkbookView name="Filtro 33" guid="{0C325FD1-5773-4650-8B0D-3332A38760DC}" maximized="1" windowWidth="0" windowHeight="0" activeSheetId="0"/>
    <customWorkbookView name="Filtro 36" guid="{DA4468DA-23DF-4CE6-A7A1-D96801F812A5}" maximized="1" windowWidth="0" windowHeight="0" activeSheetId="0"/>
    <customWorkbookView name="Filtro 35" guid="{BD49A265-64CA-4E25-B77B-BEA5B216E8B0}" maximized="1" windowWidth="0" windowHeight="0" activeSheetId="0"/>
    <customWorkbookView name="Filtro 38" guid="{6F970FA6-35FA-43B5-8000-ED45D53ABBFB}" maximized="1" windowWidth="0" windowHeight="0" activeSheetId="0"/>
    <customWorkbookView name="Filtro 37" guid="{AB062F27-A6C8-47F1-BE53-0FF9CA1DEF53}" maximized="1" windowWidth="0" windowHeight="0" activeSheetId="0"/>
    <customWorkbookView name="Filtro 39" guid="{AA5A0339-5E84-4A56-8746-33FE6401E32F}" maximized="1" windowWidth="0" windowHeight="0" activeSheetId="0"/>
    <customWorkbookView name="Filtro 19" guid="{F8DFD977-D486-42A2-ADDC-71E97C40849F}" maximized="1" windowWidth="0" windowHeight="0" activeSheetId="0"/>
    <customWorkbookView name="Filtro 61" guid="{02C55D31-8E27-44A2-A753-221185C3D450}" maximized="1" windowWidth="0" windowHeight="0" activeSheetId="0"/>
    <customWorkbookView name="Filtro 60" guid="{3A0B7064-EFB6-42D3-AA59-F49B2C2E28A3}" maximized="1" windowWidth="0" windowHeight="0" activeSheetId="0"/>
    <customWorkbookView name="Filtro 62" guid="{BF3829F5-7BD2-40A9-9D59-6FA51DE0B5DA}" maximized="1" windowWidth="0" windowHeight="0" activeSheetId="0"/>
    <customWorkbookView name="Filtro 21" guid="{A3242535-E588-41A5-A488-2E120680CF6E}" maximized="1" windowWidth="0" windowHeight="0" activeSheetId="0"/>
    <customWorkbookView name="Filtro 20" guid="{70652B29-1ABA-485A-9A80-A46DCDFDCA82}" maximized="1" windowWidth="0" windowHeight="0" activeSheetId="0"/>
    <customWorkbookView name="Filtro 23" guid="{A1C80D12-5F51-43D3-B26D-C4E8E80E8CF2}" maximized="1" windowWidth="0" windowHeight="0" activeSheetId="0"/>
    <customWorkbookView name="Filtro 22" guid="{371F802A-A094-48E0-BF99-0747C34D37B9}" maximized="1" windowWidth="0" windowHeight="0" activeSheetId="0"/>
    <customWorkbookView name="Filtro 25" guid="{743E0231-3395-43B3-ADCA-F3A128F1B83A}" maximized="1" windowWidth="0" windowHeight="0" activeSheetId="0"/>
    <customWorkbookView name="Filtro 9" guid="{2AF3BD90-56F5-45E9-AAA2-03E540B72567}" maximized="1" windowWidth="0" windowHeight="0" activeSheetId="0"/>
    <customWorkbookView name="Filtro 24" guid="{9A493B68-EB00-440B-8491-378C02F67A40}" maximized="1" windowWidth="0" windowHeight="0" activeSheetId="0"/>
    <customWorkbookView name="Filtro 8" guid="{7F93445C-3064-44FB-ABC5-E30DCF77756E}" maximized="1" windowWidth="0" windowHeight="0" activeSheetId="0"/>
    <customWorkbookView name="Filtro 27" guid="{23C9FC25-18F4-47EF-A3B5-759DEC27F9E9}" maximized="1" windowWidth="0" windowHeight="0" activeSheetId="0"/>
    <customWorkbookView name="Filtro 26" guid="{3B6786E1-C731-4815-9553-455D14481DD3}" maximized="1" windowWidth="0" windowHeight="0" activeSheetId="0"/>
    <customWorkbookView name="Filtro 29" guid="{B5CEFD59-C042-4547-AAFF-F62EC921EEC6}" maximized="1" windowWidth="0" windowHeight="0" activeSheetId="0"/>
    <customWorkbookView name="Filtro 28" guid="{1AB13F6B-0D74-43EC-B774-8B52A94E0814}" maximized="1" windowWidth="0" windowHeight="0" activeSheetId="0"/>
    <customWorkbookView name="Filtro 50" guid="{5480ECB2-55D1-41C0-8514-F0684F861D24}" maximized="1" windowWidth="0" windowHeight="0" activeSheetId="0"/>
    <customWorkbookView name="Filtro 52" guid="{560766DC-06F5-422D-B190-641D8FE5A38D}" maximized="1" windowWidth="0" windowHeight="0" activeSheetId="0"/>
    <customWorkbookView name="Filtro 51" guid="{0F15AC02-A38D-4E8A-8C4B-DD7F2868099F}" maximized="1" windowWidth="0" windowHeight="0" activeSheetId="0"/>
    <customWorkbookView name="Filtro 54" guid="{FB245C5C-9A8F-416D-A134-0975CF96E595}" maximized="1" windowWidth="0" windowHeight="0" activeSheetId="0"/>
    <customWorkbookView name="Filtro 10" guid="{633FA869-BC39-409D-BF13-F2C3CBB9EA93}" maximized="1" windowWidth="0" windowHeight="0" activeSheetId="0"/>
    <customWorkbookView name="Filtro 53" guid="{2BB93E5B-65F1-4C09-BB9E-66343F5B3E82}" maximized="1" windowWidth="0" windowHeight="0" activeSheetId="0"/>
    <customWorkbookView name="Filtro 56" guid="{1105711C-AABE-4812-8827-ED6089DCF11E}" maximized="1" windowWidth="0" windowHeight="0" activeSheetId="0"/>
    <customWorkbookView name="Filtro 12" guid="{19CACD21-710C-4D14-9ACE-063162C7120B}" maximized="1" windowWidth="0" windowHeight="0" activeSheetId="0"/>
    <customWorkbookView name="Filtro 55" guid="{D2A89341-BB3B-405B-B324-3BE49BB6E042}" maximized="1" windowWidth="0" windowHeight="0" activeSheetId="0"/>
    <customWorkbookView name="Filtro 11" guid="{0904EB7B-8DCA-4D50-AD8B-0A671CE637AF}" maximized="1" windowWidth="0" windowHeight="0" activeSheetId="0"/>
    <customWorkbookView name="Filtro 58" guid="{DA1621F1-9CA5-43AE-9A42-AC9D36F85B7D}" maximized="1" windowWidth="0" windowHeight="0" activeSheetId="0"/>
    <customWorkbookView name="Filtro 14" guid="{ED877901-4C49-488E-89E7-42CF1935CA6E}" maximized="1" windowWidth="0" windowHeight="0" activeSheetId="0"/>
    <customWorkbookView name="Filtro 13" guid="{DF0241CF-B7E5-4FA7-B0C8-FA54D26D77D7}" maximized="1" windowWidth="0" windowHeight="0" activeSheetId="0"/>
    <customWorkbookView name="Filtro 57" guid="{6BA1C58C-C21F-47F7-B022-0FEA98904E5F}" maximized="1" windowWidth="0" windowHeight="0" activeSheetId="0"/>
    <customWorkbookView name="Filtro 16" guid="{9C7682D3-C31F-4FE6-8766-BC418D960F41}" maximized="1" windowWidth="0" windowHeight="0" activeSheetId="0"/>
    <customWorkbookView name="Filtro 59" guid="{B2B68F91-0ADB-423D-BEF9-757DCA540FDD}" maximized="1" windowWidth="0" windowHeight="0" activeSheetId="0"/>
    <customWorkbookView name="Filtro 15" guid="{DDC390A9-8BCC-4E1B-8EE8-FEFD20C963E8}" maximized="1" windowWidth="0" windowHeight="0" activeSheetId="0"/>
    <customWorkbookView name="Filtro 18" guid="{990EC2BE-89D2-41CF-8152-E21202B6F8D8}" maximized="1" windowWidth="0" windowHeight="0" activeSheetId="0"/>
    <customWorkbookView name="Filtro 17" guid="{77C5030A-63E1-4109-A4D5-32A3FB7E122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6" l="1"/>
  <c r="B40" i="26"/>
  <c r="D40" i="26" s="1"/>
  <c r="C39" i="26"/>
  <c r="B39" i="26"/>
  <c r="D39" i="26" s="1"/>
  <c r="C38" i="26"/>
  <c r="B38" i="26"/>
  <c r="D38" i="26" s="1"/>
  <c r="C37" i="26"/>
  <c r="B37" i="26"/>
  <c r="D37" i="26" s="1"/>
  <c r="C36" i="26"/>
  <c r="B36" i="26"/>
  <c r="D36" i="26" s="1"/>
  <c r="C35" i="26"/>
  <c r="B35" i="26"/>
  <c r="D35" i="26" s="1"/>
  <c r="C34" i="26"/>
  <c r="B34" i="26"/>
  <c r="D34" i="26" s="1"/>
  <c r="C33" i="26"/>
  <c r="C41" i="26" s="1"/>
  <c r="B33" i="26"/>
  <c r="D33" i="26" s="1"/>
  <c r="E14" i="26"/>
  <c r="E13" i="26"/>
  <c r="E12" i="26"/>
  <c r="E11" i="26"/>
  <c r="B13" i="26"/>
  <c r="B12" i="26"/>
  <c r="B11" i="26"/>
  <c r="G5" i="26"/>
  <c r="D5" i="26"/>
  <c r="A5" i="26"/>
  <c r="B41" i="25"/>
  <c r="B40" i="25"/>
  <c r="B39" i="25"/>
  <c r="B38" i="25"/>
  <c r="B37" i="25"/>
  <c r="B36" i="25"/>
  <c r="B35" i="25"/>
  <c r="B34" i="25"/>
  <c r="B33" i="25"/>
  <c r="B32" i="25"/>
  <c r="D5" i="25"/>
  <c r="A5" i="25"/>
  <c r="E13" i="25"/>
  <c r="E12" i="25"/>
  <c r="E11" i="25"/>
  <c r="E10" i="25"/>
  <c r="B12" i="25"/>
  <c r="B11" i="25"/>
  <c r="B10" i="25"/>
  <c r="X745" i="24"/>
  <c r="S745" i="24"/>
  <c r="X744" i="24"/>
  <c r="S744" i="24"/>
  <c r="X743" i="24"/>
  <c r="S743" i="24"/>
  <c r="X742" i="24"/>
  <c r="S742" i="24"/>
  <c r="X741" i="24"/>
  <c r="S741" i="24"/>
  <c r="X740" i="24"/>
  <c r="S740" i="24"/>
  <c r="X739" i="24"/>
  <c r="S739" i="24"/>
  <c r="X738" i="24"/>
  <c r="S738" i="24"/>
  <c r="X737" i="24"/>
  <c r="S737" i="24"/>
  <c r="X736" i="24"/>
  <c r="S736" i="24"/>
  <c r="X735" i="24"/>
  <c r="S735" i="24"/>
  <c r="X734" i="24"/>
  <c r="S734" i="24"/>
  <c r="X732" i="24"/>
  <c r="S732" i="24"/>
  <c r="X730" i="24"/>
  <c r="X729" i="24"/>
  <c r="X728" i="24"/>
  <c r="X727" i="24"/>
  <c r="X711" i="24"/>
  <c r="X710" i="24"/>
  <c r="X709" i="24"/>
  <c r="X708" i="24"/>
  <c r="X707" i="24"/>
  <c r="X706" i="24"/>
  <c r="X705" i="24"/>
  <c r="X704" i="24"/>
  <c r="X701" i="24"/>
  <c r="P694" i="24"/>
  <c r="X668" i="24"/>
  <c r="X667" i="24"/>
  <c r="X666" i="24"/>
  <c r="X664" i="24"/>
  <c r="X663" i="24"/>
  <c r="X662" i="24"/>
  <c r="X661" i="24"/>
  <c r="X660" i="24"/>
  <c r="X659" i="24"/>
  <c r="X658" i="24"/>
  <c r="X657" i="24"/>
  <c r="X656" i="24"/>
  <c r="X654" i="24"/>
  <c r="X651" i="24"/>
  <c r="X650" i="24"/>
  <c r="X649" i="24"/>
  <c r="X647" i="24"/>
  <c r="X646" i="24"/>
  <c r="X645" i="24"/>
  <c r="X644" i="24"/>
  <c r="X643" i="24"/>
  <c r="X642" i="24"/>
  <c r="X641" i="24"/>
  <c r="X640" i="24"/>
  <c r="X639" i="24"/>
  <c r="X637" i="24"/>
  <c r="X635" i="24"/>
  <c r="X634" i="24"/>
  <c r="X631" i="24"/>
  <c r="X630" i="24"/>
  <c r="X629" i="24"/>
  <c r="X628" i="24"/>
  <c r="X627" i="24"/>
  <c r="X626" i="24"/>
  <c r="X625" i="24"/>
  <c r="X624" i="24"/>
  <c r="X623" i="24"/>
  <c r="X622" i="24"/>
  <c r="X621" i="24"/>
  <c r="P621" i="24"/>
  <c r="X620" i="24"/>
  <c r="X618" i="24"/>
  <c r="X617" i="24"/>
  <c r="X616" i="24"/>
  <c r="X615" i="24"/>
  <c r="X614" i="24"/>
  <c r="X613" i="24"/>
  <c r="X612" i="24"/>
  <c r="X610" i="24"/>
  <c r="X609" i="24"/>
  <c r="X608" i="24"/>
  <c r="X606" i="24"/>
  <c r="X605" i="24"/>
  <c r="X604" i="24"/>
  <c r="X603" i="24"/>
  <c r="X602" i="24"/>
  <c r="X600" i="24"/>
  <c r="P600" i="24"/>
  <c r="X599" i="24"/>
  <c r="X598" i="24"/>
  <c r="P598" i="24"/>
  <c r="X597" i="24"/>
  <c r="X596" i="24"/>
  <c r="X595" i="24"/>
  <c r="X594" i="24"/>
  <c r="X593" i="24"/>
  <c r="X592" i="24"/>
  <c r="X591" i="24"/>
  <c r="X590" i="24"/>
  <c r="X589" i="24"/>
  <c r="X588" i="24"/>
  <c r="X587" i="24"/>
  <c r="P587" i="24"/>
  <c r="X586" i="24"/>
  <c r="X585" i="24"/>
  <c r="X584" i="24"/>
  <c r="X583" i="24"/>
  <c r="X582" i="24"/>
  <c r="X580" i="24"/>
  <c r="X579" i="24"/>
  <c r="P579" i="24"/>
  <c r="X578" i="24"/>
  <c r="S578" i="24"/>
  <c r="X577" i="24"/>
  <c r="S577" i="24"/>
  <c r="P577" i="24"/>
  <c r="X576" i="24"/>
  <c r="S576" i="24"/>
  <c r="X575" i="24"/>
  <c r="S575" i="24"/>
  <c r="X573" i="24"/>
  <c r="S573" i="24"/>
  <c r="X572" i="24"/>
  <c r="S572" i="24"/>
  <c r="X571" i="24"/>
  <c r="S571" i="24"/>
  <c r="X570" i="24"/>
  <c r="S570" i="24"/>
  <c r="X569" i="24"/>
  <c r="S569" i="24"/>
  <c r="X568" i="24"/>
  <c r="S568" i="24"/>
  <c r="X567" i="24"/>
  <c r="S567" i="24"/>
  <c r="P567" i="24"/>
  <c r="X566" i="24"/>
  <c r="S566" i="24"/>
  <c r="X565" i="24"/>
  <c r="S565" i="24"/>
  <c r="X564" i="24"/>
  <c r="S564" i="24"/>
  <c r="X563" i="24"/>
  <c r="S563" i="24"/>
  <c r="X562" i="24"/>
  <c r="S562" i="24"/>
  <c r="X561" i="24"/>
  <c r="S561" i="24"/>
  <c r="X560" i="24"/>
  <c r="S560" i="24"/>
  <c r="P560" i="24"/>
  <c r="X559" i="24"/>
  <c r="S559" i="24"/>
  <c r="X558" i="24"/>
  <c r="S558" i="24"/>
  <c r="X557" i="24"/>
  <c r="S557" i="24"/>
  <c r="X556" i="24"/>
  <c r="S556" i="24"/>
  <c r="X555" i="24"/>
  <c r="S555" i="24"/>
  <c r="X554" i="24"/>
  <c r="S554" i="24"/>
  <c r="X553" i="24"/>
  <c r="S553" i="24"/>
  <c r="X552" i="24"/>
  <c r="S552" i="24"/>
  <c r="P552" i="24"/>
  <c r="X551" i="24"/>
  <c r="S551" i="24"/>
  <c r="S550" i="24"/>
  <c r="X549" i="24"/>
  <c r="S549" i="24"/>
  <c r="X548" i="24"/>
  <c r="S548" i="24"/>
  <c r="P548" i="24"/>
  <c r="X547" i="24"/>
  <c r="S547" i="24"/>
  <c r="X546" i="24"/>
  <c r="S546" i="24"/>
  <c r="X545" i="24"/>
  <c r="S545" i="24"/>
  <c r="X544" i="24"/>
  <c r="S544" i="24"/>
  <c r="X543" i="24"/>
  <c r="S543" i="24"/>
  <c r="X542" i="24"/>
  <c r="S542" i="24"/>
  <c r="P542" i="24"/>
  <c r="X541" i="24"/>
  <c r="S541" i="24"/>
  <c r="X540" i="24"/>
  <c r="S540" i="24"/>
  <c r="X539" i="24"/>
  <c r="S539" i="24"/>
  <c r="X538" i="24"/>
  <c r="S538" i="24"/>
  <c r="X537" i="24"/>
  <c r="S537" i="24"/>
  <c r="X536" i="24"/>
  <c r="S536" i="24"/>
  <c r="X535" i="24"/>
  <c r="S535" i="24"/>
  <c r="X534" i="24"/>
  <c r="S534" i="24"/>
  <c r="X533" i="24"/>
  <c r="S533" i="24"/>
  <c r="X532" i="24"/>
  <c r="S532" i="24"/>
  <c r="X531" i="24"/>
  <c r="X530" i="24"/>
  <c r="S530" i="24"/>
  <c r="P530" i="24"/>
  <c r="X529" i="24"/>
  <c r="S529" i="24"/>
  <c r="X528" i="24"/>
  <c r="S528" i="24"/>
  <c r="P528" i="24"/>
  <c r="X527" i="24"/>
  <c r="S527" i="24"/>
  <c r="X526" i="24"/>
  <c r="S526" i="24"/>
  <c r="X525" i="24"/>
  <c r="S525" i="24"/>
  <c r="P525" i="24"/>
  <c r="X524" i="24"/>
  <c r="S524" i="24"/>
  <c r="X523" i="24"/>
  <c r="S523" i="24"/>
  <c r="X522" i="24"/>
  <c r="S522" i="24"/>
  <c r="X521" i="24"/>
  <c r="S521" i="24"/>
  <c r="X520" i="24"/>
  <c r="S520" i="24"/>
  <c r="X519" i="24"/>
  <c r="S519" i="24"/>
  <c r="X518" i="24"/>
  <c r="S518" i="24"/>
  <c r="X517" i="24"/>
  <c r="S517" i="24"/>
  <c r="X516" i="24"/>
  <c r="S516" i="24"/>
  <c r="X515" i="24"/>
  <c r="S515" i="24"/>
  <c r="X514" i="24"/>
  <c r="S514" i="24"/>
  <c r="X513" i="24"/>
  <c r="S513" i="24"/>
  <c r="X512" i="24"/>
  <c r="S512" i="24"/>
  <c r="X511" i="24"/>
  <c r="S511" i="24"/>
  <c r="X510" i="24"/>
  <c r="S510" i="24"/>
  <c r="X509" i="24"/>
  <c r="S509" i="24"/>
  <c r="P509" i="24"/>
  <c r="X508" i="24"/>
  <c r="S508" i="24"/>
  <c r="P508" i="24"/>
  <c r="X507" i="24"/>
  <c r="S507" i="24"/>
  <c r="P507" i="24"/>
  <c r="X506" i="24"/>
  <c r="X505" i="24"/>
  <c r="X504" i="24"/>
  <c r="S504" i="24"/>
  <c r="X503" i="24"/>
  <c r="S503" i="24"/>
  <c r="X502" i="24"/>
  <c r="S502" i="24"/>
  <c r="P502" i="24"/>
  <c r="X501" i="24"/>
  <c r="X500" i="24"/>
  <c r="X499" i="24"/>
  <c r="S499" i="24"/>
  <c r="X498" i="24"/>
  <c r="S498" i="24"/>
  <c r="P498" i="24"/>
  <c r="X497" i="24"/>
  <c r="S497" i="24"/>
  <c r="X496" i="24"/>
  <c r="S496" i="24"/>
  <c r="X495" i="24"/>
  <c r="X494" i="24"/>
  <c r="X492" i="24"/>
  <c r="S492" i="24"/>
  <c r="P492" i="24"/>
  <c r="X491" i="24"/>
  <c r="X490" i="24"/>
  <c r="S490" i="24"/>
  <c r="X489" i="24"/>
  <c r="S489" i="24"/>
  <c r="X488" i="24"/>
  <c r="S488" i="24"/>
  <c r="P488" i="24"/>
  <c r="X487" i="24"/>
  <c r="S487" i="24"/>
  <c r="X486" i="24"/>
  <c r="X485" i="24"/>
  <c r="S485" i="24"/>
  <c r="X484" i="24"/>
  <c r="S484" i="24"/>
  <c r="X483" i="24"/>
  <c r="S483" i="24"/>
  <c r="P483" i="24"/>
  <c r="X482" i="24"/>
  <c r="S482" i="24"/>
  <c r="X481" i="24"/>
  <c r="X480" i="24"/>
  <c r="S480" i="24"/>
  <c r="X479" i="24"/>
  <c r="S479" i="24"/>
  <c r="X478" i="24"/>
  <c r="S478" i="24"/>
  <c r="P478" i="24"/>
  <c r="X477" i="24"/>
  <c r="S477" i="24"/>
  <c r="P477" i="24"/>
  <c r="X476" i="24"/>
  <c r="S476" i="24"/>
  <c r="X475" i="24"/>
  <c r="S475" i="24"/>
  <c r="X474" i="24"/>
  <c r="S474" i="24"/>
  <c r="X473" i="24"/>
  <c r="S473" i="24"/>
  <c r="X472" i="24"/>
  <c r="S472" i="24"/>
  <c r="X471" i="24"/>
  <c r="S471" i="24"/>
  <c r="X470" i="24"/>
  <c r="S470" i="24"/>
  <c r="X469" i="24"/>
  <c r="S469" i="24"/>
  <c r="X467" i="24"/>
  <c r="S467" i="24"/>
  <c r="P467" i="24"/>
  <c r="X466" i="24"/>
  <c r="S466" i="24"/>
  <c r="X465" i="24"/>
  <c r="S465" i="24"/>
  <c r="X464" i="24"/>
  <c r="S464" i="24"/>
  <c r="X463" i="24"/>
  <c r="S463" i="24"/>
  <c r="X462" i="24"/>
  <c r="S462" i="24"/>
  <c r="X461" i="24"/>
  <c r="S461" i="24"/>
  <c r="X460" i="24"/>
  <c r="S460" i="24"/>
  <c r="P460" i="24"/>
  <c r="X459" i="24"/>
  <c r="S459" i="24"/>
  <c r="X458" i="24"/>
  <c r="S458" i="24"/>
  <c r="X457" i="24"/>
  <c r="S457" i="24"/>
  <c r="X456" i="24"/>
  <c r="S456" i="24"/>
  <c r="X455" i="24"/>
  <c r="S455" i="24"/>
  <c r="X454" i="24"/>
  <c r="S454" i="24"/>
  <c r="X453" i="24"/>
  <c r="S453" i="24"/>
  <c r="X452" i="24"/>
  <c r="S452" i="24"/>
  <c r="P452" i="24"/>
  <c r="X451" i="24"/>
  <c r="S451" i="24"/>
  <c r="X450" i="24"/>
  <c r="S450" i="24"/>
  <c r="X449" i="24"/>
  <c r="S449" i="24"/>
  <c r="X448" i="24"/>
  <c r="S448" i="24"/>
  <c r="X447" i="24"/>
  <c r="S447" i="24"/>
  <c r="X446" i="24"/>
  <c r="S446" i="24"/>
  <c r="X445" i="24"/>
  <c r="S445" i="24"/>
  <c r="X444" i="24"/>
  <c r="S444" i="24"/>
  <c r="X442" i="24"/>
  <c r="S442" i="24"/>
  <c r="X441" i="24"/>
  <c r="S441" i="24"/>
  <c r="X440" i="24"/>
  <c r="S440" i="24"/>
  <c r="X439" i="24"/>
  <c r="S439" i="24"/>
  <c r="X438" i="24"/>
  <c r="S438" i="24"/>
  <c r="X437" i="24"/>
  <c r="S437" i="24"/>
  <c r="X436" i="24"/>
  <c r="S436" i="24"/>
  <c r="X435" i="24"/>
  <c r="S435" i="24"/>
  <c r="X434" i="24"/>
  <c r="S434" i="24"/>
  <c r="X433" i="24"/>
  <c r="S433" i="24"/>
  <c r="X432" i="24"/>
  <c r="S432" i="24"/>
  <c r="X431" i="24"/>
  <c r="S431" i="24"/>
  <c r="X430" i="24"/>
  <c r="S430" i="24"/>
  <c r="X429" i="24"/>
  <c r="S429" i="24"/>
  <c r="X428" i="24"/>
  <c r="X427" i="24"/>
  <c r="S427" i="24"/>
  <c r="P427" i="24"/>
  <c r="X426" i="24"/>
  <c r="X425" i="24"/>
  <c r="S425" i="24"/>
  <c r="X424" i="24"/>
  <c r="S424" i="24"/>
  <c r="X423" i="24"/>
  <c r="S423" i="24"/>
  <c r="P423" i="24"/>
  <c r="X422" i="24"/>
  <c r="S422" i="24"/>
  <c r="X421" i="24"/>
  <c r="S421" i="24"/>
  <c r="P421" i="24"/>
  <c r="X420" i="24"/>
  <c r="S420" i="24"/>
  <c r="X419" i="24"/>
  <c r="S419" i="24"/>
  <c r="X418" i="24"/>
  <c r="X417" i="24"/>
  <c r="S417" i="24"/>
  <c r="X416" i="24"/>
  <c r="S416" i="24"/>
  <c r="X415" i="24"/>
  <c r="S415" i="24"/>
  <c r="P415" i="24"/>
  <c r="X414" i="24"/>
  <c r="S414" i="24"/>
  <c r="P414" i="24"/>
  <c r="X413" i="24"/>
  <c r="S413" i="24"/>
  <c r="X412" i="24"/>
  <c r="S412" i="24"/>
  <c r="X411" i="24"/>
  <c r="X410" i="24"/>
  <c r="S410" i="24"/>
  <c r="P410" i="24"/>
  <c r="X409" i="24"/>
  <c r="S409" i="24"/>
  <c r="P409" i="24"/>
  <c r="X408" i="24"/>
  <c r="S408" i="24"/>
  <c r="P408" i="24"/>
  <c r="X407" i="24"/>
  <c r="S407" i="24"/>
  <c r="P407" i="24"/>
  <c r="X406" i="24"/>
  <c r="S406" i="24"/>
  <c r="X405" i="24"/>
  <c r="S405" i="24"/>
  <c r="P405" i="24"/>
  <c r="X404" i="24"/>
  <c r="S404" i="24"/>
  <c r="X403" i="24"/>
  <c r="S403" i="24"/>
  <c r="X402" i="24"/>
  <c r="S402" i="24"/>
  <c r="P402" i="24"/>
  <c r="X401" i="24"/>
  <c r="X400" i="24"/>
  <c r="S400" i="24"/>
  <c r="X399" i="24"/>
  <c r="S399" i="24"/>
  <c r="P399" i="24"/>
  <c r="X398" i="24"/>
  <c r="S398" i="24"/>
  <c r="P398" i="24"/>
  <c r="X397" i="24"/>
  <c r="S397" i="24"/>
  <c r="X396" i="24"/>
  <c r="S396" i="24"/>
  <c r="X395" i="24"/>
  <c r="S395" i="24"/>
  <c r="X394" i="24"/>
  <c r="S394" i="24"/>
  <c r="X393" i="24"/>
  <c r="S393" i="24"/>
  <c r="X392" i="24"/>
  <c r="S392" i="24"/>
  <c r="X391" i="24"/>
  <c r="S391" i="24"/>
  <c r="X390" i="24"/>
  <c r="S390" i="24"/>
  <c r="X389" i="24"/>
  <c r="S389" i="24"/>
  <c r="P389" i="24"/>
  <c r="X388" i="24"/>
  <c r="S388" i="24"/>
  <c r="X387" i="24"/>
  <c r="S387" i="24"/>
  <c r="X386" i="24"/>
  <c r="S386" i="24"/>
  <c r="X385" i="24"/>
  <c r="S385" i="24"/>
  <c r="X384" i="24"/>
  <c r="S384" i="24"/>
  <c r="X383" i="24"/>
  <c r="S383" i="24"/>
  <c r="X382" i="24"/>
  <c r="S382" i="24"/>
  <c r="Y381" i="24"/>
  <c r="X381" i="24"/>
  <c r="S381" i="24"/>
  <c r="X380" i="24"/>
  <c r="S380" i="24"/>
  <c r="X379" i="24"/>
  <c r="S379" i="24"/>
  <c r="X378" i="24"/>
  <c r="S378" i="24"/>
  <c r="X377" i="24"/>
  <c r="S377" i="24"/>
  <c r="X376" i="24"/>
  <c r="S376" i="24"/>
  <c r="X375" i="24"/>
  <c r="S375" i="24"/>
  <c r="P375" i="24"/>
  <c r="X374" i="24"/>
  <c r="S374" i="24"/>
  <c r="X373" i="24"/>
  <c r="S373" i="24"/>
  <c r="X372" i="24"/>
  <c r="S372" i="24"/>
  <c r="X371" i="24"/>
  <c r="S371" i="24"/>
  <c r="X370" i="24"/>
  <c r="S370" i="24"/>
  <c r="X369" i="24"/>
  <c r="S369" i="24"/>
  <c r="X368" i="24"/>
  <c r="S368" i="24"/>
  <c r="X367" i="24"/>
  <c r="S367" i="24"/>
  <c r="X366" i="24"/>
  <c r="S366" i="24"/>
  <c r="X365" i="24"/>
  <c r="S365" i="24"/>
  <c r="X364" i="24"/>
  <c r="X363" i="24"/>
  <c r="S363" i="24"/>
  <c r="X362" i="24"/>
  <c r="S362" i="24"/>
  <c r="X361" i="24"/>
  <c r="S361" i="24"/>
  <c r="X360" i="24"/>
  <c r="S360" i="24"/>
  <c r="X359" i="24"/>
  <c r="S359" i="24"/>
  <c r="X358" i="24"/>
  <c r="S358" i="24"/>
  <c r="X357" i="24"/>
  <c r="S357" i="24"/>
  <c r="X356" i="24"/>
  <c r="S356" i="24"/>
  <c r="X355" i="24"/>
  <c r="S355" i="24"/>
  <c r="X354" i="24"/>
  <c r="S354" i="24"/>
  <c r="X353" i="24"/>
  <c r="U353" i="24"/>
  <c r="S353" i="24"/>
  <c r="X352" i="24"/>
  <c r="S352" i="24"/>
  <c r="P352" i="24"/>
  <c r="X351" i="24"/>
  <c r="S351" i="24"/>
  <c r="P351" i="24"/>
  <c r="X350" i="24"/>
  <c r="S350" i="24"/>
  <c r="X349" i="24"/>
  <c r="S349" i="24"/>
  <c r="X348" i="24"/>
  <c r="S348" i="24"/>
  <c r="X347" i="24"/>
  <c r="X346" i="24"/>
  <c r="S346" i="24"/>
  <c r="P346" i="24"/>
  <c r="X345" i="24"/>
  <c r="S345" i="24"/>
  <c r="X344" i="24"/>
  <c r="S344" i="24"/>
  <c r="P344" i="24"/>
  <c r="X343" i="24"/>
  <c r="S343" i="24"/>
  <c r="X342" i="24"/>
  <c r="S342" i="24"/>
  <c r="X341" i="24"/>
  <c r="S341" i="24"/>
  <c r="X340" i="24"/>
  <c r="S340" i="24"/>
  <c r="P340" i="24"/>
  <c r="X339" i="24"/>
  <c r="S339" i="24"/>
  <c r="X338" i="24"/>
  <c r="S338" i="24"/>
  <c r="X337" i="24"/>
  <c r="X336" i="24"/>
  <c r="X335" i="24"/>
  <c r="X334" i="24"/>
  <c r="S334" i="24"/>
  <c r="X333" i="24"/>
  <c r="X332" i="24"/>
  <c r="S332" i="24"/>
  <c r="X331" i="24"/>
  <c r="S331" i="24"/>
  <c r="X330" i="24"/>
  <c r="S330" i="24"/>
  <c r="X329" i="24"/>
  <c r="S329" i="24"/>
  <c r="P329" i="24"/>
  <c r="X328" i="24"/>
  <c r="S328" i="24"/>
  <c r="X327" i="24"/>
  <c r="S327" i="24"/>
  <c r="X326" i="24"/>
  <c r="X325" i="24"/>
  <c r="S325" i="24"/>
  <c r="X324" i="24"/>
  <c r="S324" i="24"/>
  <c r="X323" i="24"/>
  <c r="S323" i="24"/>
  <c r="X322" i="24"/>
  <c r="S322" i="24"/>
  <c r="X321" i="24"/>
  <c r="S321" i="24"/>
  <c r="X320" i="24"/>
  <c r="S320" i="24"/>
  <c r="X319" i="24"/>
  <c r="S319" i="24"/>
  <c r="X318" i="24"/>
  <c r="S318" i="24"/>
  <c r="X317" i="24"/>
  <c r="S317" i="24"/>
  <c r="X316" i="24"/>
  <c r="S316" i="24"/>
  <c r="X315" i="24"/>
  <c r="S315" i="24"/>
  <c r="X314" i="24"/>
  <c r="S314" i="24"/>
  <c r="X313" i="24"/>
  <c r="S313" i="24"/>
  <c r="X312" i="24"/>
  <c r="S312" i="24"/>
  <c r="X311" i="24"/>
  <c r="S311" i="24"/>
  <c r="X310" i="24"/>
  <c r="S310" i="24"/>
  <c r="X309" i="24"/>
  <c r="S309" i="24"/>
  <c r="X308" i="24"/>
  <c r="S308" i="24"/>
  <c r="X307" i="24"/>
  <c r="S307" i="24"/>
  <c r="X306" i="24"/>
  <c r="S306" i="24"/>
  <c r="X305" i="24"/>
  <c r="S305" i="24"/>
  <c r="X304" i="24"/>
  <c r="S304" i="24"/>
  <c r="X303" i="24"/>
  <c r="S303" i="24"/>
  <c r="X302" i="24"/>
  <c r="S302" i="24"/>
  <c r="X301" i="24"/>
  <c r="S301" i="24"/>
  <c r="X300" i="24"/>
  <c r="S300" i="24"/>
  <c r="X299" i="24"/>
  <c r="S299" i="24"/>
  <c r="X298" i="24"/>
  <c r="S298" i="24"/>
  <c r="X297" i="24"/>
  <c r="S297" i="24"/>
  <c r="X296" i="24"/>
  <c r="S296" i="24"/>
  <c r="X295" i="24"/>
  <c r="S295" i="24"/>
  <c r="X294" i="24"/>
  <c r="S294" i="24"/>
  <c r="X293" i="24"/>
  <c r="X292" i="24"/>
  <c r="S292" i="24"/>
  <c r="X291" i="24"/>
  <c r="X290" i="24"/>
  <c r="S290" i="24"/>
  <c r="X289" i="24"/>
  <c r="S289" i="24"/>
  <c r="X288" i="24"/>
  <c r="S288" i="24"/>
  <c r="X287" i="24"/>
  <c r="S287" i="24"/>
  <c r="X286" i="24"/>
  <c r="S286" i="24"/>
  <c r="X285" i="24"/>
  <c r="S285" i="24"/>
  <c r="X284" i="24"/>
  <c r="S284" i="24"/>
  <c r="X283" i="24"/>
  <c r="S283" i="24"/>
  <c r="X282" i="24"/>
  <c r="S282" i="24"/>
  <c r="X281" i="24"/>
  <c r="S281" i="24"/>
  <c r="X280" i="24"/>
  <c r="S280" i="24"/>
  <c r="X279" i="24"/>
  <c r="S279" i="24"/>
  <c r="X278" i="24"/>
  <c r="S278" i="24"/>
  <c r="P278" i="24"/>
  <c r="X277" i="24"/>
  <c r="S277" i="24"/>
  <c r="X276" i="24"/>
  <c r="S276" i="24"/>
  <c r="X275" i="24"/>
  <c r="S275" i="24"/>
  <c r="X274" i="24"/>
  <c r="S274" i="24"/>
  <c r="X273" i="24"/>
  <c r="S273" i="24"/>
  <c r="X272" i="24"/>
  <c r="S272" i="24"/>
  <c r="X271" i="24"/>
  <c r="S271" i="24"/>
  <c r="X270" i="24"/>
  <c r="S270" i="24"/>
  <c r="X269" i="24"/>
  <c r="S269" i="24"/>
  <c r="X268" i="24"/>
  <c r="S268" i="24"/>
  <c r="X267" i="24"/>
  <c r="S267" i="24"/>
  <c r="X266" i="24"/>
  <c r="S266" i="24"/>
  <c r="P266" i="24"/>
  <c r="X265" i="24"/>
  <c r="S265" i="24"/>
  <c r="X264" i="24"/>
  <c r="S264" i="24"/>
  <c r="X263" i="24"/>
  <c r="S263" i="24"/>
  <c r="X262" i="24"/>
  <c r="S262" i="24"/>
  <c r="X261" i="24"/>
  <c r="S261" i="24"/>
  <c r="X260" i="24"/>
  <c r="S260" i="24"/>
  <c r="X259" i="24"/>
  <c r="S259" i="24"/>
  <c r="X258" i="24"/>
  <c r="S258" i="24"/>
  <c r="X257" i="24"/>
  <c r="S257" i="24"/>
  <c r="X256" i="24"/>
  <c r="X255" i="24"/>
  <c r="S255" i="24"/>
  <c r="X254" i="24"/>
  <c r="S254" i="24"/>
  <c r="X253" i="24"/>
  <c r="S253" i="24"/>
  <c r="X252" i="24"/>
  <c r="S252" i="24"/>
  <c r="X251" i="24"/>
  <c r="S251" i="24"/>
  <c r="X250" i="24"/>
  <c r="S250" i="24"/>
  <c r="X249" i="24"/>
  <c r="S249" i="24"/>
  <c r="X248" i="24"/>
  <c r="S248" i="24"/>
  <c r="X247" i="24"/>
  <c r="S247" i="24"/>
  <c r="X246" i="24"/>
  <c r="S246" i="24"/>
  <c r="X245" i="24"/>
  <c r="S245" i="24"/>
  <c r="X244" i="24"/>
  <c r="S244" i="24"/>
  <c r="X243" i="24"/>
  <c r="S243" i="24"/>
  <c r="P243" i="24"/>
  <c r="X242" i="24"/>
  <c r="S242" i="24"/>
  <c r="X241" i="24"/>
  <c r="S241" i="24"/>
  <c r="X240" i="24"/>
  <c r="S240" i="24"/>
  <c r="X239" i="24"/>
  <c r="S239" i="24"/>
  <c r="X238" i="24"/>
  <c r="S238" i="24"/>
  <c r="X237" i="24"/>
  <c r="S237" i="24"/>
  <c r="X236" i="24"/>
  <c r="S236" i="24"/>
  <c r="X235" i="24"/>
  <c r="S235" i="24"/>
  <c r="X234" i="24"/>
  <c r="S234" i="24"/>
  <c r="X233" i="24"/>
  <c r="S233" i="24"/>
  <c r="X232" i="24"/>
  <c r="S232" i="24"/>
  <c r="X231" i="24"/>
  <c r="S231" i="24"/>
  <c r="X230" i="24"/>
  <c r="S230" i="24"/>
  <c r="X229" i="24"/>
  <c r="S229" i="24"/>
  <c r="X228" i="24"/>
  <c r="S228" i="24"/>
  <c r="X227" i="24"/>
  <c r="S227" i="24"/>
  <c r="X226" i="24"/>
  <c r="S226" i="24"/>
  <c r="X225" i="24"/>
  <c r="S225" i="24"/>
  <c r="X224" i="24"/>
  <c r="S224" i="24"/>
  <c r="X223" i="24"/>
  <c r="S223" i="24"/>
  <c r="X222" i="24"/>
  <c r="S222" i="24"/>
  <c r="X221" i="24"/>
  <c r="S221" i="24"/>
  <c r="X220" i="24"/>
  <c r="S220" i="24"/>
  <c r="X219" i="24"/>
  <c r="S219" i="24"/>
  <c r="X218" i="24"/>
  <c r="S218" i="24"/>
  <c r="X217" i="24"/>
  <c r="S217" i="24"/>
  <c r="X216" i="24"/>
  <c r="S216" i="24"/>
  <c r="X215" i="24"/>
  <c r="S215" i="24"/>
  <c r="X214" i="24"/>
  <c r="S214" i="24"/>
  <c r="X213" i="24"/>
  <c r="S213" i="24"/>
  <c r="P213" i="24"/>
  <c r="X212" i="24"/>
  <c r="X211" i="24"/>
  <c r="S211" i="24"/>
  <c r="X210" i="24"/>
  <c r="X209" i="24"/>
  <c r="S209" i="24"/>
  <c r="X208" i="24"/>
  <c r="S208" i="24"/>
  <c r="X207" i="24"/>
  <c r="S207" i="24"/>
  <c r="X206" i="24"/>
  <c r="S206" i="24"/>
  <c r="X205" i="24"/>
  <c r="S205" i="24"/>
  <c r="X204" i="24"/>
  <c r="S204" i="24"/>
  <c r="X203" i="24"/>
  <c r="S203" i="24"/>
  <c r="P203" i="24"/>
  <c r="X202" i="24"/>
  <c r="S202" i="24"/>
  <c r="P202" i="24"/>
  <c r="X201" i="24"/>
  <c r="S201" i="24"/>
  <c r="X200" i="24"/>
  <c r="S200" i="24"/>
  <c r="X199" i="24"/>
  <c r="S199" i="24"/>
  <c r="X198" i="24"/>
  <c r="S198" i="24"/>
  <c r="X197" i="24"/>
  <c r="S197" i="24"/>
  <c r="X196" i="24"/>
  <c r="S196" i="24"/>
  <c r="X195" i="24"/>
  <c r="S195" i="24"/>
  <c r="X194" i="24"/>
  <c r="S194" i="24"/>
  <c r="X193" i="24"/>
  <c r="S193" i="24"/>
  <c r="P193" i="24"/>
  <c r="X192" i="24"/>
  <c r="S192" i="24"/>
  <c r="P192" i="24"/>
  <c r="X191" i="24"/>
  <c r="S191" i="24"/>
  <c r="P191" i="24"/>
  <c r="X190" i="24"/>
  <c r="S190" i="24"/>
  <c r="X189" i="24"/>
  <c r="X188" i="24"/>
  <c r="X187" i="24"/>
  <c r="X186" i="24"/>
  <c r="X185" i="24"/>
  <c r="X184" i="24"/>
  <c r="S184" i="24"/>
  <c r="X183" i="24"/>
  <c r="S183" i="24"/>
  <c r="X182" i="24"/>
  <c r="S182" i="24"/>
  <c r="X181" i="24"/>
  <c r="S181" i="24"/>
  <c r="X180" i="24"/>
  <c r="S180" i="24"/>
  <c r="X179" i="24"/>
  <c r="S179" i="24"/>
  <c r="X178" i="24"/>
  <c r="S178" i="24"/>
  <c r="X177" i="24"/>
  <c r="S177" i="24"/>
  <c r="X176" i="24"/>
  <c r="S176" i="24"/>
  <c r="X175" i="24"/>
  <c r="S175" i="24"/>
  <c r="X174" i="24"/>
  <c r="S174" i="24"/>
  <c r="X173" i="24"/>
  <c r="S173" i="24"/>
  <c r="X172" i="24"/>
  <c r="S172" i="24"/>
  <c r="X171" i="24"/>
  <c r="X170" i="24"/>
  <c r="S170" i="24"/>
  <c r="X169" i="24"/>
  <c r="S169" i="24"/>
  <c r="X168" i="24"/>
  <c r="S168" i="24"/>
  <c r="P168" i="24"/>
  <c r="X167" i="24"/>
  <c r="S167" i="24"/>
  <c r="X166" i="24"/>
  <c r="S166" i="24"/>
  <c r="X165" i="24"/>
  <c r="S165" i="24"/>
  <c r="X164" i="24"/>
  <c r="S164" i="24"/>
  <c r="X163" i="24"/>
  <c r="S163" i="24"/>
  <c r="X162" i="24"/>
  <c r="X161" i="24"/>
  <c r="X160" i="24"/>
  <c r="X159" i="24"/>
  <c r="X158" i="24"/>
  <c r="X157" i="24"/>
  <c r="X156" i="24"/>
  <c r="X155" i="24"/>
  <c r="S155" i="24"/>
  <c r="X154" i="24"/>
  <c r="S154" i="24"/>
  <c r="X153" i="24"/>
  <c r="S153" i="24"/>
  <c r="X152" i="24"/>
  <c r="S152" i="24"/>
  <c r="X151" i="24"/>
  <c r="S151" i="24"/>
  <c r="X150" i="24"/>
  <c r="S150" i="24"/>
  <c r="X149" i="24"/>
  <c r="S149" i="24"/>
  <c r="X148" i="24"/>
  <c r="S148" i="24"/>
  <c r="X147" i="24"/>
  <c r="S147" i="24"/>
  <c r="X146" i="24"/>
  <c r="S146" i="24"/>
  <c r="X145" i="24"/>
  <c r="S145" i="24"/>
  <c r="X144" i="24"/>
  <c r="S144" i="24"/>
  <c r="X143" i="24"/>
  <c r="S143" i="24"/>
  <c r="X142" i="24"/>
  <c r="S142" i="24"/>
  <c r="X141" i="24"/>
  <c r="S141" i="24"/>
  <c r="X140" i="24"/>
  <c r="S140" i="24"/>
  <c r="X139" i="24"/>
  <c r="S139" i="24"/>
  <c r="X138" i="24"/>
  <c r="S138" i="24"/>
  <c r="X137" i="24"/>
  <c r="S137" i="24"/>
  <c r="X136" i="24"/>
  <c r="S136" i="24"/>
  <c r="X135" i="24"/>
  <c r="S135" i="24"/>
  <c r="X134" i="24"/>
  <c r="S134" i="24"/>
  <c r="X133" i="24"/>
  <c r="S133" i="24"/>
  <c r="X132" i="24"/>
  <c r="S132" i="24"/>
  <c r="X131" i="24"/>
  <c r="S131" i="24"/>
  <c r="X130" i="24"/>
  <c r="S130" i="24"/>
  <c r="X129" i="24"/>
  <c r="S129" i="24"/>
  <c r="X128" i="24"/>
  <c r="S128" i="24"/>
  <c r="X127" i="24"/>
  <c r="S127" i="24"/>
  <c r="X126" i="24"/>
  <c r="S126" i="24"/>
  <c r="X125" i="24"/>
  <c r="S125" i="24"/>
  <c r="X124" i="24"/>
  <c r="S124" i="24"/>
  <c r="X123" i="24"/>
  <c r="S123" i="24"/>
  <c r="X122" i="24"/>
  <c r="S122" i="24"/>
  <c r="X121" i="24"/>
  <c r="S121" i="24"/>
  <c r="X120" i="24"/>
  <c r="S120" i="24"/>
  <c r="X119" i="24"/>
  <c r="S119" i="24"/>
  <c r="X118" i="24"/>
  <c r="S118" i="24"/>
  <c r="X117" i="24"/>
  <c r="S117" i="24"/>
  <c r="X116" i="24"/>
  <c r="S116" i="24"/>
  <c r="X115" i="24"/>
  <c r="X114" i="24"/>
  <c r="X113" i="24"/>
  <c r="X112" i="24"/>
  <c r="X111" i="24"/>
  <c r="X110" i="24"/>
  <c r="X109" i="24"/>
  <c r="X108" i="24"/>
  <c r="X107" i="24"/>
  <c r="X106" i="24"/>
  <c r="X105" i="24"/>
  <c r="X104" i="24"/>
  <c r="X103" i="24"/>
  <c r="X102" i="24"/>
  <c r="X101" i="24"/>
  <c r="X100" i="24"/>
  <c r="X99" i="24"/>
  <c r="X98" i="24"/>
  <c r="X97" i="24"/>
  <c r="X96" i="24"/>
  <c r="X95" i="24"/>
  <c r="X94" i="24"/>
  <c r="X93" i="24"/>
  <c r="X92" i="24"/>
  <c r="X91" i="24"/>
  <c r="X90" i="24"/>
  <c r="X89" i="24"/>
  <c r="X88" i="24"/>
  <c r="X87" i="24"/>
  <c r="X86" i="24"/>
  <c r="X85" i="24"/>
  <c r="X84" i="24"/>
  <c r="X83" i="24"/>
  <c r="X82" i="24"/>
  <c r="X81" i="24"/>
  <c r="X80" i="24"/>
  <c r="X79" i="24"/>
  <c r="X78" i="24"/>
  <c r="X77" i="24"/>
  <c r="X76" i="24"/>
  <c r="X75" i="24"/>
  <c r="X74" i="24"/>
  <c r="X73" i="24"/>
  <c r="X72" i="24"/>
  <c r="X71" i="24"/>
  <c r="X70" i="24"/>
  <c r="X69" i="24"/>
  <c r="X68" i="24"/>
  <c r="X67" i="24"/>
  <c r="X66" i="24"/>
  <c r="X65" i="24"/>
  <c r="X64" i="24"/>
  <c r="X63" i="24"/>
  <c r="X62" i="24"/>
  <c r="X61" i="24"/>
  <c r="X60" i="24"/>
  <c r="X59" i="24"/>
  <c r="X58" i="24"/>
  <c r="X57" i="24"/>
  <c r="X56" i="24"/>
  <c r="X55" i="24"/>
  <c r="X54" i="24"/>
  <c r="X53" i="24"/>
  <c r="X52" i="24"/>
  <c r="X51" i="24"/>
  <c r="X50" i="24"/>
  <c r="X49" i="24"/>
  <c r="X48" i="24"/>
  <c r="X47" i="24"/>
  <c r="X46" i="24"/>
  <c r="X45" i="24"/>
  <c r="X44" i="24"/>
  <c r="X43" i="24"/>
  <c r="X42" i="24"/>
  <c r="X41" i="24"/>
  <c r="X40" i="24"/>
  <c r="X39" i="24"/>
  <c r="X38" i="24"/>
  <c r="X37" i="24"/>
  <c r="X36" i="24"/>
  <c r="X35" i="24"/>
  <c r="X34" i="24"/>
  <c r="X33" i="24"/>
  <c r="X32" i="24"/>
  <c r="X31" i="24"/>
  <c r="X30" i="24"/>
  <c r="X29" i="24"/>
  <c r="X28" i="24"/>
  <c r="X27" i="24"/>
  <c r="X26" i="24"/>
  <c r="X25" i="24"/>
  <c r="X24" i="24"/>
  <c r="X23" i="24"/>
  <c r="X22" i="24"/>
  <c r="X21" i="24"/>
  <c r="X20" i="24"/>
  <c r="X19" i="24"/>
  <c r="X18" i="24"/>
  <c r="X17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X2" i="24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55" i="3"/>
  <c r="R653" i="3"/>
  <c r="R652" i="3"/>
  <c r="R651" i="3"/>
  <c r="R649" i="3"/>
  <c r="R648" i="3"/>
  <c r="R647" i="3"/>
  <c r="R646" i="3"/>
  <c r="R645" i="3"/>
  <c r="R644" i="3"/>
  <c r="R643" i="3"/>
  <c r="R642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6" i="3"/>
  <c r="R606" i="3"/>
  <c r="R604" i="3"/>
  <c r="R603" i="3"/>
  <c r="R599" i="3"/>
  <c r="R574" i="3"/>
  <c r="R566" i="3"/>
  <c r="R538" i="3"/>
  <c r="R508" i="3"/>
  <c r="R456" i="3"/>
  <c r="R434" i="3"/>
  <c r="R410" i="3"/>
  <c r="R660" i="3"/>
  <c r="R661" i="3"/>
  <c r="R641" i="3"/>
  <c r="R654" i="3"/>
  <c r="R656" i="3"/>
  <c r="R657" i="3"/>
  <c r="R658" i="3"/>
  <c r="R659" i="3"/>
  <c r="R650" i="3"/>
  <c r="L644" i="3"/>
  <c r="R295" i="3"/>
  <c r="R286" i="3"/>
  <c r="R610" i="3"/>
  <c r="R618" i="3"/>
  <c r="R611" i="3"/>
  <c r="R613" i="3"/>
  <c r="R607" i="3"/>
  <c r="R591" i="3"/>
  <c r="R584" i="3"/>
  <c r="R576" i="3"/>
  <c r="R586" i="3"/>
  <c r="R579" i="3"/>
  <c r="R578" i="3"/>
  <c r="R557" i="3"/>
  <c r="R556" i="3"/>
  <c r="R555" i="3"/>
  <c r="R552" i="3"/>
  <c r="R548" i="3"/>
  <c r="R542" i="3"/>
  <c r="R598" i="3"/>
  <c r="R596" i="3"/>
  <c r="R595" i="3"/>
  <c r="R612" i="3"/>
  <c r="R590" i="3"/>
  <c r="R592" i="3"/>
  <c r="R588" i="3"/>
  <c r="R581" i="3"/>
  <c r="R589" i="3"/>
  <c r="R585" i="3"/>
  <c r="R587" i="3"/>
  <c r="R570" i="3"/>
  <c r="R582" i="3"/>
  <c r="R580" i="3"/>
  <c r="R577" i="3"/>
  <c r="R572" i="3"/>
  <c r="R571" i="3"/>
  <c r="R567" i="3"/>
  <c r="R565" i="3"/>
  <c r="R560" i="3"/>
  <c r="R558" i="3"/>
  <c r="R554" i="3"/>
  <c r="R551" i="3"/>
  <c r="R550" i="3"/>
  <c r="R546" i="3"/>
  <c r="R547" i="3"/>
  <c r="R544" i="3"/>
  <c r="R543" i="3"/>
  <c r="R540" i="3"/>
  <c r="R541" i="3"/>
  <c r="R593" i="3"/>
  <c r="R561" i="3"/>
  <c r="R602" i="3"/>
  <c r="R608" i="3"/>
  <c r="R609" i="3"/>
  <c r="R601" i="3"/>
  <c r="R600" i="3"/>
  <c r="R605" i="3"/>
  <c r="R614" i="3"/>
  <c r="R615" i="3"/>
  <c r="R617" i="3"/>
  <c r="R619" i="3"/>
  <c r="R559" i="3"/>
  <c r="R553" i="3"/>
  <c r="R594" i="3"/>
  <c r="R597" i="3"/>
  <c r="R575" i="3"/>
  <c r="R573" i="3"/>
  <c r="R569" i="3"/>
  <c r="R568" i="3"/>
  <c r="R564" i="3"/>
  <c r="R563" i="3"/>
  <c r="R562" i="3"/>
  <c r="R549" i="3"/>
  <c r="R539" i="3"/>
  <c r="R545" i="3"/>
  <c r="L576" i="3"/>
  <c r="L557" i="3"/>
  <c r="L555" i="3"/>
  <c r="L544" i="3"/>
  <c r="R537" i="3"/>
  <c r="R406" i="3"/>
  <c r="L535" i="3"/>
  <c r="R529" i="3"/>
  <c r="R466" i="3"/>
  <c r="R465" i="3"/>
  <c r="R455" i="3"/>
  <c r="R453" i="3"/>
  <c r="R464" i="3"/>
  <c r="R452" i="3"/>
  <c r="R524" i="3"/>
  <c r="R477" i="3"/>
  <c r="R476" i="3"/>
  <c r="R451" i="3"/>
  <c r="R488" i="3"/>
  <c r="R474" i="3"/>
  <c r="R519" i="3"/>
  <c r="R506" i="3"/>
  <c r="R439" i="3"/>
  <c r="R438" i="3"/>
  <c r="R437" i="3"/>
  <c r="R446" i="3"/>
  <c r="R436" i="3"/>
  <c r="R485" i="3"/>
  <c r="R435" i="3"/>
  <c r="R484" i="3"/>
  <c r="R433" i="3"/>
  <c r="R470" i="3"/>
  <c r="R499" i="3"/>
  <c r="R516" i="3"/>
  <c r="R534" i="3"/>
  <c r="R533" i="3"/>
  <c r="R532" i="3"/>
  <c r="R461" i="3"/>
  <c r="R426" i="3"/>
  <c r="R425" i="3"/>
  <c r="R531" i="3"/>
  <c r="R530" i="3"/>
  <c r="R528" i="3"/>
  <c r="R527" i="3"/>
  <c r="R526" i="3"/>
  <c r="R525" i="3"/>
  <c r="R523" i="3"/>
  <c r="R522" i="3"/>
  <c r="R521" i="3"/>
  <c r="R520" i="3"/>
  <c r="R518" i="3"/>
  <c r="R517" i="3"/>
  <c r="R515" i="3"/>
  <c r="R514" i="3"/>
  <c r="R512" i="3"/>
  <c r="R513" i="3"/>
  <c r="R511" i="3"/>
  <c r="R509" i="3"/>
  <c r="R510" i="3"/>
  <c r="R507" i="3"/>
  <c r="R505" i="3"/>
  <c r="R503" i="3"/>
  <c r="R504" i="3"/>
  <c r="R502" i="3"/>
  <c r="R501" i="3"/>
  <c r="R500" i="3"/>
  <c r="R497" i="3"/>
  <c r="R498" i="3"/>
  <c r="R496" i="3"/>
  <c r="R495" i="3"/>
  <c r="R494" i="3"/>
  <c r="R493" i="3"/>
  <c r="R492" i="3"/>
  <c r="R491" i="3"/>
  <c r="R490" i="3"/>
  <c r="R489" i="3"/>
  <c r="R487" i="3"/>
  <c r="R486" i="3"/>
  <c r="R482" i="3"/>
  <c r="R483" i="3"/>
  <c r="R480" i="3"/>
  <c r="R481" i="3"/>
  <c r="R479" i="3"/>
  <c r="R478" i="3"/>
  <c r="R473" i="3"/>
  <c r="R475" i="3"/>
  <c r="R472" i="3"/>
  <c r="R471" i="3"/>
  <c r="R469" i="3"/>
  <c r="R468" i="3"/>
  <c r="R467" i="3"/>
  <c r="R463" i="3"/>
  <c r="R462" i="3"/>
  <c r="R460" i="3"/>
  <c r="R459" i="3"/>
  <c r="R458" i="3"/>
  <c r="R457" i="3"/>
  <c r="R454" i="3"/>
  <c r="R450" i="3"/>
  <c r="R449" i="3"/>
  <c r="R448" i="3"/>
  <c r="R447" i="3"/>
  <c r="R445" i="3"/>
  <c r="R444" i="3"/>
  <c r="R443" i="3"/>
  <c r="R442" i="3"/>
  <c r="R441" i="3"/>
  <c r="R440" i="3"/>
  <c r="R432" i="3"/>
  <c r="R431" i="3"/>
  <c r="R430" i="3"/>
  <c r="R429" i="3"/>
  <c r="R428" i="3"/>
  <c r="R427" i="3"/>
  <c r="R424" i="3"/>
  <c r="R423" i="3"/>
  <c r="R421" i="3"/>
  <c r="R422" i="3"/>
  <c r="R420" i="3"/>
  <c r="R419" i="3"/>
  <c r="R418" i="3"/>
  <c r="R417" i="3"/>
  <c r="R415" i="3"/>
  <c r="R416" i="3"/>
  <c r="R414" i="3"/>
  <c r="R413" i="3"/>
  <c r="R412" i="3"/>
  <c r="R411" i="3"/>
  <c r="R409" i="3"/>
  <c r="R408" i="3"/>
  <c r="R407" i="3"/>
  <c r="R405" i="3"/>
  <c r="R404" i="3"/>
  <c r="R402" i="3"/>
  <c r="R401" i="3"/>
  <c r="R400" i="3"/>
  <c r="R399" i="3"/>
  <c r="R398" i="3"/>
  <c r="R397" i="3"/>
  <c r="R396" i="3"/>
  <c r="R395" i="3"/>
  <c r="R394" i="3"/>
  <c r="R392" i="3"/>
  <c r="R391" i="3"/>
  <c r="R390" i="3"/>
  <c r="R389" i="3"/>
  <c r="R388" i="3"/>
  <c r="R387" i="3"/>
  <c r="R386" i="3"/>
  <c r="R385" i="3"/>
  <c r="R383" i="3"/>
  <c r="R382" i="3"/>
  <c r="R381" i="3"/>
  <c r="R380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4" i="3"/>
  <c r="R293" i="3"/>
  <c r="R292" i="3"/>
  <c r="R291" i="3"/>
  <c r="R290" i="3"/>
  <c r="R289" i="3"/>
  <c r="R288" i="3"/>
  <c r="R287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4" i="3"/>
  <c r="R86" i="3"/>
  <c r="R85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1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2" i="3"/>
  <c r="R11" i="3"/>
  <c r="R10" i="3"/>
  <c r="R9" i="3"/>
  <c r="R8" i="3"/>
  <c r="R7" i="3"/>
  <c r="R6" i="3"/>
  <c r="R5" i="3"/>
  <c r="R4" i="3"/>
  <c r="R3" i="3"/>
  <c r="R2" i="3"/>
  <c r="R379" i="3"/>
  <c r="R536" i="3"/>
  <c r="R403" i="3"/>
  <c r="R384" i="3"/>
  <c r="R535" i="3"/>
  <c r="R583" i="3"/>
  <c r="B13" i="25" l="1"/>
  <c r="B14" i="26"/>
  <c r="D41" i="26"/>
  <c r="E36" i="26" s="1"/>
  <c r="E33" i="26"/>
  <c r="E34" i="26"/>
  <c r="E40" i="26"/>
  <c r="B41" i="26"/>
  <c r="B42" i="25"/>
  <c r="C32" i="25" s="1"/>
  <c r="L510" i="3"/>
  <c r="L490" i="3"/>
  <c r="L471" i="3"/>
  <c r="E37" i="26" l="1"/>
  <c r="E35" i="26"/>
  <c r="E39" i="26"/>
  <c r="E38" i="26"/>
  <c r="E41" i="26" s="1"/>
  <c r="C41" i="25"/>
  <c r="C40" i="25"/>
  <c r="C33" i="25"/>
  <c r="C39" i="25"/>
  <c r="C36" i="25"/>
  <c r="C38" i="25"/>
  <c r="C37" i="25"/>
  <c r="C35" i="25"/>
  <c r="C34" i="25"/>
  <c r="L442" i="3"/>
  <c r="L443" i="3"/>
  <c r="L161" i="3"/>
  <c r="L177" i="3"/>
  <c r="L178" i="3"/>
  <c r="L179" i="3"/>
  <c r="L188" i="3"/>
  <c r="L189" i="3"/>
  <c r="L219" i="3"/>
  <c r="L191" i="3"/>
  <c r="L240" i="3"/>
  <c r="L252" i="3"/>
  <c r="L319" i="3"/>
  <c r="L320" i="3"/>
  <c r="O321" i="3"/>
  <c r="R321" i="3" s="1"/>
  <c r="L312" i="3"/>
  <c r="L343" i="3"/>
  <c r="L357" i="3"/>
  <c r="L308" i="3"/>
  <c r="S349" i="3"/>
  <c r="L4" i="20" s="1" a="1"/>
  <c r="L4" i="20" s="1"/>
  <c r="R4" i="20" s="1" a="1"/>
  <c r="R4" i="20" s="1"/>
  <c r="S4" i="20" s="1" a="1"/>
  <c r="S4" i="20" s="1"/>
  <c r="L297" i="3"/>
  <c r="L314" i="3"/>
  <c r="L367" i="3"/>
  <c r="L370" i="3"/>
  <c r="L366" i="3"/>
  <c r="L373" i="3"/>
  <c r="L376" i="3"/>
  <c r="L382" i="3"/>
  <c r="L389" i="3"/>
  <c r="L391" i="3"/>
  <c r="L394" i="3"/>
  <c r="L375" i="3"/>
  <c r="L377" i="3"/>
  <c r="L378" i="3"/>
  <c r="L383" i="3"/>
  <c r="L419" i="3"/>
  <c r="L426" i="3"/>
  <c r="L446" i="3"/>
  <c r="L455" i="3"/>
  <c r="L464" i="3"/>
  <c r="L470" i="3"/>
  <c r="L485" i="3"/>
  <c r="L501" i="3"/>
  <c r="L517" i="3"/>
  <c r="L433" i="3"/>
  <c r="L451" i="3"/>
  <c r="L461" i="3"/>
  <c r="L469" i="3"/>
  <c r="L488" i="3"/>
  <c r="L506" i="3"/>
  <c r="L524" i="3"/>
  <c r="L533" i="3"/>
  <c r="C42" i="25" l="1"/>
  <c r="T4" i="20" a="1"/>
  <c r="A2" i="20" l="1" a="1"/>
  <c r="A2" i="20" s="1"/>
  <c r="T4" i="20"/>
  <c r="B5" i="23" l="1"/>
  <c r="C5" i="23"/>
  <c r="D5" i="23"/>
  <c r="E5" i="23"/>
  <c r="B6" i="23"/>
  <c r="C6" i="23"/>
  <c r="D6" i="23"/>
  <c r="E6" i="23"/>
  <c r="B7" i="23"/>
  <c r="C7" i="23"/>
  <c r="D7" i="23"/>
  <c r="E7" i="23"/>
  <c r="B8" i="23"/>
  <c r="C8" i="23"/>
  <c r="D8" i="23"/>
  <c r="E8" i="23"/>
  <c r="B9" i="23"/>
  <c r="C9" i="23"/>
  <c r="D9" i="23"/>
  <c r="E9" i="23"/>
  <c r="B10" i="23"/>
  <c r="C10" i="23"/>
  <c r="D10" i="23"/>
  <c r="E10" i="23"/>
  <c r="B11" i="23"/>
  <c r="C11" i="23"/>
  <c r="D11" i="23"/>
  <c r="E11" i="23"/>
  <c r="B12" i="23"/>
  <c r="C12" i="23"/>
  <c r="D12" i="23"/>
  <c r="E12" i="23"/>
  <c r="B13" i="23"/>
  <c r="C13" i="23"/>
  <c r="D13" i="23"/>
  <c r="E13" i="23"/>
  <c r="B14" i="23"/>
  <c r="C14" i="23"/>
  <c r="D14" i="23"/>
  <c r="E14" i="23"/>
  <c r="B15" i="23"/>
  <c r="C15" i="23"/>
  <c r="D15" i="23"/>
  <c r="E15" i="23"/>
  <c r="B16" i="23"/>
  <c r="C16" i="23"/>
  <c r="D16" i="23"/>
  <c r="E16" i="23"/>
  <c r="B17" i="23"/>
  <c r="C17" i="23"/>
  <c r="D17" i="23"/>
  <c r="E17" i="23"/>
  <c r="B18" i="23"/>
  <c r="C18" i="23"/>
  <c r="D18" i="23"/>
  <c r="E18" i="23"/>
  <c r="B19" i="23"/>
  <c r="C19" i="23"/>
  <c r="D19" i="23"/>
  <c r="E19" i="23"/>
  <c r="B20" i="23"/>
  <c r="C20" i="23"/>
  <c r="D20" i="23"/>
  <c r="E20" i="23"/>
  <c r="B21" i="23"/>
  <c r="C21" i="23"/>
  <c r="D21" i="23"/>
  <c r="E21" i="23"/>
  <c r="B22" i="23"/>
  <c r="C22" i="23"/>
  <c r="D22" i="23"/>
  <c r="E22" i="23"/>
  <c r="E24" i="23" l="1"/>
  <c r="D24" i="23"/>
  <c r="C24" i="23"/>
  <c r="B24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<sst xmlns="http://schemas.openxmlformats.org/spreadsheetml/2006/main" count="14908" uniqueCount="3779">
  <si>
    <t xml:space="preserve">ANO - VIGÊNCIA </t>
  </si>
  <si>
    <t>EIXO TEMÁTICO</t>
  </si>
  <si>
    <t xml:space="preserve">Programa </t>
  </si>
  <si>
    <t xml:space="preserve"> Público-Alvo Preferencial</t>
  </si>
  <si>
    <t>Descrição</t>
  </si>
  <si>
    <t>2024/2025</t>
  </si>
  <si>
    <t>Controle Externo</t>
  </si>
  <si>
    <t>Avaliação de Políticas Públicas</t>
  </si>
  <si>
    <t>Membros e servidores que atuam no Controle Externo</t>
  </si>
  <si>
    <t>Destina-se a oferecer ações de aprendizagem de metodologias necessárias à avaliação de políticas públicas governamentais.</t>
  </si>
  <si>
    <t>Metodologias de Auditoria e Fiscalização</t>
  </si>
  <si>
    <t>Membros e servidores  que atuam no Controle  Externo</t>
  </si>
  <si>
    <t>Destina-se a oferecer ações de aprendizagem de metodologias necessárias à realização de fiscalizações governamentais, alinhadas às Normas Brasileiras de Auditoria do Setor Público.</t>
  </si>
  <si>
    <t>Áreas Temáticas de Fiscalização do Setor Público</t>
  </si>
  <si>
    <t>Destina-se a oferecer ações de aprendizagem voltadas às áreas temáticas fiscalizadas, como saúde, pessoal, previdência, assistência social, obras e serviços de engenharia, tecnologia de informação e comunicação, licitações e contratos, parcerias público-privadas, concessões e desestatização, entre outros</t>
  </si>
  <si>
    <t>Treinamento de Jurisdicionados</t>
  </si>
  <si>
    <t>Servidores Públicos dos órgãos jurisdicionados ao TCDF</t>
  </si>
  <si>
    <t>Destina-se a oferecer ações de aprendizagem para os gestores e servidores públicos dos órgãos jurisdicionados ao TCDF, a fim de promover a correta e eficiente aplicação dos recursos públicos</t>
  </si>
  <si>
    <t>Formação de Controladores sociais e cidadãos</t>
  </si>
  <si>
    <t>Representantes de entidades de Controle social e Cidadãos</t>
  </si>
  <si>
    <t>Destina-se a oferecer ações de aprendizagem para os cidadãos, para fomentar o exercício do controle social.</t>
  </si>
  <si>
    <t>Organizacional</t>
  </si>
  <si>
    <t>Mineração e Análise de Dados</t>
  </si>
  <si>
    <t>Servidores que possam utilizar análise de dados no desempenho de suas atividades</t>
  </si>
  <si>
    <t>Destina-se a oferecer ações de aprendizagem voltadas à análise e mineração de dados, a fim de identificar informações úteis à tomada de decisão em meio a grandes quantidades de dados.</t>
  </si>
  <si>
    <t>Administração, Estratégia e Inovação</t>
  </si>
  <si>
    <t>Membros e Servidores do TCDF</t>
  </si>
  <si>
    <t>Destina-se a oferecer ações de aprendizagem para auxiliar na gestão e apoio estratégico do TCDF, assim como promover a inovação na Casa. As ações buscam aprimorar processos como os de planejamento, gestão de pessoas, gestão da informação, gestão de projetos, gestão de processos, gestão administrativa, gestão contratual, relacionamento com o cliente, operacionalização de sistemas, entre outros</t>
  </si>
  <si>
    <t>Programas Transversais</t>
  </si>
  <si>
    <t>Desenvolvimento Gerencial</t>
  </si>
  <si>
    <t>Servidores que ocupam função gerencial e potenciais líderes a desenvolver</t>
  </si>
  <si>
    <t>Destina-se a oferecer ações de aprendizagem para os atuais dirigentes do TCDF, considerando as necessidades de cada nível gerencial (estratégico, tático e operacional), àqueles que assumem funções gerenciais e os servidores com potencial de atuação gerencial no TCDF. As ações devem auxiliar os gestores no exercício da função gerencial, aprimorando competências relacionadas à gestão de desempenho, ao desenvolvimento da equipe, gestão da equipe remota e/ou híbrida, orientação estratégica, feedback, entre outros.</t>
  </si>
  <si>
    <t>Desenvolvimento Individual e Promoção da Cultura Organizacional</t>
  </si>
  <si>
    <t>Servidores do TCDF</t>
  </si>
  <si>
    <t>Destina-se a oferecer ações de aprendizagem para auxiliar no desenvolvimento de competências funcionais dos servidores, tais quais orientação para resultado, ética e relacionamento interpessoal.</t>
  </si>
  <si>
    <t>Ambientação e Desenvolvimento na Carreira</t>
  </si>
  <si>
    <t>Destina-se a oferecer ações de aprendizagem para auxiliar na ambientação e promoção de servidores, promovendo a visão sistêmica da sua atuação no âmbito do TCDF</t>
  </si>
  <si>
    <t>Público-alvo</t>
  </si>
  <si>
    <t>Modalidade</t>
  </si>
  <si>
    <t xml:space="preserve">Previsão </t>
  </si>
  <si>
    <t>Status</t>
  </si>
  <si>
    <t>Instrutoria Interna</t>
  </si>
  <si>
    <t>Previsto</t>
  </si>
  <si>
    <t>A realizar</t>
  </si>
  <si>
    <t>Jurisdicionados</t>
  </si>
  <si>
    <t>Instrutoria Externa</t>
  </si>
  <si>
    <t>Solicitado</t>
  </si>
  <si>
    <t>Em andamento</t>
  </si>
  <si>
    <t>Sociedade</t>
  </si>
  <si>
    <t>Híbrida</t>
  </si>
  <si>
    <t xml:space="preserve">Cancelado </t>
  </si>
  <si>
    <t>Híbrido</t>
  </si>
  <si>
    <t>Realizado</t>
  </si>
  <si>
    <t>Adiado</t>
  </si>
  <si>
    <t>ID</t>
  </si>
  <si>
    <t>Ano</t>
  </si>
  <si>
    <t>Status Evento</t>
  </si>
  <si>
    <t>Processo</t>
  </si>
  <si>
    <t>Curso</t>
  </si>
  <si>
    <t>Público-Alvo</t>
  </si>
  <si>
    <t>Programa</t>
  </si>
  <si>
    <t>Data TXT</t>
  </si>
  <si>
    <t>Início</t>
  </si>
  <si>
    <t>Término</t>
  </si>
  <si>
    <t>Valor instrutoria</t>
  </si>
  <si>
    <t>Nota Av. Reação</t>
  </si>
  <si>
    <t>Qtd Vagas</t>
  </si>
  <si>
    <t>P. Servidores</t>
  </si>
  <si>
    <t>P. Jurisdicionados</t>
  </si>
  <si>
    <t>P. Sociedade</t>
  </si>
  <si>
    <t>Total Part.</t>
  </si>
  <si>
    <t>C.H.</t>
  </si>
  <si>
    <t>Instrutor</t>
  </si>
  <si>
    <t>2014-001</t>
  </si>
  <si>
    <t>CURSO DE ELABORAÇÃO DE PARECERES E RELATÓRIOS</t>
  </si>
  <si>
    <t>17 a 21/03/2014</t>
  </si>
  <si>
    <t>2014-002</t>
  </si>
  <si>
    <t>ELABORAÇÃO DE PLANO DE AUDITORIA E MATRIZ DE PLANEJAMENTO</t>
  </si>
  <si>
    <t>14 e 14/04/2014</t>
  </si>
  <si>
    <t>2014-003</t>
  </si>
  <si>
    <t>CURSO DE EXCEL AVANÇADO</t>
  </si>
  <si>
    <t>02 a 09/06/2014</t>
  </si>
  <si>
    <t>2014-004</t>
  </si>
  <si>
    <t>REGIME DIFERENCIADO DE CONTRATAÇÕES PÚBLICAS - RDC</t>
  </si>
  <si>
    <t>24 e 25/06/2014</t>
  </si>
  <si>
    <t>2014-005</t>
  </si>
  <si>
    <t>ENGENHARIA ECONÔMICA I E II - CAPACITAÇÃO EM PARCERIAS PÚBLICO PRIVADAS E CONCESSÕES DE</t>
  </si>
  <si>
    <t>04 a 08/08/2014</t>
  </si>
  <si>
    <t>2014-006</t>
  </si>
  <si>
    <t>CURSO TÉCNICAS DE AUDITORIA OPERACIONAL</t>
  </si>
  <si>
    <t>10/09/2014</t>
  </si>
  <si>
    <t>2014-007</t>
  </si>
  <si>
    <t>31/10/2014</t>
  </si>
  <si>
    <t>2014-008</t>
  </si>
  <si>
    <t>PROCESSO DE CONTRATAÇÃO PÚBLICA</t>
  </si>
  <si>
    <t>10 a 14/11/2014</t>
  </si>
  <si>
    <t>2014-009</t>
  </si>
  <si>
    <t>TERMO DE REFERÊNCIA DE SERVIÇOS CONTINUADOS COM DEDICAÇÃO EXCLUSIVA DE MÃO DE OBRA</t>
  </si>
  <si>
    <t>24 a 28/11/2014</t>
  </si>
  <si>
    <t>2015-001</t>
  </si>
  <si>
    <t>1683/2015</t>
  </si>
  <si>
    <t>ELABORAÇÃO DE PARECERES E RELATÓRIOS</t>
  </si>
  <si>
    <t>23 a 27/03/2015</t>
  </si>
  <si>
    <t>José Paulo Moreira de Oliveira</t>
  </si>
  <si>
    <t>2015-002</t>
  </si>
  <si>
    <t>3716/2015</t>
  </si>
  <si>
    <t>O PROCESSO DE CONTRATAÇÃO PÚBLICA</t>
  </si>
  <si>
    <t>06 a 10/04/2015</t>
  </si>
  <si>
    <t>Amauri Alves Nery</t>
  </si>
  <si>
    <t>2015-003</t>
  </si>
  <si>
    <t>5891/2015</t>
  </si>
  <si>
    <t>AUDITORIA EM OBRAS RODOVIÁRIAS</t>
  </si>
  <si>
    <t>Elci Pessoa Júnior</t>
  </si>
  <si>
    <t>2015-004</t>
  </si>
  <si>
    <t>2515/2015</t>
  </si>
  <si>
    <t>13 a 17/04/2015</t>
  </si>
  <si>
    <t>Leonardo José Alves Leal Neri</t>
  </si>
  <si>
    <t>2015-005</t>
  </si>
  <si>
    <t>7690/2015</t>
  </si>
  <si>
    <t>FISCALIZAÇÃO DE CONTRATOS ADMINISTRATIVOS</t>
  </si>
  <si>
    <t>16, 17, 22, 23 e 24/04/2020</t>
  </si>
  <si>
    <t>2015-006</t>
  </si>
  <si>
    <t>PALESTRA CONSELHOS REGIONAIS DE SAÚDE</t>
  </si>
  <si>
    <t>N/A</t>
  </si>
  <si>
    <t/>
  </si>
  <si>
    <t>2015-007</t>
  </si>
  <si>
    <t>3481/2015</t>
  </si>
  <si>
    <t>PROCESSO NOS TRIBUNAIS DE CONTAS</t>
  </si>
  <si>
    <t>26 a 29/05/2015</t>
  </si>
  <si>
    <t>Odilon Cavallari de Oliveira</t>
  </si>
  <si>
    <t>2015-008</t>
  </si>
  <si>
    <t>5654/2015</t>
  </si>
  <si>
    <t>A NOVA CONTABILIDADE APLICADA AO SETOR PÚBLICO</t>
  </si>
  <si>
    <t>11 a 15/05/2015</t>
  </si>
  <si>
    <t>Romildo Araújo da Silva</t>
  </si>
  <si>
    <t>2015-009</t>
  </si>
  <si>
    <t>14060/2015</t>
  </si>
  <si>
    <t>TREINAMENTO DO SISTEMA TERRAGEO</t>
  </si>
  <si>
    <t>22/05/2015</t>
  </si>
  <si>
    <t>INSTRUTOR EXTERNO TERRACAP</t>
  </si>
  <si>
    <t>2015-010</t>
  </si>
  <si>
    <t>1098/2015</t>
  </si>
  <si>
    <t>EXCEL AVANÇADO</t>
  </si>
  <si>
    <t>25/05 a 01/06/2015</t>
  </si>
  <si>
    <t>Logus TI</t>
  </si>
  <si>
    <t>2015-011</t>
  </si>
  <si>
    <t>12742/2015</t>
  </si>
  <si>
    <t>TREINAMENTO SIGGO (Sistema Integrado de Contabilidade Governamental)</t>
  </si>
  <si>
    <t>08 a 12/06/2015</t>
  </si>
  <si>
    <t>Rômulo Miranda Alvim</t>
  </si>
  <si>
    <t>2015-012</t>
  </si>
  <si>
    <t>13480/2015</t>
  </si>
  <si>
    <t>GESTÃO E FISCALIZAÇÃO DE CONTRATOS ADMINISTRATIVOS - MÓDULO I</t>
  </si>
  <si>
    <t>15 a 19/06/2015</t>
  </si>
  <si>
    <t>Roberto Dias Santiago</t>
  </si>
  <si>
    <t>2015-013</t>
  </si>
  <si>
    <t>19283/2015</t>
  </si>
  <si>
    <t>SEMINÁRIO ATUALIZAÇÃO EM LEGISLAÇÃO DE PESSOAL</t>
  </si>
  <si>
    <t>05 e 07/08/2015</t>
  </si>
  <si>
    <t>Inácio Magalhães Filho</t>
  </si>
  <si>
    <t>2015-014</t>
  </si>
  <si>
    <t>22314/2015</t>
  </si>
  <si>
    <t>METODOLOGIA DE CONSTRUÇÃO E ATUALIZAÇÃO DO TESAURO DE CONTAS DO DF</t>
  </si>
  <si>
    <t>24 a 28/08/2015</t>
  </si>
  <si>
    <t>Breno</t>
  </si>
  <si>
    <t>2015-015</t>
  </si>
  <si>
    <t>17949/2015</t>
  </si>
  <si>
    <t>RESPONSABILIDADE DE AGENTES PÚBLICOS E PRIVADOS PERANTE OS TRIBUNAIS DE CONTAS</t>
  </si>
  <si>
    <t>31/08/2015 a 04/09/2015</t>
  </si>
  <si>
    <t>Aprimora Treinamentos</t>
  </si>
  <si>
    <t>2015-016</t>
  </si>
  <si>
    <t>23973/2015</t>
  </si>
  <si>
    <t>TÉCNICAS DE AUDITORIA OPERACIONAL</t>
  </si>
  <si>
    <t>14 a 18/09/2015</t>
  </si>
  <si>
    <t>Pedro Paulo Carbone; Sylvio Maestrelli; Anelise Pereira Sihler</t>
  </si>
  <si>
    <t>2015-017</t>
  </si>
  <si>
    <t>LEGISLAÇÃO DE PESSOAL NO SETOR PÚBLICO COM ENFOQUE NA LC nº 840/2011</t>
  </si>
  <si>
    <t>2015-018</t>
  </si>
  <si>
    <t>29327/2015</t>
  </si>
  <si>
    <t>CAPACITAÇÃO PARA CONSELHEIROS DE SAÚDE - Turma I</t>
  </si>
  <si>
    <t>29/09/2015 a 02/10/2015</t>
  </si>
  <si>
    <t>Romildo Araújo da Silva; Tarsila Firmino Ely</t>
  </si>
  <si>
    <t>2015-019</t>
  </si>
  <si>
    <t>30040/2015</t>
  </si>
  <si>
    <t>OFICINA DE ACCESS AVANÇADO</t>
  </si>
  <si>
    <t>05 a 09/10/2015</t>
  </si>
  <si>
    <t>Maria Aparecida Aiko Ikemura</t>
  </si>
  <si>
    <t>2015-020</t>
  </si>
  <si>
    <t>GESTÃO E FISCALIZAÇÃO DE CONTRATOS ADMINISTRATIVOS - MÓDULO II</t>
  </si>
  <si>
    <t>19 a 23/10/2015</t>
  </si>
  <si>
    <t>2015-021</t>
  </si>
  <si>
    <t>CONTRATAÇÃO DE SOLUÇÕES DE TECNOLOGIA DA INFORMAÇÃO E COMUNICAÇÃO - IN nº 04/2014</t>
  </si>
  <si>
    <t>2015-022</t>
  </si>
  <si>
    <t>CAPACITAÇÃO PARA CONSELHEIROS DE SAÚDE - Turma II</t>
  </si>
  <si>
    <t>17 a 20/11/2015</t>
  </si>
  <si>
    <t>2016-001</t>
  </si>
  <si>
    <t>13946/2016</t>
  </si>
  <si>
    <t>Sistema Channel - Turma 1</t>
  </si>
  <si>
    <t>2016-002</t>
  </si>
  <si>
    <t>Instrutoria</t>
  </si>
  <si>
    <t>2016-003</t>
  </si>
  <si>
    <t>30532/2016; 28880/2016</t>
  </si>
  <si>
    <t>Trilhas de Aprendizagem</t>
  </si>
  <si>
    <t>2016-004</t>
  </si>
  <si>
    <t>8721/2016</t>
  </si>
  <si>
    <t>Termo de Referência de Serviços Continuados com dedicação exclusiva de mão de obra</t>
  </si>
  <si>
    <t>16 a 20/05/2016</t>
  </si>
  <si>
    <t>2016-005</t>
  </si>
  <si>
    <t>16866/2016</t>
  </si>
  <si>
    <t>Workshop para prefeitos comunitários</t>
  </si>
  <si>
    <t>13/06/2016</t>
  </si>
  <si>
    <t>Paula Cobucci</t>
  </si>
  <si>
    <t>2016-006</t>
  </si>
  <si>
    <t>8195/2016</t>
  </si>
  <si>
    <t>Workshop sobre Parcerias Público-Privadas</t>
  </si>
  <si>
    <t>13 e 14/06/2016</t>
  </si>
  <si>
    <t>2016-007</t>
  </si>
  <si>
    <t>12356/2016</t>
  </si>
  <si>
    <t>Contratação Direta - Dispensa e Inexigibilidade de Licitação</t>
  </si>
  <si>
    <t>13 a 17/06/2016</t>
  </si>
  <si>
    <t>Ives Gandra da Silva Martins Filho; Pedro Jorge Simon; Antonio Renato Alves Rainha; Luiz Genédio Mendes Jorge; Henrique Moraes Ziller; Maria Rosynete de Oliveira; Eliana Calmon</t>
  </si>
  <si>
    <t>2016-008</t>
  </si>
  <si>
    <t>16351/2016</t>
  </si>
  <si>
    <t>Capacitação para Conselheiros de Saúde</t>
  </si>
  <si>
    <t>27/06/2016 a 01/07/2016</t>
  </si>
  <si>
    <t>Annibal</t>
  </si>
  <si>
    <t>2016-009</t>
  </si>
  <si>
    <t>13816/2016</t>
  </si>
  <si>
    <t>Access básico aplicado ao SIGGO</t>
  </si>
  <si>
    <t>2016-010</t>
  </si>
  <si>
    <t>15487/2016</t>
  </si>
  <si>
    <t>Acompanhamento do Orçamento Público – Jornalistas</t>
  </si>
  <si>
    <t>28/06/2016 a 30/06/2016</t>
  </si>
  <si>
    <t>Luiz Genédio Mendes Jorge</t>
  </si>
  <si>
    <t>2016-011</t>
  </si>
  <si>
    <t>14910/2016</t>
  </si>
  <si>
    <t>Curso de Educação Financeira</t>
  </si>
  <si>
    <t>20 e 21/07/2016</t>
  </si>
  <si>
    <t>BRB</t>
  </si>
  <si>
    <t>2016-012</t>
  </si>
  <si>
    <t>20995/2016</t>
  </si>
  <si>
    <t>Governança e gestão de TIC - Melhores práticas de mercado</t>
  </si>
  <si>
    <t>01 e 02/08/2016</t>
  </si>
  <si>
    <t>Everton Peixoto Correia de Assumpção</t>
  </si>
  <si>
    <t>2016-013</t>
  </si>
  <si>
    <t>13794/2016</t>
  </si>
  <si>
    <t>Oficina de Access Intermediário</t>
  </si>
  <si>
    <t>08 a 12/08/2016</t>
  </si>
  <si>
    <t>Josdeyvi Magalhães Russi</t>
  </si>
  <si>
    <t>2016-014</t>
  </si>
  <si>
    <t>13832/2016</t>
  </si>
  <si>
    <t>Elaboração de Relatórios e Pareceres com base no manual de redação do Tribunal de Contas do Distrito Federal - Turma 1</t>
  </si>
  <si>
    <t>15 a 19/08/2016</t>
  </si>
  <si>
    <t>Pedro Paulo Carbone; Sylvio Maestrelli</t>
  </si>
  <si>
    <t>2016-015</t>
  </si>
  <si>
    <t>23447/2016</t>
  </si>
  <si>
    <t>Processo de Contratação Pública na área de Saúde – Termos de Referência</t>
  </si>
  <si>
    <t>Tarsila Firmino Ely; Romildo Araújo da Silva; Luiz Eduardo Costa</t>
  </si>
  <si>
    <t>2016-016</t>
  </si>
  <si>
    <t>2251/2016</t>
  </si>
  <si>
    <t>XXII SEMAT</t>
  </si>
  <si>
    <t>31/08 a 01/09/2016</t>
  </si>
  <si>
    <t>2016-017</t>
  </si>
  <si>
    <t>24427/2016</t>
  </si>
  <si>
    <t>Gestão de Processos</t>
  </si>
  <si>
    <t>12 a 16/09/2016</t>
  </si>
  <si>
    <t>2016-018</t>
  </si>
  <si>
    <t>26365/2016</t>
  </si>
  <si>
    <t>Orçamento Público</t>
  </si>
  <si>
    <t>19 a 23/09/2016</t>
  </si>
  <si>
    <t>2016-019</t>
  </si>
  <si>
    <t>3169/2016</t>
  </si>
  <si>
    <t>Gestão e fiscalização de contratos adm. - M1, Turma 1</t>
  </si>
  <si>
    <t>2016-020</t>
  </si>
  <si>
    <t>Gestão e fiscalização de contratos adm. - M2, Turma 1</t>
  </si>
  <si>
    <t>2016-021</t>
  </si>
  <si>
    <t>26373/2016</t>
  </si>
  <si>
    <t>Regime Próprio de Previdência Social</t>
  </si>
  <si>
    <t>03 a 07/10/2016</t>
  </si>
  <si>
    <t>Michel Martins de Morais</t>
  </si>
  <si>
    <t>2016-022</t>
  </si>
  <si>
    <t>18508/2016</t>
  </si>
  <si>
    <t>Como elaborar a planilha de formação de preços da IN nº 02/08 e como julgar a licitação para a contratação dos serviços contínuos</t>
  </si>
  <si>
    <t>17 a 19/10/2016</t>
  </si>
  <si>
    <t>2016-023</t>
  </si>
  <si>
    <t>30532/2016</t>
  </si>
  <si>
    <t>Aprendizagem Organizacional</t>
  </si>
  <si>
    <t>20, 21, 24, 27 e 28/10/2016</t>
  </si>
  <si>
    <t>2016-024</t>
  </si>
  <si>
    <t>28597/2016</t>
  </si>
  <si>
    <t>Contratação de TI com base na jurisprudência do TCDF</t>
  </si>
  <si>
    <t>24 a 26/10/2016</t>
  </si>
  <si>
    <t>Marcelo Oliveira Vasconcelos</t>
  </si>
  <si>
    <t>2016-025</t>
  </si>
  <si>
    <t>29925/2016</t>
  </si>
  <si>
    <t>Excel Avançado</t>
  </si>
  <si>
    <t>07 a 11/11/2016</t>
  </si>
  <si>
    <t>2016-026</t>
  </si>
  <si>
    <t>30869/2016</t>
  </si>
  <si>
    <t>Legislação de Pessoal no Setor Público com enfoque na LC 840/2011</t>
  </si>
  <si>
    <t>Sebastião Cal de Miranda</t>
  </si>
  <si>
    <t>2016-027</t>
  </si>
  <si>
    <t>30354/2016</t>
  </si>
  <si>
    <t>Elaboração de Relatórios e Pareceres com base no Manual de Redação Oficial do TCDF - Turma 2</t>
  </si>
  <si>
    <t>21, 22, 23, 24 e 28/11/2016</t>
  </si>
  <si>
    <t>2016-028</t>
  </si>
  <si>
    <t>9272/2016</t>
  </si>
  <si>
    <t>Gestão e fiscalização de contratos adm. - M2, Turma 2</t>
  </si>
  <si>
    <t>21 a 25/11/2016</t>
  </si>
  <si>
    <t>2016-029</t>
  </si>
  <si>
    <t>Gestão e fiscalização de contratos adm. - M1, Turma 2</t>
  </si>
  <si>
    <t>2016-030</t>
  </si>
  <si>
    <t>32080/2016</t>
  </si>
  <si>
    <t>Contratação e Fiscalização de Obras Públicas - Aspectos Polêmicos</t>
  </si>
  <si>
    <t>05 a 07/12/2016</t>
  </si>
  <si>
    <t>2017-001</t>
  </si>
  <si>
    <t>Instrutoria - Turma 2</t>
  </si>
  <si>
    <t>06, 07, 08, 20 e 21/02/2017</t>
  </si>
  <si>
    <t>2017-002</t>
  </si>
  <si>
    <t>Tutoria em EAD</t>
  </si>
  <si>
    <t>06 e 31/03/2017</t>
  </si>
  <si>
    <t>2017-003</t>
  </si>
  <si>
    <t>3164/2017</t>
  </si>
  <si>
    <t>Gestão e Fiscalização de Contratos Adm. - M1</t>
  </si>
  <si>
    <t>13 a 17/03/2017</t>
  </si>
  <si>
    <t>2017-004</t>
  </si>
  <si>
    <t>2265/2017</t>
  </si>
  <si>
    <t>Excel Avançado - I</t>
  </si>
  <si>
    <t>20 a 24/03/2017</t>
  </si>
  <si>
    <t>2017-005</t>
  </si>
  <si>
    <t>4730/2017</t>
  </si>
  <si>
    <t>Gestão e Fiscalização de Contratos - Serviços</t>
  </si>
  <si>
    <t>27 a 31/03/2017</t>
  </si>
  <si>
    <t>2017-006</t>
  </si>
  <si>
    <t>3784/2017</t>
  </si>
  <si>
    <t>Regime Próprio da Previdência</t>
  </si>
  <si>
    <t>2017-007</t>
  </si>
  <si>
    <t>997/2017</t>
  </si>
  <si>
    <t>Formulação e Avaliação de Políticas Públicas com foco no Controle Externo</t>
  </si>
  <si>
    <t>03 a 07/04/2017</t>
  </si>
  <si>
    <t>Pedro Luiz Costa Cavalcante</t>
  </si>
  <si>
    <t>2017-008</t>
  </si>
  <si>
    <t>Gestão e Fiscalização de Contratos Adm. - M2</t>
  </si>
  <si>
    <t>24 a 28/04/2017</t>
  </si>
  <si>
    <t>2017-009</t>
  </si>
  <si>
    <t>30532/2017</t>
  </si>
  <si>
    <t>Instrutoria - Turma 3</t>
  </si>
  <si>
    <t>2017-010</t>
  </si>
  <si>
    <t>13946/2017</t>
  </si>
  <si>
    <t>Sistema Channel - Turma 2</t>
  </si>
  <si>
    <t>2017-011</t>
  </si>
  <si>
    <t>8964/2017</t>
  </si>
  <si>
    <t>Excel Avançado - II</t>
  </si>
  <si>
    <t>08 a 12/05/2017</t>
  </si>
  <si>
    <t>2017-012</t>
  </si>
  <si>
    <t>2001/2017</t>
  </si>
  <si>
    <t>Processo nos Tribunais de Contas: Acusação, Contraditório, Julgamento e Recursos</t>
  </si>
  <si>
    <t>15 a 19/05/2017</t>
  </si>
  <si>
    <t>2017-013</t>
  </si>
  <si>
    <t>6120/2017</t>
  </si>
  <si>
    <t>Capacitação para Conselheiros de Cultura</t>
  </si>
  <si>
    <t>22 a 26/05/2017</t>
  </si>
  <si>
    <t>Carlos Augusto Pereira da Silva</t>
  </si>
  <si>
    <t>2017-014</t>
  </si>
  <si>
    <t>11354/2017</t>
  </si>
  <si>
    <t>Legislação de Pessoal no Setor Público, com enfoque na LC 840/2011</t>
  </si>
  <si>
    <t>2017-015</t>
  </si>
  <si>
    <t>11460/2017</t>
  </si>
  <si>
    <t>Tomada de Contas Especial</t>
  </si>
  <si>
    <t>25 e 26/05/2017</t>
  </si>
  <si>
    <t>Guilherme Henrique De La Rocque Almeida</t>
  </si>
  <si>
    <t>2017-016</t>
  </si>
  <si>
    <t>4675/2017</t>
  </si>
  <si>
    <t>Oratória - Turma 1</t>
  </si>
  <si>
    <t>25 a 26/05/2017</t>
  </si>
  <si>
    <t>2017-017</t>
  </si>
  <si>
    <t>14086/2017</t>
  </si>
  <si>
    <t>Contratação de Soluções de Tecnologia da Informação e Comunicação - TIC - T.1</t>
  </si>
  <si>
    <t>26 a 29/05/2017</t>
  </si>
  <si>
    <t>Roberto Ellery; Marcos Mendes; Maria Lúcia Fattorelli; Fábio Henrique Granja e Barros; Adler Anaximandro de Cruz e Alves; Daniel Soares Godoi Gomes de Oliveira; Samy Dana</t>
  </si>
  <si>
    <t>2017-018</t>
  </si>
  <si>
    <t>Oratória - Turma 2</t>
  </si>
  <si>
    <t>05 a 09/06/2017</t>
  </si>
  <si>
    <t>2017-019</t>
  </si>
  <si>
    <t>7690/2017</t>
  </si>
  <si>
    <t>PPP - Análise Econômica e Financeira no Excel</t>
  </si>
  <si>
    <t>19 a 23/06/2017</t>
  </si>
  <si>
    <t>Orivam Ibiapina da Silva</t>
  </si>
  <si>
    <t>2017-020</t>
  </si>
  <si>
    <t>13128/2017</t>
  </si>
  <si>
    <t>Capacitação Especial para Promoção Funcional</t>
  </si>
  <si>
    <t>23/06 a 16/08/2017</t>
  </si>
  <si>
    <t>2017-021</t>
  </si>
  <si>
    <t>4764/2017</t>
  </si>
  <si>
    <t>26 a 30/06/2017</t>
  </si>
  <si>
    <t>2017-022</t>
  </si>
  <si>
    <t>12741/2017</t>
  </si>
  <si>
    <t>Planilha de Terceirização de Mão de Obra - T.1</t>
  </si>
  <si>
    <t>2017-023</t>
  </si>
  <si>
    <t>14060/2017</t>
  </si>
  <si>
    <t>03 a 07/07/2017</t>
  </si>
  <si>
    <t>2017-024</t>
  </si>
  <si>
    <t>20884/2017</t>
  </si>
  <si>
    <t>Planilha de Terceirização de Mão de Obra - T.2</t>
  </si>
  <si>
    <t>24 a 28/07/2017</t>
  </si>
  <si>
    <t>2017-025</t>
  </si>
  <si>
    <t>13098/2017</t>
  </si>
  <si>
    <t>Excel Avançado - III</t>
  </si>
  <si>
    <t>21 a 25/08/2017</t>
  </si>
  <si>
    <t>2017-026</t>
  </si>
  <si>
    <t>3199/2017</t>
  </si>
  <si>
    <t>XXIII SEMAT</t>
  </si>
  <si>
    <t>29 e 30/08/2017</t>
  </si>
  <si>
    <t>2017-027</t>
  </si>
  <si>
    <t>24014/2017</t>
  </si>
  <si>
    <t>Contratação Direta - Dispensa e Inexigibilidade de Licitação sob o enfoque da Lei n° 8666/1993</t>
  </si>
  <si>
    <t>11 a 15/09/2017</t>
  </si>
  <si>
    <t>2017-028</t>
  </si>
  <si>
    <t>26440/2017</t>
  </si>
  <si>
    <t>Lei das Estatais</t>
  </si>
  <si>
    <t>25 a 29/09/2017</t>
  </si>
  <si>
    <t>2017-029</t>
  </si>
  <si>
    <t>25185/2017</t>
  </si>
  <si>
    <t>Impactos do Novo Sicro no Orçamento de Obras Rodoviárias</t>
  </si>
  <si>
    <t>17 a 18/10/2017</t>
  </si>
  <si>
    <t>2017-030</t>
  </si>
  <si>
    <t>29563/2017</t>
  </si>
  <si>
    <t>Boas Práticas para uma Atuação Eficiente dos Executores de Contratos Administrativos</t>
  </si>
  <si>
    <t>23 a 27/10/2017</t>
  </si>
  <si>
    <t>Clarice Calixto; Hernane Gomes; Raquel Carvalho</t>
  </si>
  <si>
    <t>2017-031</t>
  </si>
  <si>
    <t>17964/2017</t>
  </si>
  <si>
    <t>Regularidade nos Processo de Aquisição / Manutenção de Equipamentos médico-hospitalares – Termos de Referência</t>
  </si>
  <si>
    <t>Tarsila Firmino Ely; Luiz Eduardo Costa</t>
  </si>
  <si>
    <t>2017-032</t>
  </si>
  <si>
    <t>31223/2017</t>
  </si>
  <si>
    <t>Contratação de Soluções de Tecnologia da Informação e Comunicação - TIC - T.2</t>
  </si>
  <si>
    <t>06 a 09/11/2017</t>
  </si>
  <si>
    <t>Adinor Bedritichuk Junior; Everton Peixoto Correia de Assumpção; Flávio José Fonseca de Souza</t>
  </si>
  <si>
    <t>2018-001</t>
  </si>
  <si>
    <t>5529/2018</t>
  </si>
  <si>
    <t>20 e 21/03/2018</t>
  </si>
  <si>
    <t>Tarsila Firmino Ely</t>
  </si>
  <si>
    <t>2018-002</t>
  </si>
  <si>
    <t>13475/2018</t>
  </si>
  <si>
    <t>SAS aplicado ao Controle Externo (Turma 2)</t>
  </si>
  <si>
    <t>02 a 06/04/2018</t>
  </si>
  <si>
    <t>2018-003</t>
  </si>
  <si>
    <t>6835/2018</t>
  </si>
  <si>
    <t>Gestão e Fiscalização de Contratos Adm. - M1, Turma 1</t>
  </si>
  <si>
    <t>09 a 13/04/2018</t>
  </si>
  <si>
    <t>2018-004</t>
  </si>
  <si>
    <t>25059/2016</t>
  </si>
  <si>
    <t>Oficina de SAS</t>
  </si>
  <si>
    <t>2018-005</t>
  </si>
  <si>
    <t>6797/2018</t>
  </si>
  <si>
    <t>Oratória e Técnicas de Apresentação Corporativa (Turma 1)</t>
  </si>
  <si>
    <t>07, 08, 09 e 11/05/2018</t>
  </si>
  <si>
    <t>2018-006</t>
  </si>
  <si>
    <t>8374/2018</t>
  </si>
  <si>
    <t>SAS aplicado ao Controle Externo (Turma 1)</t>
  </si>
  <si>
    <t>14 a 18/05/2018</t>
  </si>
  <si>
    <t>2018-007</t>
  </si>
  <si>
    <t>10824/2018</t>
  </si>
  <si>
    <t>Parcerias do Estado com a Sociedade Civil e Inovações do Regime do MROSC</t>
  </si>
  <si>
    <t>04 a 08/06/2018</t>
  </si>
  <si>
    <t>2018-008</t>
  </si>
  <si>
    <t>SAS aplicado ao Controle Externo (Turma 3)</t>
  </si>
  <si>
    <t>2018-009</t>
  </si>
  <si>
    <t>12428/2018</t>
  </si>
  <si>
    <t>As novas regras quanto ao planejamento, a gestão e a fiscalização administrativa dos contratos de prestação de serviços estabelecidos pela Instrução Normativa nº 5/2017</t>
  </si>
  <si>
    <t>11 e 15/06/2018</t>
  </si>
  <si>
    <t>2018-010</t>
  </si>
  <si>
    <t>14056/2018</t>
  </si>
  <si>
    <t>Legislação de Pessoal no Setor Público, com enfoque na LC nº 840/2011</t>
  </si>
  <si>
    <t>18 a 22/06/2018</t>
  </si>
  <si>
    <t>2018-011</t>
  </si>
  <si>
    <t>13920/2018</t>
  </si>
  <si>
    <t>eSocial, EFD-Reinf e Retenções Sobre Bens e Serviços</t>
  </si>
  <si>
    <t>21, 25 e 26/06/2018</t>
  </si>
  <si>
    <t>2018-012</t>
  </si>
  <si>
    <t>16776/2018</t>
  </si>
  <si>
    <t>Gestão e Controle de Conta Vinculada aos Contratos de Terceirização</t>
  </si>
  <si>
    <t>16 a 20/07/2018</t>
  </si>
  <si>
    <t>Paola Karina de Barron Sales</t>
  </si>
  <si>
    <t>2018-013</t>
  </si>
  <si>
    <t>Oratória e Técnicas de Apresentação Corporativa (Turma 2)</t>
  </si>
  <si>
    <t>13, 14, 15 e 17/08/2018</t>
  </si>
  <si>
    <t>2018-014</t>
  </si>
  <si>
    <t>4085/2018</t>
  </si>
  <si>
    <t>XXIV SEMAT</t>
  </si>
  <si>
    <t>21 e 22/08/2018</t>
  </si>
  <si>
    <t>Diversos</t>
  </si>
  <si>
    <t>2018-015</t>
  </si>
  <si>
    <t>Entendendo a planilha de custos e formação de preços da IN 5/2017: Abordagem prática - impactos da reforma trabalhista</t>
  </si>
  <si>
    <t>27 e 31/08/2018</t>
  </si>
  <si>
    <t>Erivan Pereira de Franca</t>
  </si>
  <si>
    <t>2018-016</t>
  </si>
  <si>
    <t>25350/2018</t>
  </si>
  <si>
    <t>Lançamento do Programa - palestra in company “Liderança para um novo tempo”</t>
  </si>
  <si>
    <t>31/08/2018</t>
  </si>
  <si>
    <t>Leandro Karnal</t>
  </si>
  <si>
    <t>2018-017</t>
  </si>
  <si>
    <t>19082/2018</t>
  </si>
  <si>
    <t>Programa de Desenvolvimento Gerencial - Ciclo Básico</t>
  </si>
  <si>
    <t>26/09 a 20/11/2018</t>
  </si>
  <si>
    <t>Luiz Genédio Mendes Jorge; Paulo Cavalcanti de Oliveira; Igor Vidal e Suely e Paula Cobucci</t>
  </si>
  <si>
    <t>2018-018</t>
  </si>
  <si>
    <t>25422/2018</t>
  </si>
  <si>
    <t>Palestras complementares (24 de outubro): “Fazendo a inovação acontecer nas organizações” &amp; “Gestor criativo e o uso das novas tecnologias”</t>
  </si>
  <si>
    <t>24/10/2018</t>
  </si>
  <si>
    <t>Luis Rasquilhas e Rivadavia Drummond</t>
  </si>
  <si>
    <t>2018-019</t>
  </si>
  <si>
    <t>31678/2018</t>
  </si>
  <si>
    <t>Atualização em Secretariado Executivo no TCDF</t>
  </si>
  <si>
    <t>19 a 21/11/2018</t>
  </si>
  <si>
    <t>David Pereira Pires Filho; Mônica Gomes da Silva Cardoso; Polyana Mota Resende Brant</t>
  </si>
  <si>
    <t>2018-020</t>
  </si>
  <si>
    <t>Palestras complementares (27 de novembro): “Gente de resultado – como construir equipes de alto desempenho” &amp; “O que os palcos não contam: sonhos, foco, resiliência, suor e gratidão”</t>
  </si>
  <si>
    <t>27/11/2018</t>
  </si>
  <si>
    <t>Eduardo Ferraz e Léo Chaves</t>
  </si>
  <si>
    <t>2018-021</t>
  </si>
  <si>
    <t>32569/2018</t>
  </si>
  <si>
    <t>Workshop Secretariado</t>
  </si>
  <si>
    <t>03/12/2018</t>
  </si>
  <si>
    <t>Cinthia Thais de Carvalho Luz Thomazi; David da Silva de Araujo</t>
  </si>
  <si>
    <t>2019-001</t>
  </si>
  <si>
    <t>4080/2019</t>
  </si>
  <si>
    <t>Promoção Funcional - Auditores - Turma 1</t>
  </si>
  <si>
    <t>18/03 a 09/09/2019</t>
  </si>
  <si>
    <t>Francisco Antonio Alves de Souza</t>
  </si>
  <si>
    <t>2019-002</t>
  </si>
  <si>
    <t>4951/2019</t>
  </si>
  <si>
    <t>Concessões, PPPs e Regulação de Serviços Públicos na Prática</t>
  </si>
  <si>
    <t>22/03 a 16/04/2019</t>
  </si>
  <si>
    <t>Adalberto Santos de Vasconcelos</t>
  </si>
  <si>
    <t>2019-003</t>
  </si>
  <si>
    <t>3777/2019</t>
  </si>
  <si>
    <t>Promoção Funcional - Analistas e Técnicos - Turma 1</t>
  </si>
  <si>
    <t>25/03 a 20/09/2019</t>
  </si>
  <si>
    <t>Hanna Gabriela Lucena de Barron</t>
  </si>
  <si>
    <t>2019-004</t>
  </si>
  <si>
    <t>6873/2019</t>
  </si>
  <si>
    <t>Noções Básicas de Auditoria e Acompanhamento - Turma 1</t>
  </si>
  <si>
    <t>22, 26 e 30/04/2019</t>
  </si>
  <si>
    <t>2019-005</t>
  </si>
  <si>
    <t>8493/2019</t>
  </si>
  <si>
    <t>Curso Encontro com Novos Gestores - Turma 1</t>
  </si>
  <si>
    <t>23/04/2019</t>
  </si>
  <si>
    <t>Agnaldo Moreira Marques; Humberto de Souza Ferro Junior; Roberto Dias Santiago; Romildo Araújo da Silva</t>
  </si>
  <si>
    <t>2019-006</t>
  </si>
  <si>
    <t>Noções Básicas de Auditoria e Acompanhamento - Turma 2</t>
  </si>
  <si>
    <t>13, 14 e 17/05/2019</t>
  </si>
  <si>
    <t>Agnaldo Moreira Marques; Alexandre Pedrosa Pinheiro; Antonio Alexandre do Nascimento Filho; Cinthia Thais de Carvalho Luz Thomazi; Davi Assunção Salvador Nery de Castro; David da Silva de Araujo; Francisco Antonio Alves de Souza; Gabriel Heller; Luiz Genédio Mendes Jorge; Marcos Aurelio dos Santos; Rômulo Miranda Alvim</t>
  </si>
  <si>
    <t>2019-007</t>
  </si>
  <si>
    <t>Curso Encontro com Novos Gestores - Turma 2</t>
  </si>
  <si>
    <t>20/05/2019</t>
  </si>
  <si>
    <t>2019-008</t>
  </si>
  <si>
    <t>Curso Encontro com Novos Gestores - Turma 3</t>
  </si>
  <si>
    <t>21/05/2019</t>
  </si>
  <si>
    <t>2019-009</t>
  </si>
  <si>
    <t>11000/2019</t>
  </si>
  <si>
    <t>Documentação de Auditoria - Turma 1</t>
  </si>
  <si>
    <t>21 e 23/05/2019</t>
  </si>
  <si>
    <t>Cinthia Thais de Carvalho Luz Thomazi;David da Silva de Araujo</t>
  </si>
  <si>
    <t>2019-010</t>
  </si>
  <si>
    <t>10489/2019</t>
  </si>
  <si>
    <t>Matriz de Responsabilização - Turma 1</t>
  </si>
  <si>
    <t>22, 24 e 29/05/2019</t>
  </si>
  <si>
    <t>Gabriel Heller</t>
  </si>
  <si>
    <t>2019-011</t>
  </si>
  <si>
    <t>11663/2019</t>
  </si>
  <si>
    <t>SAS Área Meio</t>
  </si>
  <si>
    <t>27/05 a 03/06/2019</t>
  </si>
  <si>
    <t>Frederico Nardotto</t>
  </si>
  <si>
    <t>2019-012</t>
  </si>
  <si>
    <t>Matriz de Responsabilização - Turma 2</t>
  </si>
  <si>
    <t>06, 07e 10/06/2019</t>
  </si>
  <si>
    <t>2019-013</t>
  </si>
  <si>
    <t>Documentação de Auditoria - Turma 2</t>
  </si>
  <si>
    <t>17 e 19/06/2019</t>
  </si>
  <si>
    <t>2019-014</t>
  </si>
  <si>
    <t>Curso Encontro com Novos Gestores - Turma 4</t>
  </si>
  <si>
    <t>18/06/2019</t>
  </si>
  <si>
    <t>2019-015</t>
  </si>
  <si>
    <t>Matriz de Responsabilização - Turma 3</t>
  </si>
  <si>
    <t>27/06 a 05/07/2019</t>
  </si>
  <si>
    <t>2019-016</t>
  </si>
  <si>
    <t>13550/2019</t>
  </si>
  <si>
    <t>Oficina de Amostragem em Auditoria - Turma 1</t>
  </si>
  <si>
    <t>01, 04e 08/07/2019</t>
  </si>
  <si>
    <t>Carlos Alberto Cascão Junior</t>
  </si>
  <si>
    <t>2019-017</t>
  </si>
  <si>
    <t>12503/2019</t>
  </si>
  <si>
    <t>Gestão e Controle da Conta Vinculada aos Contratos de Terceirização - Turma 1</t>
  </si>
  <si>
    <t>08, 09, 10 e 11/07/2019</t>
  </si>
  <si>
    <t>2019-018</t>
  </si>
  <si>
    <t>13682/2019</t>
  </si>
  <si>
    <t>SISAUDIT - Turma 1</t>
  </si>
  <si>
    <t>12 e 15/07/2019</t>
  </si>
  <si>
    <t>Suely Cobucci; David Pereira Pires Filho; Mônica Gomes da Silva; Polyana Mota Resende</t>
  </si>
  <si>
    <t>2019-019</t>
  </si>
  <si>
    <t>SISAUDIT T2</t>
  </si>
  <si>
    <t>01 e 06/08/2019</t>
  </si>
  <si>
    <t>Davi Assunção Salvador Nery de Castro</t>
  </si>
  <si>
    <t>2019-020</t>
  </si>
  <si>
    <t>Oficina de Amostragem em Auditoria - Turma 2</t>
  </si>
  <si>
    <t>13, 15 e 20/08/2019</t>
  </si>
  <si>
    <t>2019-021</t>
  </si>
  <si>
    <t>3890/2019</t>
  </si>
  <si>
    <t>XXV SEMAT</t>
  </si>
  <si>
    <t>19 e 21/08/2019</t>
  </si>
  <si>
    <t>Luiz Genédio Mendes Jorge; Silvio César da Silva Lima; André Luís de Carvalho; Marcos Felipe Pinheiro Lima; Regina Célia Dias; Adler Anaximandro de Cruz e Alves; Inácio Magalhães Filho</t>
  </si>
  <si>
    <t>2019-022</t>
  </si>
  <si>
    <t>Gestão e Controle da Conta Vinculada aos Contratos de Terceirização - Turma 2</t>
  </si>
  <si>
    <t>26, 27, 28 e 29/08/2019</t>
  </si>
  <si>
    <t>2019-023</t>
  </si>
  <si>
    <t>14719/2019</t>
  </si>
  <si>
    <t>Oratória</t>
  </si>
  <si>
    <t>26/08 a 29/09/2019</t>
  </si>
  <si>
    <t>Daniel</t>
  </si>
  <si>
    <t>2019-024</t>
  </si>
  <si>
    <t>Promoção Funcional - Auditores - Turma 2</t>
  </si>
  <si>
    <t>02, 03, 04, 05e 09/09/2019</t>
  </si>
  <si>
    <t>2019-025</t>
  </si>
  <si>
    <t>Promoção Funcional - Analistas e Técnicos - Turma 2</t>
  </si>
  <si>
    <t>11, 13, 16, 17 e 20/09/2019</t>
  </si>
  <si>
    <t>2019-026</t>
  </si>
  <si>
    <t>15332/2019</t>
  </si>
  <si>
    <t>Gestão Emocional e Relacionamentos Interpessoais</t>
  </si>
  <si>
    <t>11/09 a 09/10/2019</t>
  </si>
  <si>
    <t>2019-027</t>
  </si>
  <si>
    <t>14069/2019; 20174/2019</t>
  </si>
  <si>
    <t>Secretariado Executivo e Assessoria em face dos novos desafios da Administração Pública</t>
  </si>
  <si>
    <t>16, 18, 19 e 20/09/2019</t>
  </si>
  <si>
    <t>2019-028</t>
  </si>
  <si>
    <t>Matriz de Responsabilização - Turma 4</t>
  </si>
  <si>
    <t>18, 20 e 23/09/2019</t>
  </si>
  <si>
    <t>2019-029</t>
  </si>
  <si>
    <t>18528/2019</t>
  </si>
  <si>
    <t>Planilhas de Terceirização de Mão de Obra</t>
  </si>
  <si>
    <t>23, 24, 25, 26 e 27/09/2019</t>
  </si>
  <si>
    <t>2019-030</t>
  </si>
  <si>
    <t>20034/2019</t>
  </si>
  <si>
    <t>Elaboração de Ementas</t>
  </si>
  <si>
    <t>01, 02e 03/10/2019</t>
  </si>
  <si>
    <t>Guilherme Barbosa Neto</t>
  </si>
  <si>
    <t>2019-031</t>
  </si>
  <si>
    <t>Gestão e Controle da Conta Vinculada aos Contratos de Terceirização - Turma 3</t>
  </si>
  <si>
    <t>07, 08, 09e 10/10/2019</t>
  </si>
  <si>
    <t>2019-032</t>
  </si>
  <si>
    <t>Experiência do STF com Sustentabilidade</t>
  </si>
  <si>
    <t>11/10/2019</t>
  </si>
  <si>
    <t>2019-033</t>
  </si>
  <si>
    <t>23190/2019</t>
  </si>
  <si>
    <t>WordPress - Turma 1</t>
  </si>
  <si>
    <t>14, 16 e 18/10/2019</t>
  </si>
  <si>
    <t>Ednaldo Ramos de Souza</t>
  </si>
  <si>
    <t>2019-034</t>
  </si>
  <si>
    <t>Curso Encontro com Novos Gestores - Turma 5</t>
  </si>
  <si>
    <t>29/10/2019</t>
  </si>
  <si>
    <t>Agnaldo Moreira Marques;Roberto Dias Santiago</t>
  </si>
  <si>
    <t>2019-035</t>
  </si>
  <si>
    <t>Curso Encontro com Novos Gestores - Turma 6</t>
  </si>
  <si>
    <t>05/11/2019</t>
  </si>
  <si>
    <t>2019-036</t>
  </si>
  <si>
    <t>Oficina de Amostragem em Auditoria - Turma 3</t>
  </si>
  <si>
    <t>05, 07, 11 e 19/11/2019</t>
  </si>
  <si>
    <t>2019-037</t>
  </si>
  <si>
    <t>WordPress - Turma 2</t>
  </si>
  <si>
    <t>18, 20 e 22/11/2019</t>
  </si>
  <si>
    <t>2019-038</t>
  </si>
  <si>
    <t>24013/2019</t>
  </si>
  <si>
    <t>Curso Prático para executores de contrato - Turma 1</t>
  </si>
  <si>
    <t>19, 21, 25, 27 e 29/11/2019</t>
  </si>
  <si>
    <t>Paola Karina de Barron Sales; Fernanda Viana de Souza; Cleusa Martins Pitanga</t>
  </si>
  <si>
    <t>2019-039</t>
  </si>
  <si>
    <t>24943/2019</t>
  </si>
  <si>
    <t>Previdência Complementar: migrar ou não migrar?</t>
  </si>
  <si>
    <t>26/11/2019</t>
  </si>
  <si>
    <t>Daniel Soares Godoi Gomes de Oliveira</t>
  </si>
  <si>
    <t>2019-040</t>
  </si>
  <si>
    <t>Curso Prático para executores de contrato - Turma 2</t>
  </si>
  <si>
    <t>02, 04, 06, 10 e 12/12/2019</t>
  </si>
  <si>
    <t>2020-001</t>
  </si>
  <si>
    <t>1389/2020</t>
  </si>
  <si>
    <t>Encontro com boas práticas: Gestão estratégica, gestão de processos, gestão de riscos e os desafios enfrentados na implementação dessas práticas no STF</t>
  </si>
  <si>
    <t>24/01/2020</t>
  </si>
  <si>
    <t>Andreia Silva Rego</t>
  </si>
  <si>
    <t>2020-002</t>
  </si>
  <si>
    <t>890/2020</t>
  </si>
  <si>
    <t>Excel Básico</t>
  </si>
  <si>
    <t>27 a 31/01/2020</t>
  </si>
  <si>
    <t>Raul Carvalho</t>
  </si>
  <si>
    <t>2020-003</t>
  </si>
  <si>
    <t>224644/2019</t>
  </si>
  <si>
    <t>Desenvolver competências gerenciais garante a efetividade de equipes?</t>
  </si>
  <si>
    <t>29/01/2020</t>
  </si>
  <si>
    <t>Marcela Guimarães</t>
  </si>
  <si>
    <t>2020-004</t>
  </si>
  <si>
    <t>8170/2020</t>
  </si>
  <si>
    <t>Fórum Nacional de Auditoria</t>
  </si>
  <si>
    <t>04 e 05/03/2020</t>
  </si>
  <si>
    <t>2020-005</t>
  </si>
  <si>
    <t>Excel Intermediário</t>
  </si>
  <si>
    <t>09/03 a 30/04/2020</t>
  </si>
  <si>
    <t>2020-006</t>
  </si>
  <si>
    <t>3152/2020</t>
  </si>
  <si>
    <t>Análise econômico-financeira de concessões, PPP e privatizações</t>
  </si>
  <si>
    <t>06, 07, 08, 13, 14, 15, 16, 17, 20 e 22/04/2020</t>
  </si>
  <si>
    <t>Orivam Ibiapina da Silva; Henrique Eduardo de Oliveira</t>
  </si>
  <si>
    <t>2020-007</t>
  </si>
  <si>
    <t>2903/2020</t>
  </si>
  <si>
    <t>Noções Básicas de Bancos de Dados Relacionais e Linguagem SQL</t>
  </si>
  <si>
    <t>20, 22, 23 e 24/04/2020</t>
  </si>
  <si>
    <t>2020-008</t>
  </si>
  <si>
    <t>863/2020</t>
  </si>
  <si>
    <t>Palestra "Ansiedade em tempos de pandemia: do medo à esperança"</t>
  </si>
  <si>
    <t>15/05/2020</t>
  </si>
  <si>
    <t>2020-009</t>
  </si>
  <si>
    <t>618/2020</t>
  </si>
  <si>
    <t>Excel Básico - turma 2</t>
  </si>
  <si>
    <t>18 a 26/05/2020</t>
  </si>
  <si>
    <t>2020-010</t>
  </si>
  <si>
    <t>Palestra "Motivação em tempos de pandemia: a experiência da crise"</t>
  </si>
  <si>
    <t>29/05/2020</t>
  </si>
  <si>
    <t>Isac Mendes Caixeta de Pamplona Araújo</t>
  </si>
  <si>
    <t>2020-011</t>
  </si>
  <si>
    <t>Encontro com boas práticas - A Experiência do STF com Gestão de Risco</t>
  </si>
  <si>
    <t>05/06/2020</t>
  </si>
  <si>
    <t>2020-012</t>
  </si>
  <si>
    <t>8677/2020</t>
  </si>
  <si>
    <t>Oficina de Amostragem - Parte 1</t>
  </si>
  <si>
    <t>08, 09, 10 e 12/06/2020</t>
  </si>
  <si>
    <t>2020-013</t>
  </si>
  <si>
    <t>3608/2020</t>
  </si>
  <si>
    <t>Power BI</t>
  </si>
  <si>
    <t>15, 17, 19, 22 e 24/06/2020</t>
  </si>
  <si>
    <t>2020-014</t>
  </si>
  <si>
    <t>2579/2020</t>
  </si>
  <si>
    <t>Palestra "Estratégias para Fiscalização de PPPs e Concessões"</t>
  </si>
  <si>
    <t>16/06/2020</t>
  </si>
  <si>
    <t>Airton Roberto Rehbein</t>
  </si>
  <si>
    <t>2020-015</t>
  </si>
  <si>
    <t>Palestra "Concessão de Estacionamento Rotativo - Caso do TCE-RS"</t>
  </si>
  <si>
    <t>30/06/2020</t>
  </si>
  <si>
    <t>2020-016</t>
  </si>
  <si>
    <t>Palestra "Concessão de Estacionamento Rotativo - Caso do TCE-SC"</t>
  </si>
  <si>
    <t>07/07/2020</t>
  </si>
  <si>
    <t>Azor El Achkar</t>
  </si>
  <si>
    <t>2020-017</t>
  </si>
  <si>
    <t>Palestra "Experiência do TCE-BA com a PPP do VLT"</t>
  </si>
  <si>
    <t>04/08/2020</t>
  </si>
  <si>
    <t>Bruno Mascarenhas da Silveira Ventim e Márcio Maia Valois Costa</t>
  </si>
  <si>
    <t>2020-018</t>
  </si>
  <si>
    <t>Palestra "Experiência do TCM-RJ com a PPP do VLT"</t>
  </si>
  <si>
    <t>11/08/2020</t>
  </si>
  <si>
    <t>Rodrigo Eugênio da Silva</t>
  </si>
  <si>
    <t>2020-019</t>
  </si>
  <si>
    <t>3653/2020</t>
  </si>
  <si>
    <t>"Auditoria e Perícia em Custos de Obras Públicas"</t>
  </si>
  <si>
    <t>20/08 a 04/09/2020</t>
  </si>
  <si>
    <t>André Baeta</t>
  </si>
  <si>
    <t>2020-020</t>
  </si>
  <si>
    <t>2818/2020</t>
  </si>
  <si>
    <t>Termo de Referência</t>
  </si>
  <si>
    <t>28/09 a 08/10/2020</t>
  </si>
  <si>
    <t>2020-021</t>
  </si>
  <si>
    <t>8413/2020</t>
  </si>
  <si>
    <t>II Encontro Técnico sobre Fiscalização de Concessões e PPPs pelos Tribunais de Contas</t>
  </si>
  <si>
    <t>23 a 27/11/2020</t>
  </si>
  <si>
    <t>2021-001</t>
  </si>
  <si>
    <t>373/2021</t>
  </si>
  <si>
    <t>Encontros Novo Manual de Auditoria - Inovações</t>
  </si>
  <si>
    <t>02/02/2021</t>
  </si>
  <si>
    <t>Francisco Antonio Alves de Souza; Rômulo Miranda Alvim</t>
  </si>
  <si>
    <t>2021-002</t>
  </si>
  <si>
    <t>Encontros Novo Manual de Auditoria - Auditoria</t>
  </si>
  <si>
    <t>09/02/2021</t>
  </si>
  <si>
    <t>2021-003</t>
  </si>
  <si>
    <t>Encontros Novo Manual de Auditoria - Levantamento e monitoramento</t>
  </si>
  <si>
    <t>23/02/2021</t>
  </si>
  <si>
    <t>2021-004</t>
  </si>
  <si>
    <t>Encontros Novo Manual de Auditoria - Inspeções</t>
  </si>
  <si>
    <t>02/03/2021</t>
  </si>
  <si>
    <t>2021-005</t>
  </si>
  <si>
    <t>1426/2021</t>
  </si>
  <si>
    <t>A experiência do TCDF com a análise de dois processos de desestatização</t>
  </si>
  <si>
    <t>04 e 05/03/2021</t>
  </si>
  <si>
    <t>Carlos Alberto Leite Coutinho Filho; Silvia Lima Damasceno Carvalho; Yasmin Carla Marchioro Silvério</t>
  </si>
  <si>
    <t>2021-006</t>
  </si>
  <si>
    <t>Encontro com boas práticas – Experiência TST com o desenvolvimento do sistema Bem-te-vi</t>
  </si>
  <si>
    <t>10/03/2021</t>
  </si>
  <si>
    <t>Ricardo José Menezes Maia</t>
  </si>
  <si>
    <t>2021-007</t>
  </si>
  <si>
    <t>1664/2021</t>
  </si>
  <si>
    <t>Palestra "O papel dos controladores sociais na gestão dos recursos públicos"</t>
  </si>
  <si>
    <t>25/03/2021</t>
  </si>
  <si>
    <t>2021-008</t>
  </si>
  <si>
    <t>2498/2021</t>
  </si>
  <si>
    <t>Planejando acordos de trabalho estratégicos</t>
  </si>
  <si>
    <t>30/03/2021</t>
  </si>
  <si>
    <t>Luiz Genédio Mendes Jorge; Thamara Dayane Cardoso Santos</t>
  </si>
  <si>
    <t>2021-009</t>
  </si>
  <si>
    <t>2725/2021</t>
  </si>
  <si>
    <t>12, 15, 16, 19 e 22/04/2021</t>
  </si>
  <si>
    <t>2021-010</t>
  </si>
  <si>
    <t>1443/2021</t>
  </si>
  <si>
    <t>Comunicação escrita profissional com foco no manual de redação oficial do TCDF - turma 1</t>
  </si>
  <si>
    <t>12 a 16/04/2021</t>
  </si>
  <si>
    <t>Suely Cobucci</t>
  </si>
  <si>
    <t>2021-011</t>
  </si>
  <si>
    <t>2200/2021</t>
  </si>
  <si>
    <t>Matriz de responsabilização - turma 1</t>
  </si>
  <si>
    <t>26, 28 e 30/04/2021</t>
  </si>
  <si>
    <t>2021-012</t>
  </si>
  <si>
    <t>2722/2021</t>
  </si>
  <si>
    <t>PDAF – Como melhor executar e prestar contas?</t>
  </si>
  <si>
    <t>27/04 a 06/05/2021</t>
  </si>
  <si>
    <t>Juarez Felix Medeiros;Elwys Presley dos Reis;Cristina Meirelles da Silva;Elizeth Oliveira de Azevedo</t>
  </si>
  <si>
    <t>2021-013</t>
  </si>
  <si>
    <t>2666/2021</t>
  </si>
  <si>
    <t>03 a 28/05/2021</t>
  </si>
  <si>
    <t>Paola Karina de Barron Sales; Fernanda Viana de Souza</t>
  </si>
  <si>
    <t>2021-014</t>
  </si>
  <si>
    <t>2003/2021</t>
  </si>
  <si>
    <t>Palestra Design Thinking</t>
  </si>
  <si>
    <t>Carla Ribeiro da Motta</t>
  </si>
  <si>
    <t>2021-015</t>
  </si>
  <si>
    <t>5660/2021</t>
  </si>
  <si>
    <t>Lançamento do Guia Orietador para Conselheiros de Saúde do DF</t>
  </si>
  <si>
    <t>A definir</t>
  </si>
  <si>
    <t>Tarsila Firmino Ely; Danylo Vilaça</t>
  </si>
  <si>
    <t>2021-016</t>
  </si>
  <si>
    <t>3395/2021</t>
  </si>
  <si>
    <t>As compras e a nova lei de licitações - O que mudou?</t>
  </si>
  <si>
    <t>10, 11, 13 e 14/05/2021</t>
  </si>
  <si>
    <t>Tatiana Camarão</t>
  </si>
  <si>
    <t>2021-017</t>
  </si>
  <si>
    <t>2296/2021</t>
  </si>
  <si>
    <t>Atualização gramatical - turma 1</t>
  </si>
  <si>
    <t>11, 13, 18, 19 e 20/05/2021</t>
  </si>
  <si>
    <t>2021-018</t>
  </si>
  <si>
    <t>Conhecendo o Design thinking - turma 1</t>
  </si>
  <si>
    <t>14 a 21/05/2021</t>
  </si>
  <si>
    <t>2021-019</t>
  </si>
  <si>
    <t>24 a 28/05/2021</t>
  </si>
  <si>
    <t>2021-020</t>
  </si>
  <si>
    <t>3287/2021</t>
  </si>
  <si>
    <t>25/05 a 10/06/2021</t>
  </si>
  <si>
    <t>Orivam Ibiapina da Silva; Carlos Alberto Leite Coutinho Filho</t>
  </si>
  <si>
    <t>2021-021</t>
  </si>
  <si>
    <t>2630/2021</t>
  </si>
  <si>
    <t>Capacitação a distância e Planejamento e Design de Capacitações</t>
  </si>
  <si>
    <t>31/05 a 28/06/2021</t>
  </si>
  <si>
    <t>Andrea Filatro</t>
  </si>
  <si>
    <t>2021-022</t>
  </si>
  <si>
    <t>1409/2021</t>
  </si>
  <si>
    <t>Palestra "Sisaudit"</t>
  </si>
  <si>
    <t>2021-023</t>
  </si>
  <si>
    <t>5037/2021</t>
  </si>
  <si>
    <t>Café &amp; Tertúlia - encontro 1</t>
  </si>
  <si>
    <t>11/06/2021</t>
  </si>
  <si>
    <t>Isac Mendes Caixeta de Pamplona Araújo; Francisco Antonio Alves de Souza</t>
  </si>
  <si>
    <t>2021-024</t>
  </si>
  <si>
    <t>3769/2021</t>
  </si>
  <si>
    <t>Controle Social, Trasnparência e Acesso à Informação - Teoria e Prática</t>
  </si>
  <si>
    <t>14, 16 e 18/06/2021</t>
  </si>
  <si>
    <t>Indio Artiaga do Brasil Rabelo</t>
  </si>
  <si>
    <t>2021-025</t>
  </si>
  <si>
    <t>Comunicação escrita profissional com foco no manual de redação oficial do TCDF - turma 2</t>
  </si>
  <si>
    <t>14 a 18/06/2021</t>
  </si>
  <si>
    <t>2021-026</t>
  </si>
  <si>
    <t>5220/2021</t>
  </si>
  <si>
    <t>Contratações Públicas com base na nova lei de licitações - Lei nº 14.133/2021</t>
  </si>
  <si>
    <t>08, 09, 15, 16 e 19/07/2021</t>
  </si>
  <si>
    <t>Cláudio Sarian e Ronny Charles</t>
  </si>
  <si>
    <t>2021-027</t>
  </si>
  <si>
    <t>Atualização gramatical - turma 2</t>
  </si>
  <si>
    <t>12 a 16/07/2021</t>
  </si>
  <si>
    <t>Wanderson Melo</t>
  </si>
  <si>
    <t>2021-028</t>
  </si>
  <si>
    <t>4259/2021</t>
  </si>
  <si>
    <t>Competências do Conselhos Regionais de Cultura e sua Relação com o Controle Social</t>
  </si>
  <si>
    <t>20 a 22/07/2021</t>
  </si>
  <si>
    <t>2021-029</t>
  </si>
  <si>
    <t>Café &amp; Tertúlia - encontro 2</t>
  </si>
  <si>
    <t>23/07/2021</t>
  </si>
  <si>
    <t>2021-030</t>
  </si>
  <si>
    <t>5252/2021</t>
  </si>
  <si>
    <t>Palestra "Siscoex"</t>
  </si>
  <si>
    <t>30/07/2021</t>
  </si>
  <si>
    <t>2021-031</t>
  </si>
  <si>
    <t>5431/2021</t>
  </si>
  <si>
    <t>A nova lei de licitações - As obras e serviços de engenharia</t>
  </si>
  <si>
    <t>05 e 06/08/2021</t>
  </si>
  <si>
    <t>Cláudio Sarian</t>
  </si>
  <si>
    <t>2021-032</t>
  </si>
  <si>
    <t>Controle Social, Trasnparência e Acesso à Informação - Teoria e Prática (turma 2)</t>
  </si>
  <si>
    <t>09, 11 e 13/08/2021</t>
  </si>
  <si>
    <t>2021-033</t>
  </si>
  <si>
    <t>3770/2021</t>
  </si>
  <si>
    <t>Excel Básico - turma 1</t>
  </si>
  <si>
    <t>09 a 13/08/2021</t>
  </si>
  <si>
    <t>2021-034</t>
  </si>
  <si>
    <t>5874/2021</t>
  </si>
  <si>
    <t>Introdução a Aprendizado de Máquina e Mineração de Dados do Diário Oficial - Turma A</t>
  </si>
  <si>
    <t>13/08 a 03/09/2021</t>
  </si>
  <si>
    <t>Thiago Faleiros</t>
  </si>
  <si>
    <t>2021-035</t>
  </si>
  <si>
    <t>6347/2021</t>
  </si>
  <si>
    <t>Contratação de Soluções de TIC conforme a Nova Lei de Licitações (turma 1)</t>
  </si>
  <si>
    <t>16 a 19/08/2021</t>
  </si>
  <si>
    <t>2021-036</t>
  </si>
  <si>
    <t>7002/2021</t>
  </si>
  <si>
    <t>Palestra LGPD</t>
  </si>
  <si>
    <t>23/08/2021</t>
  </si>
  <si>
    <t>Fábio Valgas</t>
  </si>
  <si>
    <t>2021-037</t>
  </si>
  <si>
    <t>2467/2021</t>
  </si>
  <si>
    <t>XXVI SEMAT</t>
  </si>
  <si>
    <t>30 e 31/08/2021</t>
  </si>
  <si>
    <t>2021-038</t>
  </si>
  <si>
    <t>7589/2021</t>
  </si>
  <si>
    <t>Oficina/SEMAT – Contratações de obras públicas conforme a nova lei de licitações.</t>
  </si>
  <si>
    <t>01/09/2021</t>
  </si>
  <si>
    <t>Adriana Cuoco Portugal; Silvia Lima Damasceno Carvalho</t>
  </si>
  <si>
    <t>2021-039</t>
  </si>
  <si>
    <t>7754/2021</t>
  </si>
  <si>
    <t>Oficina/SEMAT – Execução de Contratos Administrativos conforme a Nova Lei de Licitações</t>
  </si>
  <si>
    <t>Andréa Discaciati de Miranda</t>
  </si>
  <si>
    <t>2021-040</t>
  </si>
  <si>
    <t>8331/2021</t>
  </si>
  <si>
    <t>Curso Sistemas do TCDF - Básico</t>
  </si>
  <si>
    <t>10 a 14/09/2021</t>
  </si>
  <si>
    <t>João Guilherme Lima Candido; Alessandro Salomão Gonçalves; Leandro Oliveira Vaz de Souza; Hugo Alexandre Galindo; Josdeyvi Magalhães Russi</t>
  </si>
  <si>
    <t>2021-041</t>
  </si>
  <si>
    <t>Excel Intermediário  - turma 1</t>
  </si>
  <si>
    <t>20 a 24/09/2021</t>
  </si>
  <si>
    <t>2021-042</t>
  </si>
  <si>
    <t>6540/2021</t>
  </si>
  <si>
    <t>Comunicação Não Violenta no Trabalho</t>
  </si>
  <si>
    <t>21, 23, 28 e 04/10/2021</t>
  </si>
  <si>
    <t>2021-043</t>
  </si>
  <si>
    <t>8356/2021</t>
  </si>
  <si>
    <t>Encontro "TCDF e a Fiscalização de Obras" - turma 1</t>
  </si>
  <si>
    <t>22/09/2021</t>
  </si>
  <si>
    <t>Silvia Lima Damasceno Carvalho</t>
  </si>
  <si>
    <t>2021-044</t>
  </si>
  <si>
    <t>Café &amp; Tertúlia - encontro 3</t>
  </si>
  <si>
    <t>24/09/2021</t>
  </si>
  <si>
    <t>2021-045</t>
  </si>
  <si>
    <t>Encontro "TCDF e a Fiscalização de Obras" - turma 2</t>
  </si>
  <si>
    <t>04/10/2021</t>
  </si>
  <si>
    <t>2021-046</t>
  </si>
  <si>
    <t>10322/2021</t>
  </si>
  <si>
    <t>Processo de Implantação da Lei Geral de Proteção de Dados no Âmbito do Tribunal de Justiça de Santa Catarina”</t>
  </si>
  <si>
    <t>14/10/2021</t>
  </si>
  <si>
    <t>Marcello Teive e Giovanni Moresco</t>
  </si>
  <si>
    <t>2021-047</t>
  </si>
  <si>
    <t>9350/2021</t>
  </si>
  <si>
    <t>Contraditório e Defesa no processo de Controle Externo</t>
  </si>
  <si>
    <t>18, 20 e 22/10/2021</t>
  </si>
  <si>
    <t>Gabriel Heller; Tarsila Firmino Ely</t>
  </si>
  <si>
    <t>2021-048</t>
  </si>
  <si>
    <t>10588/2021</t>
  </si>
  <si>
    <t>Palestra sobre o tema "Outubro Rosa".</t>
  </si>
  <si>
    <t>22/10/2021</t>
  </si>
  <si>
    <t>2021-049</t>
  </si>
  <si>
    <t>10000/2021</t>
  </si>
  <si>
    <t>Análise Econômico-Financeira de Projetos de Concessões Comuns e PPPs</t>
  </si>
  <si>
    <t>03, 04, 05, 10, 11 e 12/11/2021</t>
  </si>
  <si>
    <t>Henrique Eduardo de Oliveira; Orivam Ibiapina da Silva</t>
  </si>
  <si>
    <t>2021-050</t>
  </si>
  <si>
    <t>8999/2021</t>
  </si>
  <si>
    <t>Palestra People Analytics</t>
  </si>
  <si>
    <t>05/11/2021</t>
  </si>
  <si>
    <t>Juliana Almeida</t>
  </si>
  <si>
    <t>2021-051</t>
  </si>
  <si>
    <t>Processo de Implantação da Lei Geral de Proteção de Dados: Caso do TJSP</t>
  </si>
  <si>
    <t>08/11/2021</t>
  </si>
  <si>
    <t>Indio Artiaga do Brasil Rabelo; Daniela Fonseca de Santana; Cristiano Tavares Torquato; Luís Mauro Albuquerque Araújo</t>
  </si>
  <si>
    <t>2021-052</t>
  </si>
  <si>
    <t>Curso People Analytics</t>
  </si>
  <si>
    <t>16, 17, 19, 23 e 25/11/2021</t>
  </si>
  <si>
    <t>2021-053</t>
  </si>
  <si>
    <t>10670/2021</t>
  </si>
  <si>
    <t>Denúncia, representação e consulta ao TCDF: fundamentos e prática</t>
  </si>
  <si>
    <t>18/11/2021</t>
  </si>
  <si>
    <t>2021-054</t>
  </si>
  <si>
    <t>Contratação de Soluções de TIC conforme a Nova Lei de Licitações (turma 2)</t>
  </si>
  <si>
    <t>22 a 25/11/2021</t>
  </si>
  <si>
    <t>2021-055</t>
  </si>
  <si>
    <t>Café &amp; Tertúlia - encontro 4</t>
  </si>
  <si>
    <t>10/12/2021</t>
  </si>
  <si>
    <t>2022-001</t>
  </si>
  <si>
    <t>383/2022</t>
  </si>
  <si>
    <t>Workshop Tainacan</t>
  </si>
  <si>
    <t>31/01 a 02/02/2022</t>
  </si>
  <si>
    <t>Dalton Martins</t>
  </si>
  <si>
    <t>2022-002</t>
  </si>
  <si>
    <t>436/2022</t>
  </si>
  <si>
    <t>Palestra Sisaudit - Apresentação do módulo de monitoramente e atualizações gerais do Sisaudit</t>
  </si>
  <si>
    <t>08/02/2022</t>
  </si>
  <si>
    <t>2022-003</t>
  </si>
  <si>
    <t>685/2022</t>
  </si>
  <si>
    <t>Palestra - DF PREVICOM</t>
  </si>
  <si>
    <t>17/02/2022</t>
  </si>
  <si>
    <t>Regina Célia Dias</t>
  </si>
  <si>
    <t>2022-004</t>
  </si>
  <si>
    <t>288/2022</t>
  </si>
  <si>
    <t>22/02/2022</t>
  </si>
  <si>
    <t>2022-005</t>
  </si>
  <si>
    <t>923/2022</t>
  </si>
  <si>
    <t>Fundo Penitenciário do Distrito Federal: Aplicação, Fiscalização e Monitoramento”</t>
  </si>
  <si>
    <t>23/02/2022</t>
  </si>
  <si>
    <t>2022-006</t>
  </si>
  <si>
    <t>Café e Tertúlia</t>
  </si>
  <si>
    <t>11/03/2022</t>
  </si>
  <si>
    <t>2022-007</t>
  </si>
  <si>
    <t>12119/2021</t>
  </si>
  <si>
    <t>Blockchain</t>
  </si>
  <si>
    <t>13 a 25/03/2022</t>
  </si>
  <si>
    <t>Claudio Gottshalg</t>
  </si>
  <si>
    <t>2022-008</t>
  </si>
  <si>
    <t>2398/2022</t>
  </si>
  <si>
    <t>Roda de Conversa - Mulheres que inspiram o DF</t>
  </si>
  <si>
    <t>22/03/2022</t>
  </si>
  <si>
    <t>Sandra Vitorino; Fernanda Werneck; Nair Heloisa Bicalho de Sousa; Dyarley Viana</t>
  </si>
  <si>
    <t>2022-009</t>
  </si>
  <si>
    <t>2177/2022</t>
  </si>
  <si>
    <t>Palestra TCDF e a Fiscalização de Obras - UnB</t>
  </si>
  <si>
    <t>04/04/2022</t>
  </si>
  <si>
    <t>Adriana Cuoco Portugal</t>
  </si>
  <si>
    <t>2022-010</t>
  </si>
  <si>
    <t>12718/2021</t>
  </si>
  <si>
    <t>Lei 14.133/21 – Principais Inovações</t>
  </si>
  <si>
    <t>04, 05, 08, 12 e 13/04/2022</t>
  </si>
  <si>
    <t>Marcos Nóbrega</t>
  </si>
  <si>
    <t>2022-011</t>
  </si>
  <si>
    <t>708/2022</t>
  </si>
  <si>
    <t>Atualização Gramatical</t>
  </si>
  <si>
    <t>25/04/2022 a 05/05/2022</t>
  </si>
  <si>
    <t>2022-012</t>
  </si>
  <si>
    <t>1719/2022</t>
  </si>
  <si>
    <t>Comunicação não Violenta</t>
  </si>
  <si>
    <t>10, 12, 17 e 19/05/2022</t>
  </si>
  <si>
    <t>Ivan Petry</t>
  </si>
  <si>
    <t>2022-013</t>
  </si>
  <si>
    <t>13/05/2022</t>
  </si>
  <si>
    <t>2022-014</t>
  </si>
  <si>
    <t>Palestra TCDF e a Fiscalização de Obras - Ceub</t>
  </si>
  <si>
    <t>16/05/2022</t>
  </si>
  <si>
    <t>2022-015</t>
  </si>
  <si>
    <t>4023/2022</t>
  </si>
  <si>
    <t>16/05 a 01/06/2022</t>
  </si>
  <si>
    <t>2022-016</t>
  </si>
  <si>
    <t>4581/2022</t>
  </si>
  <si>
    <t>Denúncia, representação e consulta ao TCDF: fundamentos e prática - turma 2</t>
  </si>
  <si>
    <t>17/05/2022</t>
  </si>
  <si>
    <t>2022-017</t>
  </si>
  <si>
    <t>5400/2022</t>
  </si>
  <si>
    <t>Curso e-CONTAS</t>
  </si>
  <si>
    <t>19/05/2022</t>
  </si>
  <si>
    <t>Leandro Oliveira Vaz de Souza</t>
  </si>
  <si>
    <t>2022-018</t>
  </si>
  <si>
    <t>2730/2022</t>
  </si>
  <si>
    <t>Treinamento Mais Tempo, Mais Produtividade (Gestão do Tempo)</t>
  </si>
  <si>
    <t>26/05 a 09/06/2022</t>
  </si>
  <si>
    <t>Gabriela Brasil</t>
  </si>
  <si>
    <t>2022-019</t>
  </si>
  <si>
    <t>5394/2022</t>
  </si>
  <si>
    <t>Ambientação</t>
  </si>
  <si>
    <t>27/05 a 02/06/2022</t>
  </si>
  <si>
    <t>Ivana Campos Dessen; Tatianne Cristine Oliveira Hatem; Remy Soares de Carvalho; Francisco Carneiro de Souza; Luiz Genédio Mendes Jorge; Hanna Gabriela Lucena de Barron; Rodrigo de Pina Alvares; Mikhail Gorbachev Guy Eirado; João Guilherme Lima Candido; Regina Célia Dias; Elaine Marins de Araujo; Thamara Dayane Cardoso Santos; José Euclides Andrade Viana; Marcos Felipe Pinheiro Lima; Alexandre Pedrosa Pinheiro; Agnaldo Moreira Marques; Marcos Aurelio dos Santos; Antonio Carlos Dantas de Oliveira; José Roberto Alcuri Junior; Rômulo Miranda Alvim; Leandro Oliveira Vaz de Souza</t>
  </si>
  <si>
    <t>2022-020</t>
  </si>
  <si>
    <t>4677/2022</t>
  </si>
  <si>
    <t>Denúncia ao TCDF: como o controle social pode contribuir com o controle externo</t>
  </si>
  <si>
    <t>31/05/2022</t>
  </si>
  <si>
    <t>2022-021</t>
  </si>
  <si>
    <t>4857/2022</t>
  </si>
  <si>
    <t>Curso Básico em Sistemas do TCDF</t>
  </si>
  <si>
    <t>03/06/2022</t>
  </si>
  <si>
    <t>João Guilherme Lima Candido; Leandro Oliveira Vaz de Souza; Raíssa Rodrigues Freire</t>
  </si>
  <si>
    <t>2022-022</t>
  </si>
  <si>
    <t>6135/2022</t>
  </si>
  <si>
    <t>Palestra "Apresentação do manual de auditoria e demais fiscalizações do TCDF"</t>
  </si>
  <si>
    <t>06/06/2022</t>
  </si>
  <si>
    <t>2022-023</t>
  </si>
  <si>
    <t>1711/2022</t>
  </si>
  <si>
    <t>Capacitação em TD&amp;E - Análise de Necessidades de Treinamento, Planejamento Instrucional e Avaliação.</t>
  </si>
  <si>
    <t>21/06 a 21/09/2022</t>
  </si>
  <si>
    <t>Aline de Sousa Nascimento; Fernanda Drummond Ruas Gaspar e Simarly Maria Soares.</t>
  </si>
  <si>
    <t>2022-024</t>
  </si>
  <si>
    <t>7160/2022</t>
  </si>
  <si>
    <t>Oficina "Diversidade e Inclusão"</t>
  </si>
  <si>
    <t>ENAP - Anna Paula Feminella; Maria Gutenara Martins Araújo; Eduardo Gomor dos Santos</t>
  </si>
  <si>
    <t>2022-025</t>
  </si>
  <si>
    <t>305/2022</t>
  </si>
  <si>
    <t>Controle Social, Trasnparência e Acesso à Informação - Teoria e Prática (turma 1),</t>
  </si>
  <si>
    <t>11, 13 e 15/07/2022</t>
  </si>
  <si>
    <t>2022-026</t>
  </si>
  <si>
    <t>7436/2022</t>
  </si>
  <si>
    <t>Monitoramento como instrumento de fiscalização no âmbito do TCDF</t>
  </si>
  <si>
    <t>20 e 22/07/2022</t>
  </si>
  <si>
    <t>Luciana Alvim</t>
  </si>
  <si>
    <t>2022-027</t>
  </si>
  <si>
    <t>8179/2022</t>
  </si>
  <si>
    <t>V Workshop do projeto KnEDLe (Knowledge Extration from Documents of Legal Content)</t>
  </si>
  <si>
    <t>29/07/2022</t>
  </si>
  <si>
    <t>2022-028</t>
  </si>
  <si>
    <t>1792/2022</t>
  </si>
  <si>
    <t>Curso Sisaudit - módulo monitoramento - turma 1</t>
  </si>
  <si>
    <t>02 e 04/08/2022</t>
  </si>
  <si>
    <t>Indio Artiaga do Brasil Rabelo; Davi Assunção Salvador Nery de Castro</t>
  </si>
  <si>
    <t>2022-029</t>
  </si>
  <si>
    <t>7819/2022</t>
  </si>
  <si>
    <t>Roda de Conversa "Boas Práticas de Sustentabilidade e Proteção do Meio Ambiente no DF"</t>
  </si>
  <si>
    <t>05/08/2022</t>
  </si>
  <si>
    <t>Francis Lopes; Heron Sena; Ana Carla Borges; Hanna Gabriela Lucena de Barron</t>
  </si>
  <si>
    <t>2022-030</t>
  </si>
  <si>
    <t>7335/2022</t>
  </si>
  <si>
    <t>Controle Externo das Concessão de Serviços de Transporte Coletivo por Ônibus: auditoria do processo licitatório e da execução contratual</t>
  </si>
  <si>
    <t>08 a 12/08/2022</t>
  </si>
  <si>
    <t>2022-031</t>
  </si>
  <si>
    <t>6536/2022</t>
  </si>
  <si>
    <t>2022-032</t>
  </si>
  <si>
    <t>Curso Sisaudit - módulo monitoramento - turma 2</t>
  </si>
  <si>
    <t>16 e 18/08/2022</t>
  </si>
  <si>
    <t>2022-033</t>
  </si>
  <si>
    <t>7116/2022</t>
  </si>
  <si>
    <t>Palestra TCDF e a Fiscalização de Obras - 2º semestre</t>
  </si>
  <si>
    <t>22/08/2022</t>
  </si>
  <si>
    <t>2022-034</t>
  </si>
  <si>
    <t>8883/2022</t>
  </si>
  <si>
    <t>Encontro Regional - Atricon 30 anos</t>
  </si>
  <si>
    <t>26/08/2022</t>
  </si>
  <si>
    <t>Anny Mesquita; Isac Mendes Caixeta de Pamplona Araújo</t>
  </si>
  <si>
    <t>2022-035</t>
  </si>
  <si>
    <t>10215/2022</t>
  </si>
  <si>
    <t>Apresentação do Sistema de Cálculo de Prescrição</t>
  </si>
  <si>
    <t>02/09/2022</t>
  </si>
  <si>
    <t>2022-036</t>
  </si>
  <si>
    <t>10466/2022</t>
  </si>
  <si>
    <t>Estudo de Caso - Obra do Túnel de Taguatinga</t>
  </si>
  <si>
    <t>09/09/2022</t>
  </si>
  <si>
    <t>2022-037</t>
  </si>
  <si>
    <t>6575/2022</t>
  </si>
  <si>
    <t>12 a 16/09/2022</t>
  </si>
  <si>
    <t>2022-038</t>
  </si>
  <si>
    <t>7818/2022</t>
  </si>
  <si>
    <t>Treinamento Mais Tempo, Mais Produtividade (Gestão do Tempo) - turma 2</t>
  </si>
  <si>
    <t>13, 15, 20 e 22/09/2022</t>
  </si>
  <si>
    <t>Sebastião Helvécio; Sandro Dezan; Elwys Presley dos Reis; Luciano Troncoso; Paulo Alves Honorato; Gustavo Hermes; Carlos Alberto Leite Coutinho Filho; Daniel Soares Godoi Gomes de Oliveira</t>
  </si>
  <si>
    <t>2022-039</t>
  </si>
  <si>
    <t>6105/2022</t>
  </si>
  <si>
    <t>Mentorias individuais para os gestores do TCDF</t>
  </si>
  <si>
    <t>13/09 a 14/12/2022</t>
  </si>
  <si>
    <t>2022-040</t>
  </si>
  <si>
    <t>9774/2022</t>
  </si>
  <si>
    <t>Visão SIstêmica dos Instrumentos de Fiscalização do TCDF e Boas Práticas em Documentação em Auditoria - turma A</t>
  </si>
  <si>
    <t>19, 21 e 27/09/2022</t>
  </si>
  <si>
    <t>2022-041</t>
  </si>
  <si>
    <t>Visão SIstêmica dos Instrumentos de Fiscalização do TCDF e Boas Práticas em Documentação em Auditoria - turma B</t>
  </si>
  <si>
    <t>19, 23 e 29/09/2022</t>
  </si>
  <si>
    <t>2022-042</t>
  </si>
  <si>
    <t>4891/2022</t>
  </si>
  <si>
    <t>Gestão da Conta Vinculada</t>
  </si>
  <si>
    <t>26 a 29/09/2022</t>
  </si>
  <si>
    <t>Thiago Bergmann</t>
  </si>
  <si>
    <t>2022-043</t>
  </si>
  <si>
    <t>11397/2022</t>
  </si>
  <si>
    <t>Palestra sobre o tema "Setembro Amarelo"</t>
  </si>
  <si>
    <t>30/09/2022</t>
  </si>
  <si>
    <t>2022-044</t>
  </si>
  <si>
    <t>6578/2022</t>
  </si>
  <si>
    <t>03 a 07/10/2022</t>
  </si>
  <si>
    <t>2022-045</t>
  </si>
  <si>
    <t>5836/2022</t>
  </si>
  <si>
    <t>Como entender e se proteger aplicando a Lei Maria da Penha</t>
  </si>
  <si>
    <t>03, 05 e 07/10/2022</t>
  </si>
  <si>
    <t>Tarsila Firmino Ely;José Elias</t>
  </si>
  <si>
    <t>2022-046</t>
  </si>
  <si>
    <t>9568/2022</t>
  </si>
  <si>
    <t>Palestra " Educar sem pirar: estratégias para despertar e manter a motivação dos filhos para os estudos"</t>
  </si>
  <si>
    <t>07/10/2022</t>
  </si>
  <si>
    <t>Fernando de Assis Alves</t>
  </si>
  <si>
    <t>2022-047</t>
  </si>
  <si>
    <t>11363/2022</t>
  </si>
  <si>
    <t>SEMAT 2022</t>
  </si>
  <si>
    <t>10 e 11/10/2022</t>
  </si>
  <si>
    <t>2022-048</t>
  </si>
  <si>
    <t>11590/2022</t>
  </si>
  <si>
    <t>Oficina SEMAT - PPPs</t>
  </si>
  <si>
    <t>13 e 14/10/2022</t>
  </si>
  <si>
    <t>Daniel Soares Godoi Gomes de Oliveira; Carlos Alberto Leite Coutinho Filho</t>
  </si>
  <si>
    <t>2022-049</t>
  </si>
  <si>
    <t>11594/2022</t>
  </si>
  <si>
    <t>Oficina SEMAT - eContas (turma 1)</t>
  </si>
  <si>
    <t>13/10/2022</t>
  </si>
  <si>
    <t>2022-050</t>
  </si>
  <si>
    <t>11276/2022</t>
  </si>
  <si>
    <t>Visita dos filhos ao trabalho</t>
  </si>
  <si>
    <t>14/10/2022</t>
  </si>
  <si>
    <t>2022-051</t>
  </si>
  <si>
    <t>Curso Liderando e desenvolvendo equipes</t>
  </si>
  <si>
    <t>17/10 a 11/11/2022</t>
  </si>
  <si>
    <t>2022-052</t>
  </si>
  <si>
    <t>8215/2022</t>
  </si>
  <si>
    <t>Curso de Capacitação para Conselheiros de Saúde</t>
  </si>
  <si>
    <t>18 a 21/10/2022</t>
  </si>
  <si>
    <t>2022-053</t>
  </si>
  <si>
    <t>12148/2022</t>
  </si>
  <si>
    <t>Palestra Sisaudit - Inspeção</t>
  </si>
  <si>
    <t>20/10/2022</t>
  </si>
  <si>
    <t>Davi Assunção Salvador Nery de Castro; Indio Artiaga do Brasil Rabelo</t>
  </si>
  <si>
    <t>2022-054</t>
  </si>
  <si>
    <t>8063/2022</t>
  </si>
  <si>
    <t>Encontro Técnico Nacional de Auditoria de Obras Públicas</t>
  </si>
  <si>
    <t>24 a 26/10/2022</t>
  </si>
  <si>
    <t>2022-055</t>
  </si>
  <si>
    <t>12944/2022</t>
  </si>
  <si>
    <t>Palestra Tecnologias aplicadas à educação e formação de instrutores</t>
  </si>
  <si>
    <t>27/10/2022</t>
  </si>
  <si>
    <t>2022-056</t>
  </si>
  <si>
    <t>11505/2022</t>
  </si>
  <si>
    <t>Palestra TCDF e a fiscalização de obras + Estudo de caso: obra do túnel de taguatinga</t>
  </si>
  <si>
    <t>04/11/2022</t>
  </si>
  <si>
    <t>Verbalize</t>
  </si>
  <si>
    <t>2022-057</t>
  </si>
  <si>
    <t>Palestra "A cura pode estar em suas mãos"</t>
  </si>
  <si>
    <t>2022-058</t>
  </si>
  <si>
    <t>9359/2022</t>
  </si>
  <si>
    <t>Termo de Referência e Estudo Técnico Preliminar à Luz da Nova Lei de Licitações</t>
  </si>
  <si>
    <t>07, 11, 16 e 25/11/2022</t>
  </si>
  <si>
    <t>Henriqueta Ferreira da Rocha; Isac Mendes Caixeta de Pamplona Araújo</t>
  </si>
  <si>
    <t>2022-059</t>
  </si>
  <si>
    <t>9072/2022</t>
  </si>
  <si>
    <t>Dois passos para se escrever com segurança e destreza</t>
  </si>
  <si>
    <t>08/11 a 06/12/2022</t>
  </si>
  <si>
    <t>João Dino</t>
  </si>
  <si>
    <t>2022-060</t>
  </si>
  <si>
    <t>12853/2022</t>
  </si>
  <si>
    <t>Curso de capacitação para auditores - auditoria em saúde</t>
  </si>
  <si>
    <t>08, 10, 16, 17 e 18/11/2022</t>
  </si>
  <si>
    <t>2022-061</t>
  </si>
  <si>
    <t>21, 23 e 25/11/2022</t>
  </si>
  <si>
    <t>Ismália Afonso; Tânia Maria Fontenele Mourão; Glícia Silveira</t>
  </si>
  <si>
    <t>2022-062</t>
  </si>
  <si>
    <t>11407/2022</t>
  </si>
  <si>
    <t>Matriz de Responsabilização</t>
  </si>
  <si>
    <t>22, 23 e 25/11/2022</t>
  </si>
  <si>
    <t>2022-063</t>
  </si>
  <si>
    <t>14061/2022</t>
  </si>
  <si>
    <t>Palestra "Nova Lei de Licitações e Contratos: principais mudanças e novidades"</t>
  </si>
  <si>
    <t>14/12/2022</t>
  </si>
  <si>
    <t>André Luiz da Cruz Marques</t>
  </si>
  <si>
    <t>2023-001</t>
  </si>
  <si>
    <t>13693/2022</t>
  </si>
  <si>
    <t>Projeto Escola de Instrutores - 2º Encontro</t>
  </si>
  <si>
    <t>26/01/2023</t>
  </si>
  <si>
    <t>Glícia Silveira; Ismália Afonso; Tânia Maria Fontenele Mourão</t>
  </si>
  <si>
    <t>2023-002</t>
  </si>
  <si>
    <t>8682/2022</t>
  </si>
  <si>
    <t>Como falar em público? Técnicas para melhorar sua comunicação e oratória</t>
  </si>
  <si>
    <t>07/02 a 28/03/2023</t>
  </si>
  <si>
    <t>2023-003</t>
  </si>
  <si>
    <t>362/2023</t>
  </si>
  <si>
    <t>Planilhas de Terceirização de Mão de Obra - T1</t>
  </si>
  <si>
    <t>27/02 a 03/03/2023</t>
  </si>
  <si>
    <t>2023-004</t>
  </si>
  <si>
    <t>Palestra "Terapia transessencial: uma visão integral do cuidado humano"</t>
  </si>
  <si>
    <t>28/02/2023</t>
  </si>
  <si>
    <t>2023-005</t>
  </si>
  <si>
    <t>1679/2023</t>
  </si>
  <si>
    <t>Seminário de Atualização em Auditoria de Obras Públicas</t>
  </si>
  <si>
    <t>Ibraop</t>
  </si>
  <si>
    <t>2023-006</t>
  </si>
  <si>
    <t>363/2023</t>
  </si>
  <si>
    <t>Roda de Conversa Boas Práticas de Controle Social no DF</t>
  </si>
  <si>
    <t>03/03/2023</t>
  </si>
  <si>
    <t>Olavo Pontes; Jovita Rosa; Jeovania Rodrigues; Everardo Aguiar</t>
  </si>
  <si>
    <t>2023-007</t>
  </si>
  <si>
    <t>1407/2023</t>
  </si>
  <si>
    <t>Roda de Mulheres - Elas por Elas</t>
  </si>
  <si>
    <t>06/03/2023</t>
  </si>
  <si>
    <t>2023-008</t>
  </si>
  <si>
    <t>561/2023</t>
  </si>
  <si>
    <t>Introdução ao processo de controle externo - T1</t>
  </si>
  <si>
    <t>07, 09, 14 e 16/03/2023</t>
  </si>
  <si>
    <t>2023-009</t>
  </si>
  <si>
    <t>952/2023</t>
  </si>
  <si>
    <t>Cine-debate: poeira e batom no Planalto Central - 50 mulheres na construção de Brasília</t>
  </si>
  <si>
    <t>07/03/2023</t>
  </si>
  <si>
    <t>Tânia Maria Fontenele Mourão</t>
  </si>
  <si>
    <t>2023-010</t>
  </si>
  <si>
    <t>Bate-papo sobre saúde sexual feminina e seu impacto na qualidade de vida da mulher</t>
  </si>
  <si>
    <t>09/03/2023</t>
  </si>
  <si>
    <t>2023-011</t>
  </si>
  <si>
    <t>1091/2023</t>
  </si>
  <si>
    <t>Café &amp; Tertúlia apresenta: mulheres no comando</t>
  </si>
  <si>
    <t>10/03/2023</t>
  </si>
  <si>
    <t>Marina Maia do Carmo</t>
  </si>
  <si>
    <t>2023-012</t>
  </si>
  <si>
    <t>2625/2023</t>
  </si>
  <si>
    <t>Curso de Ambientação de Novos Servidores</t>
  </si>
  <si>
    <t>15 a 21/03/2023</t>
  </si>
  <si>
    <t>2023-013</t>
  </si>
  <si>
    <t>1624/2023</t>
  </si>
  <si>
    <t>Gestão, Regulação e Controle Externo de Gastos em Sistemas de Transporte Coletivo por Ônibus</t>
  </si>
  <si>
    <t>20 a 24/03/2023</t>
  </si>
  <si>
    <t>2023-014</t>
  </si>
  <si>
    <t>2701/2023</t>
  </si>
  <si>
    <t>20 e 21/03/2023</t>
  </si>
  <si>
    <t>Fernando de Assis Alves; Vladimir Santos Vitovsky</t>
  </si>
  <si>
    <t>2023-015</t>
  </si>
  <si>
    <t>2629/2023</t>
  </si>
  <si>
    <t>Introdução ao processo de controle externo - T2</t>
  </si>
  <si>
    <t>22 e 23/03/2023</t>
  </si>
  <si>
    <t>2023-016</t>
  </si>
  <si>
    <t>2996/2023</t>
  </si>
  <si>
    <t>Palestra de lançamento do módulo SISCOEX no Painel de Acompanhamento da Gestão Fiscal e Orçamentária do Distrito Federal</t>
  </si>
  <si>
    <t>23/03/2023</t>
  </si>
  <si>
    <t>2023-017</t>
  </si>
  <si>
    <t>3006/2023</t>
  </si>
  <si>
    <t>Roda de conversas: Desafios da Paternalidade na Condução do Temperamento das Crianças</t>
  </si>
  <si>
    <t>24/03/2023</t>
  </si>
  <si>
    <t>2023-018</t>
  </si>
  <si>
    <t>3213/2023</t>
  </si>
  <si>
    <t>Curso de Áreas temáticas de Controle Externo (Curso realizado com os novos Auditores de Controle Externo, a fim de contextualizá-los sobre o Manual TCDF de Auditorias e demais fiscalizações, o sistema Sisaudit e as principais metodologias utilizadas para as fiscalizações em suas diferentes áreas)</t>
  </si>
  <si>
    <t>2023-019</t>
  </si>
  <si>
    <t>3001/2023</t>
  </si>
  <si>
    <t>VI Workshop do projeto KnEDLe (Knowledge Extration from Documents of Legal Content)</t>
  </si>
  <si>
    <t>2023-020</t>
  </si>
  <si>
    <t>Planilhas de Terceirização de Mão de Obra - T2</t>
  </si>
  <si>
    <t>27 a 31/03/2023</t>
  </si>
  <si>
    <t>2023-021</t>
  </si>
  <si>
    <t>3424/2023</t>
  </si>
  <si>
    <t>Projeto: Universidades e o TCDF – Graduação em Direito</t>
  </si>
  <si>
    <t>30/03/2023</t>
  </si>
  <si>
    <t>Antonio Renato Alves Rainha</t>
  </si>
  <si>
    <t>2023-022</t>
  </si>
  <si>
    <t>3505/2023</t>
  </si>
  <si>
    <t>Visita técnica - Fiscalização de campo (Visita realizada com os novos Auditores de Controle Externo, a fim de demonstrar como é realizada uma visita a um jurisdicionado)</t>
  </si>
  <si>
    <t>10/04/2023</t>
  </si>
  <si>
    <t>Cinthia Thais de Carvalho Luz Thomazi</t>
  </si>
  <si>
    <t>2023-023</t>
  </si>
  <si>
    <t>15005/2022</t>
  </si>
  <si>
    <t>Curso de Formação de Formadores Nível 1 - Módulo 1 - T1</t>
  </si>
  <si>
    <t>11 a 13/04/2023</t>
  </si>
  <si>
    <t>Fernando de Assis Alves e Vladimir Santos Vitovsky</t>
  </si>
  <si>
    <t>2023-024</t>
  </si>
  <si>
    <t>13572/2022</t>
  </si>
  <si>
    <t>Diálogo sobre a Lei Maria da penha</t>
  </si>
  <si>
    <t>14/04/2023</t>
  </si>
  <si>
    <t>2023-025</t>
  </si>
  <si>
    <t>535/2023</t>
  </si>
  <si>
    <t>LGPD - Ação 1 - Palestra 1 (Membros do TCDF)</t>
  </si>
  <si>
    <t>Programa de Lei Geral de Proteção de Dados</t>
  </si>
  <si>
    <t>17/04/2023</t>
  </si>
  <si>
    <t>Adriana Carla e Frank Ned</t>
  </si>
  <si>
    <t>2023-026</t>
  </si>
  <si>
    <t>LGPD - Ação 1 - Palestra 2 (Alta Administração do TCDF)</t>
  </si>
  <si>
    <t>18/04/2023</t>
  </si>
  <si>
    <t>2023-027</t>
  </si>
  <si>
    <t>LGPD - Ação 2 - Palestra para servidores do TCDF</t>
  </si>
  <si>
    <t>2023-028</t>
  </si>
  <si>
    <t>4447/2023</t>
  </si>
  <si>
    <t>TCDF e a atuação do contador público - T1</t>
  </si>
  <si>
    <t>Fernanda Viana de Souza</t>
  </si>
  <si>
    <t>2023-029</t>
  </si>
  <si>
    <t>TCDF e a atuação do contador público - T2</t>
  </si>
  <si>
    <t>2023-030</t>
  </si>
  <si>
    <t>TCDF e a atuação do contador público - T3</t>
  </si>
  <si>
    <t>19/04/2023</t>
  </si>
  <si>
    <t>2023-031</t>
  </si>
  <si>
    <t>TCDF e a atuação do contador público - T4</t>
  </si>
  <si>
    <t>2023-032</t>
  </si>
  <si>
    <t>772/2023</t>
  </si>
  <si>
    <t>Foco na liderança e desenvolvimento da mentalidade de People Analytics - T1</t>
  </si>
  <si>
    <t>03, 05, 08, 10, 12, 15, 17, 19 e 22/05/2023</t>
  </si>
  <si>
    <t>2023-033</t>
  </si>
  <si>
    <t>Planilhas de Terceirização de Mão de Obra - T3</t>
  </si>
  <si>
    <t>24 a 28/04/2023</t>
  </si>
  <si>
    <t>2023-034</t>
  </si>
  <si>
    <t>3683/2023</t>
  </si>
  <si>
    <t>A Mídia e o TCDF</t>
  </si>
  <si>
    <t>25 a 27/04/2023</t>
  </si>
  <si>
    <t>Daniel Gomes</t>
  </si>
  <si>
    <t>2023-035</t>
  </si>
  <si>
    <t>1539/2023</t>
  </si>
  <si>
    <t>Curso Exigência e análise das condições de habilitação com base na Lei 14.133/21 - Boas práticas</t>
  </si>
  <si>
    <t>26 e 27/04/2023</t>
  </si>
  <si>
    <t>Simone Zanotello de Oliveira</t>
  </si>
  <si>
    <t>2023-036</t>
  </si>
  <si>
    <t>3866/2023</t>
  </si>
  <si>
    <t>Introdução ao processo de controle externo - T3</t>
  </si>
  <si>
    <t>02, 04, 09e 11/05/2023</t>
  </si>
  <si>
    <t>2023-037</t>
  </si>
  <si>
    <t>1338/2023</t>
  </si>
  <si>
    <t>Certified Scrum Product Owner (CSPO)</t>
  </si>
  <si>
    <t>11/05 a 14/06/2023</t>
  </si>
  <si>
    <t>Leon Sólon</t>
  </si>
  <si>
    <t>2023-038</t>
  </si>
  <si>
    <t>LGPD - Ação 3</t>
  </si>
  <si>
    <t>15/05 a 14/07/2023</t>
  </si>
  <si>
    <t>Adriana Carla</t>
  </si>
  <si>
    <t>2023-039</t>
  </si>
  <si>
    <t>5617/2023</t>
  </si>
  <si>
    <t>Palestra sobre o teletrabalho</t>
  </si>
  <si>
    <t>25/05/2023</t>
  </si>
  <si>
    <t>Marcela Shakir; Thamara Dayane Cardoso Santos; Bruno Coelho</t>
  </si>
  <si>
    <t>2023-040</t>
  </si>
  <si>
    <t>Foco na liderança e desenvolvimento da mentalidade de People Analytics - T2</t>
  </si>
  <si>
    <t>12, 14, 16, 19, 21, 23, 26, 28 e 30/06/2023</t>
  </si>
  <si>
    <t>2023-041</t>
  </si>
  <si>
    <t>5917/2023</t>
  </si>
  <si>
    <t>Maratona Temática: Auditoria em saúde</t>
  </si>
  <si>
    <t>15 e 16/06/2023</t>
  </si>
  <si>
    <t>Conceição Rezende; Mabelle Roque; Jeovania Rodrigues; Hiza Carpina; Priscila Romano; Tarsila Firmino Ely; Guilherme Maluf; Marcelo Aragão; Maytê Aguiar; Henrique Eduardo de Oliveira</t>
  </si>
  <si>
    <t>2023-042</t>
  </si>
  <si>
    <t>5949/2023</t>
  </si>
  <si>
    <t>Nova Lei de Licitações e Contratos - Teoria e Aplicações</t>
  </si>
  <si>
    <t>19 a 23/06/2023</t>
  </si>
  <si>
    <t>Oswaldo Junqueira Vaz Junior</t>
  </si>
  <si>
    <t>2023-043</t>
  </si>
  <si>
    <t>Maratona Temática: Auditoria em saúde - Palestra</t>
  </si>
  <si>
    <t>20/06/2023</t>
  </si>
  <si>
    <t>2023-044</t>
  </si>
  <si>
    <t>5209/2023</t>
  </si>
  <si>
    <t>Curso de Capacitação para Conselheiros de Saúde - T1</t>
  </si>
  <si>
    <t>26 a 30/06/2023</t>
  </si>
  <si>
    <t>2023-045</t>
  </si>
  <si>
    <t>7981/2023</t>
  </si>
  <si>
    <t>TCDF e a Fiscalização de Obras - T1</t>
  </si>
  <si>
    <t>26/06/2023</t>
  </si>
  <si>
    <t>2023-046</t>
  </si>
  <si>
    <t>7978/2023</t>
  </si>
  <si>
    <t>Evento de lançamento do Projeto Ideia Nova</t>
  </si>
  <si>
    <t>27/06/2023</t>
  </si>
  <si>
    <t>2023-047</t>
  </si>
  <si>
    <t>5662/2023</t>
  </si>
  <si>
    <t>Curso Básico em e-TCDF</t>
  </si>
  <si>
    <t>03 e 04/07/2023</t>
  </si>
  <si>
    <t>2023-048</t>
  </si>
  <si>
    <t>8365/2023</t>
  </si>
  <si>
    <t>Projeto: Universidades e o TCDF - “Estudo de caso: obra de drenagem do Programa Drenar DF”</t>
  </si>
  <si>
    <t>07/07/2023</t>
  </si>
  <si>
    <t>2023-049</t>
  </si>
  <si>
    <t>7001/2023; 7137/2023</t>
  </si>
  <si>
    <t>Capacitação para Promoção Funcional - T1</t>
  </si>
  <si>
    <t>24 a 28/07/2023</t>
  </si>
  <si>
    <t>Hanna Gabriela Lucena de Barron; Rômulo Miranda Alvim</t>
  </si>
  <si>
    <t>2023-050</t>
  </si>
  <si>
    <t>7137/2023</t>
  </si>
  <si>
    <t>Palestra Gestão Pública baseada em evidências - T1</t>
  </si>
  <si>
    <t>Publix</t>
  </si>
  <si>
    <t>2023-051</t>
  </si>
  <si>
    <t>Palestra Gestão Pública baseada em evidências - T2</t>
  </si>
  <si>
    <t>2023-052</t>
  </si>
  <si>
    <t>LGPD - Ação 5</t>
  </si>
  <si>
    <t>31/07 a 28/08/2023</t>
  </si>
  <si>
    <t>Frank Ned</t>
  </si>
  <si>
    <t>2023-053</t>
  </si>
  <si>
    <t>8375/2023</t>
  </si>
  <si>
    <t>XXVIII SEMAT</t>
  </si>
  <si>
    <t>03 e 04/08/2023</t>
  </si>
  <si>
    <t>Elwys Presley dos Reis; Davi Assunção Salvador Nery de Castro; Márcia Helena da Silva; Daniel Soares Godoi Gomes de Oliveira; Henrique Eduardo de Oliveira; Flávio José Fonseca de Souza; Silvia Regina Batista Mendonça</t>
  </si>
  <si>
    <t>2023-054</t>
  </si>
  <si>
    <t>8621/2023</t>
  </si>
  <si>
    <t>Oficina SEMAT XXVIII - TIC</t>
  </si>
  <si>
    <t>07 a 08/08/2023</t>
  </si>
  <si>
    <t>Flávio José Fonseca de Souza</t>
  </si>
  <si>
    <t>2023-055</t>
  </si>
  <si>
    <t>5295/2023</t>
  </si>
  <si>
    <t>Mentorias individuais para gstores de nivel tático do TCDF</t>
  </si>
  <si>
    <t>07/08 a 05/12/2023</t>
  </si>
  <si>
    <t>2023-056</t>
  </si>
  <si>
    <t>8966/2023</t>
  </si>
  <si>
    <t>Oficina temática SEMAT - Reajustes em contratos de obras públicas – Legislação e aspectos práticos,</t>
  </si>
  <si>
    <t>07 e 08/08/2023</t>
  </si>
  <si>
    <t>2023-057</t>
  </si>
  <si>
    <t>8988/2023</t>
  </si>
  <si>
    <t>Oficina temática SEMAT – Admissões e Fiscalização de Pessoal</t>
  </si>
  <si>
    <t>07/08/2023</t>
  </si>
  <si>
    <t>Vilcemar Fernandes Maia Filho; Carlos Antônio</t>
  </si>
  <si>
    <t>2023-058</t>
  </si>
  <si>
    <t>9158/2023</t>
  </si>
  <si>
    <t>Oficina temática SEMAT - Concessões e Fiscalização de Pessoal</t>
  </si>
  <si>
    <t>08/08/2023</t>
  </si>
  <si>
    <t>Vilcemar Fernandes Maia Filho; Hugo Mesquita</t>
  </si>
  <si>
    <t>2023-059</t>
  </si>
  <si>
    <t>LGPD - Ação 4</t>
  </si>
  <si>
    <t>09/08 a 18/09/2023</t>
  </si>
  <si>
    <t>2023-060</t>
  </si>
  <si>
    <t>Curso de Formação de Formadores Nível 1 - Módulo 1 - T2</t>
  </si>
  <si>
    <t>09 a 11/08/2023</t>
  </si>
  <si>
    <t>2023-061</t>
  </si>
  <si>
    <t>7979/2023</t>
  </si>
  <si>
    <t>Teoria e prática na elaboração de ementas jurisprudenciais</t>
  </si>
  <si>
    <t>10, 11 e 17/08/2023</t>
  </si>
  <si>
    <t>2023-062</t>
  </si>
  <si>
    <t>5918/2023</t>
  </si>
  <si>
    <t>Maratona temática: auditoria em mobilidade urbana</t>
  </si>
  <si>
    <t>16 a 18/08/2023</t>
  </si>
  <si>
    <t>2023-063</t>
  </si>
  <si>
    <t>Capacitação para Promoção Funcional - T2</t>
  </si>
  <si>
    <t>21 a 25/08/2023</t>
  </si>
  <si>
    <t>2023-064</t>
  </si>
  <si>
    <t>6269/2023</t>
  </si>
  <si>
    <t>"Regulação, Concessões e Parcerias Público-Privadas"</t>
  </si>
  <si>
    <t>28/08 a 04/09/2023</t>
  </si>
  <si>
    <t>Thiago Caldeira</t>
  </si>
  <si>
    <t>2023-065</t>
  </si>
  <si>
    <t>9004/2023</t>
  </si>
  <si>
    <t>Avaliação de Riscos e Controles</t>
  </si>
  <si>
    <t>05 a 27/09/2023</t>
  </si>
  <si>
    <t>2023-066</t>
  </si>
  <si>
    <t>9895/2023</t>
  </si>
  <si>
    <t>Nova Lei de Licitações e Contratos - Teoria e Aplicações - T2</t>
  </si>
  <si>
    <t>11 a 15/09/2023</t>
  </si>
  <si>
    <t>2023-067</t>
  </si>
  <si>
    <t>10004/2023</t>
  </si>
  <si>
    <t>A LINDB nas esferas administrativa e controladora</t>
  </si>
  <si>
    <t>12, 14, 19 e 21/09/2023</t>
  </si>
  <si>
    <t>Silvia Lima Damasceno Carvalho; Marcelo Athayde</t>
  </si>
  <si>
    <t>2023-068</t>
  </si>
  <si>
    <t>Foco na liderança e desenvolvimento da mentalidade de People Analytics - T3</t>
  </si>
  <si>
    <t>13/09 a 02/10/2023</t>
  </si>
  <si>
    <t>2023-069</t>
  </si>
  <si>
    <t>8841/2023</t>
  </si>
  <si>
    <t>18, 20 e 22/09/2023</t>
  </si>
  <si>
    <t>2023-070</t>
  </si>
  <si>
    <t>10378/2023</t>
  </si>
  <si>
    <t>Comunicação: princípios e práticas para se relacionar com empatia e assertividade</t>
  </si>
  <si>
    <t>26 a 28/09/2023</t>
  </si>
  <si>
    <t>2023-071</t>
  </si>
  <si>
    <t>Cursos de Formação de Formadores Nível 1 - Módulo 1</t>
  </si>
  <si>
    <t>02 a 04/10/2023</t>
  </si>
  <si>
    <t>Aline Riquetti; Vilcemar Fernandes Maia Filho; Gustavo; Luis Gustavo de Aquino Carvalho; Fernanda Viana de Souza; Flávio José Fonseca de Souza; Rômulo Miranda Alvim</t>
  </si>
  <si>
    <t>2023-072</t>
  </si>
  <si>
    <t>12286/2023</t>
  </si>
  <si>
    <t>Curso de Capacitação para Conselheiros de Saúde - Região Sudoeste T1</t>
  </si>
  <si>
    <t>03 e 04/10/2023</t>
  </si>
  <si>
    <t>2023-073</t>
  </si>
  <si>
    <t>LGPD - Ação 6 - Workshop de Adequação dos contratos</t>
  </si>
  <si>
    <t>05/10/2023</t>
  </si>
  <si>
    <t>Renata de Castro</t>
  </si>
  <si>
    <t>2023-074</t>
  </si>
  <si>
    <t>9089/2023</t>
  </si>
  <si>
    <t>“Chat GPT na prática docente</t>
  </si>
  <si>
    <t>2023-075</t>
  </si>
  <si>
    <t>12258/2023</t>
  </si>
  <si>
    <t>Visita do Filhos ao Trabalho</t>
  </si>
  <si>
    <t>06/10/2023</t>
  </si>
  <si>
    <t>Fábula Cia de Teatro e mágico Tio André</t>
  </si>
  <si>
    <t>2023-076</t>
  </si>
  <si>
    <t>12521/2023</t>
  </si>
  <si>
    <t>Oficina temática - Reajustes em contratos de obras públicas – Legislação e aspectos práticos,</t>
  </si>
  <si>
    <t>08 e 09/10/2023</t>
  </si>
  <si>
    <t>2023-077</t>
  </si>
  <si>
    <t>12261/2023</t>
  </si>
  <si>
    <t>TCDF na sociedade: fiscalizações em saúde.</t>
  </si>
  <si>
    <t>10/10/2023</t>
  </si>
  <si>
    <t>2023-078</t>
  </si>
  <si>
    <t>12703/2023</t>
  </si>
  <si>
    <t>Palestras "Ciclo de Inovação TCDF" - T1</t>
  </si>
  <si>
    <t>2023-079</t>
  </si>
  <si>
    <t>Curso de Capacitação para Conselheiros de Saúde - Região Sul T2</t>
  </si>
  <si>
    <t>17 e 18/10/2023</t>
  </si>
  <si>
    <t>2023-080</t>
  </si>
  <si>
    <t>Palestras "Ciclo de Inovação TCDF" - T2</t>
  </si>
  <si>
    <t>17/10/2023</t>
  </si>
  <si>
    <t>2023-081</t>
  </si>
  <si>
    <t>LGPD - Ação 6 - Workshop Inventário de Dados Pessoais (turma 1)</t>
  </si>
  <si>
    <t>18/10/2023</t>
  </si>
  <si>
    <t>2023-082</t>
  </si>
  <si>
    <t>Curso de Capacitação para Conselheiros de Saúde - Centro Sul T3</t>
  </si>
  <si>
    <t>19 e 20/10/2023</t>
  </si>
  <si>
    <t>2023-083</t>
  </si>
  <si>
    <t>LGPD - Ação 6 - Workshop Inventário de Dados Pessoais (turma 2)</t>
  </si>
  <si>
    <t>19/10/2023</t>
  </si>
  <si>
    <t>Ana Carla Marques; Josdeyvi Magalhães Russi; Luis Gustavo de Aquino Carvalho; Henrique Eduardo de Oliveira; Rodrigo Noleto Paz; Bruno Jackson Iaccino Coelho; Mauro Sergio Dos Santos Da Silva; Ednaldo Ramos de Souza</t>
  </si>
  <si>
    <t>2023-084</t>
  </si>
  <si>
    <t>LGPD - Ação 6 - Workshop Inventário de Dados Pessoais (turma 3)</t>
  </si>
  <si>
    <t>20/10/2023</t>
  </si>
  <si>
    <t>2023-085</t>
  </si>
  <si>
    <t>12912/2023</t>
  </si>
  <si>
    <t>Atividades da 5ª Semana do Servidor do TCDF</t>
  </si>
  <si>
    <t>23 a 27/10/2023</t>
  </si>
  <si>
    <t>2023-086</t>
  </si>
  <si>
    <t>13923/2023</t>
  </si>
  <si>
    <t>Mesa “O consenso nos contratos de concessão de infraestrutura: o papel e a experiência do TCU"</t>
  </si>
  <si>
    <t>24/10/2023</t>
  </si>
  <si>
    <t>Nicola Espinheira</t>
  </si>
  <si>
    <t>2023-087</t>
  </si>
  <si>
    <t>13012/2023</t>
  </si>
  <si>
    <t>Oficina de Escrita Criativa</t>
  </si>
  <si>
    <t>25/10/2023</t>
  </si>
  <si>
    <t>2023-088</t>
  </si>
  <si>
    <t>Curso de Capacitação para Conselheiros de Saúde - Leste T4</t>
  </si>
  <si>
    <t>26 e 27/10/2023</t>
  </si>
  <si>
    <t>2023-089</t>
  </si>
  <si>
    <t>LGPD - Ação 6 - Workshop Relatório de impacto e Termos de uso</t>
  </si>
  <si>
    <t>2023-090</t>
  </si>
  <si>
    <t>13068/2023</t>
  </si>
  <si>
    <t>Café &amp; Tertúlia – especial Semana do Servidor</t>
  </si>
  <si>
    <t>27/10/2023</t>
  </si>
  <si>
    <t>2023-091</t>
  </si>
  <si>
    <t>Certified Scrum Product Owner (CSPO) - T2</t>
  </si>
  <si>
    <t>31/10 a 17/11/2023</t>
  </si>
  <si>
    <t>K21</t>
  </si>
  <si>
    <t>2023-092</t>
  </si>
  <si>
    <t>Palestras "Ciclo de Inovação TCDF" - T3</t>
  </si>
  <si>
    <t>31/10/2023</t>
  </si>
  <si>
    <t>2023-093</t>
  </si>
  <si>
    <t>Palestras "Ciclo de Inovação TCDF" - T4</t>
  </si>
  <si>
    <t>07/11/2023</t>
  </si>
  <si>
    <t>2023-094</t>
  </si>
  <si>
    <t>12887/2023</t>
  </si>
  <si>
    <t>Maratona temática: primeira infância</t>
  </si>
  <si>
    <t>09 e 10/11/2023</t>
  </si>
  <si>
    <t>2023-095</t>
  </si>
  <si>
    <t>Curso de Capacitação para Conselheiros de Saúde - Central T5</t>
  </si>
  <si>
    <t>13 e 14/11/2023</t>
  </si>
  <si>
    <t>2023-096</t>
  </si>
  <si>
    <t>14153/2023</t>
  </si>
  <si>
    <t>Palestra “A Implementação da Nova Lei de Licitações no TCDF”</t>
  </si>
  <si>
    <t>13/11/2023</t>
  </si>
  <si>
    <t>2023-097</t>
  </si>
  <si>
    <t>Curso de Capacitação para Conselheiros de Saúde - Norte T6</t>
  </si>
  <si>
    <t>16 e 17/11/2023</t>
  </si>
  <si>
    <t>2023-098</t>
  </si>
  <si>
    <t>14667/2023</t>
  </si>
  <si>
    <t>Mentoria em elaboração de ementas jurisprudenciais</t>
  </si>
  <si>
    <t>17/11 a 08/12/2023</t>
  </si>
  <si>
    <t>Jéssyca Péres</t>
  </si>
  <si>
    <t>2023-099</t>
  </si>
  <si>
    <t>14668/2023</t>
  </si>
  <si>
    <t>Marcelo Kessler</t>
  </si>
  <si>
    <t>2023-100</t>
  </si>
  <si>
    <t>Curso de Capacitação para Conselheiros de Saúde - Oeste T7</t>
  </si>
  <si>
    <t>21 e 22/11/2023</t>
  </si>
  <si>
    <t>2023-101</t>
  </si>
  <si>
    <t>15017/2023</t>
  </si>
  <si>
    <t>Encontro de encerramento das mentorias e apresentação do diagnóstico das lideranças no TCDF.</t>
  </si>
  <si>
    <t>24/11/2023</t>
  </si>
  <si>
    <t>2023-102</t>
  </si>
  <si>
    <t>12826/2023</t>
  </si>
  <si>
    <t>Oficina de Contratações de Tecnologia da Informação</t>
  </si>
  <si>
    <t>27 e 28/11/2023</t>
  </si>
  <si>
    <t>2023-103</t>
  </si>
  <si>
    <t>15016/2023</t>
  </si>
  <si>
    <t>Peça Teatral Antonieta de Barros: Uma história que não nos contaram.</t>
  </si>
  <si>
    <t>27/11/2023</t>
  </si>
  <si>
    <t>Luiz Felipe Tenório; Cinthia Thais de Carvalho Luz Thomazi; Adriana Cuoco Portugal; Fernanda Viana de Souza; Denise Duarte Guirra Kuhlmann</t>
  </si>
  <si>
    <t>2023-104</t>
  </si>
  <si>
    <t>14906/2023</t>
  </si>
  <si>
    <t>Maratona Temática: auditoria em resíduos sólidos</t>
  </si>
  <si>
    <t>04 e 05/12/2023</t>
  </si>
  <si>
    <t>2023-105</t>
  </si>
  <si>
    <t>14922/2023</t>
  </si>
  <si>
    <t>Palestra “Consensualismo nos Tribunais de Contas: perspectivas sob a ótica do modelo de auditoria do setor público adotado pela Constituição brasileira”</t>
  </si>
  <si>
    <t>04/12/2023</t>
  </si>
  <si>
    <t>Ismar dos Santos Viana</t>
  </si>
  <si>
    <t>2023-106</t>
  </si>
  <si>
    <t>15206/2023</t>
  </si>
  <si>
    <t>Encontro Escola de Instrutores - Premiação</t>
  </si>
  <si>
    <t>2023-107</t>
  </si>
  <si>
    <t>14952/2023</t>
  </si>
  <si>
    <t>Palestra “Tendências e tecnologias disruptivas que impactam o Tribunal de Contas”</t>
  </si>
  <si>
    <t>07/12/2023</t>
  </si>
  <si>
    <t>Alexandre Nunes</t>
  </si>
  <si>
    <t>2023-108</t>
  </si>
  <si>
    <t>14337/2023</t>
  </si>
  <si>
    <t>Evento de Encerramento do 1º Ciclo do Curso de capacitação “in loco” para Conselheiros de Saúde do Distrito Federal.</t>
  </si>
  <si>
    <t>08/12/2023</t>
  </si>
  <si>
    <t>2023-109</t>
  </si>
  <si>
    <t>10814/2023</t>
  </si>
  <si>
    <t>Mentoria em Análise de Dados com o uso de Power Apps e Power BI.</t>
  </si>
  <si>
    <t>15/12/2023</t>
  </si>
  <si>
    <t>2024-001</t>
  </si>
  <si>
    <t>394/2024</t>
  </si>
  <si>
    <t>Contraditório e Defesa no Processo de Controle Externo (Turma 1)</t>
  </si>
  <si>
    <t>20, 22, 27 e 29/02/2024</t>
  </si>
  <si>
    <t>Mônica; Cecília; Juliana; Demóstenes</t>
  </si>
  <si>
    <t>2024-002</t>
  </si>
  <si>
    <t>13950/2023</t>
  </si>
  <si>
    <t>Curso “Cadeia de Valor Institucional"</t>
  </si>
  <si>
    <t>22/02 a 08/03/2024</t>
  </si>
  <si>
    <t>2024-003</t>
  </si>
  <si>
    <t>9993/2023</t>
  </si>
  <si>
    <t>Tcendo o Futuro (1ª turma) - Colégio Mão Amiga João Paulo II - Paronoá</t>
  </si>
  <si>
    <t>03/12/2024</t>
  </si>
  <si>
    <t>2024-004</t>
  </si>
  <si>
    <t>513/2024</t>
  </si>
  <si>
    <t>Planilhas de Terceirização de Mão de Obra, de acordo com a Lei nº 14.133/2021 - (Turma 1)</t>
  </si>
  <si>
    <t>04 a 08/03/2024</t>
  </si>
  <si>
    <t>2024-005</t>
  </si>
  <si>
    <t>784/2024</t>
  </si>
  <si>
    <t>Teoria e Prática na elaboração de ementas Jurisprudenciais</t>
  </si>
  <si>
    <t>05, 07, 12 e 14/03/2024</t>
  </si>
  <si>
    <t>Caio Filipe; Marcelo Kessler</t>
  </si>
  <si>
    <t>2024-006</t>
  </si>
  <si>
    <t>1361/2024</t>
  </si>
  <si>
    <t>Roda de Conversa: “Economia do Cuidado – o valor do trabalho invisível das mulheres e experiências das colaboradoras do TCDF”</t>
  </si>
  <si>
    <t>08/03/2024</t>
  </si>
  <si>
    <t>Maíra Liguori</t>
  </si>
  <si>
    <t>2024-007</t>
  </si>
  <si>
    <t>833/2024</t>
  </si>
  <si>
    <t>Feira com empreendedores locais (projeto Transforma-se) - Dia da Mulher</t>
  </si>
  <si>
    <t>2024-008</t>
  </si>
  <si>
    <t>710/2024</t>
  </si>
  <si>
    <t>Atendimento humanizado ao público no TCDF: Inteligência emocional e comunicação assertiva</t>
  </si>
  <si>
    <t>12 a 21/03/2024</t>
  </si>
  <si>
    <t>Tarsila Firmino Ely; Antonio Renato Alves Rainha</t>
  </si>
  <si>
    <t>2024-009</t>
  </si>
  <si>
    <t>1125/2024</t>
  </si>
  <si>
    <t>Curso de Capacitação para Conselheiros de Saúde (Turma 1)</t>
  </si>
  <si>
    <t>18 a 22/03/2024</t>
  </si>
  <si>
    <t>2024-010</t>
  </si>
  <si>
    <t>1895/2024</t>
  </si>
  <si>
    <t>Ouvidoria Day</t>
  </si>
  <si>
    <t>19/03/2024</t>
  </si>
  <si>
    <t>2024-011</t>
  </si>
  <si>
    <t>397/2024</t>
  </si>
  <si>
    <t>Curso de nivelamento em Políticas Públicas</t>
  </si>
  <si>
    <t>22/03/2024</t>
  </si>
  <si>
    <t>2024-012</t>
  </si>
  <si>
    <t>12891/2023</t>
  </si>
  <si>
    <t>Escola de Inatrutores: Avaliação de Aprendizagem</t>
  </si>
  <si>
    <t>01 a 05/04/2024</t>
  </si>
  <si>
    <t>2024-013</t>
  </si>
  <si>
    <t>1093/2024</t>
  </si>
  <si>
    <t>Relacionamentos Interpessoais no Trabalho</t>
  </si>
  <si>
    <t>01, 03, 05, 08 e 10/04/2024</t>
  </si>
  <si>
    <t>2024-014</t>
  </si>
  <si>
    <t>1401/2024</t>
  </si>
  <si>
    <t>Curso prático de Amostragem de Unidades Monetárias em Auditorias Financeiras</t>
  </si>
  <si>
    <t>2024-015</t>
  </si>
  <si>
    <t>1461/2024</t>
  </si>
  <si>
    <t>Mentoria: Quantificação de Benefícios para o TCDF</t>
  </si>
  <si>
    <t>02/04 a 23/05/2024</t>
  </si>
  <si>
    <t>Fábio Flores; Mario David</t>
  </si>
  <si>
    <t>2024-016</t>
  </si>
  <si>
    <t>Curso de Aperfeiçoamento em Avaliação e Controle de Políticas Públicas</t>
  </si>
  <si>
    <t>05, 12, 19 e 26/04/2024</t>
  </si>
  <si>
    <t>Leonardo Albernaz</t>
  </si>
  <si>
    <t>2024-017</t>
  </si>
  <si>
    <t>1865/2024</t>
  </si>
  <si>
    <t>Sua segurança importa muito! - T1</t>
  </si>
  <si>
    <t>05/04/2024</t>
  </si>
  <si>
    <t>2024-018</t>
  </si>
  <si>
    <t>Planilhas de Terceirização de Mão de Obra, de acordo com a Lei nº 14.133/2021 - (Turma 2)</t>
  </si>
  <si>
    <t>08 a 12/04/2024</t>
  </si>
  <si>
    <t>2024-019</t>
  </si>
  <si>
    <t>2928/2024</t>
  </si>
  <si>
    <t>Mentoria em Redação de Ementas Jurisprudenciais</t>
  </si>
  <si>
    <t>08/04/2024 a 03/05/2024</t>
  </si>
  <si>
    <t>2024-020</t>
  </si>
  <si>
    <t>Sua segurança importa muito! - T2</t>
  </si>
  <si>
    <t>12/04/2024</t>
  </si>
  <si>
    <t>2024-021</t>
  </si>
  <si>
    <t>588/2024</t>
  </si>
  <si>
    <t>Oratória e Storytelling</t>
  </si>
  <si>
    <t>15, 17, 19, 22, 24 e 29/04/2024</t>
  </si>
  <si>
    <t>2024-022</t>
  </si>
  <si>
    <t>Corregedoria Day</t>
  </si>
  <si>
    <t>02/05/2024</t>
  </si>
  <si>
    <t>2024-023</t>
  </si>
  <si>
    <t>419/2024</t>
  </si>
  <si>
    <t>Oficina PDG - O Papel do Líder - nível tatico</t>
  </si>
  <si>
    <t>03/05/2024</t>
  </si>
  <si>
    <t>Henrique Santana</t>
  </si>
  <si>
    <t>2024-024</t>
  </si>
  <si>
    <t>613/2024</t>
  </si>
  <si>
    <t>Curso básico em e-TCDF (T1)</t>
  </si>
  <si>
    <t>06 a 09/05/2024</t>
  </si>
  <si>
    <t>Cássio Murilo Alves Costa Filho</t>
  </si>
  <si>
    <t>2024-025</t>
  </si>
  <si>
    <t>3829/2024</t>
  </si>
  <si>
    <t>Universidades e o TCDF - "TCDF e a atuação administrativa no setor público" - Contabilidade T1</t>
  </si>
  <si>
    <t>08 a 10/05/2024</t>
  </si>
  <si>
    <t>2024-026</t>
  </si>
  <si>
    <t>Universidades e o TCDF - "TCDF e a atuação administrativa no setor público" - Contabilidade T2</t>
  </si>
  <si>
    <t>2024-027</t>
  </si>
  <si>
    <t>Universidades e o TCDF - "TCDF e a atuação administrativa no setor público" - Contabilidade T3</t>
  </si>
  <si>
    <t>2024-028</t>
  </si>
  <si>
    <t>Universidades e o TCDF - "TCDF e a atuação administrativa no setor público" - Eng Civil Palestra</t>
  </si>
  <si>
    <t>2024-029</t>
  </si>
  <si>
    <t>Universidades e o TCDF - "TCDF e a atuação administrativa no setor público" - Eng Civil Visita Técnica</t>
  </si>
  <si>
    <t>2024-030</t>
  </si>
  <si>
    <t>Oficina PDG - O Papel do Líder - nível operacional</t>
  </si>
  <si>
    <t>10/05/2024</t>
  </si>
  <si>
    <t>2024-031</t>
  </si>
  <si>
    <t>Happy hour - Dia da Mulher</t>
  </si>
  <si>
    <t>2024-032</t>
  </si>
  <si>
    <t>Curso de Capacitação para Conselheiros de Saúde (Turma 2)</t>
  </si>
  <si>
    <t>13 a 17/05/2024</t>
  </si>
  <si>
    <t>2024-033</t>
  </si>
  <si>
    <t>2524/2024</t>
  </si>
  <si>
    <t>Palestra "Segurança Orgânica" - servidores em geral</t>
  </si>
  <si>
    <t>14/05/2024</t>
  </si>
  <si>
    <t>Alexandre Herculano; Willian Vitoriano; Frederico Nardotto</t>
  </si>
  <si>
    <t>2024-034</t>
  </si>
  <si>
    <t>Palestra "Segurança Orgânica" - servidores Segedam e NIE</t>
  </si>
  <si>
    <t>15/05/2024</t>
  </si>
  <si>
    <t>2024-035</t>
  </si>
  <si>
    <t>Palestra "Segurança Orgânica" - terceirizados</t>
  </si>
  <si>
    <t>16/05/2024</t>
  </si>
  <si>
    <t>2024-036</t>
  </si>
  <si>
    <t>17/05/2024</t>
  </si>
  <si>
    <t>2024-037</t>
  </si>
  <si>
    <t>3810/2024</t>
  </si>
  <si>
    <t>Matriz de Responsabilização - MPDFT</t>
  </si>
  <si>
    <t>20, 22 e 24/05/2024</t>
  </si>
  <si>
    <t>2024-038</t>
  </si>
  <si>
    <t>1524/2024</t>
  </si>
  <si>
    <t>Curso de oratória para auditores de controle externo</t>
  </si>
  <si>
    <t>27/05 a 03/06/2024</t>
  </si>
  <si>
    <t>2024-039</t>
  </si>
  <si>
    <t>5386/2024</t>
  </si>
  <si>
    <t>Consulta a base de dados do TCDF usando o SAS</t>
  </si>
  <si>
    <t>28/05 a 13/06/2024</t>
  </si>
  <si>
    <t>Rômulo Miranda Alvim; Luis Gustavo de Aquino Carvalho</t>
  </si>
  <si>
    <t>2024-040</t>
  </si>
  <si>
    <t>4078/2024</t>
  </si>
  <si>
    <t>Contraditório e Defesa no Processo de Controle Externo T2</t>
  </si>
  <si>
    <t>03, 05, 07, 11 e 13/06/2024</t>
  </si>
  <si>
    <t>2024-041</t>
  </si>
  <si>
    <t>2308/2024</t>
  </si>
  <si>
    <t>MAis tempo, mais produtividade</t>
  </si>
  <si>
    <t>04, 06, 11 e 13/06/2024</t>
  </si>
  <si>
    <t>2024-042</t>
  </si>
  <si>
    <t>3873/2024</t>
  </si>
  <si>
    <t>Maratona Temática - educação</t>
  </si>
  <si>
    <t>13 e 14/06/2024</t>
  </si>
  <si>
    <t>2024-043</t>
  </si>
  <si>
    <t>Coffee-Talk PDG - O Papel do Líder - nível tatico</t>
  </si>
  <si>
    <t>14/06/2024</t>
  </si>
  <si>
    <t>2024-044</t>
  </si>
  <si>
    <t>3839/2024</t>
  </si>
  <si>
    <t>Levantamento na prática</t>
  </si>
  <si>
    <t>17 a 20/06/2024</t>
  </si>
  <si>
    <t>2024-045</t>
  </si>
  <si>
    <t>Curso básico em e-TCDF (T2)</t>
  </si>
  <si>
    <t>2024-046</t>
  </si>
  <si>
    <t>5803/2024</t>
  </si>
  <si>
    <t>Curso de Ambientação</t>
  </si>
  <si>
    <t>18 a 21/06/2024</t>
  </si>
  <si>
    <t>2024-047</t>
  </si>
  <si>
    <t>Curso em Quantificação de Benefícios para o TCDF</t>
  </si>
  <si>
    <t>18, 19, 25 e 26/06/2024</t>
  </si>
  <si>
    <t>2024-048</t>
  </si>
  <si>
    <t>Coffee-Talk PDG - O Papel do Líder - nível operacional</t>
  </si>
  <si>
    <t>21/06/2024</t>
  </si>
  <si>
    <t>2024-049</t>
  </si>
  <si>
    <t>4734/2024</t>
  </si>
  <si>
    <t>Palestra "Combate ao Assedio Moral e Sexual"</t>
  </si>
  <si>
    <t>24/06/2024</t>
  </si>
  <si>
    <t>2024-050</t>
  </si>
  <si>
    <t>Apresentação do SQB - Sistema de Quantificação de Benefícios</t>
  </si>
  <si>
    <t>27/06/2024</t>
  </si>
  <si>
    <t>2024-051</t>
  </si>
  <si>
    <t>Conectando-se ao TCDF: tour físico e virtual</t>
  </si>
  <si>
    <t>28/06/2024</t>
  </si>
  <si>
    <t>Luiz Felipe Tenório</t>
  </si>
  <si>
    <t>2024-052</t>
  </si>
  <si>
    <t>Oficina PDG - Comunicação e Feedback - nível tatico</t>
  </si>
  <si>
    <t>2024-053</t>
  </si>
  <si>
    <t>Festa Junina da Integração</t>
  </si>
  <si>
    <t>2024-054</t>
  </si>
  <si>
    <t>6589/2024</t>
  </si>
  <si>
    <t>Curso básico em e-TCDF para novos servidores (T1)</t>
  </si>
  <si>
    <t>01 a 05/07/2024</t>
  </si>
  <si>
    <t>2024-055</t>
  </si>
  <si>
    <t>7023/2024</t>
  </si>
  <si>
    <t>Formação para novos Auditores</t>
  </si>
  <si>
    <t>01 a 19/07/2024</t>
  </si>
  <si>
    <t>2024-056</t>
  </si>
  <si>
    <t>2598/2024</t>
  </si>
  <si>
    <t>Ciclo de Capacitação para gestores de Contrato – SES/IGESDF T1</t>
  </si>
  <si>
    <t>02, 03e 04/07/2024</t>
  </si>
  <si>
    <t>Tarsila Firmino Ely; Adriana Magalhães; Luciana Alvim</t>
  </si>
  <si>
    <t>2024-057</t>
  </si>
  <si>
    <t>5036/2024</t>
  </si>
  <si>
    <t>Auditoria de Obras nos Regimes de Contratação Integrada e Semi-integrada</t>
  </si>
  <si>
    <t>03/07/2024</t>
  </si>
  <si>
    <t>2024-058</t>
  </si>
  <si>
    <t>Oficina PDG - Comunicação e Feedback - nível operacional</t>
  </si>
  <si>
    <t>05/07/2024</t>
  </si>
  <si>
    <t>2024-059</t>
  </si>
  <si>
    <t>6564/2024</t>
  </si>
  <si>
    <t>Mapeamento de processos para auditoria</t>
  </si>
  <si>
    <t>22, 24 e 25/07/2024</t>
  </si>
  <si>
    <t>Caio Filipe</t>
  </si>
  <si>
    <t>2024-060</t>
  </si>
  <si>
    <t>5757/2024</t>
  </si>
  <si>
    <t>Introcução ao processo de CE (ambientação)</t>
  </si>
  <si>
    <t>24, 25, 27 e 28/07/2024</t>
  </si>
  <si>
    <t>2024-061</t>
  </si>
  <si>
    <t>Coffee-Talk PDG - Comunicação e Feedback - nível tatico</t>
  </si>
  <si>
    <t>26/07/2024</t>
  </si>
  <si>
    <t>2024-062</t>
  </si>
  <si>
    <t>4979/2024</t>
  </si>
  <si>
    <t>SIGGO para Auditoria</t>
  </si>
  <si>
    <t>29/07 a 02/08/2024</t>
  </si>
  <si>
    <t>Fernanda Viana de Souza; Túllio Herbeth</t>
  </si>
  <si>
    <t>2024-063</t>
  </si>
  <si>
    <t>4375/2024</t>
  </si>
  <si>
    <t>Encontro Nacional de Mobilidade Urbana - aberto</t>
  </si>
  <si>
    <t>29, 30 e 31/07/2024</t>
  </si>
  <si>
    <t>2024-064</t>
  </si>
  <si>
    <t>Encontro Nacional de Mobilidade Urbana - fechado</t>
  </si>
  <si>
    <t>31/07 a 01/08/2024</t>
  </si>
  <si>
    <t>2024-065</t>
  </si>
  <si>
    <t>6295/2024</t>
  </si>
  <si>
    <t>Pesquisa em Jurisprudência do TCDF e Legislação do Distrito Federal - T1</t>
  </si>
  <si>
    <t>06 e 08/08/2024</t>
  </si>
  <si>
    <t>Idalécio José; Rodrigo Vilas Boas Licursi</t>
  </si>
  <si>
    <t>2024-066</t>
  </si>
  <si>
    <t>Coffee-Talk PDG - Comunicação e Feedback - nível operacional</t>
  </si>
  <si>
    <t>02/08/2024</t>
  </si>
  <si>
    <t>2024-067</t>
  </si>
  <si>
    <t>Oficina PDG - Performance de Equipe - nível tatico</t>
  </si>
  <si>
    <t>09/08/2024</t>
  </si>
  <si>
    <t>Tarsila Firmino Ely; Abdiel Andrade</t>
  </si>
  <si>
    <t>2024-068</t>
  </si>
  <si>
    <t>6994/2024</t>
  </si>
  <si>
    <t>XXIX SEMAT</t>
  </si>
  <si>
    <t>15 e 16/08/2024</t>
  </si>
  <si>
    <t>2024-069</t>
  </si>
  <si>
    <t>7815/2024</t>
  </si>
  <si>
    <t>Oficina temática – SEMAT: Falhas recorrentes em contratações de Obras - Legislação e aspectos práticos</t>
  </si>
  <si>
    <t>19 a 21/08/2024</t>
  </si>
  <si>
    <t>Silvia Lima Damasceno Carvalho; Marcelo Rebelo</t>
  </si>
  <si>
    <t>2024-070</t>
  </si>
  <si>
    <t>6546/2024</t>
  </si>
  <si>
    <t>Segurança Jurídica e desafios na tomada de decisão no setor público</t>
  </si>
  <si>
    <t>20, 22, 26, 28 e 30/08/2024</t>
  </si>
  <si>
    <t>2024-071</t>
  </si>
  <si>
    <t>8142/2024</t>
  </si>
  <si>
    <t>Oficina temática - SEMAT: Concursos públicos e registro de admissões</t>
  </si>
  <si>
    <t>20/08/2024</t>
  </si>
  <si>
    <t>Carlos Antônio</t>
  </si>
  <si>
    <t>2024-072</t>
  </si>
  <si>
    <t>9914/2024</t>
  </si>
  <si>
    <t>Treinamento SRH</t>
  </si>
  <si>
    <t>20 e 21/08/2024</t>
  </si>
  <si>
    <t>João Guilherme Lima Candido; Marcelo Luiz Garcia Salles</t>
  </si>
  <si>
    <t>2024-073</t>
  </si>
  <si>
    <t>8164/2024</t>
  </si>
  <si>
    <t>Oficina temática – SEMAT: Concessões e Fiscalização de Pessoal</t>
  </si>
  <si>
    <t>21/08/2024</t>
  </si>
  <si>
    <t>Mayara e Hugo</t>
  </si>
  <si>
    <t>2024-074</t>
  </si>
  <si>
    <t>7463/2024</t>
  </si>
  <si>
    <t>E-Contas - T1</t>
  </si>
  <si>
    <t>22/08/2024</t>
  </si>
  <si>
    <t>2024-075</t>
  </si>
  <si>
    <t>9305/2024</t>
  </si>
  <si>
    <t>SIGGO para Auditoria - T2</t>
  </si>
  <si>
    <t>26, 28 e 29/08/2024</t>
  </si>
  <si>
    <t>2024-076</t>
  </si>
  <si>
    <t>7736/2024</t>
  </si>
  <si>
    <t>Segundo Ciclo - Conselheiros de Saude - T1</t>
  </si>
  <si>
    <t>26 a 30/08/2024</t>
  </si>
  <si>
    <t>2024-077</t>
  </si>
  <si>
    <t>7444/2024</t>
  </si>
  <si>
    <t>Instrução de Tomada de Contas Especiais</t>
  </si>
  <si>
    <t>02 a 04/09/2024</t>
  </si>
  <si>
    <t>2024-078</t>
  </si>
  <si>
    <t>Curso básico em e-TCDF (T3)</t>
  </si>
  <si>
    <t>02 a 05/09/2024</t>
  </si>
  <si>
    <t>2024-079</t>
  </si>
  <si>
    <t>920/2024</t>
  </si>
  <si>
    <t>Ferramentas tecnológicas para o processo de ensino aprendizagem</t>
  </si>
  <si>
    <t>10 a 12/09/2024</t>
  </si>
  <si>
    <t>2024-080</t>
  </si>
  <si>
    <t>10, 12, 17 e 19/09/2024</t>
  </si>
  <si>
    <t>2024-081</t>
  </si>
  <si>
    <t>E-Contas - T2</t>
  </si>
  <si>
    <t>12/09/2024</t>
  </si>
  <si>
    <t>2024-082</t>
  </si>
  <si>
    <t>=SUBTOTAL(109,F2:F529)</t>
  </si>
  <si>
    <t>13/09/2024</t>
  </si>
  <si>
    <t>2024-083</t>
  </si>
  <si>
    <t>16, 18, 20, 23, 25 e 27/09/2024</t>
  </si>
  <si>
    <t>2024-084</t>
  </si>
  <si>
    <t>6654/2024</t>
  </si>
  <si>
    <t>Curso Básico de Power BI - turma 1</t>
  </si>
  <si>
    <t>16 a 20/09/2024</t>
  </si>
  <si>
    <t>2024-085</t>
  </si>
  <si>
    <t>Oficina PDG - Performance de Equipe - nível operacional</t>
  </si>
  <si>
    <t>20/09/2024</t>
  </si>
  <si>
    <t>2024-086</t>
  </si>
  <si>
    <t>Planilhas de Terceirização de Mão de Obra, de acordo com a Lei nº 14.133/2021 - (Turma 3)</t>
  </si>
  <si>
    <t>23 a 27/09/2024</t>
  </si>
  <si>
    <t>2024-087</t>
  </si>
  <si>
    <t>Segundo Ciclo - Conselheiro de Saude - T2</t>
  </si>
  <si>
    <t>2024-088</t>
  </si>
  <si>
    <t>9044/2024</t>
  </si>
  <si>
    <t>O instituto da prescrição no âmbito do TCDF</t>
  </si>
  <si>
    <t>24 e 26/09/2024</t>
  </si>
  <si>
    <t>Marcos Garcia da Silva Pinto</t>
  </si>
  <si>
    <t>2024-089</t>
  </si>
  <si>
    <t>10410/2024</t>
  </si>
  <si>
    <t>Contraditório e Defesa no Processo de Controle Externo.</t>
  </si>
  <si>
    <t>01, 02, 03, 08 e 10/10/2024</t>
  </si>
  <si>
    <t>Gabriel Heller; Luciana Alvim</t>
  </si>
  <si>
    <t>2024-090</t>
  </si>
  <si>
    <t>11896/2024</t>
  </si>
  <si>
    <t>Ambientação - T2</t>
  </si>
  <si>
    <t>04 e 07/10/2024</t>
  </si>
  <si>
    <t>2024-091</t>
  </si>
  <si>
    <t>11097/2024</t>
  </si>
  <si>
    <t>Animação profissional para o Dia da Visita dos Filhos ao Trabalho 2024</t>
  </si>
  <si>
    <t>04/10/2024</t>
  </si>
  <si>
    <t>João Paulo Forni</t>
  </si>
  <si>
    <t>2024-092</t>
  </si>
  <si>
    <t>10889/2024</t>
  </si>
  <si>
    <t>Mês do Servidor e Semana da Saúde 2024</t>
  </si>
  <si>
    <t>07 a 25/10/2024</t>
  </si>
  <si>
    <t>2024-093</t>
  </si>
  <si>
    <t>10895/2024</t>
  </si>
  <si>
    <t>Palestra "Propósito e sentido de vida"</t>
  </si>
  <si>
    <t>07/10/2024</t>
  </si>
  <si>
    <t>Lúcia Helena Galvão</t>
  </si>
  <si>
    <t>2024-094</t>
  </si>
  <si>
    <t>Pesquisa em Jurisprudência do TCDF e Legislação do Distrito Federal - T2</t>
  </si>
  <si>
    <t>08 e 10/10/2024</t>
  </si>
  <si>
    <t>2024-095</t>
  </si>
  <si>
    <t>Curso básico em e-TCDF (T4)</t>
  </si>
  <si>
    <t>08 a 11/10/2024</t>
  </si>
  <si>
    <t>2024-096</t>
  </si>
  <si>
    <t>11954/2024</t>
  </si>
  <si>
    <t>Palestra “TCDF na sociedade: apresentação de resultados da auditoria em saúde realizada pelo TCDF”</t>
  </si>
  <si>
    <t>08/10/2024</t>
  </si>
  <si>
    <t>Ludmyla Machado</t>
  </si>
  <si>
    <t>2024-097</t>
  </si>
  <si>
    <t>10896/2024</t>
  </si>
  <si>
    <t>Aulão de foto e edição de imagens com celular</t>
  </si>
  <si>
    <t>10/10/2024</t>
  </si>
  <si>
    <t>Zuleika de Souza</t>
  </si>
  <si>
    <t>2024-098</t>
  </si>
  <si>
    <t>Oficina PDG - Gestão para o Futuro - nível tatico</t>
  </si>
  <si>
    <t>11/10/2024</t>
  </si>
  <si>
    <t>2024-099</t>
  </si>
  <si>
    <t>10686/2024</t>
  </si>
  <si>
    <t>Curso Prático de ETP e TR - T1</t>
  </si>
  <si>
    <t>14 a 17/10/2024</t>
  </si>
  <si>
    <t>2024-100</t>
  </si>
  <si>
    <t>11840/2024</t>
  </si>
  <si>
    <t>Curso “Atendimento humanizado ao público na área da saúde” - T1</t>
  </si>
  <si>
    <t>14, 15, 16 e 18/10/2024</t>
  </si>
  <si>
    <t>2024-101</t>
  </si>
  <si>
    <t>11191/2024</t>
  </si>
  <si>
    <t>Consulta a bases de dados do TCDF usando o SAS - T2</t>
  </si>
  <si>
    <t>14, 16, 18, 22, 24 e 30/10/2024</t>
  </si>
  <si>
    <t>2024-102</t>
  </si>
  <si>
    <t>10897/2024</t>
  </si>
  <si>
    <t>Oficina "Poética Visual"</t>
  </si>
  <si>
    <t>17/10/2024</t>
  </si>
  <si>
    <t>Pedro Sangeon</t>
  </si>
  <si>
    <t>2024-103</t>
  </si>
  <si>
    <t>Coffee-Talk PDG - Performance de Equipe - nível operacional</t>
  </si>
  <si>
    <t>18/10/2024</t>
  </si>
  <si>
    <t>2024-104</t>
  </si>
  <si>
    <t>8683/2024</t>
  </si>
  <si>
    <t>Coordenação de ações educacionais - ementas</t>
  </si>
  <si>
    <t>21/10/2024</t>
  </si>
  <si>
    <t>2024-105</t>
  </si>
  <si>
    <t>1347/2024</t>
  </si>
  <si>
    <t>MEntoria em Liderança, gestão, desenvolvimento e resultado de equipes</t>
  </si>
  <si>
    <t>2024-106</t>
  </si>
  <si>
    <t>10898/2024</t>
  </si>
  <si>
    <t>Palestra “Segurança, saúde, bem-estar e felicidade – o papel da organização e o protagonismo de cada um”</t>
  </si>
  <si>
    <t>2024-107</t>
  </si>
  <si>
    <t>Segundo Ciclo - Conselheiro de Saude - T3</t>
  </si>
  <si>
    <t>21 a 25/10/2024</t>
  </si>
  <si>
    <t>Silvia Lima Damasceno Carvalho; Wibys Pereira</t>
  </si>
  <si>
    <t>2024-108</t>
  </si>
  <si>
    <t>10901/2024</t>
  </si>
  <si>
    <t>Roda de Conversa “Neurociências e Sono: Estratégias para Recuperar o Bem-Estar e a Qualidade de Vida”</t>
  </si>
  <si>
    <t>23/10/2024</t>
  </si>
  <si>
    <t>Carolina Prado</t>
  </si>
  <si>
    <t>2024-109</t>
  </si>
  <si>
    <t>10547/2024</t>
  </si>
  <si>
    <t>Boas práticas em gestão para Administrações Regionais</t>
  </si>
  <si>
    <t>29 a 31/10/2024</t>
  </si>
  <si>
    <t>Elwys Presley dos Reis</t>
  </si>
  <si>
    <t>2024-110</t>
  </si>
  <si>
    <t>6321/2024</t>
  </si>
  <si>
    <t>Oficina de acesso a conteúdos digitais do TCDF - T2</t>
  </si>
  <si>
    <t>29 e 31/10/2024</t>
  </si>
  <si>
    <t>Leandro Silva</t>
  </si>
  <si>
    <t>2024-111</t>
  </si>
  <si>
    <t>Curso Básico de Power BI - turma 2</t>
  </si>
  <si>
    <t>04 a 08/11/2024</t>
  </si>
  <si>
    <t>2024-112</t>
  </si>
  <si>
    <t>10477/2024</t>
  </si>
  <si>
    <t>Conselheiros de Cultura</t>
  </si>
  <si>
    <t>04, 05, 11 e 12/11/2024</t>
  </si>
  <si>
    <t>Chris Ramirez</t>
  </si>
  <si>
    <t>2024-113</t>
  </si>
  <si>
    <t>10118/2024</t>
  </si>
  <si>
    <t>Elaboração de Cartilha sobre Inteligência Artificial no âmbito do Tribunal.</t>
  </si>
  <si>
    <t>07/11/2024</t>
  </si>
  <si>
    <t>2024-114</t>
  </si>
  <si>
    <t>Coffee-Talk PDG - Gestão para o Futuro - nível tatico</t>
  </si>
  <si>
    <t>08/11/2024</t>
  </si>
  <si>
    <t>2024-115</t>
  </si>
  <si>
    <t>11240/2024</t>
  </si>
  <si>
    <t>Curso "Erros comuns em Contratos de Obras e como evitá-los"</t>
  </si>
  <si>
    <t>11 a 13/11/2024</t>
  </si>
  <si>
    <t>2024-116</t>
  </si>
  <si>
    <t>10697/2024</t>
  </si>
  <si>
    <t>Contratação de TIC</t>
  </si>
  <si>
    <t>18, 19 e 21/11/2024</t>
  </si>
  <si>
    <t>2024-117</t>
  </si>
  <si>
    <t>12138/2024</t>
  </si>
  <si>
    <t>Curso "Teoria e prática de elaboração de ementas jurisprudenciais" - T2</t>
  </si>
  <si>
    <t>18, 19, 21 e 22/11/2024</t>
  </si>
  <si>
    <t>2024-118</t>
  </si>
  <si>
    <t>10874/2024</t>
  </si>
  <si>
    <t>Matriz de Responsabilização - IGES</t>
  </si>
  <si>
    <t>19, 21, 26 e 28/11/2024</t>
  </si>
  <si>
    <t>2024-119</t>
  </si>
  <si>
    <t>10049/2024</t>
  </si>
  <si>
    <t>Cartilha Suprimento de Fundos</t>
  </si>
  <si>
    <t>21/11/2024</t>
  </si>
  <si>
    <t>2024-120</t>
  </si>
  <si>
    <t>Cartilha de Uso de Inteligência Artifical Generativa no TCDF</t>
  </si>
  <si>
    <t>Gustavo Henrique</t>
  </si>
  <si>
    <t>2024-121</t>
  </si>
  <si>
    <t>Oficina PDG - Gestão para o Futuro - nível operacional</t>
  </si>
  <si>
    <t>22/11/2024</t>
  </si>
  <si>
    <t>2024-122</t>
  </si>
  <si>
    <t>Curso Prático de ETP e TR - T2</t>
  </si>
  <si>
    <t>25 a 28/11/2024</t>
  </si>
  <si>
    <t>2024-123</t>
  </si>
  <si>
    <t>Curso “Atendimento humanizado ao público na área da saúde” - T2</t>
  </si>
  <si>
    <t>2024-124</t>
  </si>
  <si>
    <t>Lançamento de livros</t>
  </si>
  <si>
    <t>2024-125</t>
  </si>
  <si>
    <t>11946/2024</t>
  </si>
  <si>
    <t>Oficina de Boas práticas administrativas para Gabinetes e Secretariado.</t>
  </si>
  <si>
    <t>26 e 28/11/2024</t>
  </si>
  <si>
    <t>Hadijaline Itapá</t>
  </si>
  <si>
    <t>2024-126</t>
  </si>
  <si>
    <t>11703/2024</t>
  </si>
  <si>
    <t>Auditoria e Orçamentação de Obras Públicas com o uso do Sinapi</t>
  </si>
  <si>
    <t>26/11 a 03/12/2024</t>
  </si>
  <si>
    <t>2024-127</t>
  </si>
  <si>
    <t>11199/2024</t>
  </si>
  <si>
    <t>Maratona temática - Governança em Saúde</t>
  </si>
  <si>
    <t>28 e 29/11/2024</t>
  </si>
  <si>
    <t>2024-128</t>
  </si>
  <si>
    <t>Ciclo de Capacitação para gestores de Contrato – SES/IGESDF T2</t>
  </si>
  <si>
    <t>02, 03 e 04/12/2024</t>
  </si>
  <si>
    <t>2024-129</t>
  </si>
  <si>
    <t>12532/2024</t>
  </si>
  <si>
    <t>Palestra Escon 10 anos</t>
  </si>
  <si>
    <t>05/12/2024</t>
  </si>
  <si>
    <t>Gustavo Ziller</t>
  </si>
  <si>
    <t>2024-130</t>
  </si>
  <si>
    <t>Coffee-Talk PDG - Gestão para o Futuro - nível operacional</t>
  </si>
  <si>
    <t>06/12/2024</t>
  </si>
  <si>
    <t>2024-131</t>
  </si>
  <si>
    <t>13257/2024</t>
  </si>
  <si>
    <t>O Governo é da Nossa Conta - T2</t>
  </si>
  <si>
    <t>Fernanda Viana de Souza; Luiz Felipe Tenório; Ellen Verri Lopes; Joabe Dutra</t>
  </si>
  <si>
    <t>2024-132</t>
  </si>
  <si>
    <t>Segundo Ciclo - Conselheiro de Saude - T4</t>
  </si>
  <si>
    <t>09, 10, 12 e 13/12/2024</t>
  </si>
  <si>
    <t>2024-133</t>
  </si>
  <si>
    <t>456/2024</t>
  </si>
  <si>
    <t>Alura</t>
  </si>
  <si>
    <t>15/12/2024</t>
  </si>
  <si>
    <t>2025-001</t>
  </si>
  <si>
    <t>14335/2024</t>
  </si>
  <si>
    <t>Planilhas de Terceirização de Mão de Obra - Turma 1</t>
  </si>
  <si>
    <t>27 a 31/01/2025</t>
  </si>
  <si>
    <t>2025-002</t>
  </si>
  <si>
    <t>2954/2025</t>
  </si>
  <si>
    <t>01/02/2025</t>
  </si>
  <si>
    <t>2025-003</t>
  </si>
  <si>
    <t>13993/2024</t>
  </si>
  <si>
    <t>Atendimento humanizado ao público na área da saúde - Turma 1</t>
  </si>
  <si>
    <t>03 a 06/02/2025</t>
  </si>
  <si>
    <t>2025-004</t>
  </si>
  <si>
    <t>350/2025</t>
  </si>
  <si>
    <t>Ambientação para novos servidores</t>
  </si>
  <si>
    <t>03 e 04/02/2025</t>
  </si>
  <si>
    <t>2025-005</t>
  </si>
  <si>
    <t>13778/2024</t>
  </si>
  <si>
    <t>Curso Prático de Siggo para Auditoria</t>
  </si>
  <si>
    <t>03, 04 e 05/02/2025</t>
  </si>
  <si>
    <t>2025-006</t>
  </si>
  <si>
    <t>13850/2024</t>
  </si>
  <si>
    <t>Amostragem de Unidades Monetárias em Auditorias Financeiras</t>
  </si>
  <si>
    <t>03, 05, 07, 10, 12, 14 e 17/02/2025</t>
  </si>
  <si>
    <t>2025-007</t>
  </si>
  <si>
    <t>256/2025</t>
  </si>
  <si>
    <t>e-TCDF para novos servidores</t>
  </si>
  <si>
    <t>06, 07, 12, 13 e 14/02/2025</t>
  </si>
  <si>
    <t>2025-008</t>
  </si>
  <si>
    <t>9074/2024</t>
  </si>
  <si>
    <t>Análise e Avaliação de Políticas Públicas</t>
  </si>
  <si>
    <t>10, 12 e 14/02/2025</t>
  </si>
  <si>
    <t>2025-009</t>
  </si>
  <si>
    <t>13675/2024</t>
  </si>
  <si>
    <t>Contraditório e Defesa no Processo de Controle Externo</t>
  </si>
  <si>
    <t>11, 13, 18, 19 e 20/02/2025</t>
  </si>
  <si>
    <t>2025-010</t>
  </si>
  <si>
    <t>14239/2024</t>
  </si>
  <si>
    <t>CSPO - Certified Scrum Product Owner</t>
  </si>
  <si>
    <t>18 e 19/02/2025</t>
  </si>
  <si>
    <t>2025-011</t>
  </si>
  <si>
    <t>13779/2024</t>
  </si>
  <si>
    <t>“O instituto da prescrição no âmbito do TCDF”</t>
  </si>
  <si>
    <t>18 e 20/02/2025</t>
  </si>
  <si>
    <t>2025-012</t>
  </si>
  <si>
    <t>15317/2024</t>
  </si>
  <si>
    <t>O Governo é da Nossa Conta - T1 2025</t>
  </si>
  <si>
    <t>21/02/2025</t>
  </si>
  <si>
    <t>2025-013</t>
  </si>
  <si>
    <t>14337/2024</t>
  </si>
  <si>
    <t>Elaboração de Estudo Técnico Preliminar e Termo de Referência - Turma 1</t>
  </si>
  <si>
    <t>24 a 28/02/2025</t>
  </si>
  <si>
    <t>2025-014</t>
  </si>
  <si>
    <t>13776/2024</t>
  </si>
  <si>
    <t>Curso Engenharia de Prompt - T1</t>
  </si>
  <si>
    <t>10 e 12/03/2025</t>
  </si>
  <si>
    <t>Eric Hans</t>
  </si>
  <si>
    <t>2025-015</t>
  </si>
  <si>
    <t>318/2025</t>
  </si>
  <si>
    <t>Auditoria Operacional</t>
  </si>
  <si>
    <t>11/03 a 04/04/2025</t>
  </si>
  <si>
    <t>Dagomar Lima</t>
  </si>
  <si>
    <t>2025-016</t>
  </si>
  <si>
    <t>15452/2024</t>
  </si>
  <si>
    <t>Roda de Conversa - Mulheres em Movimento</t>
  </si>
  <si>
    <t>11/03/2025</t>
  </si>
  <si>
    <t>2025-017</t>
  </si>
  <si>
    <t>“O instituto da prescrição no âmbito do TCDF” - T2 (GDF)</t>
  </si>
  <si>
    <t>13 e 14/03/2025</t>
  </si>
  <si>
    <t>2025-018</t>
  </si>
  <si>
    <t>13637/2024</t>
  </si>
  <si>
    <t>Power BI Básico</t>
  </si>
  <si>
    <t>17 a 21/03/2025</t>
  </si>
  <si>
    <t>2025-019</t>
  </si>
  <si>
    <t>13835/2024</t>
  </si>
  <si>
    <t>Curso de Formação para Conselheiros de Saúde do DF - nível iniciante</t>
  </si>
  <si>
    <t>17, 19 e 21/03/2025</t>
  </si>
  <si>
    <t>2025-020</t>
  </si>
  <si>
    <t>Programa Nacional de Transparência Pública - ciclo 2025</t>
  </si>
  <si>
    <t>20 e 21/03/2025</t>
  </si>
  <si>
    <t>Atricon</t>
  </si>
  <si>
    <t>2025-021</t>
  </si>
  <si>
    <t>13934/2024</t>
  </si>
  <si>
    <t>Curso de Formação para Conselheiros de Saúde do DF - nível avançado</t>
  </si>
  <si>
    <t>24, 26 e 28/03/2024</t>
  </si>
  <si>
    <t>2025-022</t>
  </si>
  <si>
    <t>2274/2025</t>
  </si>
  <si>
    <t>Ambientação para novos servidores - T2</t>
  </si>
  <si>
    <t>27 e 28/03/2025</t>
  </si>
  <si>
    <t>2025-023</t>
  </si>
  <si>
    <t>31/03 a 04/04/2025</t>
  </si>
  <si>
    <t>2025-024</t>
  </si>
  <si>
    <t>2424/2025</t>
  </si>
  <si>
    <t>Matriz de responsabilização: teoria e prática</t>
  </si>
  <si>
    <t>01, 04, 08 e 11/04/2025</t>
  </si>
  <si>
    <t>Gabriel Heller; Caio Filipe</t>
  </si>
  <si>
    <t>2025-025</t>
  </si>
  <si>
    <t>1439/2025</t>
  </si>
  <si>
    <t>CSPO - T2</t>
  </si>
  <si>
    <t>01/04/2025 a 01/08/2025</t>
  </si>
  <si>
    <t>Rodrigo de Toledo</t>
  </si>
  <si>
    <t>2025-026</t>
  </si>
  <si>
    <t>1066/2025</t>
  </si>
  <si>
    <t>Maratona Temática: Obras Públicas</t>
  </si>
  <si>
    <t>03 e 04/04/2025</t>
  </si>
  <si>
    <t>2025-027</t>
  </si>
  <si>
    <t>876/2025</t>
  </si>
  <si>
    <t>07 a 10/04/2025</t>
  </si>
  <si>
    <t>2025-028</t>
  </si>
  <si>
    <t>952/2025</t>
  </si>
  <si>
    <t>Gestão de Contratos na Lei 14.133/2021 - T1</t>
  </si>
  <si>
    <t>10, 11, 14 e 15/04/2025</t>
  </si>
  <si>
    <t>2025-029</t>
  </si>
  <si>
    <t>2815/2025</t>
  </si>
  <si>
    <t>Palestra "IA Generativa na prática"</t>
  </si>
  <si>
    <t>10/04/2025</t>
  </si>
  <si>
    <t>Alexandre Aquiles</t>
  </si>
  <si>
    <t>2025-030</t>
  </si>
  <si>
    <t>10935/2025</t>
  </si>
  <si>
    <t>Palestras Gartner - Tendências de Tecnologia</t>
  </si>
  <si>
    <t>04/11/2025</t>
  </si>
  <si>
    <t>Ricardo Machado</t>
  </si>
  <si>
    <t>2025-031</t>
  </si>
  <si>
    <t>Curso Engenharia de Prompt - T2</t>
  </si>
  <si>
    <t>14 e 15/04/2025</t>
  </si>
  <si>
    <t>2025-032</t>
  </si>
  <si>
    <t>Gestão de Contratos na Lei 14.133/2021 - T2</t>
  </si>
  <si>
    <t>22, 28, 29 e 30/04/2025</t>
  </si>
  <si>
    <t>2025-033</t>
  </si>
  <si>
    <t>665/2025</t>
  </si>
  <si>
    <t>Instrução de Tomada de Contas Especial</t>
  </si>
  <si>
    <t>23 a 25/04/2025</t>
  </si>
  <si>
    <t>2025-034</t>
  </si>
  <si>
    <t>3371/2025</t>
  </si>
  <si>
    <t>e-TCDF para novos servidores - T2</t>
  </si>
  <si>
    <t>24, 25, 28, 29 e 30/04/2025</t>
  </si>
  <si>
    <t>2025-035</t>
  </si>
  <si>
    <t>3633/2025</t>
  </si>
  <si>
    <t>Café &amp; Tértulia - Passado, presente e futuro</t>
  </si>
  <si>
    <t>25/04/2025</t>
  </si>
  <si>
    <t>2025-036</t>
  </si>
  <si>
    <t>4128/2025</t>
  </si>
  <si>
    <t>Sessão Cinema - Aniversário de Brasília: "JK o Reinventor do Brasil"</t>
  </si>
  <si>
    <t>28/04/2025</t>
  </si>
  <si>
    <t>2025-037</t>
  </si>
  <si>
    <t>2109/2025; 2736/2025</t>
  </si>
  <si>
    <t>29/04/2025</t>
  </si>
  <si>
    <t>2025-038</t>
  </si>
  <si>
    <t>4708/2025</t>
  </si>
  <si>
    <t>Mentoria para lideranças do TCDF</t>
  </si>
  <si>
    <t>01/05/2025</t>
  </si>
  <si>
    <t>2025-039</t>
  </si>
  <si>
    <t>ETP e TR - T2</t>
  </si>
  <si>
    <t>05 a 09/05/2025</t>
  </si>
  <si>
    <t>2025-040</t>
  </si>
  <si>
    <t>1503/2025</t>
  </si>
  <si>
    <t>Curso de Formação para Conselheiros de Saúde do DF - nível iniciante - T2</t>
  </si>
  <si>
    <t>12, 14 e 16/05/2025</t>
  </si>
  <si>
    <t>2025-041</t>
  </si>
  <si>
    <t>4157/2025</t>
  </si>
  <si>
    <t>Homenagem ao Dia das Mães</t>
  </si>
  <si>
    <t>20/05/2025</t>
  </si>
  <si>
    <t>Cinthia Thais de Carvalho Luz Thomazi e Tatianne Hatem</t>
  </si>
  <si>
    <t>2025-042</t>
  </si>
  <si>
    <t>4395/2025</t>
  </si>
  <si>
    <t>Tcendo o Futuro - E.C. 04 do Cruzeiro</t>
  </si>
  <si>
    <t>22/05/2025</t>
  </si>
  <si>
    <t>2025-043</t>
  </si>
  <si>
    <t>Tcendo o Futuro - E.C. 06 do Cruzeiro</t>
  </si>
  <si>
    <t>23/05/2025</t>
  </si>
  <si>
    <t>2025-044</t>
  </si>
  <si>
    <t>3403/2025</t>
  </si>
  <si>
    <t>Informática Básica</t>
  </si>
  <si>
    <t>26, 28 e 30/05/2025</t>
  </si>
  <si>
    <t>Bruno Coelho</t>
  </si>
  <si>
    <t>2025-045</t>
  </si>
  <si>
    <t>4184/2025</t>
  </si>
  <si>
    <t>Processo de Contas no TCDF</t>
  </si>
  <si>
    <t>27, 29 e 30/05/2025</t>
  </si>
  <si>
    <t>2025-046</t>
  </si>
  <si>
    <t>2207/2025</t>
  </si>
  <si>
    <t>Liderança com base em evidências</t>
  </si>
  <si>
    <t>28/05 a 03/06/2025</t>
  </si>
  <si>
    <t>2025-047</t>
  </si>
  <si>
    <t>Análise e Avaliação de Políticas Públicas - mentoria</t>
  </si>
  <si>
    <t>01/06/2025</t>
  </si>
  <si>
    <t>2025-048</t>
  </si>
  <si>
    <t>1507/2025</t>
  </si>
  <si>
    <t>Curso de Formação para Conselheiros de Saúde do DF - nível avançado- T2</t>
  </si>
  <si>
    <t>02, 04 e 06/06/2025</t>
  </si>
  <si>
    <t>2025-049</t>
  </si>
  <si>
    <t>3406/2025</t>
  </si>
  <si>
    <t>Auditoria de custos de obras rodoviárias e vias urbanas, com o Sicro</t>
  </si>
  <si>
    <t>02, 03, 05, 09, 10 e 12/06/2025</t>
  </si>
  <si>
    <t>2025-050</t>
  </si>
  <si>
    <t>1563/2025</t>
  </si>
  <si>
    <t>04/06/2025</t>
  </si>
  <si>
    <t>2025-051</t>
  </si>
  <si>
    <t>e-TCDF para novos servidores - T3</t>
  </si>
  <si>
    <t>09, 10, 11, 16 e 17/06/2025</t>
  </si>
  <si>
    <t>2025-052</t>
  </si>
  <si>
    <t>5158/2025</t>
  </si>
  <si>
    <t>Ambientação de novos estagiários - T1</t>
  </si>
  <si>
    <t>09 e 10/06/2025</t>
  </si>
  <si>
    <t>Denise Duarte Guirra Kuhlmann; Luiz Felipe Tenório; Norton Ferraz</t>
  </si>
  <si>
    <t>2025-053</t>
  </si>
  <si>
    <t>4234/2025</t>
  </si>
  <si>
    <t>Power Automate aplicado ao Controle Externo</t>
  </si>
  <si>
    <t>12 e 13/06/2025</t>
  </si>
  <si>
    <t>2025-054</t>
  </si>
  <si>
    <t>4933/2025</t>
  </si>
  <si>
    <t>Controle Externo das parcerias firmadas com base no Marco Regulatório das Organizações da Sociedade Civil (MROSC)</t>
  </si>
  <si>
    <t>16 a 18/06/2025</t>
  </si>
  <si>
    <t>Antonio França</t>
  </si>
  <si>
    <t>2025-055</t>
  </si>
  <si>
    <t>5503/2025</t>
  </si>
  <si>
    <t>Curso de Formação para Conselheiros de Saúde do DF - nível básico - T3</t>
  </si>
  <si>
    <t>23 a 27/06/2025</t>
  </si>
  <si>
    <t>2025-056</t>
  </si>
  <si>
    <t>4936/2025</t>
  </si>
  <si>
    <t>Engenharia de Prompt/Chat TCDF - T1</t>
  </si>
  <si>
    <t>24 e 26/06/2025</t>
  </si>
  <si>
    <t>Gustavo Henrique; Arthur Nogueira</t>
  </si>
  <si>
    <t>2025-057</t>
  </si>
  <si>
    <t>2984/2025</t>
  </si>
  <si>
    <t>Teoria e prática de elaboração de ementas jurisprudenciais</t>
  </si>
  <si>
    <t>24/06 a 03/07/2025</t>
  </si>
  <si>
    <t>Caio Filipe e Marcelo Kessler</t>
  </si>
  <si>
    <t>2025-058</t>
  </si>
  <si>
    <t>6576/2025</t>
  </si>
  <si>
    <t>Sirac - Indícios - T1</t>
  </si>
  <si>
    <t>30/06/2025</t>
  </si>
  <si>
    <t>Gustavo Carvalho; Vilcemar Fernandes Maia Filho</t>
  </si>
  <si>
    <t>2025-059</t>
  </si>
  <si>
    <t>5942/2025</t>
  </si>
  <si>
    <t>TCDF e as Universidades: TCDF e a Fiscalização de Obras e Visita Guiada</t>
  </si>
  <si>
    <t>30/06 a 04/07/2025</t>
  </si>
  <si>
    <t>2025-060</t>
  </si>
  <si>
    <t>2495/2025</t>
  </si>
  <si>
    <t>04/07/2025</t>
  </si>
  <si>
    <t>Ellen Verri Lopes; Joabe Dutra; Luiz Felipe Gondim</t>
  </si>
  <si>
    <t>2025-061</t>
  </si>
  <si>
    <t>672/2025</t>
  </si>
  <si>
    <t>Contratação de Soluções em TIC</t>
  </si>
  <si>
    <t>04/07 a 04/09/2025</t>
  </si>
  <si>
    <t>2025-062</t>
  </si>
  <si>
    <t>4838/2025</t>
  </si>
  <si>
    <t>Treinamento para Organizações da Sociedade Civil – MROSC</t>
  </si>
  <si>
    <t>07, 09 e 11/07/2025</t>
  </si>
  <si>
    <t>Indio Artiaga do Brasil Rabelo; Leonardo de Melo</t>
  </si>
  <si>
    <t>2025-063</t>
  </si>
  <si>
    <t>8812/2025</t>
  </si>
  <si>
    <t>Contratações Integradas aplicada ao Controle Externo</t>
  </si>
  <si>
    <t>10/07 a 15/10/2025</t>
  </si>
  <si>
    <t>2025-064</t>
  </si>
  <si>
    <t>5462/2025</t>
  </si>
  <si>
    <t>Falhas recorrentes em contratações de Obras - Legislação e aspectos práticos - T1</t>
  </si>
  <si>
    <t>21, 22, 28 e 29/07/2025</t>
  </si>
  <si>
    <t>2025-065</t>
  </si>
  <si>
    <t>Engenharia de Prompt/Chat TCDF - T2</t>
  </si>
  <si>
    <t>22 e 24/07/2025</t>
  </si>
  <si>
    <t>2025-066</t>
  </si>
  <si>
    <t>6623/2025</t>
  </si>
  <si>
    <t>Prescrição no âmbito do TCDF - T2</t>
  </si>
  <si>
    <t>31/07 a 01/08/2025</t>
  </si>
  <si>
    <t>2025-067</t>
  </si>
  <si>
    <t>6725/2025</t>
  </si>
  <si>
    <t>Atualização em Avaliação de Riscos para Auditorias Financeiras</t>
  </si>
  <si>
    <t>04, 06, 08, 11, 13, 15, 18, 20, 22, 25, 27 e 29/08/2025</t>
  </si>
  <si>
    <t>2025-068</t>
  </si>
  <si>
    <t>4501/2025</t>
  </si>
  <si>
    <t>Estruturação e Governança de Ecossistema de Inovação Pública</t>
  </si>
  <si>
    <t>05/08 a 04/09/2025</t>
  </si>
  <si>
    <t>Antonio Isidro</t>
  </si>
  <si>
    <t>2025-069</t>
  </si>
  <si>
    <t>Sirac - Indícios - T2</t>
  </si>
  <si>
    <t>07/08/2025</t>
  </si>
  <si>
    <t>Vilcemar Fernandes Maia Filho</t>
  </si>
  <si>
    <t>2025-070</t>
  </si>
  <si>
    <t>9203/2025</t>
  </si>
  <si>
    <t>Café &amp; Tertúlia – Encerramento da Semana de Saúde</t>
  </si>
  <si>
    <t>08/08/2025</t>
  </si>
  <si>
    <t>Valéria Feitoza; Gabriel Heller; Cinthia Thais de Carvalho Luz Thomazi; Isac Mendes Caixeta de Pamplona Araújo</t>
  </si>
  <si>
    <t>2025-071</t>
  </si>
  <si>
    <t>Café &amp; Tértulia - Versão Neuroquímica</t>
  </si>
  <si>
    <t>Gabriel Heller; Valéria Feitoza; Cinthia Thais de Carvalho Luz Thomazi; Isac Mendes Caixeta de Pamplona Araújo</t>
  </si>
  <si>
    <t>2025-072</t>
  </si>
  <si>
    <t>5463/2025</t>
  </si>
  <si>
    <t>Oratória - T1</t>
  </si>
  <si>
    <t>11 a 15/08/2025</t>
  </si>
  <si>
    <t>2025-073</t>
  </si>
  <si>
    <t>5671/2025</t>
  </si>
  <si>
    <t>Tutela de urgência no TCDF</t>
  </si>
  <si>
    <t>12, 13 e 15/08/2025</t>
  </si>
  <si>
    <t>Gabriel Heller; Marcelo Kessler</t>
  </si>
  <si>
    <t>2025-074</t>
  </si>
  <si>
    <t>Palestra “TCDF na sociedade: apresentação de resultados da auditoria em saúde realizada pelo TCDF” - T2</t>
  </si>
  <si>
    <t>12/08/2025</t>
  </si>
  <si>
    <t>2025-075</t>
  </si>
  <si>
    <t>8295/2025</t>
  </si>
  <si>
    <t>Curso de Reanimação Avançada</t>
  </si>
  <si>
    <t>16 e 17/08/2025</t>
  </si>
  <si>
    <t>Academia Simulamed</t>
  </si>
  <si>
    <t>2025-076</t>
  </si>
  <si>
    <t>8582/2025</t>
  </si>
  <si>
    <t>Dia do Estagiário no TCDF</t>
  </si>
  <si>
    <t>18/08/2025</t>
  </si>
  <si>
    <t>Everton Lima</t>
  </si>
  <si>
    <t>2025-077</t>
  </si>
  <si>
    <t>Homenagem ao Dia dos Estagiários</t>
  </si>
  <si>
    <t>Luiz Felipe Tenório; Fernanda Viana de Souza; Diogo dos Santos; Everton Lima</t>
  </si>
  <si>
    <t>2025-078</t>
  </si>
  <si>
    <t>7804/2025</t>
  </si>
  <si>
    <t>XXX SEMAT</t>
  </si>
  <si>
    <t>21 e 22/08/2025</t>
  </si>
  <si>
    <t>2025-079</t>
  </si>
  <si>
    <t>8080/2025</t>
  </si>
  <si>
    <t>Oficina Temática - SEMAT: Falhas recorrentes em Contratações de TI.</t>
  </si>
  <si>
    <t>25 e 26/08/2025</t>
  </si>
  <si>
    <t>2025-080</t>
  </si>
  <si>
    <t>Oficina SEMAT - Falhas recorrentes em contratações de Obras - Legislação e aspectos práticos</t>
  </si>
  <si>
    <t>25/08 a 05/09/2025</t>
  </si>
  <si>
    <t>2025-081</t>
  </si>
  <si>
    <t>8152/2025</t>
  </si>
  <si>
    <t>Oficina Semat - Sirac Concessões e Fiscalização de Pessoal</t>
  </si>
  <si>
    <t>27/08/2025</t>
  </si>
  <si>
    <t>Hugo Póvoa; Mayara Lima</t>
  </si>
  <si>
    <t>2025-082</t>
  </si>
  <si>
    <t>9520/2025</t>
  </si>
  <si>
    <t>Oficina temática SEMAT: Uso do modelo de 5 dimensões para a formulação de políticas públicas.</t>
  </si>
  <si>
    <t>28/08/2025</t>
  </si>
  <si>
    <t>2025-083</t>
  </si>
  <si>
    <t>8157/2025</t>
  </si>
  <si>
    <t>Oficina Semat - Sirac Admissões</t>
  </si>
  <si>
    <t>2025-084</t>
  </si>
  <si>
    <t>4570/2025</t>
  </si>
  <si>
    <t>Boas Práticas em Gestão para Administrações Regionais</t>
  </si>
  <si>
    <t>02 a 04/09/2025</t>
  </si>
  <si>
    <t>2025-085</t>
  </si>
  <si>
    <t>8748/2025</t>
  </si>
  <si>
    <t>Linguagem Simples aplicada ao TCDF</t>
  </si>
  <si>
    <t>05/09/2025</t>
  </si>
  <si>
    <t>Polyana Mota Resende Brant; Kelly Cristina Domingos</t>
  </si>
  <si>
    <t>2025-086</t>
  </si>
  <si>
    <t>Ambientação de novos estagiários - T2</t>
  </si>
  <si>
    <t>08 e 09/09/2025</t>
  </si>
  <si>
    <t>2025-087</t>
  </si>
  <si>
    <t>8153/2025</t>
  </si>
  <si>
    <t>Chora PPT</t>
  </si>
  <si>
    <t>10 e 11/09/2025</t>
  </si>
  <si>
    <t>Perestroika</t>
  </si>
  <si>
    <t>2025-088</t>
  </si>
  <si>
    <t>Tcendo o Futuro - E.C. 114 Sul e E.C. 106 Norte</t>
  </si>
  <si>
    <t>11/09/2025</t>
  </si>
  <si>
    <t>2025-089</t>
  </si>
  <si>
    <t>O Governo é da Nossa Conta - T3</t>
  </si>
  <si>
    <t>12/09/2025</t>
  </si>
  <si>
    <t>2025-090</t>
  </si>
  <si>
    <t>Tcendo o Futuro - E.C. 708 Norte e E.C. 113 Norte</t>
  </si>
  <si>
    <t>2025-091</t>
  </si>
  <si>
    <t>9325/2025</t>
  </si>
  <si>
    <t>Sessão de Cinema - Aniversário TCDF "JK o Reinventor do Brasil"</t>
  </si>
  <si>
    <t>16/09/2025</t>
  </si>
  <si>
    <t>2025-092</t>
  </si>
  <si>
    <t>10578/2025</t>
  </si>
  <si>
    <t>Curso “Inteligência em Fontes Abertas (OSINT) para Auditores de Controle Externo”</t>
  </si>
  <si>
    <t>22 a 26/09/2025</t>
  </si>
  <si>
    <t>27,5</t>
  </si>
  <si>
    <t>Willian Wistuba</t>
  </si>
  <si>
    <t>2025-093</t>
  </si>
  <si>
    <t>5489/2025</t>
  </si>
  <si>
    <t>Principais Falhas em Processos Licitatórios</t>
  </si>
  <si>
    <t>24/09 a 01/10/2025</t>
  </si>
  <si>
    <t>Henrique Luciano</t>
  </si>
  <si>
    <t>2025-094</t>
  </si>
  <si>
    <t>6899/2025</t>
  </si>
  <si>
    <t>Maratona Temática “O Olhar dos Tribunais de Contas sobre Políticas Públicas"</t>
  </si>
  <si>
    <t>25 e 26/09/2025</t>
  </si>
  <si>
    <t>2025-095</t>
  </si>
  <si>
    <t>Prescrição no âmbito do TCDF - T3</t>
  </si>
  <si>
    <t>02 e 03/10/2025</t>
  </si>
  <si>
    <t>2025-096</t>
  </si>
  <si>
    <t>12946/2025</t>
  </si>
  <si>
    <t>Avaliação da qualidade instrucional, "ANT na prática" e "Gestão Estratégica de Treinamento &amp; Desenvolvimento (T&amp;D)"</t>
  </si>
  <si>
    <t>02 a 17/10/2025</t>
  </si>
  <si>
    <t>Paulo José Góes Daltro; Karine Caroline; Denise Duarte Guirra Kuhlmann</t>
  </si>
  <si>
    <t>2025-097</t>
  </si>
  <si>
    <t>10519/2025</t>
  </si>
  <si>
    <t>Curso “MROSC para servidores públicas distritais”</t>
  </si>
  <si>
    <t>02, 03e 06/10/2025</t>
  </si>
  <si>
    <t>2025-098</t>
  </si>
  <si>
    <t>11320/2025</t>
  </si>
  <si>
    <t>Visita dos Filhos ao TCDF</t>
  </si>
  <si>
    <t>03/10/2025</t>
  </si>
  <si>
    <t>2025-099</t>
  </si>
  <si>
    <t>Palestras Gartner - Segurança da Informação e privacidade</t>
  </si>
  <si>
    <t>06/10/2025</t>
  </si>
  <si>
    <t>2025-100</t>
  </si>
  <si>
    <t>10959/2025</t>
  </si>
  <si>
    <t>Curso para gestores e fiscais de contrato – SES/DF</t>
  </si>
  <si>
    <t>08 a 10/10/2025</t>
  </si>
  <si>
    <t>Adriana Salles; Luciana Alvim</t>
  </si>
  <si>
    <t>2025-101</t>
  </si>
  <si>
    <t>9139/2025</t>
  </si>
  <si>
    <t>Curso de Formação para Conselheiros de Saúde do DF - nível avançado- T3</t>
  </si>
  <si>
    <t>14 a 16/10/2025</t>
  </si>
  <si>
    <t>Valéria Feitoza; Cinthia Thais de Carvalho Luz Thomazi; Isac Mendes Caixeta de Pamplona Araújo</t>
  </si>
  <si>
    <t>2025-102</t>
  </si>
  <si>
    <t>10932/2025</t>
  </si>
  <si>
    <t>Curso "Gestão de Informações e Proteção do Conhecimento no Controle Externo"</t>
  </si>
  <si>
    <t>20 a 24/10/2025</t>
  </si>
  <si>
    <t>2025-103</t>
  </si>
  <si>
    <t>10621/2025</t>
  </si>
  <si>
    <t>Maratona Temática: Segurança Pública</t>
  </si>
  <si>
    <t>20 e 21/10/2025</t>
  </si>
  <si>
    <t>2025-104</t>
  </si>
  <si>
    <t>12113/2025</t>
  </si>
  <si>
    <t>Lançamento de Livros</t>
  </si>
  <si>
    <t>23/10/2025</t>
  </si>
  <si>
    <t>2025-105</t>
  </si>
  <si>
    <t>13122/2025</t>
  </si>
  <si>
    <t>24/10 a 28/11/2025</t>
  </si>
  <si>
    <t>Nelson Inocêncio; Maria Luiza Júnior; Fernanda Cordeiro; Fabrício Rodrigues; Denise Duarte Guirra Kuhlmann</t>
  </si>
  <si>
    <t>2025-106</t>
  </si>
  <si>
    <t>12335/2025</t>
  </si>
  <si>
    <t>03 a 07/11/2025</t>
  </si>
  <si>
    <t>2025-107</t>
  </si>
  <si>
    <t>Tcendo o Futuro</t>
  </si>
  <si>
    <t>06/11/2025</t>
  </si>
  <si>
    <t>2025-108</t>
  </si>
  <si>
    <t>4523/2025</t>
  </si>
  <si>
    <t>Cinthia Thais de Carvalho Luz Thomazi; Adriana Cuoco Portugal; Fernanda Viana de Souza; Denise Duarte Guirra Kuhlmann; Priscila Nolasco</t>
  </si>
  <si>
    <t>2025-109</t>
  </si>
  <si>
    <t>12086/2025</t>
  </si>
  <si>
    <t>Café e Tertúlia - Mês do Servidor (Show de Talentos)</t>
  </si>
  <si>
    <t>07/11/2025</t>
  </si>
  <si>
    <t>2025-110</t>
  </si>
  <si>
    <t>Oratória - T2</t>
  </si>
  <si>
    <t>10 a 14/11/2025</t>
  </si>
  <si>
    <t>2025-111</t>
  </si>
  <si>
    <t>9102/2025</t>
  </si>
  <si>
    <t>11, 12, 13, 18 e 19/11/2025</t>
  </si>
  <si>
    <t>2025-112</t>
  </si>
  <si>
    <t>12830/2025</t>
  </si>
  <si>
    <t>Curso “Contratação Integrada na Prática”</t>
  </si>
  <si>
    <t>17 a 19/11/2025</t>
  </si>
  <si>
    <t>2025-113</t>
  </si>
  <si>
    <t>12954/2025</t>
  </si>
  <si>
    <t>Homenagem ao Dia da Consciência Negra</t>
  </si>
  <si>
    <t>17 e 18/11/2025</t>
  </si>
  <si>
    <t>2025-114</t>
  </si>
  <si>
    <t>9077/2025</t>
  </si>
  <si>
    <t>Vieses e Armadilhas Mentais: como tomar melhores decisões na Administração Pública</t>
  </si>
  <si>
    <t>24 a 26/11/2025</t>
  </si>
  <si>
    <t>Gabriel Heller; Reinaldo Alencar</t>
  </si>
  <si>
    <t>2025-115</t>
  </si>
  <si>
    <t>6624/2025</t>
  </si>
  <si>
    <t>Curso “Fundamentos de Auditoria Ágil”</t>
  </si>
  <si>
    <t>24, 26 e 28/11/2025</t>
  </si>
  <si>
    <t>Ricardo Akl</t>
  </si>
  <si>
    <t>2025-116</t>
  </si>
  <si>
    <t>11833/2025</t>
  </si>
  <si>
    <t>Curso para Conselheiros Tutelares do DF</t>
  </si>
  <si>
    <t>2025-117</t>
  </si>
  <si>
    <t>6011/2025</t>
  </si>
  <si>
    <t>01/12/2025</t>
  </si>
  <si>
    <t>2025-118</t>
  </si>
  <si>
    <t>13654/2025</t>
  </si>
  <si>
    <t>Curso básico de e-TCDF</t>
  </si>
  <si>
    <t>03, 05, 08 e 10/12/2025</t>
  </si>
  <si>
    <t>2025-119</t>
  </si>
  <si>
    <t>14610/2024</t>
  </si>
  <si>
    <t>Curso e Mentoria em Oratória - Balbio</t>
  </si>
  <si>
    <t>15/12/2025</t>
  </si>
  <si>
    <t>2025-120</t>
  </si>
  <si>
    <t>15651/2024</t>
  </si>
  <si>
    <t>Palestra “TCDF e a Fiscalização de Obras” - Universidade e TCDF</t>
  </si>
  <si>
    <t>20/01/2025</t>
  </si>
  <si>
    <t>2026-001</t>
  </si>
  <si>
    <t>14319/2025</t>
  </si>
  <si>
    <t>20 e 22/01/2026</t>
  </si>
  <si>
    <t>2026-002</t>
  </si>
  <si>
    <t>16298/2025</t>
  </si>
  <si>
    <t>Tcendo o Futuro - Edição Especial Filhos</t>
  </si>
  <si>
    <t>23/01/2026</t>
  </si>
  <si>
    <t>2026-003</t>
  </si>
  <si>
    <t>4926/2025</t>
  </si>
  <si>
    <t>Estruturação de Inovações Disruptivas no TCDF</t>
  </si>
  <si>
    <t>26/01 a 10/02/2026</t>
  </si>
  <si>
    <t>Caio Castelliano</t>
  </si>
  <si>
    <t>2026-004</t>
  </si>
  <si>
    <t>15827/2025</t>
  </si>
  <si>
    <t>Gestão e Fiscalização de Contratos de Equipamentos Médico Hospitalares e Serviços de Manutenção</t>
  </si>
  <si>
    <t>25 a 27/02/2026</t>
  </si>
  <si>
    <t>Tarsila Firmino Ely; Luciana Alvim</t>
  </si>
  <si>
    <t>2026-005</t>
  </si>
  <si>
    <t>529/2026</t>
  </si>
  <si>
    <t>FIT1: Treinamento e Desenvolvimento (T&amp;D)</t>
  </si>
  <si>
    <t>Escola de Instrutores</t>
  </si>
  <si>
    <t>25/02/2026 a 02/03/2026</t>
  </si>
  <si>
    <t>Paulo José Góes Daltro</t>
  </si>
  <si>
    <t>2026-006</t>
  </si>
  <si>
    <t>15352/2025</t>
  </si>
  <si>
    <t>Curso para gestores e fiscais de contratos de serviços assistenciais complementares – SES/DF</t>
  </si>
  <si>
    <t>Adriana Magalhães; Luciana Alvim</t>
  </si>
  <si>
    <t>2026-007</t>
  </si>
  <si>
    <t>10/2026</t>
  </si>
  <si>
    <t>Planilhas de Terceirização de Mão de Obra, de acordo com a Lei nº 14.133/2021 - T1</t>
  </si>
  <si>
    <t>09 a 13/03/2026</t>
  </si>
  <si>
    <t>2026-008</t>
  </si>
  <si>
    <t>354/2026</t>
  </si>
  <si>
    <t>Curso de Promoção Funcional 2026/2027</t>
  </si>
  <si>
    <t>16 a 20/03/2026</t>
  </si>
  <si>
    <t>Rômulo Miranda Alvim; Cinthia Thais de Carvalho Luz Thomazi</t>
  </si>
  <si>
    <t>2026-009</t>
  </si>
  <si>
    <t>15249/2025</t>
  </si>
  <si>
    <t>Introdução à Engenharia de Prompt - t1</t>
  </si>
  <si>
    <t>Inteligência Artificial e Análise de Dados</t>
  </si>
  <si>
    <t>17 a 19/03/2026</t>
  </si>
  <si>
    <t>Arthur Wú; Gustavo Takahashi</t>
  </si>
  <si>
    <t>2026-010</t>
  </si>
  <si>
    <t>Planilhas de Terceirização de Mão de Obra, de acordo com a Lei nº 14.133/2021 - T2</t>
  </si>
  <si>
    <t>23 a 27/03/2026</t>
  </si>
  <si>
    <t>2026-011</t>
  </si>
  <si>
    <t>2111/2026</t>
  </si>
  <si>
    <t>Dia do Ouvidor</t>
  </si>
  <si>
    <t>24/03/2026</t>
  </si>
  <si>
    <t>2026-012</t>
  </si>
  <si>
    <t>49/2026</t>
  </si>
  <si>
    <t>Maratona Temática: Transparência Pública</t>
  </si>
  <si>
    <t>30 a 31/03/2026</t>
  </si>
  <si>
    <t>2026-013</t>
  </si>
  <si>
    <t>Introdução à Engenharia de Prompt - t2</t>
  </si>
  <si>
    <t>15 a 17/04/2026</t>
  </si>
  <si>
    <t>2026-014</t>
  </si>
  <si>
    <t>2511/2026</t>
  </si>
  <si>
    <t>Mostra Fotográfica “Meu Olhar sobre Brasília”</t>
  </si>
  <si>
    <t>20 a 30/04/2026</t>
  </si>
  <si>
    <t>Servidores, colaboradores e estagiários do TCDF</t>
  </si>
  <si>
    <t>2026-015</t>
  </si>
  <si>
    <t>1900/2026</t>
  </si>
  <si>
    <t>23/04/2026</t>
  </si>
  <si>
    <t>Cinthia Thais de Carvalho Luz Thomazi; Adriana Cuoco Portugal; Fernanda Viana de Souza; Denise Duarte Guirra Kuhlmann;  Priscila Nolasco</t>
  </si>
  <si>
    <t>2026-016</t>
  </si>
  <si>
    <t>3103/2026</t>
  </si>
  <si>
    <t>FIT1: Treinamento e Desenvolvimento (T&amp;D) - T2</t>
  </si>
  <si>
    <t>27 a 30/04/2026</t>
  </si>
  <si>
    <t>2026-017</t>
  </si>
  <si>
    <t>7935/2025</t>
  </si>
  <si>
    <t>Fiscalizações Baseadas em Risco</t>
  </si>
  <si>
    <t>Larissa Vieira; Reinaldo Alencar; Rogério Ribeiro</t>
  </si>
  <si>
    <t>2026-018</t>
  </si>
  <si>
    <t>08/05/2026</t>
  </si>
  <si>
    <t>2026-019</t>
  </si>
  <si>
    <t>FIT1: Treinamento e Desenvolvimento (T&amp;D) - T3</t>
  </si>
  <si>
    <t>18 a 21/05/2026</t>
  </si>
  <si>
    <t>2026-020</t>
  </si>
  <si>
    <t>12314/2025</t>
  </si>
  <si>
    <t>Curso “Gestão Estratégica do Fundo dos Direitos da Criança e do Adolescente do DF: Formação para Conselheiros</t>
  </si>
  <si>
    <t>31/12/2026</t>
  </si>
  <si>
    <t>Karine Tomaz Veiga</t>
  </si>
  <si>
    <t>ID Ação</t>
  </si>
  <si>
    <t>Carga Horária</t>
  </si>
  <si>
    <t>Qtd Instrutores</t>
  </si>
  <si>
    <t>GECC Aula (h)</t>
  </si>
  <si>
    <t>GECC Material (h)</t>
  </si>
  <si>
    <t>Total GECC (h)</t>
  </si>
  <si>
    <t>Ano Filtro:</t>
  </si>
  <si>
    <t>fAno</t>
  </si>
  <si>
    <t>fID</t>
  </si>
  <si>
    <t>fStatus</t>
  </si>
  <si>
    <t>fCurso</t>
  </si>
  <si>
    <t>fCH</t>
  </si>
  <si>
    <t>fInstr</t>
  </si>
  <si>
    <t>fNInstr</t>
  </si>
  <si>
    <t>fCumSum</t>
  </si>
  <si>
    <t>preCum</t>
  </si>
  <si>
    <t>AÇÕES EDUCACIONAIS 2026 CEDUC</t>
  </si>
  <si>
    <t>Trimestre</t>
  </si>
  <si>
    <t>Supervisão</t>
  </si>
  <si>
    <t>Nome da Ação Educacional</t>
  </si>
  <si>
    <t>Qual fase?</t>
  </si>
  <si>
    <t>Data do Curso</t>
  </si>
  <si>
    <t>Modalidade Instrutoria</t>
  </si>
  <si>
    <t>Instrutores</t>
  </si>
  <si>
    <t>Vagas</t>
  </si>
  <si>
    <t xml:space="preserve"> Inscritos</t>
  </si>
  <si>
    <t>Responsável</t>
  </si>
  <si>
    <t>1º</t>
  </si>
  <si>
    <t>14319/25</t>
  </si>
  <si>
    <t>SAED</t>
  </si>
  <si>
    <t>Finalizado</t>
  </si>
  <si>
    <t>20 e 21 de janeiro</t>
  </si>
  <si>
    <t>Flávio José Fonseca</t>
  </si>
  <si>
    <t>Stéphanie</t>
  </si>
  <si>
    <t>16298/25</t>
  </si>
  <si>
    <t>SIPEC</t>
  </si>
  <si>
    <t>TCendo o Futuro - Edição Filhos</t>
  </si>
  <si>
    <t>23 de janeiro</t>
  </si>
  <si>
    <t>Raphael</t>
  </si>
  <si>
    <t>4926/25</t>
  </si>
  <si>
    <t>26 a 30 de janeiro, 2,3, 4 de fevereiro; 9 e 10 fevereiro</t>
  </si>
  <si>
    <t>Paula</t>
  </si>
  <si>
    <t>15827/25</t>
  </si>
  <si>
    <t>25 a 27 de fevereiro</t>
  </si>
  <si>
    <t>Tarsila Firmino; Luciana Alvim</t>
  </si>
  <si>
    <t>Taissa</t>
  </si>
  <si>
    <t>529/26</t>
  </si>
  <si>
    <t>25 a 27 de fevereiro; 2 de março</t>
  </si>
  <si>
    <t>15352/25</t>
  </si>
  <si>
    <t>Curso para gestores e fiscais de contratos de serviços assistenciais complementares – SES/DF - T1</t>
  </si>
  <si>
    <t>4 a 6 de março</t>
  </si>
  <si>
    <t>Adriana Magalhães; Luciana Rocha de Melo</t>
  </si>
  <si>
    <t>10/26</t>
  </si>
  <si>
    <t>Aguardando finalizar doc T2</t>
  </si>
  <si>
    <t>9 a 13 de março</t>
  </si>
  <si>
    <t>Leonardo Leal Neri</t>
  </si>
  <si>
    <t>354/26</t>
  </si>
  <si>
    <t>Promoção Funcional</t>
  </si>
  <si>
    <t>Relatório GECC pgmto encaminhado</t>
  </si>
  <si>
    <t>16, 17, 19, 20 de março</t>
  </si>
  <si>
    <t>Engenharia de Prompt - T1</t>
  </si>
  <si>
    <t>17 a 19 de março</t>
  </si>
  <si>
    <t>Arthur WÚ</t>
  </si>
  <si>
    <t>Aguardando AR e Lista Presença</t>
  </si>
  <si>
    <t>23 a 27 de março</t>
  </si>
  <si>
    <t>2111/26</t>
  </si>
  <si>
    <t>Dia da Ouvidoria</t>
  </si>
  <si>
    <t>Autorizado</t>
  </si>
  <si>
    <t>24 de março</t>
  </si>
  <si>
    <t>Gilson</t>
  </si>
  <si>
    <t>49/26</t>
  </si>
  <si>
    <t>Maratona de Transparência Pública</t>
  </si>
  <si>
    <t>30 e 31 de março</t>
  </si>
  <si>
    <t>Sibele</t>
  </si>
  <si>
    <t>2º</t>
  </si>
  <si>
    <t>1984/26</t>
  </si>
  <si>
    <t xml:space="preserve">	Curso para gestores e fiscais de contratos de serviços assistenciais complementares – SES/DF - Turma 2</t>
  </si>
  <si>
    <t>Autorizado pela Presidência</t>
  </si>
  <si>
    <t>8 a 10 de abril</t>
  </si>
  <si>
    <t>Café e Tartúlia</t>
  </si>
  <si>
    <t>10 de abril</t>
  </si>
  <si>
    <t>3976/25</t>
  </si>
  <si>
    <t>Curso de Formação para Conselheiros de Cultura</t>
  </si>
  <si>
    <t>Em processo de contratação</t>
  </si>
  <si>
    <t>13 a 16 de abril</t>
  </si>
  <si>
    <t>Christiane Montes Ramírez</t>
  </si>
  <si>
    <t>Engenharia de Prompt - T2</t>
  </si>
  <si>
    <t>15 e 17 de abril</t>
  </si>
  <si>
    <t>Arthur WÚ; Gustavo Takahashi</t>
  </si>
  <si>
    <t>2511/26</t>
  </si>
  <si>
    <t>20 a 30 de abril</t>
  </si>
  <si>
    <t>-</t>
  </si>
  <si>
    <t>1900/26</t>
  </si>
  <si>
    <t xml:space="preserve">TCendo o Futuro </t>
  </si>
  <si>
    <t>23 e 24 de abril</t>
  </si>
  <si>
    <t>3103/26</t>
  </si>
  <si>
    <t>Em processo de autorização</t>
  </si>
  <si>
    <t>27 a 30 de abril</t>
  </si>
  <si>
    <t>Aguardando Solicitação</t>
  </si>
  <si>
    <t>4, 5, 6, 11 e 12 de maio</t>
  </si>
  <si>
    <t>Rogério Ribeiro; Reinaldo Alencar; Larissa Vieira</t>
  </si>
  <si>
    <t>8 de maio</t>
  </si>
  <si>
    <t>2647/26</t>
  </si>
  <si>
    <t>Fórum Longevidade - Palestra Alexandre Kalache</t>
  </si>
  <si>
    <t>21 e 22 de maio</t>
  </si>
  <si>
    <t>Alexandre Kalache</t>
  </si>
  <si>
    <t>2960/26</t>
  </si>
  <si>
    <t xml:space="preserve">Fórum Longevidade - Palestra Juliana </t>
  </si>
  <si>
    <t>Juliana Seild</t>
  </si>
  <si>
    <t>2820/26</t>
  </si>
  <si>
    <t>Fórum Longevidade - Escape Game</t>
  </si>
  <si>
    <t>Empresa Escape Game</t>
  </si>
  <si>
    <t>3105/26</t>
  </si>
  <si>
    <t>Fórum Longevidade - Palestra Raquel</t>
  </si>
  <si>
    <t>Raquel Arigony</t>
  </si>
  <si>
    <t>Políticas Públicas</t>
  </si>
  <si>
    <t>Elaborando Plano de Ensino</t>
  </si>
  <si>
    <t>25 a 27 de maio; 1 a 3 de junho</t>
  </si>
  <si>
    <t>Rogério Ribeiro; Reinaldo Alencar</t>
  </si>
  <si>
    <t>11565/2024</t>
  </si>
  <si>
    <t>00600-00006259/2022-18</t>
  </si>
  <si>
    <t>00600-00004891/2022-19</t>
  </si>
  <si>
    <t>3643/22</t>
  </si>
  <si>
    <t>3052/22</t>
  </si>
  <si>
    <t>3028/22</t>
  </si>
  <si>
    <t>2911/22</t>
  </si>
  <si>
    <t>2829/22</t>
  </si>
  <si>
    <t>2221/22</t>
  </si>
  <si>
    <t>937/22</t>
  </si>
  <si>
    <t>12718/22</t>
  </si>
  <si>
    <t>9809/21</t>
  </si>
  <si>
    <t>9715/21</t>
  </si>
  <si>
    <t>1361/24</t>
  </si>
  <si>
    <t>8078/21</t>
  </si>
  <si>
    <t>512/24</t>
  </si>
  <si>
    <t>14667/23</t>
  </si>
  <si>
    <t>14357/23</t>
  </si>
  <si>
    <t>10814/23</t>
  </si>
  <si>
    <t>9895/23</t>
  </si>
  <si>
    <t>8662/23</t>
  </si>
  <si>
    <t>7001/23</t>
  </si>
  <si>
    <t>5295/23</t>
  </si>
  <si>
    <t>5248/23</t>
  </si>
  <si>
    <t>3904/23</t>
  </si>
  <si>
    <t>Pimenta</t>
  </si>
  <si>
    <t>2178/23</t>
  </si>
  <si>
    <t>535/23</t>
  </si>
  <si>
    <t>402/23</t>
  </si>
  <si>
    <t>381/23</t>
  </si>
  <si>
    <t>14663/22</t>
  </si>
  <si>
    <t>13772/22</t>
  </si>
  <si>
    <t>13693/22</t>
  </si>
  <si>
    <t>11400/22</t>
  </si>
  <si>
    <t>11363/22</t>
  </si>
  <si>
    <t>9843/22</t>
  </si>
  <si>
    <t>9187/22</t>
  </si>
  <si>
    <t>8684/22</t>
  </si>
  <si>
    <t>8046/22</t>
  </si>
  <si>
    <t>13921/22</t>
  </si>
  <si>
    <t>ste</t>
  </si>
  <si>
    <t>RP</t>
  </si>
  <si>
    <t>1594/2024</t>
  </si>
  <si>
    <t>6886/2024</t>
  </si>
  <si>
    <t>15811/2023</t>
  </si>
  <si>
    <t>2026/2027</t>
  </si>
  <si>
    <t>Destina-se a oferecer ações de aprendizagem  de metodologias necessárias à realização  de fiscalizações governamentais, alinhadas  às Normas Brasileiras de Auditoria do Setor  Público</t>
  </si>
  <si>
    <t>Destina-se a oferecer ações de aprendizagem  voltadas às áreas temáticas fiscalizadas, como  saúde, pessoal, previdência, assistência social,  obras e serviços de engenharia, tecnologia da  informação e comunicação, licitações e contratos, parcerias público-privadas, concessões e desestatização, entre outras</t>
  </si>
  <si>
    <t>Destina-se a oferecer ações de aprendiza_x0002_gem para os gestores e servidores públicos  dos órgãos jurisdicionados ao TCDF, a fim de  promover a correta e eficiente aplicação dos  recursos públicos</t>
  </si>
  <si>
    <t>Treinamento em Saúde Pública</t>
  </si>
  <si>
    <t>Membros e servidores  do TCDF, servidores  públicos dos órgãos jurisdicionados ao TCDF  da área da saúde e  cidadãos interessados  na temática de saúde pública</t>
  </si>
  <si>
    <t>Destina-se a oferecer ações de aprendiza_x0002_gem para os atores responsáveis pela saúde  pública distrital e interessados na temática,  com vistas à correta e eficiente aplicação dos  recursos públicos e à melhoria dos resultados  do setor</t>
  </si>
  <si>
    <t>Membros e servidores do TCDF</t>
  </si>
  <si>
    <t xml:space="preserve">Destina-se a oferecer ações de aprendizagem  voltadas ao uso da inteligência artificial e à  análise e mineração de dados, a fim de iden_x0002_tificar informações úteis à tomada de decisão  em meio a grandes quantidades de dados. </t>
  </si>
  <si>
    <t>Corpo técnico e docente  da Escola de Contas  Públicas do TCDF</t>
  </si>
  <si>
    <t xml:space="preserve">Destina-se a oferecer ações de aprendizagem  para o corpo técnico e docente da Escola de  Contas Públicas do TCDF, a fim de aprimorar  a qualidade instrucional e os resultados das ações de treinamento oferecidas internamente.
</t>
  </si>
  <si>
    <t>Transversal</t>
  </si>
  <si>
    <t>Desenvolvimento de Líderes</t>
  </si>
  <si>
    <t>Servidores que ocu_x0002_pam função gerencial  e potenciais líderes a desenvolver</t>
  </si>
  <si>
    <t>Destina-se a oferecer ações de aprendizagem  para os atuais dirigentes do TCDF, consideran_x0002_do as necessidades de cada nível gerencial  (estratégico, tático e operacional), àqueles que  assumem funções gerenciais e aos servido_x0002_res com potencial de atuação gerencial no  Tribunal. As ações devem auxiliar os gestores  no exercício da função gerencial, aprimoran_x0002_do competências relacionadas à gestão de  desempenho, ao desenvolvimento da equipe,  à gestão de equipes remotas e/ou híbridas,  à orientação estratégica, ao feedback, entre  outras</t>
  </si>
  <si>
    <t>Dashboard GECC 2026 - Horas por Instrutor</t>
  </si>
  <si>
    <t>Consulta de horas GECC por instrutor em 2026</t>
  </si>
  <si>
    <t>Qtd Ações</t>
  </si>
  <si>
    <t>Larissa Vieira</t>
  </si>
  <si>
    <t>Reinaldo Alencar</t>
  </si>
  <si>
    <t>Rogério Ribeiro</t>
  </si>
  <si>
    <t>Arthur Wú</t>
  </si>
  <si>
    <t>Gustavo Takahashi</t>
  </si>
  <si>
    <t>Adriana Magalhães</t>
  </si>
  <si>
    <t>Denise Duarte Guirra Kuhlmann</t>
  </si>
  <si>
    <t>Priscila Nolasco</t>
  </si>
  <si>
    <t>TOTAL GERAL</t>
  </si>
  <si>
    <t>ID_TIPO</t>
  </si>
  <si>
    <t>Exerc.</t>
  </si>
  <si>
    <t>Temática</t>
  </si>
  <si>
    <t>DESTAQUE</t>
  </si>
  <si>
    <t>Descrição Dest.</t>
  </si>
  <si>
    <t>TIPO ESCON</t>
  </si>
  <si>
    <t>Valor Insc.</t>
  </si>
  <si>
    <t>V. Coffee Break</t>
  </si>
  <si>
    <t>%Av. Reação</t>
  </si>
  <si>
    <t>Mikhail</t>
  </si>
  <si>
    <t>Objetivo Geral</t>
  </si>
  <si>
    <t>Coluna1</t>
  </si>
  <si>
    <t>Coluna2</t>
  </si>
  <si>
    <t>InCompany</t>
  </si>
  <si>
    <t>C.E - Programa de Auditoria e Fiscalização do Setor Público</t>
  </si>
  <si>
    <t>ELABORAÇÃO DE PLANO DE AUDITORIA E MATRIZ DE
PLANEJAMENTO</t>
  </si>
  <si>
    <t>Áreas Administrativas</t>
  </si>
  <si>
    <t>A.C.E - Programa de Análise de Dados</t>
  </si>
  <si>
    <t>REGIME DIFERENCIADO DE CONTRATAÇÕES PÚBLICAS -
RDC</t>
  </si>
  <si>
    <t>C.E - Programa de Orçamento e Finanças Públicas</t>
  </si>
  <si>
    <t>ENGENHARIA ECONÔMICA I E II - CAPACITAÇÃO EM
PARCERIAS PÚBLICO PRIVADAS E CONCESSÕES DE</t>
  </si>
  <si>
    <t>05, 12, 19 e 26 de abril de 2024, de 14h às 18h.</t>
  </si>
  <si>
    <t>C.E - Programa de Capacitação para Jurisdicionados Controladores sociais e Cidadãos</t>
  </si>
  <si>
    <t>LEONARDO JOSE ALVES LEAL NERI</t>
  </si>
  <si>
    <t>A.C.E - Programa de Gestão e Estratégia</t>
  </si>
  <si>
    <t>ROMILDO ARAUJO DA SILVA</t>
  </si>
  <si>
    <t>25/05/2015 01/06/2015</t>
  </si>
  <si>
    <t>ROMULO MIRANDA ALVIM</t>
  </si>
  <si>
    <t xml:space="preserve">13480/2015
</t>
  </si>
  <si>
    <t>INACIO MAGALHAES FILHO</t>
  </si>
  <si>
    <t>METODOLOGIA DE CONSTRUÇÃO E ATUALIZAÇÃO DO
TESAURO DE CONTAS DO DF</t>
  </si>
  <si>
    <t>ANDREA FORTALEZA BRANDES DE SOUZA</t>
  </si>
  <si>
    <t>Dagomar Henrique Limas</t>
  </si>
  <si>
    <t>ROMILDO ARAUJO DA SILVA; TARSILA FIRMINO ELY</t>
  </si>
  <si>
    <t>JOSDEYVI MAGALHAES RUSSI</t>
  </si>
  <si>
    <t>C.E - Programa de Áreas Temáticas do Controle Externo</t>
  </si>
  <si>
    <t>Profº Breno (TCE-PE)</t>
  </si>
  <si>
    <t>30532/2016
. 28880/2016 (Pag)</t>
  </si>
  <si>
    <t>Pedro Paulo Carbone, Sylvio Maestrelli e Anelise Pereira Sihler</t>
  </si>
  <si>
    <t xml:space="preserve">16866/2016
</t>
  </si>
  <si>
    <t>LUIZ GENEDIO MENDES JORGE</t>
  </si>
  <si>
    <t xml:space="preserve">8195/2016
</t>
  </si>
  <si>
    <t xml:space="preserve">Maria Aparecida Aiko Ikemura (TCE-MG)
</t>
  </si>
  <si>
    <t xml:space="preserve">16351/2016
</t>
  </si>
  <si>
    <t xml:space="preserve">15487/2016
</t>
  </si>
  <si>
    <t xml:space="preserve">14910/2016
</t>
  </si>
  <si>
    <t>PTs - Programa de Desenvolvimento Individual</t>
  </si>
  <si>
    <t xml:space="preserve">20995/2016
</t>
  </si>
  <si>
    <t>EVERTON PEIXOTO CORREIA DE ASSUMPCAO</t>
  </si>
  <si>
    <t xml:space="preserve">13794/2016
</t>
  </si>
  <si>
    <t xml:space="preserve">13832/2016
</t>
  </si>
  <si>
    <t xml:space="preserve">Profª Paula Cobucci
</t>
  </si>
  <si>
    <t xml:space="preserve">23447/2016
</t>
  </si>
  <si>
    <t>Tarsila Firmino Ely;ROMILDO ARAUJO DA SILVA;Luiz Eduardo Costa</t>
  </si>
  <si>
    <t>31/08 e 01/09/2016</t>
  </si>
  <si>
    <t xml:space="preserve">Ives Gandra da Silva Martins Filho, Pedro Jorge Simon, Renato Rainha, Luiz Genédio Mendes Jorge, Henrique Moraes Ziller, Maria Rosynete de Oliveira e Eliana Calmon
</t>
  </si>
  <si>
    <t xml:space="preserve">24427/2016
</t>
  </si>
  <si>
    <t>Profº Annibal</t>
  </si>
  <si>
    <t xml:space="preserve">26365/2016
</t>
  </si>
  <si>
    <t xml:space="preserve">Profº Rita (SENADO) </t>
  </si>
  <si>
    <t xml:space="preserve">26373/2016
</t>
  </si>
  <si>
    <t xml:space="preserve">Michel Martins de Morais
</t>
  </si>
  <si>
    <t xml:space="preserve">Zênite Informação e Consultoria
</t>
  </si>
  <si>
    <t xml:space="preserve">30532/2016
</t>
  </si>
  <si>
    <t>Pedro Paulo Carbone e Sylvio Maestrelliv- Inteletto</t>
  </si>
  <si>
    <t>SEBASTIAO CAL DE MIRANDA</t>
  </si>
  <si>
    <t>32080/16</t>
  </si>
  <si>
    <t>ADRIANA CUOCO PORTUGAL; MARCOS GARCIA DA SILVA PINTO</t>
  </si>
  <si>
    <t>06, 07, 08, 20, 21/02/2018</t>
  </si>
  <si>
    <t>Carbone, Sylvio - Inteletto</t>
  </si>
  <si>
    <t xml:space="preserve">3784/2017
</t>
  </si>
  <si>
    <t xml:space="preserve">997/2017
</t>
  </si>
  <si>
    <t xml:space="preserve">8964/2017
</t>
  </si>
  <si>
    <t xml:space="preserve">2001/2017
</t>
  </si>
  <si>
    <t>ADINOR BEDRITICHUK JUNIOR; EVERTON PEIXOTO CORREIA DE ASSUMPCAO; FLAVIO JOSE FONSECA DE SOUZA</t>
  </si>
  <si>
    <t xml:space="preserve">Orivam Ibiapina da Silva
</t>
  </si>
  <si>
    <t>PTs - Programa de Ambientação e Desenvolvimento na Carreira</t>
  </si>
  <si>
    <t>23 e 28/06/2017, 8 a 11/08/2017 e 16/08/2017</t>
  </si>
  <si>
    <t xml:space="preserve">Agnaldo Moreira Marques;DELSO FERREIRA DA SILVA JUNIOR;EMILIO VINHADELLI PAPADOPOLIS; Henrique Mattei;LUCIENE DE FATIMA CARVALHO TEODORO;Paulo Alves Honorato;ROMULO MIRANDA ALVIM;SERGIO ARAUJO DE AMORIM LOPES
</t>
  </si>
  <si>
    <t xml:space="preserve">4764/2017
</t>
  </si>
  <si>
    <t xml:space="preserve">14060/2017
</t>
  </si>
  <si>
    <t>03 a 07/072017</t>
  </si>
  <si>
    <t>20884/17</t>
  </si>
  <si>
    <t>29 e 30/08/17</t>
  </si>
  <si>
    <t>Roberto Ellery, Marcos Mendes, Maria Lúcia Fattorelli
, Fábio Henrique Granja e Barros, Adler Anaximandro de Cruz e Alves, Daniel Soares Godoi Gomes de Oliveira, Samy Dana</t>
  </si>
  <si>
    <t>New Roads - Elci Júnior</t>
  </si>
  <si>
    <t>CLEUSA MARTINS PITANGA;PAOLA KARINA DE BARRON SALES</t>
  </si>
  <si>
    <t>TARSILA FIRMINO ELY;Luiz Eduardo Costa*</t>
  </si>
  <si>
    <t>5529/18</t>
  </si>
  <si>
    <t xml:space="preserve">Tarsila Firmino Ely </t>
  </si>
  <si>
    <t xml:space="preserve">13475/2018
</t>
  </si>
  <si>
    <t>6835/18</t>
  </si>
  <si>
    <t>Interno</t>
  </si>
  <si>
    <t xml:space="preserve">8374/2018
</t>
  </si>
  <si>
    <t xml:space="preserve">10824/18
</t>
  </si>
  <si>
    <t>Clarice Calixto, Hernane Gomes e Raquel Carvalho</t>
  </si>
  <si>
    <t xml:space="preserve">12428/2018
</t>
  </si>
  <si>
    <t xml:space="preserve">14056/18
</t>
  </si>
  <si>
    <t xml:space="preserve">13920/2018
</t>
  </si>
  <si>
    <t>PTs - Programa de Desenvolvimento Gerencial</t>
  </si>
  <si>
    <t xml:space="preserve">João Luiz Povoa
</t>
  </si>
  <si>
    <t>16776/18</t>
  </si>
  <si>
    <t>PAOLA KARINA DE BARRON SALES</t>
  </si>
  <si>
    <t>Outros</t>
  </si>
  <si>
    <t>Gerencial</t>
  </si>
  <si>
    <r>
      <rPr>
        <sz val="11"/>
        <color theme="1"/>
        <rFont val="Calibri"/>
        <family val="2"/>
      </rPr>
      <t>LUIZ GENEDIO MENDES JORGE;PAULO CAVALCANTI DE OLIVEIRA;</t>
    </r>
    <r>
      <rPr>
        <sz val="11"/>
        <color rgb="FFEA9999"/>
        <rFont val="Calibri"/>
        <family val="2"/>
      </rPr>
      <t>Igor Vidal e Suely e Paula Cobucci</t>
    </r>
  </si>
  <si>
    <t>Atualização em Secretariado Executivo no
TCDF</t>
  </si>
  <si>
    <t>David Pereira Pires Filho;MONICA GOMES DA SILVA CARDOSO;POLYANA MOTA RESENDE BRANT</t>
  </si>
  <si>
    <t>cobucci Desenvolvimento Humano</t>
  </si>
  <si>
    <t>18, 19, 20, 21 e 26/03</t>
  </si>
  <si>
    <t>COOSEP</t>
  </si>
  <si>
    <t>Externo</t>
  </si>
  <si>
    <t>23, 25 e 29/08</t>
  </si>
  <si>
    <t>Silvio</t>
  </si>
  <si>
    <t>25, 26, 27, 28, 29/03</t>
  </si>
  <si>
    <t>HANNA GABRIELA LUCENA DE BARRON</t>
  </si>
  <si>
    <t>22, 26 e 30/04</t>
  </si>
  <si>
    <t>Agnaldo Moreira Marques;Alexandre Pedrosa Pinheiro;Antonio Alexandre do Nascimento Filho;Cinthia Thais de Carvalho Luz Thomazi;DAVI ASSUNCAO SALVADOR NERY DE CASTRO;David da Silva de Araujo; Francisco Antonio Alves de Souza;Gabriel Heller;Luiz Genedio Mendes Jorge;Marcos Aurelio dos Santos;Romulo Miranda Alvim</t>
  </si>
  <si>
    <t>Agnaldo Moreira Marques;Humberto de Souza Ferro Junior;Roberto Dias Santiago;ROMILDO ARAUJO DA SILVA</t>
  </si>
  <si>
    <t>13, 14 e 17/05</t>
  </si>
  <si>
    <t>21 e 23/05</t>
  </si>
  <si>
    <t xml:space="preserve">22, 24 e 29/05 </t>
  </si>
  <si>
    <t>Rafael</t>
  </si>
  <si>
    <t>A.C.E - Programa de Desenvolvimento em Tecnologia da Informação</t>
  </si>
  <si>
    <t>27 e 29/05 e 3/06</t>
  </si>
  <si>
    <t>FREDERICO FIGUEIRA NARDOTTO</t>
  </si>
  <si>
    <t>6, 7 e 10/06</t>
  </si>
  <si>
    <t>17 e 19/06</t>
  </si>
  <si>
    <t>27/06, 3 e 5/07</t>
  </si>
  <si>
    <t>1, 4 e 8/07</t>
  </si>
  <si>
    <t>CARLOS ALBERTO CASCAO JUNIOR</t>
  </si>
  <si>
    <t>8, 9, 10, 11/07</t>
  </si>
  <si>
    <t>12 e 15/07</t>
  </si>
  <si>
    <t>DAVI ASSUNCAO SALVADOR NERY DE CASTRO</t>
  </si>
  <si>
    <t>1 e 6/08</t>
  </si>
  <si>
    <t>13, 15 e 20/08</t>
  </si>
  <si>
    <t>19 e 21/08</t>
  </si>
  <si>
    <r>
      <rPr>
        <sz val="11"/>
        <color rgb="FF000000"/>
        <rFont val="Calibri"/>
        <family val="2"/>
      </rPr>
      <t>LUIZ GENEDIO MENDES JORGE;</t>
    </r>
    <r>
      <rPr>
        <sz val="11"/>
        <color rgb="FFEA9999"/>
        <rFont val="Calibri"/>
        <family val="2"/>
      </rPr>
      <t>Silvio César da Silva Lima
Ministro-Substituto do TCU André Luís de Carvalho;</t>
    </r>
    <r>
      <rPr>
        <sz val="11"/>
        <color rgb="FF000000"/>
        <rFont val="Calibri"/>
        <family val="2"/>
      </rPr>
      <t>MARCOS FELIPE PINHEIRO LIMA;</t>
    </r>
    <r>
      <rPr>
        <sz val="11"/>
        <color rgb="FFF4CCCC"/>
        <rFont val="Calibri"/>
        <family val="2"/>
      </rPr>
      <t>Regina Célia Dias</t>
    </r>
    <r>
      <rPr>
        <sz val="11"/>
        <color rgb="FF000000"/>
        <rFont val="Calibri"/>
        <family val="2"/>
      </rPr>
      <t xml:space="preserve"> ; </t>
    </r>
    <r>
      <rPr>
        <sz val="11"/>
        <color rgb="FFEA9999"/>
        <rFont val="Calibri"/>
        <family val="2"/>
      </rPr>
      <t>Adler Anaximandro de Cruz e Alves;</t>
    </r>
    <r>
      <rPr>
        <sz val="11"/>
        <color rgb="FF000000"/>
        <rFont val="Calibri"/>
        <family val="2"/>
      </rPr>
      <t>INACIO MAGALHAES FILHO</t>
    </r>
  </si>
  <si>
    <t>26, 27, 28 e 29/08</t>
  </si>
  <si>
    <t>Suelly Cobucci</t>
  </si>
  <si>
    <t>2, 3, 4, 5 e 9/09</t>
  </si>
  <si>
    <t>11, 13, 16, 17 e 20/09</t>
  </si>
  <si>
    <t>11 e 15/09 e 09/10</t>
  </si>
  <si>
    <t>ISAC MENDES CAIXETA DE PAMPLONA ARAUJO</t>
  </si>
  <si>
    <t>14069/2019 e 20174/2019</t>
  </si>
  <si>
    <t>16, 18, 19 e 20/09</t>
  </si>
  <si>
    <t>Suely Cobucci, Davi Pereira Pires Filho, Mônica Gomes da Silva, Polyana Mota Resende</t>
  </si>
  <si>
    <t>18, 20 e 23/09</t>
  </si>
  <si>
    <t>23, 24, 25, 26, 27/09</t>
  </si>
  <si>
    <t>1, 2 e 3/10</t>
  </si>
  <si>
    <t>7, 8, 9 e 10/10</t>
  </si>
  <si>
    <t>xxx</t>
  </si>
  <si>
    <t>Daniel (STF)</t>
  </si>
  <si>
    <t>14, 16 e 18/10</t>
  </si>
  <si>
    <t>5, 7, 11 e 19/11</t>
  </si>
  <si>
    <t>18, 20 e 22/11</t>
  </si>
  <si>
    <t>19, 21, 25, 27 e 29/11</t>
  </si>
  <si>
    <t>PAOLA KARINA DE BARRON SALES;FERNANDA VIANA DE SOUZA;CLEUSA MARTINS PITANGA</t>
  </si>
  <si>
    <t>2, 4, 6, 10 e 12/12/2019</t>
  </si>
  <si>
    <t>1605/2020</t>
  </si>
  <si>
    <t>Design Thinking</t>
  </si>
  <si>
    <t>a definir</t>
  </si>
  <si>
    <t>55/2020</t>
  </si>
  <si>
    <t>Curso e-TCDF - turma 2</t>
  </si>
  <si>
    <t>Carlos Magno Dos Santos; Daniel Pinto De Sousa; Ednaldo Ramos De Souza; RODRIGO REGIS PALMEIRA</t>
  </si>
  <si>
    <t>8669/2020</t>
  </si>
  <si>
    <t>Oficina e-TCDF - turma 2</t>
  </si>
  <si>
    <t>4264/2020</t>
  </si>
  <si>
    <t>Power BI - turma 2</t>
  </si>
  <si>
    <t>7697/2020</t>
  </si>
  <si>
    <t>Execução Orçamentária e Financeira no SIGGO</t>
  </si>
  <si>
    <t>RODRIGO NOLETO PAZ</t>
  </si>
  <si>
    <t>Execução Orçamentária e Financeira no SIGGO - turma 2</t>
  </si>
  <si>
    <t>Encontro com boas práticas: Gestão estratégica, gestão de processos, gestão de riscos e
os desafios enfrentados na implementação dessas práticas no STF</t>
  </si>
  <si>
    <t>09 a 11/03; 27 a 30/04/2020</t>
  </si>
  <si>
    <t>ORIVAM IBIAPINA DA SILVA;HENRIQUE EDUARDO DE OLIVEIRA</t>
  </si>
  <si>
    <t>Oficina e-TCDF</t>
  </si>
  <si>
    <t>18/05/2020</t>
  </si>
  <si>
    <t>Curso e-TCDF</t>
  </si>
  <si>
    <t>25 a 29/05/2020</t>
  </si>
  <si>
    <t>Andreia Rego</t>
  </si>
  <si>
    <t>8, 9, 10 e 12/06/2020</t>
  </si>
  <si>
    <t>15, 17, 19, 22 e 24/06/20</t>
  </si>
  <si>
    <t>20, 21, 26, 27 e 28/08; 2,3 e 4/09</t>
  </si>
  <si>
    <t xml:space="preserve">Termo de Referência </t>
  </si>
  <si>
    <t>28/9, 30/9, 2/10, 06,10 e 8/10</t>
  </si>
  <si>
    <t>6067/2020</t>
  </si>
  <si>
    <r>
      <t>Comunicação Escrita Profissional com Foco no Manual de Redação do TCDF - turma 1</t>
    </r>
    <r>
      <rPr>
        <sz val="10"/>
        <color rgb="FF000000"/>
        <rFont val="Roboto"/>
      </rPr>
      <t>   </t>
    </r>
    <r>
      <rPr>
        <sz val="11"/>
        <color rgb="FF5F6368"/>
        <rFont val="Google Sans"/>
      </rPr>
      <t>Eventos Externos</t>
    </r>
    <r>
      <rPr>
        <sz val="11"/>
        <color rgb="FF188038"/>
        <rFont val="Google Sans"/>
      </rPr>
      <t>Cursos InCompany</t>
    </r>
    <r>
      <rPr>
        <sz val="11"/>
        <color rgb="FF5F6368"/>
        <rFont val="Google Sans"/>
      </rPr>
      <t>PDGEv. YOUTUBEContatos JuriscionadosCalendário 2021BolsasGeralProg. InComp.ReembolsoGraduaçãoReembolsoPósGraduação</t>
    </r>
    <r>
      <rPr>
        <sz val="8"/>
        <color rgb="FFFFFFFF"/>
        <rFont val="Roboto"/>
      </rPr>
      <t>1</t>
    </r>
    <r>
      <rPr>
        <sz val="11"/>
        <color rgb="FF5F6368"/>
        <rFont val="Google Sans"/>
      </rPr>
      <t>ReembolsoIdiomasDiplanCópia de DiplanCoffee BreakCCQAC. Rel. Escon - MGráficos GeraisControle de Fluxo Processual 2019-2020Editais 2021TCC GraduaçãoTCC Pós</t>
    </r>
    <r>
      <rPr>
        <sz val="10"/>
        <color rgb="FF000000"/>
        <rFont val="Roboto"/>
      </rPr>
      <t>  </t>
    </r>
    <r>
      <rPr>
        <sz val="10"/>
        <color rgb="FF000000"/>
        <rFont val="Google Sans"/>
      </rPr>
      <t> </t>
    </r>
    <r>
      <rPr>
        <sz val="9"/>
        <color rgb="FF0F9D58"/>
        <rFont val="Roboto"/>
      </rPr>
      <t>Explorar</t>
    </r>
  </si>
  <si>
    <t>13 a 16/10/2020</t>
  </si>
  <si>
    <t>Cobucci Desenvolvimento Humano</t>
  </si>
  <si>
    <t>Noções Básicas de Bancos de Dados Relacionais e Linguagem SQL - turma 2</t>
  </si>
  <si>
    <t>19 a 22/10/18</t>
  </si>
  <si>
    <t>Comunicação Escrita Profissional com Foco no Manual de Redação do TCDF - turma 2</t>
  </si>
  <si>
    <t>3, 4, 10 e 11/11/2020</t>
  </si>
  <si>
    <t>6070/2020</t>
  </si>
  <si>
    <t>Busca da Excelência no atendimento ao cliente interno e externo em tempos de Home Office</t>
  </si>
  <si>
    <t>5, 6, 12 e 13/11/2020</t>
  </si>
  <si>
    <t>1362/2020</t>
  </si>
  <si>
    <t>16, 18 e 19/11/2020</t>
  </si>
  <si>
    <t>23 a 27/11/20</t>
  </si>
  <si>
    <t>02/02, 09/02, 23/02 e 02/03</t>
  </si>
  <si>
    <t>Francisco Antonio Alves de Souza;ROMULO MIRANDA ALVIM</t>
  </si>
  <si>
    <t>CARLOS ALBERTO LEITE COUTINHO FILHO;SILVIA LIMA DAMASCENO CARVALHO e YASMIN CARLA MARCHIORO SILVERIO</t>
  </si>
  <si>
    <t>LUIZ GENEDIO MENDES JORGE;THAMARA DAYANE CARDOSO SANTOS</t>
  </si>
  <si>
    <t>12, 15, 16, 19 e 22/04/21</t>
  </si>
  <si>
    <t>FRANCISCO ANTONIO ALVES DE SOUSA</t>
  </si>
  <si>
    <t xml:space="preserve">Suely Cobucci </t>
  </si>
  <si>
    <t>27/04, 29/04, 30/04, 04/05, 06/05/21</t>
  </si>
  <si>
    <t>3 a 7/05 e 24 a 28/05</t>
  </si>
  <si>
    <t>PAOLA KARINA DE BARRON SALES;FERNANDA VIANA DE SOUZA</t>
  </si>
  <si>
    <t>2167/2021</t>
  </si>
  <si>
    <t>6 e 7/05</t>
  </si>
  <si>
    <t>Sisaudit - turma 2</t>
  </si>
  <si>
    <t>Matriz de responsabilização - turma 2</t>
  </si>
  <si>
    <t>Excel Intermediário  - turma 2</t>
  </si>
  <si>
    <t>9715/2021</t>
  </si>
  <si>
    <t>Fiscalização e Gestão dos Contratos de Compras e Serviços – Planejamento, Espécies e Duração – um cotejo entre a Lei nº 8.666/1993 e a Nova Lei de Licitações.</t>
  </si>
  <si>
    <t xml:space="preserve">Palestra Design Thinking </t>
  </si>
  <si>
    <t>9809/2021</t>
  </si>
  <si>
    <t>Conhecendo o Controle Externo realizado pelo TCDF.</t>
  </si>
  <si>
    <t>ELLEN VERRI LOPES MELO</t>
  </si>
  <si>
    <t>TARSILA FIRMINO ELY;Danylo Vilaça</t>
  </si>
  <si>
    <t>10, 11, 13 e 14/05/21</t>
  </si>
  <si>
    <t>11, 13, 18, 19 e 20/05/21</t>
  </si>
  <si>
    <t>14/5, 17 a 21/5</t>
  </si>
  <si>
    <t>24 a 28/05/21</t>
  </si>
  <si>
    <t xml:space="preserve">25, 26 e 27/05; 8, 9 e 10/6 </t>
  </si>
  <si>
    <t>ORIVAM IBIAPINA DA SILVA;CARLOS ALBERTO LEITE COUTINHO FILHO</t>
  </si>
  <si>
    <t>31/5; 7, 21 e 28/6</t>
  </si>
  <si>
    <t>ISAC MENDES CAIXETA DE PAMPLONA ARAUJO; FRANCISCO ANTONIO ALVES DE SOUSA</t>
  </si>
  <si>
    <t>14, 16 e 18/06</t>
  </si>
  <si>
    <t>INDIO ARTIAGA DO BRASIL RABELO</t>
  </si>
  <si>
    <t>14 a 18/06</t>
  </si>
  <si>
    <t>Sisaudit - turma 1</t>
  </si>
  <si>
    <t>29/6, 01 e 02/7</t>
  </si>
  <si>
    <t>8, 9, 15, 16 e 19/07</t>
  </si>
  <si>
    <t>12 a 16/07</t>
  </si>
  <si>
    <t xml:space="preserve">Competências do Conselhos Regionais de Cultura e sua Relação com o Controle Social </t>
  </si>
  <si>
    <t xml:space="preserve">A nova lei de licitações - As obras e serviços de engenharia </t>
  </si>
  <si>
    <t>5 e 6/08</t>
  </si>
  <si>
    <t>9, 11 e 13/8/21</t>
  </si>
  <si>
    <t>9 a 13/8/21</t>
  </si>
  <si>
    <t>13, 20 e 27/8; 03/9</t>
  </si>
  <si>
    <t>16 a 19/08/21</t>
  </si>
  <si>
    <t>30 e 31/08/21</t>
  </si>
  <si>
    <t>Marcos Nóbrega, Cláudio Sarian, Lara Brainer e Paulo Alves</t>
  </si>
  <si>
    <t>ADRIANA CUOCO PORTUGAL; SILVIA LIMA DAMASCENO CARVALHO</t>
  </si>
  <si>
    <t>Conhecendo o Design thinking - turma 2</t>
  </si>
  <si>
    <t>10/09 e 13 a 17/09</t>
  </si>
  <si>
    <t>10/09, 13/09 e 14/09/2021</t>
  </si>
  <si>
    <t xml:space="preserve">JOAO GUILHERME LIMA CANDIDO; ALESSANDRO SALOMAO GONCALVES; Leandro Oliveira Vaz de Souza;Hugo Alexandre Galindo;JOSDEYVI MAGALHAES RUSSI 
 </t>
  </si>
  <si>
    <t>20 a 24/9/21</t>
  </si>
  <si>
    <t>21, 23, 28 e 04/10/21</t>
  </si>
  <si>
    <t>SILVIA LIMA DAMASCENO CARVALHO</t>
  </si>
  <si>
    <t>18, 20 e 22/10/21</t>
  </si>
  <si>
    <t>Gabriel Heller;TARSILA FIRMINO ELY</t>
  </si>
  <si>
    <t>Doutora Andréa Discaciati de Miranda</t>
  </si>
  <si>
    <t>Outubro Rosa</t>
  </si>
  <si>
    <t>3, 4, 5, 10, 11 e 12/11/21</t>
  </si>
  <si>
    <t>HENRIQUE EDUARDO DE OLIVEIRA;ORIVAM IBIAPINA DA SILVA</t>
  </si>
  <si>
    <t>Edivaldo Sartor, Claudio Matos Ramos, Fabio Maçoli, Adriano Breviglieri</t>
  </si>
  <si>
    <t>16, 17, 19, 23 e 25/11</t>
  </si>
  <si>
    <t>22 a 25/11/21</t>
  </si>
  <si>
    <t>5621/2022</t>
  </si>
  <si>
    <t>Fomento Cultural: Aspectos jurídicos e técnicos das políticas públicas</t>
  </si>
  <si>
    <t>Programa de Capacitação para Jurisdicionados Controladores sociais e Cidadãos</t>
  </si>
  <si>
    <t>Clarice Calixto e Jõao Moro</t>
  </si>
  <si>
    <t>1716/2022</t>
  </si>
  <si>
    <t>Elaboração de Ementas Jurisprudenciais</t>
  </si>
  <si>
    <t>Programa de Administração Estratégia e Inovação</t>
  </si>
  <si>
    <t>Cleber Cunha</t>
  </si>
  <si>
    <r>
      <rPr>
        <b/>
        <i/>
        <sz val="11"/>
        <color theme="1"/>
        <rFont val="Calibri"/>
        <family val="2"/>
      </rPr>
      <t>Workshop</t>
    </r>
    <r>
      <rPr>
        <b/>
        <sz val="11"/>
        <color theme="1"/>
        <rFont val="Calibri"/>
        <family val="2"/>
      </rPr>
      <t xml:space="preserve"> Tainacan</t>
    </r>
  </si>
  <si>
    <t>31/01, 01 e 02/02</t>
  </si>
  <si>
    <t>Programa de Metodologias de Auditoria e Fiscalização</t>
  </si>
  <si>
    <t>Programa de Desenvolvimento Individual</t>
  </si>
  <si>
    <t>Regina Célia</t>
  </si>
  <si>
    <t>23 fevereiro de 2022</t>
  </si>
  <si>
    <t>INDIO ARTIAGA DO BRASIL RABELO; Daniela Fonseca de Santana Palestrante; Cristiano Tavares Torquato Palestrante; Luís Mauro Albuquerque Araújo</t>
  </si>
  <si>
    <t>16 a 18 e 23 a 25/3</t>
  </si>
  <si>
    <t>2398/22</t>
  </si>
  <si>
    <t>22/03/22</t>
  </si>
  <si>
    <t>Sandra Vitorino
Fernanda Werneck
Nair Heloisa Bicalho de Sousa
Dyarley Viana</t>
  </si>
  <si>
    <t>2177/22</t>
  </si>
  <si>
    <t>4/4/22</t>
  </si>
  <si>
    <t>ADRIANA CUOCO PORTUGAL</t>
  </si>
  <si>
    <t>4, 5, 8, 12 e 13/04</t>
  </si>
  <si>
    <t>25, 27, 28 e 29 de abril e 2, 4 e 5 de maio de 2022</t>
  </si>
  <si>
    <t xml:space="preserve">Comunicação não Violenta </t>
  </si>
  <si>
    <t>10, 12, 17 e 19/05/22</t>
  </si>
  <si>
    <t>16, 18, 20, 23, 25, 27 e 30 /05; 01/06</t>
  </si>
  <si>
    <t>ORIVAM IBIAPINA DA SILVA;CARLOS ALBERTO LEITE COUTINHO FILHO;YASMIN CARLA MARCHIORO SILVERIO</t>
  </si>
  <si>
    <t>4581/22</t>
  </si>
  <si>
    <t>LEANDRO OLIVEIRA VAZ DE SOUZA</t>
  </si>
  <si>
    <t>26/05, 2, 7 e 9/06</t>
  </si>
  <si>
    <t>Programa de Ambientação e Desenvolvimento na Carreira</t>
  </si>
  <si>
    <t>27, 30 e 31/05; 01 e 02/06</t>
  </si>
  <si>
    <r>
      <rPr>
        <sz val="11"/>
        <color theme="1"/>
        <rFont val="Calibri"/>
        <family val="2"/>
      </rPr>
      <t xml:space="preserve">IVANA CAMPOS DESSEN; TATIANNE CRISTINE OLIVEIRA HATEM; REMY SOARES DE CARVALHO; FRANCISCO CARNEIRO DE SOUZA; LUIZ GENEDIO MENDES JORGE; HANNA GABRIELA LUCENA DE BARRON; RODRIGO DE PINA ALVARES; MIKHAIL GORBACHEV GUY EIRADO; </t>
    </r>
    <r>
      <rPr>
        <sz val="11"/>
        <color rgb="FFFF0000"/>
        <rFont val="Calibri"/>
        <family val="2"/>
      </rPr>
      <t>João Guilherme</t>
    </r>
    <r>
      <rPr>
        <sz val="11"/>
        <color theme="1"/>
        <rFont val="Calibri"/>
        <family val="2"/>
      </rPr>
      <t xml:space="preserve">; </t>
    </r>
    <r>
      <rPr>
        <sz val="11"/>
        <color rgb="FFFF0000"/>
        <rFont val="Calibri"/>
        <family val="2"/>
      </rPr>
      <t xml:space="preserve">Regina Dias </t>
    </r>
    <r>
      <rPr>
        <sz val="11"/>
        <color theme="1"/>
        <rFont val="Calibri"/>
        <family val="2"/>
      </rPr>
      <t>; ELAINE MARINS DE ARAUJO; THAMARA DAYANE CARDOSO SANTOS; JOSE EUCLIDES ANDRADE VIANA; MARCOS FELIPE PINHEIRO LIMA; ALEXANDRE PEDROSA PINHEIRO; AGNALDO MOREIRA MARQUES; MARCOS AURELIO DOS SANTOS; ANTONIO CARLOS DANTAS DE OLIVEIRA; JOSE ROBERTO ALCURI JUNIOR; ROMULO MIRANDA ALVIM; LEANDRO OLIVEIRA VAZ DE SOUZA</t>
    </r>
  </si>
  <si>
    <t>4677/22</t>
  </si>
  <si>
    <t>JOAO GUILHERME LIMA CANDIDO;LEANDRO OLIVEIRA VAZ DE SOUZA;RAISSA RODRIGUES FREIRE</t>
  </si>
  <si>
    <t>21, 24, 28 e 30/06; 05, 07, 12, 14, 19, 21, 26 e 28/07;  3, 15, 17, 19, 22, 24/8  e 6, 8, 19/09, 23/9, 26/9 e 30/9</t>
  </si>
  <si>
    <t>29/6 e 2 dias a definir</t>
  </si>
  <si>
    <t xml:space="preserve">ENAP -Anna Paula Feminella,
Maria Gutenara Martins Araújo, Eduardo Gomor dos Santos
</t>
  </si>
  <si>
    <t>11, 13 e 15/07/22</t>
  </si>
  <si>
    <t>20 e 22/07/22</t>
  </si>
  <si>
    <t>LUCIANA ROCHA DE MELO ALVIM</t>
  </si>
  <si>
    <t>Programa de Mineração e Análise de Dados</t>
  </si>
  <si>
    <t>2 e 4/08/22</t>
  </si>
  <si>
    <t>INDIO ARTIAGA DO BRASIL RABELO; DAVI ASSUNCAO SALVADOR NERY DE CASTRO</t>
  </si>
  <si>
    <t>7819/22</t>
  </si>
  <si>
    <t>5 de agosto de 2022</t>
  </si>
  <si>
    <t>Francis Lopes
Heron Sena
Ana Carla Borges 
Hanna Barron</t>
  </si>
  <si>
    <t xml:space="preserve"> Controle Externo das Concessão de Serviços de Transporte Coletivo por Ônibus: auditoria do processo licitatório e da execução contratual</t>
  </si>
  <si>
    <t>Programa de Áreas Temáticas de Fiscalização do Setor Público</t>
  </si>
  <si>
    <t>08 a 12 de agosto de 2022</t>
  </si>
  <si>
    <t>Airton Rehbein</t>
  </si>
  <si>
    <t>16 e 18/08</t>
  </si>
  <si>
    <t>22/8, segundo a definir</t>
  </si>
  <si>
    <t>9187/2022</t>
  </si>
  <si>
    <t>Os novos procedimentos do PDAF (Programa de Descentralização Administrativa e Financeira)</t>
  </si>
  <si>
    <t>23/08/2022</t>
  </si>
  <si>
    <t>Oficina/SEMAT 2022 – PPPs</t>
  </si>
  <si>
    <t>2/09/2022</t>
  </si>
  <si>
    <t>12 a 16/09/22</t>
  </si>
  <si>
    <t>13, 15, 20 e 22/09</t>
  </si>
  <si>
    <t>6105/22</t>
  </si>
  <si>
    <t>Programa de Desenvolvimento Gerencial</t>
  </si>
  <si>
    <t>19, 21 e 27/09/22</t>
  </si>
  <si>
    <t>19, 23 e 29/09/22</t>
  </si>
  <si>
    <t>4891/22</t>
  </si>
  <si>
    <t>26 a 29/09/22</t>
  </si>
  <si>
    <t xml:space="preserve">Palestra sobre o tema "Setembro Amarelo" </t>
  </si>
  <si>
    <t>Anny Mesquita e Isac Pamplona</t>
  </si>
  <si>
    <t xml:space="preserve">Power BI </t>
  </si>
  <si>
    <t>03 a 07/10/22</t>
  </si>
  <si>
    <t>Taís e Roberta Bento</t>
  </si>
  <si>
    <t xml:space="preserve">SEMAT 2022 </t>
  </si>
  <si>
    <t>10 e 11/10/22</t>
  </si>
  <si>
    <t xml:space="preserve"> Sebastião Helvécio - Ex-Conselheiro do TCE-MG
 Sandro Dezan - Professor do UniCeub
Elwys Presley e Luciano Troncoso - Auditores de Controle Externo do TCDF
Paulo Alves – servidor do STJ
Gustavo Hermes – servidor do TCE-SP
Carlos Coutinho e Daniel Oliveira - Auditores de Controle Externo do TCDF
</t>
  </si>
  <si>
    <t>DANIEL SOARES GODOI GOMES DE OLIVEIRA;CARLOS ALBERTO LEITE COUTINHO FILHO</t>
  </si>
  <si>
    <t>Oficina SEMAT - eContas (turma 2)</t>
  </si>
  <si>
    <t>17, 19, 21, 24, 26/10; 03, 07, 09 e 11/11</t>
  </si>
  <si>
    <t xml:space="preserve">Curso de Capacitação para Conselheiros de Saúde </t>
  </si>
  <si>
    <t>TARSILA FIRMINO ELY</t>
  </si>
  <si>
    <t>DAVI ASSUNCAO SALVADOR NERY DE CASTRO; INDIO ARTIAGA DO BRASIL RABELO</t>
  </si>
  <si>
    <t>Fernando Assis</t>
  </si>
  <si>
    <t>7, 11, 16 e 25/11/22</t>
  </si>
  <si>
    <t>Paulo Alves</t>
  </si>
  <si>
    <t>08, 10, 16, 22, 29/11; 01 e 06/12</t>
  </si>
  <si>
    <t>8, 10, 16, 17, 18/11/22</t>
  </si>
  <si>
    <t>21, 23 e 25/11/22</t>
  </si>
  <si>
    <t>22, 23 e 25/11/22</t>
  </si>
  <si>
    <t>Curso Sisaudit - módulo de auditoria</t>
  </si>
  <si>
    <t>Curso de Capacitação para Conselheiros de Saúde - turma 2</t>
  </si>
  <si>
    <t>cancelado</t>
  </si>
  <si>
    <t>ALURA</t>
  </si>
  <si>
    <t>x</t>
  </si>
  <si>
    <t>O projeto Escola de Instrutores: Conhecimento, Inovação e Prática, inaugurado em 2022, foi expandido no primeiro semestre de 2023, contando com um Encontro temático, o curso “Como falar em público? Técnicas para melhorar sua comunicação e oratória” e o curso “Formação de formadores”, voltados à comunicação e didática dos professores da Escola de Contas que compõem o quadro de servidores do TCDF.</t>
  </si>
  <si>
    <t>ANTONIO RENATO ALVES RAINHA;IVANA CAMPOS DESSEN;PAULO JOSE GOES DALTRO;TATIANNE CRISTINE OLIVEIRA HATEM;SILVIA REGINA BATISTA MENDONCA</t>
  </si>
  <si>
    <t>07, 09, 14, 16 e 28/02; 02, 07, 09, 14, 16, 21, 23 e 28/03</t>
  </si>
  <si>
    <t>Empresa Verbalize</t>
  </si>
  <si>
    <t>27/02 a 3/03/2023</t>
  </si>
  <si>
    <t>https://forms.office.com/Pages/DesignPageV2.aspx?subpage=design&amp;FormId=ihiBcxMdFkOMXBklOdSA1HmixYPtZ1xLu3moYfQcI19UQlFBWDdOMTFaUlJaWEFQMEhSWTNFWUhERy4u&amp;Token=e921405402954e02a168667355b1d788</t>
  </si>
  <si>
    <t>HENRIQUETA FERREIRA DA ROCHA(Henriqueta Camarotti);
ISAC MENDES CAIXETA DE PAMPLONA ARAUJO</t>
  </si>
  <si>
    <t>https://forms.office.com/Pages/DesignPageV2.aspx?subpage=design&amp;FormId=ihiBcxMdFkOMXBklOdSA1EnjMDmcDptIqzMY2A5SQ8tUMjJHVDVLQTA5UU5UTENVM0JYT0JGQUVYRC4u&amp;Token=54ccba6b9eeb4d438a6528f3fb4fdf73</t>
  </si>
  <si>
    <t>Em parceira com o Instituto Brasileiro de Auditoria de Obras Públicas (Ibraop), foi realizado o Seminário de Atualização em Auditoria de Obras Públicas. Contando com 60 participantes inscritos, entre servidores e demais cidadãos interessados, o evento discutiu o desafio da gestão dos resíduos sólidos no Distrito Federal.</t>
  </si>
  <si>
    <t>De 6 a 10 de março de 2023 foi realizada a Semana da Mulher, uma semana dedicada à comemoração do Dia Internacional da Mulher, contando com ações variadas para o público interno e para a sociedade, tais quais: exposição de produtos de artesãs do Distrito Federal, uma Roda de Conversa sobre o protagonismo feminino – aberta com transmissão no YouTube do TCDF-, um cine-debate sobre as mulheres pioneiras no Distrito Federal, uma palestra sobre saúde sexual feminina e uma edição temática do Café e Tertúlia – o maior evento de integração entre os servidores do Tribunal.</t>
  </si>
  <si>
    <t>Olavo Pontes; Jovita Rosa; Jeovânia; Everardo Aguiar</t>
  </si>
  <si>
    <t>https://forms.office.com/Pages/DesignPageV2.aspx?subpage=design&amp;FormId=ihiBcxMdFkOMXBklOdSA1HmixYPtZ1xLu3moYfQcI19UMVEyN1BOOUNIUU1LMTZQWkVYMDhISEc5Si4u&amp;Token=8fac6a0afccb4d6fb172bb86a7796632</t>
  </si>
  <si>
    <t xml:space="preserve">Roda de Mulheres - Elas por Elas </t>
  </si>
  <si>
    <t>Valéria</t>
  </si>
  <si>
    <t>Ismália Afonso, Tânia Fontenele, Glícia Silveira</t>
  </si>
  <si>
    <t>7, 9, 14 e 16/03/2023</t>
  </si>
  <si>
    <t>https://forms.office.com/Pages/DesignPageV2.aspx?subpage=design&amp;FormId=ihiBcxMdFkOMXBklOdSA1HmixYPtZ1xLu3moYfQcI19UMkFNM002NFpHSVlBNlgyT0JOVzhVOTdCVi4u&amp;Token=960b446d57174f238952b1ec70923e03</t>
  </si>
  <si>
    <t>1407/23</t>
  </si>
  <si>
    <t>Glícia Silveira, Ismália Afonso, Tânia Fontenele</t>
  </si>
  <si>
    <t>não teve</t>
  </si>
  <si>
    <t>15,16,17,20 e 21 de março</t>
  </si>
  <si>
    <t>https://forms.office.com/Pages/DesignPageV2.aspx?subpage=design&amp;FormId=ihiBcxMdFkOMXBklOdSA1EnjMDmcDptIqzMY2A5SQ8tUNTg5UEhLRVc5NUVDUlA3NTEzQ0s0MDJTMC4u&amp;Token=03611d54e185466097b31e4b5347035d</t>
  </si>
  <si>
    <t>20 a 24 de março de 2023</t>
  </si>
  <si>
    <t>20 e 21/03/23</t>
  </si>
  <si>
    <t xml:space="preserve">JOAO GUILHERME LIMA CANDIDO;CASSIO MURILO ALVES COSTA FILHO;RAISSA RODRIGUES FREIRE;RODRIGO VILAS BOAS LICURSI
</t>
  </si>
  <si>
    <t>https://forms.office.com/Pages/DesignPageV2.aspx?subpage=design&amp;FormId=ihiBcxMdFkOMXBklOdSA1EnjMDmcDptIqzMY2A5SQ8tURE5TNVRFMTNUV081NU84VUhITUUzSTFBOC4u&amp;Token=28cacd836928434d95a0b04188507868</t>
  </si>
  <si>
    <t>22 e 23/03/23</t>
  </si>
  <si>
    <t>https://forms.office.com/Pages/DesignPageV2.aspx?subpage=design&amp;FormId=ihiBcxMdFkOMXBklOdSA1EnjMDmcDptIqzMY2A5SQ8tUMTNEUFJVVkNSMU5UMVpHQk5EMlYxN1U2My4u&amp;Token=745838acdfb74a57823ac310d9cc2a08</t>
  </si>
  <si>
    <t>Alice Simão</t>
  </si>
  <si>
    <t>https://forms.office.com/Pages/DesignPageV2.aspx?subpage=design&amp;FormId=ihiBcxMdFkOMXBklOdSA1EnjMDmcDptIqzMY2A5SQ8tUNTFETzVUV0JXSlFOMVhQSjVQUTdTRlBLOS4u&amp;Token=0bb30499c5a843e285d3674bad64df91</t>
  </si>
  <si>
    <t>24, 27, 28, 29 , 30 e 31/03; 03, 04 e 05/04/2023</t>
  </si>
  <si>
    <t>Cinthia Thais de Carvalho Luz Thomazi; Luciana Rocha De Melo Alvim ; DAVI ASSUNCAO SALVADOR NERY DE CASTRO;Henrique Eduardo de Oliveira;MARCOS AURELIO DOS SANTOS; ANTONIO ALEXANDRE DO NASCIMENTO FILHO;Josdeyvi Magalhes Russi ;Orivam Ibiapina da Silva; FLAVIO FIGUEIREDO CARDOSO;Jose Roberto Alcuri Junior;Elwys Presley dos Reis ;CARLOS ALBERTO LEITE COUTINHO FILHO;YASMIN CARLA MARCHIORO SILVERIO;LUIS GUSTAVO DE AQUINO CARVALHO; Vilcemar Fernandes Maia Filho;Ivan Lopes da Rocha;Renan Dias da Silva;Douglas Vieira Silva Filho ;SILVIA LIMA DAMASCENO CARVALHO;DAVID DA SILVA DE ARAUJO;LAIS BRAGA CORDEIRO AQUINO</t>
  </si>
  <si>
    <t>https://forms.office.com/Pages/DesignPageV2.aspx?subpage=design&amp;FormId=ihiBcxMdFkOMXBklOdSA1DeeaGhFYAJIiOIMgFVVfgFUNlNKMDFDSVRDT1lQTlk5Sks4Tk9JMFNLTi4u&amp;Token=58890e712b56411f9dccfca35aaf731e</t>
  </si>
  <si>
    <t>24/03/23</t>
  </si>
  <si>
    <t>https://forms.office.com/Pages/DesignPageV2.aspx?subpage=design&amp;FormId=ihiBcxMdFkOMXBklOdSA1EnjMDmcDptIqzMY2A5SQ8tUQ0tJUjI5WFk3MDdZRTFNS1NGTkxaU1RIRy4u&amp;Token=4815b903843f411c9eb5845e9829ec66</t>
  </si>
  <si>
    <t>27/03 a 31/03/2023</t>
  </si>
  <si>
    <t>https://forms.office.com/Pages/DesignPageV2.aspx?subpage=design&amp;FormId=ihiBcxMdFkOMXBklOdSA1EnjMDmcDptIqzMY2A5SQ8tURFRERUYwMFZYVVhBTEozODIySTRWWTBOVi4u&amp;Token=63b0fc42deb24e7b9713553e05e44e83</t>
  </si>
  <si>
    <t>No âmbito do projeto Universidades e o TCDF, que visa aproximar o Tribunal do público-alvo dos universitários, correlacionando as atividades de sua graduação às atribuições da Corte, foram realizados eventos nos cursos de Contabilidade, Direito e Engenharia civil.  1º Palestra do Conselheiro Renato Rainha na Upis para alunos da graduação em Direito, que contou com a participação de 33 expectadores. 4 Palestras da servidora Fernanda Viana no CEUB para alunos da graduação em Ciência Contábeis e Administração, que contaram com a participação de 170 expectadores. E, por fim, Palestra da servidora Adriana Portugal na Universidade de Brasília para alunos da graduação em Engenharia, que contou com a participação de 30 expectadores, combinada com uma saída para visita a uma obra distrital do Programa Drenar-DF.</t>
  </si>
  <si>
    <t>https://forms.office.com/Pages/DesignPageV2.aspx?subpage=design&amp;FormId=ihiBcxMdFkOMXBklOdSA1HmixYPtZ1xLu3moYfQcI19UOFZSWTFaQ0RQVDlaMlNMWDIzWFVIMUFLMS4u&amp;Token=a76025b1b453456b880c4da56ad9151d</t>
  </si>
  <si>
    <t>11 a 13/04/23</t>
  </si>
  <si>
    <t>https://forms.office.com/Pages/DesignPageV2.aspx?subpage=design&amp;FormId=ihiBcxMdFkOMXBklOdSA1EnjMDmcDptIqzMY2A5SQ8tUQzFMM1FITzhKUVhVNTI4TklUM0lYRldYWi4u&amp;Token=d8f2c6a2ddd6451593207d6a65288d34</t>
  </si>
  <si>
    <t>https://forms.office.com/Pages/DesignPageV2.aspx?subpage=design&amp;FormId=ihiBcxMdFkOMXBklOdSA1DeeaGhFYAJIiOIMgFVVfgFUNE9GVUVPV0ZSTVY1V1dNVFVIVEZGTlZUMC4u&amp;Token=cddad3cbab96413787991a4f37df4453</t>
  </si>
  <si>
    <t>Em abril foi inaugurado o Programa de capacitação na Lei Geral de Proteção de Dados Pessoais, do Plano de Capacitação 2022-2023, com palestras voltadas aos Conselheiros, gestores e servidores da Casa, abrangendo aproximadamente 200 participantes do TCDF. Ademais foi realizado um curso de 46 horas-aula para o estudo aprofundado da temática pelos membros do Comitê Gestor de Proteção de Dados do Tribunal.</t>
  </si>
  <si>
    <t>https://forms.office.com/Pages/DesignPageV2.aspx?subpage=design&amp;FormId=ihiBcxMdFkOMXBklOdSA1EnjMDmcDptIqzMY2A5SQ8tURVBYWThRUVg2S0U2VjlWQjJGOUpZSzQ4Ui4u&amp;Token=c4a1cd778f594447b56d834dd963de8c</t>
  </si>
  <si>
    <t>https://forms.office.com/Pages/DesignPageV2.aspx?subpage=design&amp;FormId=ihiBcxMdFkOMXBklOdSA1EnjMDmcDptIqzMY2A5SQ8tUQVVHTlVLWlVFSlY4MDhWRDhXMVc4TzJWUS4u&amp;Token=3cf921f7a454419fb6e84d0c8cc76ebd</t>
  </si>
  <si>
    <t>FERNANDA VIANA DE SOUZA</t>
  </si>
  <si>
    <t>https://forms.office.com/Pages/DesignPageV2.aspx?subpage=design&amp;FormId=ihiBcxMdFkOMXBklOdSA1HmixYPtZ1xLu3moYfQcI19UOUxWSlM3UTZMQ0pVWVRCWFZGWFo0SVZaVS4u&amp;Token=9cdb842b8f6b42709ee520fade4f7ece</t>
  </si>
  <si>
    <t>https://forms.office.com/Pages/DesignPageV2.aspx?subpage=design&amp;FormId=ihiBcxMdFkOMXBklOdSA1HmixYPtZ1xLu3moYfQcI19UNkNVS05TMExESDRWTFcwMkNISExSSDRNSS4u&amp;Token=aec8a91c97404723b9efa01f43b6c72a</t>
  </si>
  <si>
    <t>https://forms.office.com/Pages/DesignPageV2.aspx?subpage=design&amp;FormId=ihiBcxMdFkOMXBklOdSA1HmixYPtZ1xLu3moYfQcI19URDJSWU82QzhWRkxTTFk1U1FYRklUN04yTS4u&amp;Token=b37688cb6b954014b38c2eab862645cc</t>
  </si>
  <si>
    <t>https://forms.office.com/Pages/DesignPageV2.aspx?subpage=design&amp;FormId=ihiBcxMdFkOMXBklOdSA1HmixYPtZ1xLu3moYfQcI19UNzIzSEdQREVVNFVISlgwQjZaOUFNM1BXTi4u&amp;Token=72cc5c55386a47d8a1251287ed86e85a</t>
  </si>
  <si>
    <t>3, 5, 8, 10, 12, 15, 17, 19 e 22/05/2023</t>
  </si>
  <si>
    <t>https://forms.office.com/Pages/DesignPageV2.aspx?subpage=design&amp;FormId=ihiBcxMdFkOMXBklOdSA1DeeaGhFYAJIiOIMgFVVfgFUMEROSVNUNFc3RVYyMk84MEo3RzhWMENEMy4u&amp;Token=27227bf9d38a48d58aa96423813b657d</t>
  </si>
  <si>
    <t>24/04 a 28/04/2023</t>
  </si>
  <si>
    <t>https://forms.office.com/Pages/DesignPageV2.aspx?subpage=design&amp;FormId=ihiBcxMdFkOMXBklOdSA1EnjMDmcDptIqzMY2A5SQ8tUMDlQWlQ1TkpOOFpBWENZSEFXTzg0RDZOVS4u&amp;Token=f85ca75ed23e4b8da33c0b2138c8b603</t>
  </si>
  <si>
    <t>25 a 27/04/23</t>
  </si>
  <si>
    <t xml:space="preserve">ANTONIO RENATO ALVES RAINHA;CARLOS ALBERTO LEITE COUTINHO FILHO;DANIEL SOARES GODOI GOMES DE OLIVEIRA;Gabriel Heller;HUGO TOMAZ NETO MORAES;INDIO ARTIAGA DO BRASIL RABELO;JOSDEYVI MAGALHAES RUSSI;LUIZ GENEDIO MENDES JORGE;MARCOS FELIPE PINHEIRO LIMA;MARIA DO CARMO LIMA DE VASCONCELOS;ROGERIO RIBEIRO
</t>
  </si>
  <si>
    <t>https://forms.office.com/Pages/DesignPageV2.aspx?subpage=design&amp;FormId=ihiBcxMdFkOMXBklOdSA1EnjMDmcDptIqzMY2A5SQ8tUMTVYNjVHVlE3RDVETUtNU1pNR0xWM1Y3Qi4u&amp;Token=e2b804c23d0047dba31655b901c33f4b</t>
  </si>
  <si>
    <t>2, 4, 9 e 11/5/23</t>
  </si>
  <si>
    <t>https://forms.office.com/Pages/DesignPageV2.aspx?subpage=design&amp;FormId=ihiBcxMdFkOMXBklOdSA1HmixYPtZ1xLu3moYfQcI19UMlBFUFc4QU9SU002N1RaMDIxVDg3MEhWMC4u&amp;Token=041bd4bbc67c4e3cb50d92ca5cc7e3f1</t>
  </si>
  <si>
    <t>11 e 12/05; 16 e 17/05; 30 e 31/05; 13 e 14/06</t>
  </si>
  <si>
    <t>15/05, 19/05, 22/05, 29/05, 02/06, 05/06, 12/06, 16/06, 19/06, 26/06, 30/06, 03/07, 07/07, 10/07, 14/07</t>
  </si>
  <si>
    <t xml:space="preserve">Adriana Carla.
</t>
  </si>
  <si>
    <t>https://forms.office.com/Pages/DesignPageV2.aspx?subpage=design&amp;FormId=ihiBcxMdFkOMXBklOdSA1DeeaGhFYAJIiOIMgFVVfgFURU9MNzlQTUI2UVpRMUYzS0ZEWk5HT1k2Ui4u&amp;Token=836fe6f1e80642e0ba2656412ac3606a</t>
  </si>
  <si>
    <t>Marcela Shakir;THAMARA DAYANE CARDOSO SANTOS;Bruno Coelho</t>
  </si>
  <si>
    <t>https://forms.office.com/Pages/DesignPageV2.aspx?subpage=design&amp;FormId=ihiBcxMdFkOMXBklOdSA1EnjMDmcDptIqzMY2A5SQ8tUOEFHOTFDVk9FSzROVlUxN0NFMVJJRTJaOC4u&amp;Token=cc91088dc03f485cb1ff979487c04b1d</t>
  </si>
  <si>
    <t>https://forms.office.com/Pages/DesignPageV2.aspx?subpage=design&amp;FormId=ihiBcxMdFkOMXBklOdSA1DeeaGhFYAJIiOIMgFVVfgFUM0VaWUhPRDVYOVNNREtHNzY3RDhBOU5ZSC4u&amp;Token=09f5b65de05747198789bf18444f39af</t>
  </si>
  <si>
    <t>15 e 16/06/23</t>
  </si>
  <si>
    <t>Conceição Rezende
Mabelle Roque
Jeovania Rodrigues
Hiza Carpina
Priscila ROmano
Tarsila Firmino
Guilherme Maluf
Marcelo Aragão
Maytê Aguiar
Henrique Oliveira</t>
  </si>
  <si>
    <t>https://forms.office.com/Pages/DesignPageV2.aspx?subpage=design&amp;FormId=ihiBcxMdFkOMXBklOdSA1EnjMDmcDptIqzMY2A5SQ8tUMVdJTERYNVRZRVdKQk9ETUowSTFEUk42SC4u&amp;Token=e637a9cb52414366b4be691b2f6574e8</t>
  </si>
  <si>
    <t>OSWALDO JUNQUEIRA VAZ JUNIOR</t>
  </si>
  <si>
    <t>https://forms.office.com/Pages/DesignPageV2.aspx?subpage=design&amp;FormId=ihiBcxMdFkOMXBklOdSA1DeeaGhFYAJIiOIMgFVVfgFUQVVPMjlPV1kyM0NFTU9aNEVDRFRHVjRVUC4u&amp;Token=e23350a641d94ecc8897e128f1f56017</t>
  </si>
  <si>
    <t>20/06/23</t>
  </si>
  <si>
    <t>Daniel Gomes (colaborador da justiça)</t>
  </si>
  <si>
    <t>https://forms.office.com/Pages/DesignPageV2.aspx?subpage=design&amp;FormId=ihiBcxMdFkOMXBklOdSA1HmixYPtZ1xLu3moYfQcI19UOVBDNUhIVU5DUk5XTFZERDJCTlpCMEdYRS4u&amp;Token=75690348b37a4302866afc65cf44e028</t>
  </si>
  <si>
    <t>https://forms.office.com/Pages/DesignPageV2.aspx?subpage=design&amp;FormId=ihiBcxMdFkOMXBklOdSA1DeeaGhFYAJIiOIMgFVVfgFUN09LWUpEVUxNVDZNMTFIQ1BIQ0c1UjVTRS4u&amp;Token=e51e55df154342f4829d1a37f6d2e777</t>
  </si>
  <si>
    <t>7981/23</t>
  </si>
  <si>
    <t xml:space="preserve">Adriana Cuoco Portugal
</t>
  </si>
  <si>
    <t>7978/23</t>
  </si>
  <si>
    <t>Leon Sólon (Auditor Fiscal da RFB)</t>
  </si>
  <si>
    <t>https://forms.office.com/Pages/DesignPageV2.aspx?subpage=design&amp;FormId=ihiBcxMdFkOMXBklOdSA1G6keaewTLtItJjmxaqzrihUMDQ5NkowTkxKM1FPRDU0NkI1WU9PSEhSQy4u&amp;Token=020415bd7fc74a68ab708b1c87da8108</t>
  </si>
  <si>
    <t>8365/23</t>
  </si>
  <si>
    <t>7001/2023 e 
7137/2023</t>
  </si>
  <si>
    <t>24 a 28/07/23</t>
  </si>
  <si>
    <t>HANNA GABRIELA LUCENA DE BARRON;ROMULO MIRANDA ALVIM</t>
  </si>
  <si>
    <t>https://forms.office.com/Pages/DesignPageV2.aspx?subpage=design&amp;FormId=ihiBcxMdFkOMXBklOdSA1EnjMDmcDptIqzMY2A5SQ8tUNVdXMU5NUFdDOVZaU0tSSUE1OFZUR1dLVS4u&amp;Token=8cf33b7b4b4d4c70ac30b0e675a7a260</t>
  </si>
  <si>
    <t>31/07, 01/08, 07/08, 08/08, 14/08, 15/08, 29/08, 01/09, 05/09</t>
  </si>
  <si>
    <t>Frank NEd</t>
  </si>
  <si>
    <t>https://forms.office.com/Pages/DesignPageV2.aspx?subpage=design&amp;FormId=ihiBcxMdFkOMXBklOdSA1HmixYPtZ1xLu3moYfQcI19UNDMzQ0tBVjhJUFdXNk83SFJPSDJOS0ZTRC4u&amp;Token=eea17f49f04d4d97bf0d80bb2311a9e4</t>
  </si>
  <si>
    <t>3 e 4/08/2023</t>
  </si>
  <si>
    <t>Elwys Presley dos Reis;DAVI ASSUNCAO SALVADOR NERY DE CASTRO; Márcia Helena da Silva; DANIEL SOARES GODOI GOMES DE OLIVEIRA; Henrique Eduardo de Oliveira; FLAVIO JOSE FONSECA DE SOUZA; SILVIA REGINA BATISTA MENDONCA</t>
  </si>
  <si>
    <t>https://forms.office.com/Pages/DesignPageV2.aspx?subpage=design&amp;FormId=ihiBcxMdFkOMXBklOdSA1HmixYPtZ1xLu3moYfQcI19UQlhRNVMxM1NUNzVHV1dKNU1YOENETlhESi4u&amp;Token=3b6275f4b2614ea6b18606a17100478c</t>
  </si>
  <si>
    <t>7 E 8/08/2023</t>
  </si>
  <si>
    <t>FLAVIO JOSE FONSECA DE SOUZA</t>
  </si>
  <si>
    <t>https://forms.office.com/Pages/DesignPageV2.aspx?subpage=design&amp;FormId=ihiBcxMdFkOMXBklOdSA1DeeaGhFYAJIiOIMgFVVfgFUOTJZM0g3VzdJRkowR0pSTjdTRDFBOEVVSy4u&amp;Token=cbc7a55ecac5477eb55438c410ba149b</t>
  </si>
  <si>
    <t xml:space="preserve"> 5295/23</t>
  </si>
  <si>
    <t xml:space="preserve">Mentorias individuais para gstores de nivel tático do TCDF </t>
  </si>
  <si>
    <t>07/08 a 05/12/23</t>
  </si>
  <si>
    <t>https://forms.office.com/Pages/DesignPageV2.aspx?subpage=design&amp;FormId=ihiBcxMdFkOMXBklOdSA1EnjMDmcDptIqzMY2A5SQ8tUMjZFRUxMTU41WUU1WUQ2R0VSQTZIUFFJVi4u&amp;Token=cef85a91b12b4a6c962373a061ab3141</t>
  </si>
  <si>
    <t>8966/23</t>
  </si>
  <si>
    <t>7 e 8/08/2023</t>
  </si>
  <si>
    <t>https://forms.office.com/Pages/DesignPageV2.aspx?subpage=design&amp;FormId=ihiBcxMdFkOMXBklOdSA1DeeaGhFYAJIiOIMgFVVfgFUM0ZWSFhTMkFKSDJDVDRDVE9DVTdWQVI0OC4u&amp;Token=98fa07bd55d6439793ffd4d1209fd72c</t>
  </si>
  <si>
    <t>7/8/23</t>
  </si>
  <si>
    <t>Vilcemar; Carlos Antonio</t>
  </si>
  <si>
    <t>https://forms.office.com/Pages/DesignPageV2.aspx?subpage=design&amp;token=23fed8ccaf7b4e97b9c0e3bc7be1f223&amp;id=ihiBcxMdFkOMXBklOdSA1DeeaGhFYAJIiOIMgFVVfgFUMzc3RkdBTEVRS0w1UjdaUjVBOEhNNVZWVy4u</t>
  </si>
  <si>
    <t>8/8/23</t>
  </si>
  <si>
    <t>Vilcemar; Hugo Mesquita</t>
  </si>
  <si>
    <t>09/08, 16/08, 18/08, 30/08, 04/09, 11/09, 13/09 e 18/09</t>
  </si>
  <si>
    <t>https://forms.office.com/Pages/DesignPageV2.aspx?subpage=design&amp;FormId=ihiBcxMdFkOMXBklOdSA1DeeaGhFYAJIiOIMgFVVfgFUOE5YUDdRTkk4VkJPMkVOMEJQR09JNUQ3Wi4u&amp;Token=8b9217c60b554f5c96c01c3273f4e49c</t>
  </si>
  <si>
    <t>9 a 11/08/23</t>
  </si>
  <si>
    <t>https://forms.office.com/Pages/DesignPageV2.aspx?subpage=design&amp;FormId=ihiBcxMdFkOMXBklOdSA1EnjMDmcDptIqzMY2A5SQ8tUMEJGUVE3SUtPQlgzQUk0Rkw5QTEyUUJYUC4u&amp;Token=1dde7a1d11894f7cb3f96e68587417d2</t>
  </si>
  <si>
    <t>Murilo Costa Moreira</t>
  </si>
  <si>
    <t>https://forms.office.com/Pages/DesignPageV2.aspx?subpage=design&amp;FormId=ihiBcxMdFkOMXBklOdSA1EnjMDmcDptIqzMY2A5SQ8tUMTFORENPV0VTWlFEOFBHNk9XVURJSjhUTC4u&amp;Token=7b737ab5fcc04d6ab462948da09d332c</t>
  </si>
  <si>
    <t>16 a 18/08/23</t>
  </si>
  <si>
    <r>
      <rPr>
        <sz val="11"/>
        <color theme="1"/>
        <rFont val="Calibri"/>
        <family val="2"/>
      </rPr>
      <t xml:space="preserve">Dia 1: </t>
    </r>
    <r>
      <rPr>
        <u/>
        <sz val="11"/>
        <color rgb="FF1155CC"/>
        <rFont val="Calibri"/>
        <family val="2"/>
      </rPr>
      <t>https://forms.office.com/Pages/DesignPageV2.aspx?subpage=design&amp;FormId=ihiBcxMdFkOMXBklOdSA1DeeaGhFYAJIiOIMgFVVfgFUQ05USDJMRDFKRkw1MUROVFZWVzJaUzZBUi4u&amp;Token=d9d39ce1edc8445e95a123ba2b42a25c</t>
    </r>
    <r>
      <rPr>
        <sz val="11"/>
        <color theme="1"/>
        <rFont val="Calibri"/>
        <family val="2"/>
      </rPr>
      <t xml:space="preserve">                                    Dia 2: https://forms.office.com/Pages/DesignPageV2.aspx?subpage=design&amp;FormId=ihiBcxMdFkOMXBklOdSA1DeeaGhFYAJIiOIMgFVVfgFUOE9TOEhaSlBWSkhMQTVZR0IyNE1XU0xMMi4u&amp;Token=42de06ac02b7404f965ae6cf4a9698c2                                    Dia 3: </t>
    </r>
    <r>
      <rPr>
        <u/>
        <sz val="11"/>
        <color rgb="FF1155CC"/>
        <rFont val="Calibri"/>
        <family val="2"/>
      </rPr>
      <t>https://forms.office.com/Pages/DesignPageV2.aspx?subpage=design&amp;FormId=ihiBcxMdFkOMXBklOdSA1DeeaGhFYAJIiOIMgFVVfgFURDZSR1lKTTIxUzJWSDVHSFVHSTFXOTBFOS4u&amp;Token=cc49983cdb36470cb2e5ec19e57ee63a</t>
    </r>
  </si>
  <si>
    <t>21 a 25/08/23</t>
  </si>
  <si>
    <t>https://forms.office.com/Pages/DesignPageV2.aspx?subpage=design&amp;FormId=ihiBcxMdFkOMXBklOdSA1DeeaGhFYAJIiOIMgFVVfgFUM0haM1U5WUIwM1NYSEdVSkxKMFFQQkFEVy4u&amp;Token=982d1b2326394ebca9810a5b9dc187e7</t>
  </si>
  <si>
    <t>28/08, 29/08, 30/08, 31/08, 01/09 e 04/09/23</t>
  </si>
  <si>
    <t>https://forms.office.com/Pages/DesignPageV2.aspx?subpage=design&amp;FormId=ihiBcxMdFkOMXBklOdSA1DeeaGhFYAJIiOIMgFVVfgFUMlpDTTQwSVBBWlRHTUZLSVZOSENXUkk4Ty4u&amp;Token=892146028f01402f9cfa5095e5326a5e</t>
  </si>
  <si>
    <t>5, 11, 13, 15 e 18 e 27/09/23</t>
  </si>
  <si>
    <t>Cascão</t>
  </si>
  <si>
    <t>https://forms.office.com/Pages/DesignPageV2.aspx?subpage=design&amp;FormId=ihiBcxMdFkOMXBklOdSA1DeeaGhFYAJIiOIMgFVVfgFURUJBU0Y3RktWR002TTdBMUFMUE8zU1BISy4u&amp;Token=2ab03230813b4f9daa3068029254f62d</t>
  </si>
  <si>
    <t>https://forms.office.com/Pages/DesignPageV2.aspx?subpage=design&amp;FormId=ihiBcxMdFkOMXBklOdSA1DeeaGhFYAJIiOIMgFVVfgFURVpPMkJDTTlHTEpPUzJEWkE1RVdQUTRFRS4u&amp;Token=e021e7626a3245c497bba49af5f89348</t>
  </si>
  <si>
    <t>12, 14, 19 e 21/09</t>
  </si>
  <si>
    <t>Gabriel Heller; Danilo Morais</t>
  </si>
  <si>
    <t>https://forms.office.com/Pages/DesignPageV2.aspx?subpage=design&amp;FormId=ihiBcxMdFkOMXBklOdSA1DeeaGhFYAJIiOIMgFVVfgFURFVXVjE3Ulo3SEgyQzJUR1VSMFg5ODVIRC4u&amp;Token=3447fc1c3d024ef0beca0f8531fe9b3e</t>
  </si>
  <si>
    <t>13, 15, 18, 20, 22, 25, 27, 29/09 e 02/10/2023</t>
  </si>
  <si>
    <t>https://forms.office.com/Pages/DesignPageV2.aspx?subpage=design&amp;FormId=ihiBcxMdFkOMXBklOdSA1DeeaGhFYAJIiOIMgFVVfgFUNEQyODNLTE0xRzdBM1FDVEcwNUI2TlVLWC4u&amp;Token=2ae8e58bf46b48a2a2055980c5133430</t>
  </si>
  <si>
    <t>8841/23</t>
  </si>
  <si>
    <t>https://forms.office.com/Pages/DesignPageV2.aspx?subpage=design&amp;FormId=ihiBcxMdFkOMXBklOdSA1DeeaGhFYAJIiOIMgFVVfgFUMFlOQlRLUkFDM0hRTlkyVzlRVTJUMkFKMC4u&amp;Token=eb62298f5dcd4d1a89f9c8fa3d9331cb</t>
  </si>
  <si>
    <t>https://forms.office.com/Pages/DesignPageV2.aspx?subpage=design&amp;FormId=ihiBcxMdFkOMXBklOdSA1DeeaGhFYAJIiOIMgFVVfgFURjNRRkpPSUVWMlRLVDFENTZWOVBLVFdXMC4u&amp;Token=7297eca128684ccdb9b8cbca923fed57</t>
  </si>
  <si>
    <t>2 a 4/10/23</t>
  </si>
  <si>
    <t>https://forms.office.com/Pages/DesignPageV2.aspx?subpage=design&amp;FormId=ihiBcxMdFkOMXBklOdSA1DeeaGhFYAJIiOIMgFVVfgFUNFNESVdTU1ZSUUxTNkhKWU1XWEVTVUdHUy4u&amp;Token=85f000db950f469aac6915c8a3b8a025</t>
  </si>
  <si>
    <t xml:space="preserve">Curso de Capacitação para Conselheiros de Saúde - Região Sudoeste T1 </t>
  </si>
  <si>
    <t>https://forms.office.com/r/PFCCKXDui9</t>
  </si>
  <si>
    <t>https://forms.office.com/Pages/DesignPageV2.aspx?subpage=design&amp;FormId=ihiBcxMdFkOMXBklOdSA1DeeaGhFYAJIiOIMgFVVfgFUN1pPNjlLRTBKQ0NZWUZJNkdCMDBSUFo2My4u&amp;Token=95c04d849c6d4682bd0627a388a4547f</t>
  </si>
  <si>
    <t>https://forms.office.com/Pages/DesignPageV2.aspx?subpage=design&amp;FormId=ihiBcxMdFkOMXBklOdSA1DeeaGhFYAJIiOIMgFVVfgFUQ1hSOFdVV05ZNVlUUVpOM1lQTkdQMjJFUi4u&amp;Token=3c3d4b08db784e59a762328ba30f4b4d</t>
  </si>
  <si>
    <t>06/10/23</t>
  </si>
  <si>
    <t>8 e 9/10/23</t>
  </si>
  <si>
    <t>Silvia Lima Damasceno e MArcelo Athayde</t>
  </si>
  <si>
    <t>https://forms.office.com/Pages/DesignPageV2.aspx?subpage=design&amp;FormId=ihiBcxMdFkOMXBklOdSA1DeeaGhFYAJIiOIMgFVVfgFUQ0pVR0dDSUdVNUUzVURUS0EySVhOQlNXOS4u&amp;Token=db51b20ae7b849bdb4d266cdab863eca</t>
  </si>
  <si>
    <t>10/10/23</t>
  </si>
  <si>
    <t>https://forms.office.com/Pages/DesignPageV2.aspx?subpage=design&amp;FormId=ihiBcxMdFkOMXBklOdSA1DeeaGhFYAJIiOIMgFVVfgFUOUdQWkgxQVRHWFBLT1ExT05XWUQxRFIxUS4u&amp;Token=abf961a7b20b457a982cd6b96aa0d74b</t>
  </si>
  <si>
    <t>ar impressa</t>
  </si>
  <si>
    <t>Aline Riquetti (SAS), Vilcemar (SEFIPE), Gustavo (SEFIPE), Luis Gustavo (NIE), Fernanda Viana (SECON), Flávio (APE) e Rômulo (APE).</t>
  </si>
  <si>
    <t>https://forms.office.com/Pages/DesignPageV2.aspx?subpage=design&amp;FormId=ihiBcxMdFkOMXBklOdSA1EnjMDmcDptIqzMY2A5SQ8tURVhVV0EyU1pOT0dEVTJSVjBBMVBLUFVRWS4u&amp;Token=441e4b6d8ba44b5f910dde2aa5c6d9ea</t>
  </si>
  <si>
    <t>https://forms.office.com/Pages/DesignPageV2.aspx?subpage=design&amp;FormId=ihiBcxMdFkOMXBklOdSA1DeeaGhFYAJIiOIMgFVVfgFUQUlZQ09CMFpGWFk1V0pPUjk3UkVCRE9XQS4u&amp;Token=664e6b13c29049b5bb854de92ee89503</t>
  </si>
  <si>
    <t>https://forms.office.com/Pages/DesignPageV2.aspx?subpage=design&amp;FormId=ihiBcxMdFkOMXBklOdSA1DeeaGhFYAJIiOIMgFVVfgFUN0tXMVRLQkJHNVlGWFIxV1M2SzNBMDVOMy4u&amp;Token=7eb347e302004f7b98aa643382baff4f</t>
  </si>
  <si>
    <t>13012/23</t>
  </si>
  <si>
    <t>31/10 e 01/11; 16/11 e 17/11/23</t>
  </si>
  <si>
    <t>Ana Carla Marques - Executiva de Vendas do Setor Público (Microsoft Brasil); Josdeyvi Magalhães Russi; Luis Gustavo de Aquino Carvalho; Henrique Eduardo de Oliveira; Rodrigo Noleto Paz; Bruno Jackson Iaccino Coelho e Mauro Sergio Dos Santos Da Silva; Ednaldo Ramos de Souza.</t>
  </si>
  <si>
    <t>https://forms.office.com/Pages/DesignPageV2.aspx?subpage=design&amp;FormId=ihiBcxMdFkOMXBklOdSA1EnjMDmcDptIqzMY2A5SQ8tUMldCTzZJWFBXOVVKUktQSjFSNklWQ0U5Ui4u&amp;Token=e006d6045575467f86ed7789eee6928a</t>
  </si>
  <si>
    <t>Nova Lei de Licitações e Contratos - Teoria e Aplicações - T3</t>
  </si>
  <si>
    <t>6 a 11/11/2023</t>
  </si>
  <si>
    <t>https://forms.office.com/Pages/DesignPageV2.aspx?subpage=design&amp;FormId=ihiBcxMdFkOMXBklOdSA1DeeaGhFYAJIiOIMgFVVfgFUMEZTNDVPVkdJRU1aRDBVMERZQlVTV1k5Mi4u&amp;Token=1efc399eb1574c929cc405f90e249b9f</t>
  </si>
  <si>
    <t>9 e 10/11/2023</t>
  </si>
  <si>
    <t>https://forms.office.com/Pages/DesignPageV2.aspx?subpage=design&amp;FormId=ihiBcxMdFkOMXBklOdSA1DeeaGhFYAJIiOIMgFVVfgFURDc5M1REM01FTEs1TTFEVEJHN1RVTEJDTy4u&amp;Token=fa0a10769e5b47a0b08012da14ffe2b6</t>
  </si>
  <si>
    <t>Leonardo Neri</t>
  </si>
  <si>
    <t>https://forms.office.com/Pages/DesignPageV2.aspx?subpage=design&amp;FormId=ihiBcxMdFkOMXBklOdSA1DeeaGhFYAJIiOIMgFVVfgFUNUtQT1VOME8xUkFHTVBXRzZBTVBIVldNNy4u&amp;Token=c1324ee3c29b4cd2846d9586ee5736a2</t>
  </si>
  <si>
    <t>17 e 24/11; 01 e 08/12/2023</t>
  </si>
  <si>
    <t>https://forms.office.com/Pages/DesignPageV2.aspx?subpage=design&amp;FormId=ihiBcxMdFkOMXBklOdSA1EnjMDmcDptIqzMY2A5SQ8tUMjBFVjFNVjlJVkRCTjNUMzExVFlJTkpSRi4u&amp;Token=6ec58cb2f4374eb69b4117bfc16eb9bf</t>
  </si>
  <si>
    <t>MArcelo Kessler</t>
  </si>
  <si>
    <t>https://forms.office.com/Pages/DesignPageV2.aspx?subpage=design&amp;FormId=ihiBcxMdFkOMXBklOdSA1HmixYPtZ1xLu3moYfQcI19UNTlQS1ZaQ0lFMExGVzM4R0VORDFPQ1hMQi4u&amp;Token=edf4dfe1e7424ae283aa651b1711ab8d</t>
  </si>
  <si>
    <t>512/2024</t>
  </si>
  <si>
    <t>Mentoria em análise de dados - SAS</t>
  </si>
  <si>
    <t>20/11 a 15/12/23</t>
  </si>
  <si>
    <t>Rômulo Alvim</t>
  </si>
  <si>
    <t>14329/2023</t>
  </si>
  <si>
    <t>Palestra “TCDF e a Fiscalização de Obras” + Estudos de casos: Obra da ESPM no Setor Policial e Obra de drenagem do DRENARDF na Asa Norte.</t>
  </si>
  <si>
    <t>17/11/2023</t>
  </si>
  <si>
    <t xml:space="preserve">Adriana Portugal </t>
  </si>
  <si>
    <t>não teve ar</t>
  </si>
  <si>
    <t>Flávio Souza</t>
  </si>
  <si>
    <t>https://forms.office.com/Pages/DesignPageV2.aspx?subpage=design&amp;FormId=ihiBcxMdFkOMXBklOdSA1DeeaGhFYAJIiOIMgFVVfgFUMTlOVDFQR1lEMDQwSlQyQVJNOEM3R0xOWi4u&amp;Token=41846392042043f6a5d9fbb6fba2ac44</t>
  </si>
  <si>
    <r>
      <rPr>
        <sz val="11"/>
        <color theme="1"/>
        <rFont val="Calibri"/>
        <family val="2"/>
      </rPr>
      <t xml:space="preserve">Dia 1: </t>
    </r>
    <r>
      <rPr>
        <u/>
        <sz val="11"/>
        <color rgb="FF1155CC"/>
        <rFont val="Calibri"/>
        <family val="2"/>
      </rPr>
      <t>https://forms.office.com/Pages/DesignPageV2.aspx?subpage=design&amp;FormId=ihiBcxMdFkOMXBklOdSA1DeeaGhFYAJIiOIMgFVVfgFUMUZXRzk4SjBVODJYMFNGNUlHMlpGTlo1Ny4u&amp;Token=139204650b5f44aeb2c05cd9d411bcaa</t>
    </r>
    <r>
      <rPr>
        <sz val="11"/>
        <color theme="1"/>
        <rFont val="Calibri"/>
        <family val="2"/>
      </rPr>
      <t xml:space="preserve">                                    Dia 2: </t>
    </r>
    <r>
      <rPr>
        <u/>
        <sz val="11"/>
        <color rgb="FF1155CC"/>
        <rFont val="Calibri"/>
        <family val="2"/>
      </rPr>
      <t>https://forms.office.com/Pages/DesignPageV2.aspx?subpage=design&amp;FormId=ihiBcxMdFkOMXBklOdSA1DeeaGhFYAJIiOIMgFVVfgFUQUUyUVJHOVJFMFZEN0lXTVhYRUdYSTFDNy4u&amp;Token=2c447ac0dd5c461992484a817fe9871a</t>
    </r>
  </si>
  <si>
    <t>https://forms.office.com/Pages/DesignPageV2.aspx?subpage=design&amp;FormId=ihiBcxMdFkOMXBklOdSA1DeeaGhFYAJIiOIMgFVVfgFUQTBBNExTWDFTODJNR1E0NEdPSENHTU9ZRC4u&amp;Token=876dd27f190249a887d98d0aef23ca3e</t>
  </si>
  <si>
    <t>https://forms.office.com/Pages/DesignPageV2.aspx?subpage=design&amp;FormId=ihiBcxMdFkOMXBklOdSA1DeeaGhFYAJIiOIMgFVVfgFUNUg1NVEyNkNNMUhTWFlRRzhTTVZMTVcwNS4u&amp;Token=972fed08a5a44b39bd60dd95b7a4d617</t>
  </si>
  <si>
    <t>Tarsila Ely</t>
  </si>
  <si>
    <t>https://forms.office.com/Pages/DesignPageV2.aspx?subpage=design&amp;FormId=ihiBcxMdFkOMXBklOdSA1DeeaGhFYAJIiOIMgFVVfgFUNjJPSVpMVTZFTllKMFRPWURNTUE4VktCRS4u&amp;Token=d951ecd187e74271bd684a61dd884d88</t>
  </si>
  <si>
    <t>Gabriel Heller; Tarsila Firmino</t>
  </si>
  <si>
    <t>https://forms.office.com/Pages/DesignPageV2.aspx?subpage=design&amp;FormId=ihiBcxMdFkOMXBklOdSA1DeeaGhFYAJIiOIMgFVVfgFUNzVKMkFKM1BTNTZYOFo3UlJOV0daV0lENy4u&amp;Token=36cb7c28809240e2b0e2090bcbd21e8d</t>
  </si>
  <si>
    <t>22, 28 e 29/02/2024; 08/03</t>
  </si>
  <si>
    <t>Publix instituto</t>
  </si>
  <si>
    <t>https://forms.office.com/Pages/DesignPageV2.aspx?subpage=design&amp;FormId=ihiBcxMdFkOMXBklOdSA1DeeaGhFYAJIiOIMgFVVfgFUMlFPVVNDMTRKSUhLUTAwRUNOQllISldMUy4u&amp;Token=3a877088dc064636a0cd46d94f4e7480</t>
  </si>
  <si>
    <t>9993/23</t>
  </si>
  <si>
    <t>Luiz Felipe Tenório; Cinthia, Adriana Portugal; Fernanda Viana; Denise Duarte</t>
  </si>
  <si>
    <t>https://forms.office.com/Pages/DesignPageV2.aspx?subpage=design&amp;FormId=ihiBcxMdFkOMXBklOdSA1DeeaGhFYAJIiOIMgFVVfgFUQU40V1BDN0FDRTJFNzE5QjNJWUtFTjE1OC4u&amp;Token=92eed5a303eb43f796d4800d82faa7f4</t>
  </si>
  <si>
    <t>5, 7, 12 e 14/03/2024</t>
  </si>
  <si>
    <t>12, 14. 19 e 21/03/2024</t>
  </si>
  <si>
    <t>Isac Pamplona</t>
  </si>
  <si>
    <t>https://forms.office.com/Pages/DesignPageV2.aspx?subpage=design&amp;FormId=RKhJ2uPir0CGpsOBnXBPSexu_f6uHqRIm4CJLXuN3W5URERIQlkwMzY4MDM2QUtTQlkwWlRYSzRXUy4u&amp;Token=531322d4e5d5429388d7331e562ae72a</t>
  </si>
  <si>
    <t>Tarsila Firmino</t>
  </si>
  <si>
    <t>19/03</t>
  </si>
  <si>
    <t>Mônica, Cecília, Juliana e Demóstenes</t>
  </si>
  <si>
    <t>Leonardo Rodrigues Albernaz</t>
  </si>
  <si>
    <t>https://forms.office.com/Pages/DesignPageV2.aspx?subpage=design&amp;FormId=ihiBcxMdFkOMXBklOdSA1EnjMDmcDptIqzMY2A5SQ8tUME4xVlJJVkFWVk0yRVYzOUE0REVCWTdCOS4u&amp;Token=1c3f618e892b4feeac5092327d4333b3</t>
  </si>
  <si>
    <t>Carlos Cascão</t>
  </si>
  <si>
    <t>https://forms.office.com/Pages/DesignPageV2.aspx?subpage=design&amp;FormId=ihiBcxMdFkOMXBklOdSA1HmixYPtZ1xLu3moYfQcI19UQVA1NFdFVVpDREEyNjZOU0tCVkk5RVhXNy4u&amp;Token=62745499444d42c698a844f8bb8a55b7</t>
  </si>
  <si>
    <t>02/04, 09/04, 16/04, 23/04, 30/04, 07/05, 14/05 e 21/05; 09/05, 16/05 e 23/05
das 14h00 às 15h00</t>
  </si>
  <si>
    <t>https://forms.office.com/Pages/DesignPageV2.aspx?subpage=design&amp;FormId=ihiBcxMdFkOMXBklOdSA1OE41q1dD_lPttguSwQAoWRUNlZQRkdUNENIU1dTNzZCMEFKS0VWOUw0QS4u&amp;Token=e1e7a5b790aa491ca9663982264cc40a</t>
  </si>
  <si>
    <t>5/04</t>
  </si>
  <si>
    <t>Tarsila Firmino e Conselheiro Renato Rainha</t>
  </si>
  <si>
    <t>https://forms.office.com/Pages/DesignPageV2.aspx?subpage=design&amp;FormId=ihiBcxMdFkOMXBklOdSA1OE41q1dD_lPttguSwQAoWRUMjBSUlFKUlFYTFIyWkVHNVVNMVlLOU9aWC4u&amp;Token=7682f89d2307454f818b43a86aef7288</t>
  </si>
  <si>
    <t>https://forms.office.com/Pages/DesignPageV2.aspx?subpage=design&amp;FormId=ihiBcxMdFkOMXBklOdSA1OE41q1dD_lPttguSwQAoWRUQVM0WkJMMkRDSjVCVUc1WUVEVko3SUlWUS4u&amp;Token=36b41efe8bf6408485d258031c294dee</t>
  </si>
  <si>
    <t>Revisão e apoio: 08, 15, 22 e 29 de abril de 2024; 
Discussões: 12, 19 e 26 de abril, 03 de maio de 2024.</t>
  </si>
  <si>
    <t>Jessyca Rodrigues</t>
  </si>
  <si>
    <t>PDPAS – Como planejar, executar e prestar contas dos recursos? - T1</t>
  </si>
  <si>
    <t>9 e 10/04/2024</t>
  </si>
  <si>
    <t>12/04</t>
  </si>
  <si>
    <t>https://forms.office.com/Pages/DesignPageV2.aspx?subpage=design&amp;FormId=ihiBcxMdFkOMXBklOdSA1OE41q1dD_lPttguSwQAoWRUOEw5TDVCSUsyN1JSNlExQkZLRFI2RkxUMS4u&amp;Token=cb48325d4ba7401bac5f04ab123e2683</t>
  </si>
  <si>
    <t>https://forms.office.com/Pages/DesignPageV2.aspx?subpage=design&amp;FormId=ihiBcxMdFkOMXBklOdSA1OE41q1dD_lPttguSwQAoWRUQ1hGTlkwUlZJQjg1VUFNVDJUMVRBTDlPUy4u&amp;Token=0ff292838cc9491d8fc69c3ac389ab84</t>
  </si>
  <si>
    <t>Cássio Murilo</t>
  </si>
  <si>
    <t>08, a 10/05/2024</t>
  </si>
  <si>
    <t>Fernanda Viana</t>
  </si>
  <si>
    <t>https://forms.office.com/Pages/DesignPageV2.aspx?subpage=design&amp;FormId=ihiBcxMdFkOMXBklOdSA1OE41q1dD_lPttguSwQAoWRUMlBKSDRDVDNSWUM5Q1VLOTVTT01WRkMxVy4u&amp;Token=003003a255d9476180e74fee39311e1e</t>
  </si>
  <si>
    <t>Alexandre Herculano; Willian Vitoriano; Frederico NArdotto</t>
  </si>
  <si>
    <t>https://forms.office.com/Pages/DesignPageV2.aspx?subpage=design&amp;FormId=ihiBcxMdFkOMXBklOdSA1OE41q1dD_lPttguSwQAoWRUQ1kzT1AzWjdNM1U0OUlHMjU1NU5TRElZVy4u&amp;Token=279d252e4aa947c0b9d199c9a7fdd6c8</t>
  </si>
  <si>
    <t>PDPAS – Como planejar, executar e prestar contas dos recursos? - T2</t>
  </si>
  <si>
    <t>15 e 16/05</t>
  </si>
  <si>
    <t>https://forms.office.com/Pages/DesignPageV2.aspx?subpage=design&amp;FormId=ihiBcxMdFkOMXBklOdSA1OE41q1dD_lPttguSwQAoWRUQkg2WjFMNUdaNjRCSFlQVkZLMDJFWDBaWi4u&amp;Token=c9b9c72641de4af3b97a9783ea9b92a2</t>
  </si>
  <si>
    <t>27, 28, 29/05; 03 e 04/06</t>
  </si>
  <si>
    <t>28/05; 04, 06, 11 e 13/06/2024</t>
  </si>
  <si>
    <t>Rômulo Alvim; Luis Carvalho</t>
  </si>
  <si>
    <t>https://forms.office.com/Pages/DesignPageV2.aspx?subpage=design&amp;FormId=ihiBcxMdFkOMXBklOdSA1OE41q1dD_lPttguSwQAoWRUMFpaMjVNNDNPQlZLSlE3QjNWU1pKQkVZTi4u&amp;Token=1420203461634c42b908a0eedd310a21</t>
  </si>
  <si>
    <t>https://forms.office.com/Pages/Designsubpage=design&amp;FormId=ihiBcxMdFkOMXBklOdSA1OE41q1dD_lPttguSwQAoWRUQ0RDVFFLMVRNUkhDUVUzTE1ZS0owODhORy4u&amp;Token=048f814776134381ac3d24efd2625827</t>
  </si>
  <si>
    <t>https://forms.office.com/Pages/DesignPageV2.aspx?subpage=design&amp;FormId=ihiBcxMdFkOMXBklOdSA1OE41q1dD_lPttguSwQAoWRUQllNTks1WVlSVUpXVDVMOVRHWUo2SE1USy4u&amp;Token=981870a7c4a54ddaac3e5ef50f785701</t>
  </si>
  <si>
    <t>PDPAS – Como planejar, executar e prestar contas dos recursos? - T3</t>
  </si>
  <si>
    <t>5 e 6/6</t>
  </si>
  <si>
    <t>07/06/2024</t>
  </si>
  <si>
    <t>https://forms.office.com/Pages/DesignPageV2.aspx?subpage=design&amp;FormId=ihiBcxMdFkOMXBklOdSA1OE41q1dD_lPttguSwQAoWRUMlA2Q1JDV1RDQUtHSUJSQzdTOUU4MUdPRC4u&amp;Token=19a30ddb16534349b3179015a58dfef1</t>
  </si>
  <si>
    <t>https://forms.office.com/Pages/DesignPageV2.aspx?subpage=design&amp;FormId=ihiBcxMdFkOMXBklOdSA1OE41q1dD_lPttguSwQAoWRUNE1SR0RYSVpPRkpKODFVSk00Wkc1M1NEQi4u&amp;Token=76baf275566b47c8ae73ef1f43db0068</t>
  </si>
  <si>
    <t xml:space="preserve">Apresentação do SQB - Sistema de Quantificação de Benefícios </t>
  </si>
  <si>
    <t>https://forms.office.com/Pages/DesignPageV2.aspx?subpage=design&amp;FormId=ihiBcxMdFkOMXBklOdSA1GaVL4WEvNtIiXBS4VMxdnJUMzBOMDVKUks0TENIUjRGV0U4WVhTTkZIMC4u&amp;Token=b31d844d2cb44945a304953af58f9872</t>
  </si>
  <si>
    <t>2, 3 e 04/07/24</t>
  </si>
  <si>
    <t>Tarsila Firmino; Adriana Magalhães; Luciana Alvim</t>
  </si>
  <si>
    <t>17. 18 e 19/06; 03/07/2024</t>
  </si>
  <si>
    <t>PDPAS – Como planejar, executar e prestar contas dos recursos? - T4</t>
  </si>
  <si>
    <t>17 e 18 / 07</t>
  </si>
  <si>
    <t>https://forms.office.com/Pages/DesignPageV2.aspx?subpage=design&amp;FormId=ihiBcxMdFkOMXBklOdSA1OE41q1dD_lPttguSwQAoWRUMENWNFJORUdMSVNNUThQOU9TM1YySTdFUC4u&amp;Token=8cdd63cb735e49a7b5db90d13e06e508</t>
  </si>
  <si>
    <t>29 e 31/07; 02/08/2024</t>
  </si>
  <si>
    <t>Fernanda Viana; Túllio Herbeth</t>
  </si>
  <si>
    <t>https://forms.office.com/Pages/DesignPageV2.aspx?subpage=design&amp;FormId=ihiBcxMdFkOMXBklOdSA1GaVL4WEvNtIiXBS4VMxdnJUNVVDM045TE9DWEQ3Wk43Mzg1QkZHVVc1Ti4u&amp;Token=ac884c78bb5f4734a1af5f555ed7a741</t>
  </si>
  <si>
    <t>29, 30, 31/07</t>
  </si>
  <si>
    <t>31/07 e 01/08</t>
  </si>
  <si>
    <t>Idalécio José; Rodrigo Vilas Boas</t>
  </si>
  <si>
    <t>https://forms.office.com/Pages/DesignPageV2.aspx?subpage=design&amp;FormId=ihiBcxMdFkOMXBklOdSA1HmixYPtZ1xLu3moYfQcI19UNEE0MDhOSUNKNDFIU0U2UkFQR0I3RUhHMi4u&amp;Token=9016b5bdca7545688dec28b23808d803</t>
  </si>
  <si>
    <t>Silvia Damasceno; Marcelo Rebelo</t>
  </si>
  <si>
    <t>Danilo; Gabriel Heller</t>
  </si>
  <si>
    <t>PDPAS – Como planejar, executar e prestar contas dos recursos? - T5</t>
  </si>
  <si>
    <t>21 e 22/08</t>
  </si>
  <si>
    <t>Leandro Oliveira</t>
  </si>
  <si>
    <t>https://forms.office.com/Pages/DesignPageV2.aspx?subpage=design&amp;FormId=ihiBcxMdFkOMXBklOdSA1GaVL4WEvNtIiXBS4VMxdnJUNkk5Vk9VVzFBTjVCQlJVQ0c0MzNNUlM5VS4u&amp;Token=ac2b33fafe474128980528f996b010d7</t>
  </si>
  <si>
    <t>Tarsila Firmino e Adbiel</t>
  </si>
  <si>
    <t xml:space="preserve">10 a 12/09/2024 </t>
  </si>
  <si>
    <t>Fernando de Assis; Vladimir Santos</t>
  </si>
  <si>
    <t>PDPAS – Como planejar, executar e prestar contas dos recursos? - T6</t>
  </si>
  <si>
    <t>11 e 12/09</t>
  </si>
  <si>
    <t>tarsila</t>
  </si>
  <si>
    <t>Josdeyvi Russi</t>
  </si>
  <si>
    <t>https://forms.office.com/Pages/DesignPageV2.aspx?subpage=design&amp;FormId=ihiBcxMdFkOMXBklOdSA1GW1b18aTnBApgapdOCAttRUQ01ONUlXNFlOUlg4NzhCUVhCUDE1WDRHTC4u&amp;Token=82621bd16517431ead334c50515ab2cf</t>
  </si>
  <si>
    <t>Oficina de acesso a conteúdos digitais do TCDF - T1</t>
  </si>
  <si>
    <t>Sílvia Regina e Leandro Silva</t>
  </si>
  <si>
    <t>Marcos Garcia</t>
  </si>
  <si>
    <t>https://forms.office.com/Pages/DesignPageV2.aspx?subpage=design&amp;FormId=ihiBcxMdFkOMXBklOdSA1OE41q1dD_lPttguSwQAoWRUOFg0QTlWVDhFVEJYNlNZNllMQkNLUkpXTy4u&amp;Token=33915d78fc7f43718bd119b0b0253084</t>
  </si>
  <si>
    <t>https://forms.office.com/Pages/DesignPageV2.aspx?subpage=design&amp;FormId=ihiBcxMdFkOMXBklOdSA1GaVL4WEvNtIiXBS4VMxdnJURElFSEg5SVhKM1VPQkg0NElLODFUSEZOWS4u&amp;Token=58004391a66a4a508cf955d0925c7422</t>
  </si>
  <si>
    <t>https://forms.office.com/Pages/DesignPageV2.aspx?subpage=design&amp;FormId=ihiBcxMdFkOMXBklOdSA1OE41q1dD_lPttguSwQAoWRUOTM5NFUyQUNYMjFPSzVYMkJFQVRFNVVSSS4u&amp;Token=4ca41bdb80504bdba2e234d12baecae4</t>
  </si>
  <si>
    <t>Daniel da Silva Grisóstomo</t>
  </si>
  <si>
    <t>07/10 a 25/10/2024</t>
  </si>
  <si>
    <t>8 a 11/10/2024</t>
  </si>
  <si>
    <t>Ludmyla MAchado Azevedo Dias Guimarães</t>
  </si>
  <si>
    <t>João Forni</t>
  </si>
  <si>
    <t>PDPAS – Como planejar, executar e prestar contas dos recursos? - T7</t>
  </si>
  <si>
    <t>16 e 17/10</t>
  </si>
  <si>
    <t>https://forms.office.com/Pages/DesignPageV2.aspx?subpage=design&amp;FormId=ihiBcxMdFkOMXBklOdSA1OE41q1dD_lPttguSwQAoWRUMVk5OUZSRFBQOEJDTzVFRThBMEdPVUI3QS4u&amp;Token=1c066aff6d0d438fa10c1cfcab2a1cca</t>
  </si>
  <si>
    <t>2024</t>
  </si>
  <si>
    <t>Juliana ALmeida</t>
  </si>
  <si>
    <t>Eugênio Mussak</t>
  </si>
  <si>
    <t>Elwys Presley</t>
  </si>
  <si>
    <t>https://forms.office.com/Pages/DesignPageV2.aspx?subpage=design&amp;FormId=ihiBcxMdFkOMXBklOdSA1OE41q1dD_lPttguSwQAoWRURFlKMFVSMzI1OEpJV1ZISlBBOUtDTzJXMS4u&amp;Token=e02130d8d5bc4b748336e3e6eee9ffd4</t>
  </si>
  <si>
    <t>PDPAS – Programa de descentralização progressiva de
ações de saúde</t>
  </si>
  <si>
    <t>6 e 7/11</t>
  </si>
  <si>
    <t>Silvia e Wibys</t>
  </si>
  <si>
    <t>18, 19 e 21/11</t>
  </si>
  <si>
    <t>26, 27/11; 02, 03/12</t>
  </si>
  <si>
    <t>O Governo é da Nossa Conta - T1</t>
  </si>
  <si>
    <t>29/11/2024</t>
  </si>
  <si>
    <t>Fernanda Viana; Luiz Tenório; Ellen Verri; Joabe</t>
  </si>
  <si>
    <t xml:space="preserve">Leonardo Neri </t>
  </si>
  <si>
    <t>https://forms.office.com/Pages/DesignPageV2.aspx?subpage=design&amp;FormId=ihiBcxMdFkOMXBklOdSA1GaVL4WEvNtIiXBS4VMxdnJUN0hYSkpHM1hQVENWS1BRRUE4VU8wVVE2TC4u&amp;Token=01a15fb64327428e855d77056f6c1dae</t>
  </si>
  <si>
    <t>Rafael Pimenta</t>
  </si>
  <si>
    <t>https://forms.office.com/Pages/DesignPageV2.aspx?subpage=design&amp;FormId=ihiBcxMdFkOMXBklOdSA1GaVL4WEvNtIiXBS4VMxdnJUQjBTOUJCVDRUN0hJV1ZUT01UNUtMNzNYTS4u&amp;Token=b35678148259402f9b90612afe4b8376</t>
  </si>
  <si>
    <t>https://forms.office.com/Pages/DesignPageV2.aspx?subpage=design&amp;FormId=ihiBcxMdFkOMXBklOdSA1GaVL4WEvNtIiXBS4VMxdnJUNVhYVkFXQUxFTzg2TFVXU01NOEkzVDNKRi4u&amp;Token=f492b556d13a4c22953de264bf52e614</t>
  </si>
  <si>
    <t xml:space="preserve">Análise e Avaliação de Políticas Públicas </t>
  </si>
  <si>
    <t xml:space="preserve">Contraditório e Defesa no Processo de Controle Externo </t>
  </si>
  <si>
    <t>https://forms.office.com/Pages/DesignPageV2.aspx?subpage=design&amp;FormId=ihiBcxMdFkOMXBklOdSA1GaVL4WEvNtIiXBS4VMxdnJUM1BCNDdNTE0wVE0xRFpKWUw5OUJNTjVFTC4u&amp;Token=20ad31c3b8934d1fa440fd9eefb12000</t>
  </si>
  <si>
    <t>https://forms.office.com/Pages/DesignPageV2.aspx?subpage=design&amp;FormId=ihiBcxMdFkOMXBklOdSA1CcSc_VjojVLkfynn-U9VX1UOUdEOFFaMFYyRjNWMlI4UDc0RU1CWUQyMC4u&amp;Token=02d7d51896ab41df9f44e6f1e209541a</t>
  </si>
  <si>
    <t>https://forms.office.com/Pages/DesignPageV2.aspx?subpage=design&amp;FormId=ihiBcxMdFkOMXBklOdSA1CcSc_VjojVLkfynn-U9VX1UQVVMUzBNMzhLN1ZUOEw0VUQ4OEZGTzg4Uy4u&amp;Token=adac151615cd4b43935bb76ea604c65b</t>
  </si>
  <si>
    <t>11 a 14/03; 18, 20 e 28/03; 2 a 4/04</t>
  </si>
  <si>
    <t>https://forms.office.com/Pages/DesignPageV2.aspx?subpage=design&amp;FormId=ihiBcxMdFkOMXBklOdSA1GaVL4WEvNtIiXBS4VMxdnJUMUNGM1pOWllJRE8xTFJJU1ZPWEY2WEpNNC4u&amp;Token=3ebef28a29424051ad5e8aeb8c603abb</t>
  </si>
  <si>
    <t> </t>
  </si>
  <si>
    <t>https://forms.office.com/Pages/DesignPageV2.aspx?subpage=design&amp;FormId=ihiBcxMdFkOMXBklOdSA1GaVL4WEvNtIiXBS4VMxdnJUMVc1MlhEU1hDM0hCMFhHQzc5TU1DUFQyRS4u&amp;Token=de99d707c0eb421eb4202ba7b73fab89</t>
  </si>
  <si>
    <t>Tarsila Firmino; Abdiel Andrade</t>
  </si>
  <si>
    <t>https://forms.office.com/Pages/DesignPageV2.aspx?subpage=design&amp;FormId=ihiBcxMdFkOMXBklOdSA1CcSc_VjojVLkfynn-U9VX1UQk9ETlVGRjI1UUVISDY2TUQ1MVBaNDIyQi4u&amp;Token=3ca10cff4ef143db8cd228847f754aec</t>
  </si>
  <si>
    <t>14604/2024</t>
  </si>
  <si>
    <t>Palestra "O que a LGPD tem a ver com o seu trabalho?"</t>
  </si>
  <si>
    <t>25/03/2025</t>
  </si>
  <si>
    <t>Josemary Dantas</t>
  </si>
  <si>
    <t>https://forms.office.com/Pages/DesignPageV2.aspx?subpage=design&amp;FormId=ihiBcxMdFkOMXBklOdSA1CcSc_VjojVLkfynn-U9VX1URDZQN1BGMUs4RUs0OUNQUVEwQlU0SVJBVi4u&amp;Token=10b48b671f55407da798d9be050968f0</t>
  </si>
  <si>
    <t>https://forms.office.com/Pages/DesignPageV2.aspx?subpage=design&amp;FormId=ihiBcxMdFkOMXBklOdSA1GaVL4WEvNtIiXBS4VMxdnJURFRDUUZBQTM5NlU4N1BNTkxJWVJTM0xHMS4u&amp;Token=18711aaa35724fb8bf435525c1478e36</t>
  </si>
  <si>
    <t>de abril a agosto de 2025</t>
  </si>
  <si>
    <t>1798/2025</t>
  </si>
  <si>
    <t>LGPD: legislação, boas práticas e implementação</t>
  </si>
  <si>
    <t>7, 8, 9 e 11/04</t>
  </si>
  <si>
    <t>Cássio Costa Filho e Josemary Dantas</t>
  </si>
  <si>
    <t>Avaliação de Reação - Atendimento Humanizado ao Público da Área da Saúde</t>
  </si>
  <si>
    <t>Avaliação de Reação - Gestão de Contratos na Lei 14.133/2021 - Turma 1</t>
  </si>
  <si>
    <t>https://forms.office.com/Pages/DesignPageV2.aspx?subpage=design&amp;FormId=ihiBcxMdFkOMXBklOdSA1GaVL4WEvNtIiXBS4VMxdnJUNFY1STM3WDJDUDk5RVpLVzlCTTVJRllPQS4u&amp;Token=538a79034a0f408aa36257feab555ff9</t>
  </si>
  <si>
    <t>https://forms.office.com/Pages/DesignPageV2.aspx?subpage=design&amp;FormId=ihiBcxMdFkOMXBklOdSA1CcSc_VjojVLkfynn-U9VX1URVo1VEFZNDM5VzlLSTBWUVo2MktWMUE1TS4u&amp;Token=95d02b925fde4371896883b89adfab45</t>
  </si>
  <si>
    <t>Isac Pamplona, Valéria Cristina, Gabriel Heller e Cinthia Thomazi</t>
  </si>
  <si>
    <t>Kelly</t>
  </si>
  <si>
    <t>https://forms.office.com/Pages/DesignPageV2.aspx?subpage=design&amp;FormId=ihiBcxMdFkOMXBklOdSA1GaVL4WEvNtIiXBS4VMxdnJUQkM5T0hGRTBQOUxIOVkzMlFaM0YyTDhDQi4u&amp;Token=2152028c39d242688cd9325063c27e9c</t>
  </si>
  <si>
    <t>2109/2025 e 2736/2025</t>
  </si>
  <si>
    <t>https://forms.office.com/Pages/DesignPageV2.aspx?subpage=design&amp;FormId=ihiBcxMdFkOMXBklOdSA1GaVL4WEvNtIiXBS4VMxdnJUM09EVTQ5UkM4Nzk5RUNGUzY5M09PTDU0US4u&amp;Token=18665b2afc494cd9862b25d5d4187043</t>
  </si>
  <si>
    <t>https://forms.office.com/Pages/DesignPageV2.aspx?subpage=design&amp;FormId=ihiBcxMdFkOMXBklOdSA1GaVL4WEvNtIiXBS4VMxdnJUQ1U3NE9XUFJIMjNNU0NSVVk4Q1lLV0E3SC4u&amp;Token=aecbfa46094f430480254f0381019544</t>
  </si>
  <si>
    <t>https://forms.office.com/Pages/DesignPageV2.aspx?subpage=design&amp;FormId=ihiBcxMdFkOMXBklOdSA1GaVL4WEvNtIiXBS4VMxdnJUNFJUVFUxRDZMSTdMSjc4TzZMNzU1WktEVC4u&amp;Token=1707b07b276c4bcab2d0b8c1fa3209f1</t>
  </si>
  <si>
    <t>Cinthia Thomazi e Tatianne Hatem</t>
  </si>
  <si>
    <t>https://forms.office.com/Pages/DesignPageV2.aspx?subpage=design&amp;FormId=ihiBcxMdFkOMXBklOdSA1CcSc_VjojVLkfynn-U9VX1UN1pUWjM1OEdGU0o3WFRZOFJQVjRPTUIyOS4u&amp;Token=ba030ad99f3d4901a409d30c127306ae</t>
  </si>
  <si>
    <t>28, 29 e 30/05; 03/06</t>
  </si>
  <si>
    <t xml:space="preserve">Análise e Avaliação de Políticas Públicas - mentoria </t>
  </si>
  <si>
    <t>https://forms.office.com/Pages/DesignPageV2.aspx?subpage=design&amp;token=0b90bd6e28054571a5562afe19031940&amp;id=ihiBcxMdFkOMXBklOdSA1CcSc_VjojVLkfynn-U9VX1UNjRZUk5RNkVPWjlHM1haM1JPVE9XRERVUC4u</t>
  </si>
  <si>
    <t>2, 3, 5, 9, 10 e 12/06/2025</t>
  </si>
  <si>
    <t>Elci Pessoa</t>
  </si>
  <si>
    <t>4 de junho</t>
  </si>
  <si>
    <t>Tcendo o Futuro - E.C. 113 Norte</t>
  </si>
  <si>
    <t>05/06/2025</t>
  </si>
  <si>
    <t>Tcendo o Futuro - E.C. 106 Norte</t>
  </si>
  <si>
    <t>06/06/2025</t>
  </si>
  <si>
    <t>https://forms.office.com/Pages/DesignPageV2.aspx?subpage=design&amp;FormId=ihiBcxMdFkOMXBklOdSA1GaVL4WEvNtIiXBS4VMxdnJUMVpFTUZFTEhBQ0lOQUVOVk9SQldVWUlOQi4u&amp;Token=75614f8da4d54a9daf306785b0d1a933</t>
  </si>
  <si>
    <t>9 e 10/06/2025</t>
  </si>
  <si>
    <t>Denise Guirra; Luiz Tenório; Norton Ferraz</t>
  </si>
  <si>
    <t>https://forms.office.com/Pages/DesignPageV2.aspx?subpage=design&amp;FormId=ihiBcxMdFkOMXBklOdSA1GaVL4WEvNtIiXBS4VMxdnJUQzcwQk1IRUtJR1dMN1ZTR0tENTFXNVlUMS4u&amp;Token=b84a431cc2384372907941a913b838fb</t>
  </si>
  <si>
    <t>Tcendo o Futuro - E.C. 708 Norte</t>
  </si>
  <si>
    <t>12/06/2025</t>
  </si>
  <si>
    <t>Tcendo o Futuro - E.C. 114 Sul</t>
  </si>
  <si>
    <t>13/06/2025</t>
  </si>
  <si>
    <t>https://forms.office.com/Pages/DesignPageV2.aspx?subpage=design&amp;token=1c030107237e48bcbbc25cb90ccded42&amp;id=ihiBcxMdFkOMXBklOdSA1CcSc_VjojVLkfynn-U9VX1UMEcwODhZSkxZT1IwUUhUWVVDN1E0TUtHTi4u</t>
  </si>
  <si>
    <t>https://forms.office.com/Pages/DesignPageV2.aspx?subpage=design&amp;FormId=ihiBcxMdFkOMXBklOdSA1GaVL4WEvNtIiXBS4VMxdnJUNEc3NTI2WU8wMk44NVFPMVM5NEdINVRITS4u&amp;Token=1ed57ca28b134fa4aaf29c0c0ce7cc0b</t>
  </si>
  <si>
    <t xml:space="preserve">24 e 26/06; 01 e 03/07 </t>
  </si>
  <si>
    <t>https://forms.office.com/Pages/DesignPageV2.aspx?subpage=design&amp;FormId=ihiBcxMdFkOMXBklOdSA1CcSc_VjojVLkfynn-U9VX1UMFFFVDUxMERPT0w2NURNSldKTTFFVzJQVy4u&amp;Token=131e5e33251045169ef0781e997a205f</t>
  </si>
  <si>
    <t>Gustavo Carvalho; Vilcemar Filho</t>
  </si>
  <si>
    <t>30/06 e 04/07/2025</t>
  </si>
  <si>
    <t>07 a 09/04</t>
  </si>
  <si>
    <t>https://forms.office.com/Pages/DesignPageV2.aspx?subpage=design&amp;FormId=ihiBcxMdFkOMXBklOdSA1GaVL4WEvNtIiXBS4VMxdnJUOUdKMkdPQVQ1NlgyRjdPMEs0RUZLWTM0WS4u&amp;Token=e7113977ffbe4ed5a3dbd44345a26ef9</t>
  </si>
  <si>
    <t>Indio Artiaga; Leonardo de Melo</t>
  </si>
  <si>
    <t>7, 8, 9, 14 e 15/10</t>
  </si>
  <si>
    <t>Rafael Martins</t>
  </si>
  <si>
    <t>Silvia Damasceno; Wibys Pereira</t>
  </si>
  <si>
    <t>https://forms.cloud.microsoft/Pages/DesignPageV2.aspx?subpage=design&amp;FormId=ihiBcxMdFkOMXBklOdSA1GaVL4WEvNtIiXBS4VMxdnJUMDZQQzQ4Mkg2UE1CMjUzVDMzQVJNRTJJTC4u&amp;Token=06a4bd53a772435d804faeafeb12de1d</t>
  </si>
  <si>
    <t>https://forms.office.com/Pages/DesignPageV2.aspx?subpage=design&amp;FormId=ihiBcxMdFkOMXBklOdSA1GaVL4WEvNtIiXBS4VMxdnJUOFc5VVk3Sk9VN0NWUFMxOVhCOVFLVjYxQi4u&amp;Token=6fcde947b0d04b74a42d5fd3a78596e4</t>
  </si>
  <si>
    <t>31/07 e 01/08/2025</t>
  </si>
  <si>
    <t>https://forms.office.com/Pages/DesignPageV2.aspx?subpage=design&amp;FormId=ihiBcxMdFkOMXBklOdSA1CcSc_VjojVLkfynn-U9VX1URDhYWVFDMjNDQlI1Wjg2M0dVVzNONkpURy4u&amp;Token=dc553f6a928d4b5bb3148c1d1f8c0e87</t>
  </si>
  <si>
    <t>4, 6, 8, 11, 13, 15, 18, 20, 22, 25, 27, 29/08/2025</t>
  </si>
  <si>
    <t>5, 6, 7, 19, 20/08/2025; 01, 02, 03 e 04/09/2025</t>
  </si>
  <si>
    <t>9203/25</t>
  </si>
  <si>
    <t>Valéria Feitoza; Gabriel Heller; Cinthia Thomazi; isac Pamplona</t>
  </si>
  <si>
    <t>Gabriel Heller, Valéria Feitoza, Cinthia Thomazi e Isac Pamplona._x000D_</t>
  </si>
  <si>
    <t>8582/25</t>
  </si>
  <si>
    <t xml:space="preserve">Homenagem ao Dia dos Estagiários </t>
  </si>
  <si>
    <t>Luiz Tenório, Fernanda Viana, Diogo dos Santos e Everton Lima</t>
  </si>
  <si>
    <t>Oficina Temática - SEMAT: Falhas recorrentes em Contratações
de TI.</t>
  </si>
  <si>
    <t xml:space="preserve">Oficina SEMAT - Falhas recorrentes em contratações de Obras - Legislação e aspectos práticos </t>
  </si>
  <si>
    <t>25, 26/08; 01, 05/09/2025</t>
  </si>
  <si>
    <t>Cinthia Tomazi; Daniel Oliveira</t>
  </si>
  <si>
    <t xml:space="preserve">Boas Práticas em Gestão para Administrações Regionais </t>
  </si>
  <si>
    <t>Polyana Mota Resende; Kelly Cristina Domingos</t>
  </si>
  <si>
    <t>8 e 9/09/2025</t>
  </si>
  <si>
    <t>22 a 26/09/25</t>
  </si>
  <si>
    <t>24, 25, 30/09; 01/10</t>
  </si>
  <si>
    <t>02 e 03/10; 09 e 10/10; 14, 15, 16 e 17/10</t>
  </si>
  <si>
    <t>Paulo Daltro; Karine Caroline; Denise Duarte</t>
  </si>
  <si>
    <t>2, 3 e 6/10/2025</t>
  </si>
  <si>
    <t>8 a 10/10/2025</t>
  </si>
  <si>
    <t>https://forms.office.com/Pages/DesignPageV2.aspx?subpage=design&amp;FormId=ihiBcxMdFkOMXBklOdSA1CcSc_VjojVLkfynn-U9VX1UNzlJTDBHNlBQMDAyQUhHNEswMDBIM0szTy4u&amp;Token=27dd2b3ac62c45bf8df9415ea4dcc990</t>
  </si>
  <si>
    <t>11172/2025</t>
  </si>
  <si>
    <t>Apresentação do Grupo G7</t>
  </si>
  <si>
    <t>16/10/2025</t>
  </si>
  <si>
    <t>Grupo Teatral G7</t>
  </si>
  <si>
    <t>10932/25</t>
  </si>
  <si>
    <t>20 a 24/10/25</t>
  </si>
  <si>
    <t xml:space="preserve">Tcendo o Futuro </t>
  </si>
  <si>
    <t>Palestras Gartner - Utilização de ferramentas e tecnologias para instrutores da Escon</t>
  </si>
  <si>
    <t>fevereiro/26</t>
  </si>
  <si>
    <t>Gartner</t>
  </si>
  <si>
    <t>Cinthia; Adriana Portugal; Fernanda Viana; Denise Duarte;  Priscila Nolasco</t>
  </si>
  <si>
    <t>Valéria Feitoza, Cinthia Thomazi e Isac Pamplona.</t>
  </si>
  <si>
    <t>10a 14/11/2025</t>
  </si>
  <si>
    <t>14/11/2025</t>
  </si>
  <si>
    <t>12868/2025</t>
  </si>
  <si>
    <t>Curso “Comunicação Estratégica para o Controle Externo”</t>
  </si>
  <si>
    <t>Nelson Inocêncio, Maria Luiza Júnior, Fernanda Cordeiro, Fabrício Rodrigues e Denise Diuarte Guirra Kuhlmann</t>
  </si>
  <si>
    <t>Davi Assunção; Indio Artiaga</t>
  </si>
  <si>
    <t>Capacitação para Jurisdicionados e Cidadãos</t>
  </si>
  <si>
    <t>24/11 e 28/11</t>
  </si>
  <si>
    <t>Cássio Murilo Costa Filho</t>
  </si>
  <si>
    <t>15651/24</t>
  </si>
  <si>
    <t>https://forms.office.com/Pages/DesignPageV2.aspx?subpage=design&amp;FormId=ihiBcxMdFkOMXBklOdSA1CcSc_VjojVLkfynn-U9VX1UMEhSTTNMUDFNREsxTVlCRVlIMzE0WlEyUC4u&amp;Token=50e8c20028f0439c9a233cc85f0f3e54</t>
  </si>
  <si>
    <t>26 a 30/01; 02 a 05/02; 09 e 10/02</t>
  </si>
  <si>
    <t xml:space="preserve">25, 26 e 27 de fevereiro </t>
  </si>
  <si>
    <t>Leonardo José Neri</t>
  </si>
  <si>
    <t>16, 17, 19 e 20 de março</t>
  </si>
  <si>
    <t>17 e 19 de março</t>
  </si>
  <si>
    <t>4, 5,6 , 11 e 12 de maio</t>
  </si>
  <si>
    <t>23/01/2027</t>
  </si>
  <si>
    <t>8/5/26</t>
  </si>
  <si>
    <t>9, 10, 11 e 12/03/2026, das 14h Às 18h – Presencial 
16, 17, 18 e 19/03/2026, das 14h às 18h – EaD síncrono</t>
  </si>
  <si>
    <t>13068/23</t>
  </si>
  <si>
    <t>12978/2023</t>
  </si>
  <si>
    <t>Palestra “Já cansei de dizer, a pessoa é que não entende. O desafio da comunicação”</t>
  </si>
  <si>
    <t>23/10/2023</t>
  </si>
  <si>
    <t>13052/23</t>
  </si>
  <si>
    <t>“Expressões Silenciosas: desvendando os segredos da comunicação não verbal”</t>
  </si>
  <si>
    <t>26/10/2023</t>
  </si>
  <si>
    <t>Kainã Ribeiro Nogueira</t>
  </si>
  <si>
    <t>Oficina de elaboração de ementas jurisprudenciais</t>
  </si>
  <si>
    <t>05/11/2024</t>
  </si>
  <si>
    <t>Mentoria em oratória (PDG)</t>
  </si>
  <si>
    <t>Augusto Uchoa</t>
  </si>
  <si>
    <t>Ciclo de Capacitação para gestores de Contrato – SES/IGESDF T3</t>
  </si>
  <si>
    <t>Ciclo de Capacitação para gestores de Contrato – SES/IGESDF T4</t>
  </si>
  <si>
    <t>Ciclo de Capacitação para gestores de Contrato – SES/IGESDF T5</t>
  </si>
  <si>
    <t>Ciclo de Capacitação para gestores de Contrato – SES/IGESDF T6</t>
  </si>
  <si>
    <t>Ciclo de Capacitação para gestores de Contrato – SES/IGESDF T7</t>
  </si>
  <si>
    <t>Ciclo de Capacitação para gestores de Contrato – SES/IGESDF T8</t>
  </si>
  <si>
    <t>Ciclo de Capacitação para gestores de Contrato – SES/IGESDF T9</t>
  </si>
  <si>
    <t>Ciclo de Capacitação para gestores de Contrato – SES/IGESDF T10</t>
  </si>
  <si>
    <t>Guia Conselheiros Escolares</t>
  </si>
  <si>
    <t>Lançamento do Guia</t>
  </si>
  <si>
    <t>Palestras Gartner - Dados em Inteligência</t>
  </si>
  <si>
    <t>Sirac - Indícios - T3</t>
  </si>
  <si>
    <t>Sirac - Indícios - T4</t>
  </si>
  <si>
    <t>Sirac - Indícios - T5</t>
  </si>
  <si>
    <t>Sirac - Indícios - T6</t>
  </si>
  <si>
    <t>O Governo é da Nossa Conta - T4</t>
  </si>
  <si>
    <t>3976/2025</t>
  </si>
  <si>
    <t>8 a 11/09/2025</t>
  </si>
  <si>
    <t>6576/2026</t>
  </si>
  <si>
    <t>Sirac - Indícios - T7</t>
  </si>
  <si>
    <t>3502/2026</t>
  </si>
  <si>
    <t>3ª MAratona Temática em Saúde - Boas Práticas</t>
  </si>
  <si>
    <t>3669/2026</t>
  </si>
  <si>
    <t>Mentoria em Engenharia de Prompt</t>
  </si>
  <si>
    <t>3685/2026</t>
  </si>
  <si>
    <t>Curso de formação para gestores e fiscais de Contrato nas unidades hospitalares - T2</t>
  </si>
  <si>
    <t>Curso de formação para gestores e fiscais de Contrato nas unidades hospitalares - T3</t>
  </si>
  <si>
    <t>Profª Paula Cobucci</t>
  </si>
  <si>
    <t>Profº Rita (SENADO)</t>
  </si>
  <si>
    <t>Zênite Informação e Consultoria</t>
  </si>
  <si>
    <t>João Luiz Povoa</t>
  </si>
  <si>
    <t>JOAO GUILHERME LIMA CANDIDO;CASSIO MURILO ALVES COSTA FILHO;RAISSA RODRIGUES FREIRE;RODRIGO VILAS BOAS LICURSI</t>
  </si>
  <si>
    <t>ANTONIO RENATO ALVES RAINHA;CARLOS ALBERTO LEITE COUTINHO FILHO;DANIEL SOARES GODOI GOMES DE OLIVEIRA;Gabriel Heller;HUGO TOMAZ NETO MORAES;INDIO ARTIAGA DO BRASIL RABELO;JOSDEYVI MAGALHAES RUSSI;LUIZ GENEDIO MENDES JORGE;MARCOS FELIPE PINHEIRO LIMA;MARIA DO CARMO LIMA DE VASCONCELOS;ROGERIO RIBEIRO</t>
  </si>
  <si>
    <t>Agnaldo Moreira Marques; DELSO FERREIRA DA SILVA JUNIOR; EMILIO VINHADELLI PAPADOPOLIS; Henrique Mattei ;LUCIENE DE FATIMA CARVALHO TEODORO; Paulo Alves Honorato; ROMULO MIRANDA ALVIM; SERGIO ARAUJO DE AMORIM LOPES</t>
  </si>
  <si>
    <t>Coffee Talk PDG</t>
  </si>
  <si>
    <t>Isac Pamplona; Valéria Cristina; Gabriel Heller; Cinthia Thomazi</t>
  </si>
  <si>
    <t>Adriana Portugal</t>
  </si>
  <si>
    <t>Cinthia Thais de Carvalho Luz Thomazi; Daniel Oliveira</t>
  </si>
  <si>
    <t>DASHBOARD DE CURSOS REALIZADOS — 2025</t>
  </si>
  <si>
    <t>TOTAL DE CURSOS REALIZADOS</t>
  </si>
  <si>
    <t>TOTAL DE PARTICIPANTES</t>
  </si>
  <si>
    <t>CURSOS POR PÚBLICO-ALVO</t>
  </si>
  <si>
    <t>Qtd. Cursos</t>
  </si>
  <si>
    <t>PARTICIPANTES POR PÚBLICO</t>
  </si>
  <si>
    <t>Público</t>
  </si>
  <si>
    <t>Qtd. Participantes</t>
  </si>
  <si>
    <t>Servidores (P. Servidores)</t>
  </si>
  <si>
    <t>Jurisdicionados (P. Jurisdicionados)</t>
  </si>
  <si>
    <t>Sociedade (P. Sociedade)</t>
  </si>
  <si>
    <t>TOTAL</t>
  </si>
  <si>
    <t>cursos</t>
  </si>
  <si>
    <t>participantes</t>
  </si>
  <si>
    <t>CURSOS POR PROGRAMA</t>
  </si>
  <si>
    <t>% do Total</t>
  </si>
  <si>
    <t>(Sem Programa)</t>
  </si>
  <si>
    <t>DASHBOARD DE CURSOS — 2026</t>
  </si>
  <si>
    <t>TOTAL DE CURSOS</t>
  </si>
  <si>
    <t>REALIZADOS</t>
  </si>
  <si>
    <t>A REALIZAR</t>
  </si>
  <si>
    <t>CURSOS REALIZADOS POR PÚBLICO-ALVO</t>
  </si>
  <si>
    <t>PARTICIPANTES POR PÚBLICO (REALIZADOS)</t>
  </si>
  <si>
    <t>CURSOS POR PROGRAMA (TODOS OS STATUS)</t>
  </si>
  <si>
    <t>Realizados</t>
  </si>
  <si>
    <t>A Realizar</t>
  </si>
  <si>
    <t>Total</t>
  </si>
  <si>
    <t>Override Aula (h)</t>
  </si>
  <si>
    <t>Override Material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</si>
</sst>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164" formatCode="#,##0.0"/>
    <numFmt numFmtId="165" formatCode="_-[$R$-416]\ * #,##0.00_-;\-[$R$-416]\ * #,##0.00_-;_-[$R$-416]\ * &quot;-&quot;??_-;_-@_-"/>
    <numFmt numFmtId="166" formatCode="dd\/mm\/yyyy"/>
    <numFmt numFmtId="167" formatCode="0.0"/>
    <numFmt numFmtId="168" formatCode="yyyy"/>
    <numFmt numFmtId="169" formatCode="[$R$ -416]#,##0.00"/>
    <numFmt numFmtId="170" formatCode="0.0%"/>
  </numFmts>
  <fonts count="6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8"/>
      <color theme="1"/>
      <name val="Amasis MT Pro"/>
    </font>
    <font>
      <sz val="11"/>
      <color rgb="FF242424"/>
      <name val="Aptos Narrow"/>
      <charset val="1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FF"/>
      <name val="Calibri"/>
      <scheme val="minor"/>
    </font>
    <font>
      <b/>
      <sz val="14"/>
      <color theme="1"/>
      <name val="Calibri"/>
      <scheme val="minor"/>
    </font>
    <font>
      <i/>
      <sz val="10"/>
      <color rgb="FF666666"/>
      <name val="Calibri"/>
      <scheme val="minor"/>
    </font>
    <font>
      <b/>
      <sz val="11"/>
      <color rgb="FFFFFFFF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&quot;Trebuchet MS&quot;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Docs-Calibri"/>
    </font>
    <font>
      <sz val="11"/>
      <color rgb="FF444444"/>
      <name val="Calibri"/>
      <family val="2"/>
    </font>
    <font>
      <b/>
      <sz val="11"/>
      <color rgb="FF000000"/>
      <name val="Calibri"/>
      <family val="2"/>
    </font>
    <font>
      <sz val="11"/>
      <color rgb="FFEA9999"/>
      <name val="Calibri"/>
      <family val="2"/>
    </font>
    <font>
      <sz val="11"/>
      <color rgb="FFF4CCCC"/>
      <name val="Calibri"/>
      <family val="2"/>
    </font>
    <font>
      <sz val="10"/>
      <color rgb="FF000000"/>
      <name val="Roboto"/>
    </font>
    <font>
      <sz val="11"/>
      <color rgb="FF5F6368"/>
      <name val="Google Sans"/>
    </font>
    <font>
      <sz val="11"/>
      <color rgb="FF188038"/>
      <name val="Google Sans"/>
    </font>
    <font>
      <sz val="8"/>
      <color rgb="FFFFFFFF"/>
      <name val="Roboto"/>
    </font>
    <font>
      <sz val="10"/>
      <color rgb="FF000000"/>
      <name val="Google Sans"/>
    </font>
    <font>
      <sz val="9"/>
      <color rgb="FF0F9D58"/>
      <name val="Roboto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242424"/>
      <name val="Calibri"/>
      <family val="2"/>
      <scheme val="minor"/>
    </font>
    <font>
      <u/>
      <sz val="11"/>
      <color rgb="FF1155CC"/>
      <name val="Calibri"/>
      <family val="2"/>
    </font>
    <font>
      <b/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Calibri"/>
      <scheme val="minor"/>
    </font>
    <font>
      <b/>
      <sz val="18"/>
      <color rgb="FFFFFFFF"/>
      <name val="Calibri"/>
      <scheme val="minor"/>
    </font>
    <font>
      <sz val="11"/>
      <color rgb="FF1F4E79"/>
      <name val="Calibri"/>
      <scheme val="minor"/>
    </font>
    <font>
      <b/>
      <sz val="36"/>
      <color rgb="FF1F4E79"/>
      <name val="Calibri"/>
      <scheme val="minor"/>
    </font>
    <font>
      <b/>
      <sz val="13"/>
      <color rgb="FFFFFFFF"/>
      <name val="Calibri"/>
      <scheme val="minor"/>
    </font>
    <font>
      <b/>
      <sz val="14"/>
      <color rgb="FF1F4E79"/>
      <name val="Calibri"/>
      <scheme val="minor"/>
    </font>
    <font>
      <b/>
      <sz val="14"/>
      <color rgb="FFFFFFFF"/>
      <name val="Calibri"/>
      <scheme val="minor"/>
    </font>
    <font>
      <b/>
      <sz val="12"/>
      <color rgb="FF1F4E79"/>
      <name val="Calibri"/>
      <scheme val="minor"/>
    </font>
    <font>
      <b/>
      <sz val="12"/>
      <color rgb="FFFFFFFF"/>
      <name val="Calibri"/>
      <scheme val="minor"/>
    </font>
    <font>
      <b/>
      <sz val="11"/>
      <color rgb="FF999999"/>
      <name val="Calibri"/>
      <scheme val="minor"/>
    </font>
    <font>
      <b/>
      <i/>
      <sz val="11"/>
      <color rgb="FF999999"/>
      <name val="Calibri"/>
      <scheme val="minor"/>
    </font>
    <font>
      <b/>
      <sz val="12"/>
      <color rgb="FF999999"/>
      <name val="Calibri"/>
      <scheme val="minor"/>
    </font>
    <font>
      <sz val="11"/>
      <color rgb="FF375623"/>
      <name val="Calibri"/>
      <scheme val="minor"/>
    </font>
    <font>
      <b/>
      <sz val="36"/>
      <color rgb="FF375623"/>
      <name val="Calibri"/>
      <scheme val="minor"/>
    </font>
    <font>
      <b/>
      <sz val="36"/>
      <color rgb="FF806000"/>
      <name val="Calibri"/>
      <scheme val="minor"/>
    </font>
    <font>
      <b/>
      <sz val="12"/>
      <color rgb="FFBF8F00"/>
      <name val="Calibri"/>
      <scheme val="minor"/>
    </font>
    <font>
      <sz val="11"/>
      <color rgb="FF999999"/>
      <name val="Calibri"/>
      <scheme val="minor"/>
    </font>
    <font>
      <i/>
      <sz val="11"/>
      <color rgb="FF999999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EFF1"/>
        <bgColor rgb="FFEBEF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</fills>
  <borders count="31">
    <border>
      <left/>
      <right/>
      <top/>
      <bottom/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2" tint="-0.14996795556505021"/>
      </left>
      <right style="thin">
        <color theme="2" tint="-0.14996795556505021"/>
      </right>
      <top/>
      <bottom style="thin">
        <color theme="2" tint="-0.1499679555650502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2" tint="-0.14996795556505021"/>
      </left>
      <right style="thin">
        <color theme="2" tint="-0.1499679555650502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 style="thin">
        <color theme="2" tint="-0.14996795556505021"/>
      </left>
      <right/>
      <top style="thin">
        <color theme="2" tint="-0.14996795556505021"/>
      </top>
      <bottom style="thin">
        <color theme="2" tint="-0.14996795556505021"/>
      </bottom>
      <diagonal/>
    </border>
    <border>
      <left/>
      <right style="thin">
        <color theme="2" tint="-0.14996795556505021"/>
      </right>
      <top style="thin">
        <color theme="2" tint="-0.14996795556505021"/>
      </top>
      <bottom/>
      <diagonal/>
    </border>
    <border>
      <left style="thin">
        <color theme="2" tint="-0.14996795556505021"/>
      </left>
      <right/>
      <top style="thin">
        <color theme="2" tint="-0.14996795556505021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22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2" applyNumberFormat="1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0" fillId="5" borderId="1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0" borderId="8" xfId="0" applyBorder="1"/>
    <xf numFmtId="0" fontId="9" fillId="9" borderId="11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9" xfId="0" applyBorder="1"/>
    <xf numFmtId="0" fontId="12" fillId="10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" fontId="12" fillId="11" borderId="1" xfId="0" applyNumberFormat="1" applyFont="1" applyFill="1" applyBorder="1" applyAlignment="1">
      <alignment horizontal="center" vertical="center"/>
    </xf>
    <xf numFmtId="165" fontId="12" fillId="11" borderId="1" xfId="2" applyNumberFormat="1" applyFont="1" applyFill="1" applyBorder="1" applyAlignment="1">
      <alignment vertical="center"/>
    </xf>
    <xf numFmtId="49" fontId="13" fillId="10" borderId="1" xfId="0" applyNumberFormat="1" applyFont="1" applyFill="1" applyBorder="1" applyAlignment="1">
      <alignment vertical="center"/>
    </xf>
    <xf numFmtId="165" fontId="12" fillId="10" borderId="1" xfId="2" applyNumberFormat="1" applyFont="1" applyFill="1" applyBorder="1" applyAlignment="1">
      <alignment vertical="center"/>
    </xf>
    <xf numFmtId="0" fontId="13" fillId="10" borderId="1" xfId="0" applyFont="1" applyFill="1" applyBorder="1" applyAlignment="1">
      <alignment horizontal="center" vertical="center"/>
    </xf>
    <xf numFmtId="49" fontId="13" fillId="11" borderId="1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49" fontId="12" fillId="10" borderId="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166" fontId="12" fillId="11" borderId="1" xfId="0" applyNumberFormat="1" applyFont="1" applyFill="1" applyBorder="1" applyAlignment="1">
      <alignment horizontal="center" vertical="center"/>
    </xf>
    <xf numFmtId="3" fontId="12" fillId="11" borderId="1" xfId="0" applyNumberFormat="1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wrapText="1"/>
    </xf>
    <xf numFmtId="0" fontId="12" fillId="11" borderId="1" xfId="0" applyFont="1" applyFill="1" applyBorder="1" applyAlignment="1">
      <alignment wrapText="1"/>
    </xf>
    <xf numFmtId="0" fontId="12" fillId="11" borderId="2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1" fontId="12" fillId="10" borderId="1" xfId="0" applyNumberFormat="1" applyFont="1" applyFill="1" applyBorder="1" applyAlignment="1">
      <alignment vertical="center"/>
    </xf>
    <xf numFmtId="14" fontId="12" fillId="10" borderId="1" xfId="0" applyNumberFormat="1" applyFont="1" applyFill="1" applyBorder="1" applyAlignment="1">
      <alignment horizontal="center" vertical="center"/>
    </xf>
    <xf numFmtId="165" fontId="12" fillId="11" borderId="1" xfId="2" applyNumberFormat="1" applyFont="1" applyFill="1" applyBorder="1" applyAlignment="1">
      <alignment horizontal="right" vertical="center"/>
    </xf>
    <xf numFmtId="165" fontId="12" fillId="10" borderId="1" xfId="2" applyNumberFormat="1" applyFont="1" applyFill="1" applyBorder="1" applyAlignment="1">
      <alignment horizontal="right" vertical="center"/>
    </xf>
    <xf numFmtId="22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center" wrapText="1"/>
    </xf>
    <xf numFmtId="49" fontId="13" fillId="11" borderId="1" xfId="0" applyNumberFormat="1" applyFont="1" applyFill="1" applyBorder="1" applyAlignment="1">
      <alignment horizontal="left" vertical="center"/>
    </xf>
    <xf numFmtId="14" fontId="12" fillId="10" borderId="1" xfId="0" applyNumberFormat="1" applyFont="1" applyFill="1" applyBorder="1"/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vertical="center"/>
    </xf>
    <xf numFmtId="0" fontId="12" fillId="10" borderId="1" xfId="0" applyFont="1" applyFill="1" applyBorder="1"/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vertical="center"/>
    </xf>
    <xf numFmtId="49" fontId="12" fillId="11" borderId="0" xfId="0" applyNumberFormat="1" applyFont="1" applyFill="1" applyAlignment="1">
      <alignment horizontal="center" vertical="center"/>
    </xf>
    <xf numFmtId="49" fontId="12" fillId="10" borderId="0" xfId="0" applyNumberFormat="1" applyFont="1" applyFill="1" applyAlignment="1">
      <alignment horizontal="center" vertical="center"/>
    </xf>
    <xf numFmtId="49" fontId="13" fillId="11" borderId="2" xfId="0" applyNumberFormat="1" applyFont="1" applyFill="1" applyBorder="1" applyAlignment="1">
      <alignment vertical="center"/>
    </xf>
    <xf numFmtId="49" fontId="12" fillId="11" borderId="2" xfId="0" applyNumberFormat="1" applyFont="1" applyFill="1" applyBorder="1" applyAlignment="1">
      <alignment horizontal="center" vertical="center"/>
    </xf>
    <xf numFmtId="166" fontId="12" fillId="11" borderId="2" xfId="0" applyNumberFormat="1" applyFont="1" applyFill="1" applyBorder="1" applyAlignment="1">
      <alignment horizontal="center" vertical="center"/>
    </xf>
    <xf numFmtId="165" fontId="12" fillId="11" borderId="2" xfId="2" applyNumberFormat="1" applyFont="1" applyFill="1" applyBorder="1" applyAlignment="1">
      <alignment vertical="center"/>
    </xf>
    <xf numFmtId="3" fontId="12" fillId="11" borderId="2" xfId="0" applyNumberFormat="1" applyFont="1" applyFill="1" applyBorder="1" applyAlignment="1">
      <alignment horizontal="center" vertical="center"/>
    </xf>
    <xf numFmtId="1" fontId="12" fillId="11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49" fontId="13" fillId="10" borderId="2" xfId="0" applyNumberFormat="1" applyFont="1" applyFill="1" applyBorder="1" applyAlignment="1">
      <alignment vertical="center"/>
    </xf>
    <xf numFmtId="0" fontId="13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vertical="center"/>
    </xf>
    <xf numFmtId="49" fontId="12" fillId="10" borderId="2" xfId="0" applyNumberFormat="1" applyFont="1" applyFill="1" applyBorder="1" applyAlignment="1">
      <alignment horizontal="center" vertical="center"/>
    </xf>
    <xf numFmtId="166" fontId="12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165" fontId="12" fillId="10" borderId="2" xfId="2" applyNumberFormat="1" applyFont="1" applyFill="1" applyBorder="1" applyAlignment="1">
      <alignment vertical="center"/>
    </xf>
    <xf numFmtId="3" fontId="12" fillId="10" borderId="2" xfId="0" applyNumberFormat="1" applyFont="1" applyFill="1" applyBorder="1" applyAlignment="1">
      <alignment horizontal="center" vertical="center"/>
    </xf>
    <xf numFmtId="1" fontId="12" fillId="10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49" fontId="13" fillId="11" borderId="1" xfId="0" applyNumberFormat="1" applyFont="1" applyFill="1" applyBorder="1" applyAlignment="1">
      <alignment vertical="center" wrapText="1"/>
    </xf>
    <xf numFmtId="166" fontId="12" fillId="11" borderId="0" xfId="0" applyNumberFormat="1" applyFont="1" applyFill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/>
    <xf numFmtId="0" fontId="12" fillId="10" borderId="2" xfId="0" applyFont="1" applyFill="1" applyBorder="1" applyAlignment="1">
      <alignment vertical="center" wrapText="1"/>
    </xf>
    <xf numFmtId="0" fontId="12" fillId="11" borderId="2" xfId="0" applyFont="1" applyFill="1" applyBorder="1" applyAlignment="1">
      <alignment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22" fontId="12" fillId="11" borderId="1" xfId="0" applyNumberFormat="1" applyFont="1" applyFill="1" applyBorder="1" applyAlignment="1">
      <alignment horizontal="center" vertical="center" wrapText="1"/>
    </xf>
    <xf numFmtId="1" fontId="12" fillId="11" borderId="1" xfId="0" applyNumberFormat="1" applyFont="1" applyFill="1" applyBorder="1" applyAlignment="1">
      <alignment vertical="center"/>
    </xf>
    <xf numFmtId="49" fontId="13" fillId="11" borderId="1" xfId="0" applyNumberFormat="1" applyFont="1" applyFill="1" applyBorder="1" applyAlignment="1">
      <alignment horizontal="center" vertical="center"/>
    </xf>
    <xf numFmtId="14" fontId="13" fillId="11" borderId="1" xfId="0" applyNumberFormat="1" applyFont="1" applyFill="1" applyBorder="1" applyAlignment="1">
      <alignment horizontal="center" vertical="center"/>
    </xf>
    <xf numFmtId="14" fontId="13" fillId="10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 wrapText="1"/>
    </xf>
    <xf numFmtId="164" fontId="12" fillId="11" borderId="1" xfId="0" applyNumberFormat="1" applyFont="1" applyFill="1" applyBorder="1" applyAlignment="1">
      <alignment vertical="center"/>
    </xf>
    <xf numFmtId="164" fontId="12" fillId="10" borderId="1" xfId="0" applyNumberFormat="1" applyFont="1" applyFill="1" applyBorder="1" applyAlignment="1">
      <alignment vertical="center"/>
    </xf>
    <xf numFmtId="0" fontId="14" fillId="0" borderId="0" xfId="0" applyFont="1"/>
    <xf numFmtId="0" fontId="15" fillId="12" borderId="0" xfId="0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  <xf numFmtId="0" fontId="0" fillId="15" borderId="0" xfId="0" applyFill="1"/>
    <xf numFmtId="0" fontId="9" fillId="14" borderId="14" xfId="0" applyFont="1" applyFill="1" applyBorder="1"/>
    <xf numFmtId="2" fontId="9" fillId="14" borderId="14" xfId="0" applyNumberFormat="1" applyFont="1" applyFill="1" applyBorder="1"/>
    <xf numFmtId="0" fontId="19" fillId="13" borderId="15" xfId="0" applyFont="1" applyFill="1" applyBorder="1" applyAlignment="1">
      <alignment horizontal="center"/>
    </xf>
    <xf numFmtId="2" fontId="0" fillId="0" borderId="0" xfId="0" applyNumberFormat="1"/>
    <xf numFmtId="2" fontId="0" fillId="15" borderId="0" xfId="0" applyNumberFormat="1" applyFill="1"/>
    <xf numFmtId="1" fontId="0" fillId="15" borderId="0" xfId="0" applyNumberFormat="1" applyFill="1"/>
    <xf numFmtId="1" fontId="9" fillId="14" borderId="14" xfId="0" applyNumberFormat="1" applyFont="1" applyFill="1" applyBorder="1"/>
    <xf numFmtId="0" fontId="4" fillId="16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65" fontId="4" fillId="3" borderId="1" xfId="3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3" applyNumberFormat="1" applyFont="1" applyBorder="1" applyAlignment="1">
      <alignment vertical="center"/>
    </xf>
    <xf numFmtId="169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0" fillId="18" borderId="1" xfId="0" applyFill="1" applyBorder="1" applyAlignment="1">
      <alignment vertical="center"/>
    </xf>
    <xf numFmtId="49" fontId="22" fillId="2" borderId="1" xfId="0" applyNumberFormat="1" applyFont="1" applyFill="1" applyBorder="1" applyAlignment="1">
      <alignment vertical="center"/>
    </xf>
    <xf numFmtId="165" fontId="21" fillId="19" borderId="1" xfId="3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65" fontId="21" fillId="0" borderId="1" xfId="3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23" fillId="20" borderId="1" xfId="0" applyFont="1" applyFill="1" applyBorder="1" applyAlignment="1">
      <alignment vertical="center"/>
    </xf>
    <xf numFmtId="49" fontId="3" fillId="17" borderId="1" xfId="0" applyNumberFormat="1" applyFont="1" applyFill="1" applyBorder="1" applyAlignment="1">
      <alignment vertical="center"/>
    </xf>
    <xf numFmtId="1" fontId="0" fillId="17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21" fillId="20" borderId="1" xfId="0" applyFont="1" applyFill="1" applyBorder="1" applyAlignment="1">
      <alignment vertical="center"/>
    </xf>
    <xf numFmtId="0" fontId="0" fillId="21" borderId="1" xfId="0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/>
    </xf>
    <xf numFmtId="0" fontId="21" fillId="21" borderId="1" xfId="0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0" fontId="0" fillId="23" borderId="1" xfId="0" applyFill="1" applyBorder="1" applyAlignment="1">
      <alignment horizontal="center" vertical="center"/>
    </xf>
    <xf numFmtId="49" fontId="3" fillId="24" borderId="1" xfId="0" applyNumberFormat="1" applyFont="1" applyFill="1" applyBorder="1" applyAlignment="1">
      <alignment vertical="center"/>
    </xf>
    <xf numFmtId="0" fontId="25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5" fontId="0" fillId="17" borderId="1" xfId="3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1" fontId="0" fillId="21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26" fillId="2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" fontId="21" fillId="21" borderId="1" xfId="0" applyNumberFormat="1" applyFont="1" applyFill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9" fontId="4" fillId="0" borderId="1" xfId="0" applyNumberFormat="1" applyFont="1" applyBorder="1" applyAlignment="1">
      <alignment vertical="center"/>
    </xf>
    <xf numFmtId="3" fontId="0" fillId="21" borderId="1" xfId="0" applyNumberFormat="1" applyFill="1" applyBorder="1" applyAlignment="1">
      <alignment horizontal="center" vertical="center"/>
    </xf>
    <xf numFmtId="10" fontId="0" fillId="21" borderId="1" xfId="0" applyNumberFormat="1" applyFill="1" applyBorder="1" applyAlignment="1">
      <alignment horizontal="center" vertical="center"/>
    </xf>
    <xf numFmtId="165" fontId="21" fillId="25" borderId="1" xfId="3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21" fillId="19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vertical="center"/>
    </xf>
    <xf numFmtId="164" fontId="0" fillId="21" borderId="1" xfId="0" applyNumberForma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vertical="center"/>
    </xf>
    <xf numFmtId="0" fontId="24" fillId="2" borderId="1" xfId="0" applyFont="1" applyFill="1" applyBorder="1" applyAlignment="1">
      <alignment horizontal="left" vertical="center"/>
    </xf>
    <xf numFmtId="49" fontId="3" fillId="25" borderId="1" xfId="0" applyNumberFormat="1" applyFont="1" applyFill="1" applyBorder="1" applyAlignment="1">
      <alignment vertical="center"/>
    </xf>
    <xf numFmtId="165" fontId="0" fillId="25" borderId="1" xfId="3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169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49" fontId="36" fillId="0" borderId="1" xfId="0" applyNumberFormat="1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2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0" fillId="23" borderId="1" xfId="0" applyFill="1" applyBorder="1" applyAlignment="1">
      <alignment vertical="center"/>
    </xf>
    <xf numFmtId="0" fontId="0" fillId="25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20" fillId="0" borderId="1" xfId="3" applyNumberFormat="1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64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0" fontId="21" fillId="24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vertical="center" wrapText="1"/>
    </xf>
    <xf numFmtId="49" fontId="43" fillId="2" borderId="1" xfId="0" applyNumberFormat="1" applyFont="1" applyFill="1" applyBorder="1" applyAlignment="1">
      <alignment horizontal="center" vertical="center"/>
    </xf>
    <xf numFmtId="49" fontId="45" fillId="25" borderId="1" xfId="0" applyNumberFormat="1" applyFont="1" applyFill="1" applyBorder="1" applyAlignment="1">
      <alignment vertical="center"/>
    </xf>
    <xf numFmtId="49" fontId="3" fillId="21" borderId="1" xfId="0" applyNumberFormat="1" applyFont="1" applyFill="1" applyBorder="1" applyAlignment="1">
      <alignment vertical="center"/>
    </xf>
    <xf numFmtId="0" fontId="3" fillId="21" borderId="1" xfId="0" applyFont="1" applyFill="1" applyBorder="1" applyAlignment="1">
      <alignment horizontal="center" vertical="center"/>
    </xf>
    <xf numFmtId="49" fontId="0" fillId="21" borderId="1" xfId="0" applyNumberFormat="1" applyFill="1" applyBorder="1" applyAlignment="1">
      <alignment horizontal="center" vertical="center"/>
    </xf>
    <xf numFmtId="14" fontId="0" fillId="21" borderId="1" xfId="0" applyNumberFormat="1" applyFill="1" applyBorder="1" applyAlignment="1">
      <alignment horizontal="center" vertical="center"/>
    </xf>
    <xf numFmtId="165" fontId="0" fillId="21" borderId="1" xfId="3" applyNumberFormat="1" applyFont="1" applyFill="1" applyBorder="1" applyAlignment="1">
      <alignment vertical="center"/>
    </xf>
    <xf numFmtId="169" fontId="3" fillId="21" borderId="1" xfId="0" applyNumberFormat="1" applyFont="1" applyFill="1" applyBorder="1" applyAlignment="1">
      <alignment vertical="center"/>
    </xf>
    <xf numFmtId="49" fontId="27" fillId="25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0" fontId="6" fillId="0" borderId="1" xfId="4" applyBorder="1" applyAlignment="1">
      <alignment vertical="center"/>
    </xf>
    <xf numFmtId="168" fontId="21" fillId="0" borderId="1" xfId="0" applyNumberFormat="1" applyFont="1" applyBorder="1" applyAlignment="1">
      <alignment horizontal="center" vertical="center"/>
    </xf>
    <xf numFmtId="0" fontId="0" fillId="26" borderId="1" xfId="0" applyFill="1" applyBorder="1" applyAlignment="1">
      <alignment vertical="center"/>
    </xf>
    <xf numFmtId="0" fontId="0" fillId="0" borderId="1" xfId="0" applyBorder="1"/>
    <xf numFmtId="0" fontId="6" fillId="0" borderId="1" xfId="1" applyBorder="1" applyAlignment="1">
      <alignment vertical="center"/>
    </xf>
    <xf numFmtId="49" fontId="27" fillId="2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168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49" fontId="46" fillId="0" borderId="1" xfId="0" applyNumberFormat="1" applyFont="1" applyBorder="1" applyAlignment="1">
      <alignment vertical="center"/>
    </xf>
    <xf numFmtId="0" fontId="6" fillId="0" borderId="0" xfId="1" applyBorder="1" applyAlignment="1">
      <alignment vertical="center"/>
    </xf>
    <xf numFmtId="168" fontId="21" fillId="0" borderId="1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20" xfId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6" fillId="5" borderId="1" xfId="4" applyFill="1" applyBorder="1" applyAlignment="1">
      <alignment vertical="center"/>
    </xf>
    <xf numFmtId="168" fontId="5" fillId="0" borderId="2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3" applyNumberFormat="1" applyFont="1" applyBorder="1" applyAlignment="1">
      <alignment vertical="center"/>
    </xf>
    <xf numFmtId="169" fontId="3" fillId="0" borderId="2" xfId="0" applyNumberFormat="1" applyFon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21" fillId="0" borderId="21" xfId="0" applyFont="1" applyBorder="1" applyAlignment="1">
      <alignment horizontal="center" vertical="center"/>
    </xf>
    <xf numFmtId="0" fontId="6" fillId="5" borderId="22" xfId="4" applyFill="1" applyBorder="1" applyAlignment="1">
      <alignment vertical="center"/>
    </xf>
    <xf numFmtId="168" fontId="21" fillId="0" borderId="2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2" xfId="1" applyBorder="1" applyAlignment="1">
      <alignment vertical="center"/>
    </xf>
    <xf numFmtId="10" fontId="0" fillId="0" borderId="2" xfId="0" applyNumberForma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36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27" fillId="2" borderId="2" xfId="0" applyNumberFormat="1" applyFont="1" applyFill="1" applyBorder="1" applyAlignment="1">
      <alignment horizontal="left" vertical="center"/>
    </xf>
    <xf numFmtId="0" fontId="6" fillId="0" borderId="23" xfId="1" applyBorder="1" applyAlignment="1">
      <alignment vertical="center"/>
    </xf>
    <xf numFmtId="49" fontId="27" fillId="2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1" applyBorder="1"/>
    <xf numFmtId="14" fontId="0" fillId="0" borderId="0" xfId="0" applyNumberFormat="1" applyAlignment="1">
      <alignment horizontal="center" vertical="center"/>
    </xf>
    <xf numFmtId="0" fontId="6" fillId="5" borderId="1" xfId="1" applyFill="1" applyBorder="1"/>
    <xf numFmtId="49" fontId="0" fillId="0" borderId="1" xfId="0" applyNumberFormat="1" applyBorder="1" applyAlignment="1">
      <alignment horizontal="center" vertical="center" wrapText="1"/>
    </xf>
    <xf numFmtId="0" fontId="6" fillId="0" borderId="1" xfId="1" applyBorder="1" applyAlignment="1"/>
    <xf numFmtId="168" fontId="0" fillId="0" borderId="19" xfId="0" applyNumberFormat="1" applyBorder="1" applyAlignment="1">
      <alignment horizontal="center" vertical="center"/>
    </xf>
    <xf numFmtId="0" fontId="6" fillId="0" borderId="1" xfId="4" applyBorder="1"/>
    <xf numFmtId="0" fontId="0" fillId="0" borderId="3" xfId="0" applyBorder="1" applyAlignment="1">
      <alignment vertical="center"/>
    </xf>
    <xf numFmtId="0" fontId="6" fillId="0" borderId="0" xfId="4" applyBorder="1"/>
    <xf numFmtId="0" fontId="6" fillId="0" borderId="0" xfId="4"/>
    <xf numFmtId="0" fontId="24" fillId="8" borderId="1" xfId="0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6" fillId="0" borderId="0" xfId="1" applyBorder="1"/>
    <xf numFmtId="0" fontId="24" fillId="8" borderId="0" xfId="0" applyFont="1" applyFill="1" applyAlignment="1">
      <alignment wrapText="1"/>
    </xf>
    <xf numFmtId="0" fontId="24" fillId="8" borderId="1" xfId="0" applyFont="1" applyFill="1" applyBorder="1" applyAlignment="1">
      <alignment vertical="center"/>
    </xf>
    <xf numFmtId="16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1" applyBorder="1" applyAlignment="1">
      <alignment vertical="center"/>
    </xf>
    <xf numFmtId="165" fontId="21" fillId="0" borderId="2" xfId="3" applyNumberFormat="1" applyFont="1" applyBorder="1" applyAlignment="1">
      <alignment vertical="center"/>
    </xf>
    <xf numFmtId="0" fontId="6" fillId="0" borderId="2" xfId="4" applyBorder="1" applyAlignment="1">
      <alignment vertical="center"/>
    </xf>
    <xf numFmtId="0" fontId="24" fillId="0" borderId="2" xfId="0" applyFont="1" applyBorder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4" fillId="8" borderId="1" xfId="0" applyFont="1" applyFill="1" applyBorder="1" applyAlignment="1">
      <alignment vertical="center" wrapText="1"/>
    </xf>
    <xf numFmtId="165" fontId="0" fillId="5" borderId="1" xfId="3" applyNumberFormat="1" applyFont="1" applyFill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9" fillId="0" borderId="1" xfId="0" applyNumberFormat="1" applyFont="1" applyBorder="1" applyAlignment="1">
      <alignment vertical="center"/>
    </xf>
    <xf numFmtId="164" fontId="0" fillId="6" borderId="1" xfId="0" applyNumberForma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69" fontId="3" fillId="5" borderId="1" xfId="0" applyNumberFormat="1" applyFont="1" applyFill="1" applyBorder="1" applyAlignment="1">
      <alignment vertical="center"/>
    </xf>
    <xf numFmtId="10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9" xfId="0" applyBorder="1" applyAlignment="1">
      <alignment vertical="center"/>
    </xf>
    <xf numFmtId="168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47" fillId="0" borderId="1" xfId="0" applyFont="1" applyBorder="1" applyAlignment="1">
      <alignment wrapText="1"/>
    </xf>
    <xf numFmtId="0" fontId="3" fillId="2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" fontId="0" fillId="0" borderId="20" xfId="0" applyNumberFormat="1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1" fillId="20" borderId="1" xfId="0" applyFont="1" applyFill="1" applyBorder="1" applyAlignment="1">
      <alignment vertical="center" wrapText="1"/>
    </xf>
    <xf numFmtId="0" fontId="24" fillId="10" borderId="1" xfId="0" applyFont="1" applyFill="1" applyBorder="1" applyAlignment="1">
      <alignment vertical="center"/>
    </xf>
    <xf numFmtId="0" fontId="24" fillId="11" borderId="0" xfId="0" applyFont="1" applyFill="1" applyAlignment="1">
      <alignment vertical="center"/>
    </xf>
    <xf numFmtId="0" fontId="24" fillId="11" borderId="1" xfId="0" applyFont="1" applyFill="1" applyBorder="1" applyAlignment="1">
      <alignment vertical="center"/>
    </xf>
    <xf numFmtId="0" fontId="24" fillId="11" borderId="2" xfId="0" applyFont="1" applyFill="1" applyBorder="1" applyAlignment="1">
      <alignment vertical="center"/>
    </xf>
    <xf numFmtId="0" fontId="0" fillId="28" borderId="0" xfId="0" applyFill="1"/>
    <xf numFmtId="0" fontId="19" fillId="28" borderId="24" xfId="0" applyFont="1" applyFill="1" applyBorder="1" applyAlignment="1">
      <alignment horizontal="center"/>
    </xf>
    <xf numFmtId="0" fontId="49" fillId="29" borderId="24" xfId="0" applyFont="1" applyFill="1" applyBorder="1"/>
    <xf numFmtId="3" fontId="52" fillId="29" borderId="24" xfId="0" applyNumberFormat="1" applyFont="1" applyFill="1" applyBorder="1" applyAlignment="1">
      <alignment horizontal="center"/>
    </xf>
    <xf numFmtId="0" fontId="49" fillId="30" borderId="24" xfId="0" applyFont="1" applyFill="1" applyBorder="1"/>
    <xf numFmtId="3" fontId="52" fillId="30" borderId="24" xfId="0" applyNumberFormat="1" applyFont="1" applyFill="1" applyBorder="1" applyAlignment="1">
      <alignment horizontal="center"/>
    </xf>
    <xf numFmtId="0" fontId="19" fillId="28" borderId="24" xfId="0" applyFont="1" applyFill="1" applyBorder="1"/>
    <xf numFmtId="3" fontId="53" fillId="28" borderId="24" xfId="0" applyNumberFormat="1" applyFont="1" applyFill="1" applyBorder="1" applyAlignment="1">
      <alignment horizontal="center"/>
    </xf>
    <xf numFmtId="3" fontId="50" fillId="29" borderId="26" xfId="0" applyNumberFormat="1" applyFont="1" applyFill="1" applyBorder="1" applyAlignment="1">
      <alignment horizontal="center"/>
    </xf>
    <xf numFmtId="0" fontId="49" fillId="29" borderId="28" xfId="0" applyFont="1" applyFill="1" applyBorder="1" applyAlignment="1">
      <alignment horizontal="left"/>
    </xf>
    <xf numFmtId="3" fontId="54" fillId="29" borderId="24" xfId="0" applyNumberFormat="1" applyFont="1" applyFill="1" applyBorder="1" applyAlignment="1">
      <alignment horizontal="center"/>
    </xf>
    <xf numFmtId="170" fontId="49" fillId="29" borderId="24" xfId="0" applyNumberFormat="1" applyFont="1" applyFill="1" applyBorder="1" applyAlignment="1">
      <alignment horizontal="center"/>
    </xf>
    <xf numFmtId="3" fontId="54" fillId="30" borderId="24" xfId="0" applyNumberFormat="1" applyFont="1" applyFill="1" applyBorder="1" applyAlignment="1">
      <alignment horizontal="center"/>
    </xf>
    <xf numFmtId="170" fontId="49" fillId="30" borderId="24" xfId="0" applyNumberFormat="1" applyFont="1" applyFill="1" applyBorder="1" applyAlignment="1">
      <alignment horizontal="center"/>
    </xf>
    <xf numFmtId="0" fontId="57" fillId="30" borderId="24" xfId="0" applyFont="1" applyFill="1" applyBorder="1"/>
    <xf numFmtId="3" fontId="58" fillId="30" borderId="24" xfId="0" applyNumberFormat="1" applyFont="1" applyFill="1" applyBorder="1" applyAlignment="1">
      <alignment horizontal="center"/>
    </xf>
    <xf numFmtId="170" fontId="56" fillId="30" borderId="24" xfId="0" applyNumberFormat="1" applyFont="1" applyFill="1" applyBorder="1" applyAlignment="1">
      <alignment horizontal="center"/>
    </xf>
    <xf numFmtId="3" fontId="55" fillId="28" borderId="24" xfId="0" applyNumberFormat="1" applyFont="1" applyFill="1" applyBorder="1" applyAlignment="1">
      <alignment horizontal="center"/>
    </xf>
    <xf numFmtId="170" fontId="19" fillId="28" borderId="24" xfId="0" applyNumberFormat="1" applyFont="1" applyFill="1" applyBorder="1" applyAlignment="1">
      <alignment horizontal="center"/>
    </xf>
    <xf numFmtId="3" fontId="60" fillId="32" borderId="26" xfId="0" applyNumberFormat="1" applyFont="1" applyFill="1" applyBorder="1" applyAlignment="1">
      <alignment horizontal="center"/>
    </xf>
    <xf numFmtId="0" fontId="59" fillId="32" borderId="28" xfId="0" applyFont="1" applyFill="1" applyBorder="1" applyAlignment="1">
      <alignment horizontal="left"/>
    </xf>
    <xf numFmtId="0" fontId="19" fillId="33" borderId="29" xfId="0" applyFont="1" applyFill="1" applyBorder="1" applyAlignment="1">
      <alignment horizontal="center"/>
    </xf>
    <xf numFmtId="3" fontId="61" fillId="34" borderId="30" xfId="0" applyNumberFormat="1" applyFont="1" applyFill="1" applyBorder="1" applyAlignment="1">
      <alignment horizontal="center"/>
    </xf>
    <xf numFmtId="3" fontId="62" fillId="29" borderId="24" xfId="0" applyNumberFormat="1" applyFont="1" applyFill="1" applyBorder="1" applyAlignment="1">
      <alignment horizontal="center"/>
    </xf>
    <xf numFmtId="3" fontId="62" fillId="30" borderId="24" xfId="0" applyNumberFormat="1" applyFont="1" applyFill="1" applyBorder="1" applyAlignment="1">
      <alignment horizontal="center"/>
    </xf>
    <xf numFmtId="0" fontId="64" fillId="30" borderId="24" xfId="0" applyFont="1" applyFill="1" applyBorder="1"/>
    <xf numFmtId="170" fontId="63" fillId="30" borderId="24" xfId="0" applyNumberFormat="1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51" fillId="13" borderId="0" xfId="0" applyFont="1" applyFill="1" applyAlignment="1">
      <alignment horizontal="center"/>
    </xf>
    <xf numFmtId="0" fontId="0" fillId="0" borderId="0" xfId="0"/>
    <xf numFmtId="0" fontId="48" fillId="28" borderId="0" xfId="0" applyFont="1" applyFill="1" applyAlignment="1">
      <alignment horizontal="center"/>
    </xf>
    <xf numFmtId="0" fontId="19" fillId="13" borderId="25" xfId="0" applyFont="1" applyFill="1" applyBorder="1" applyAlignment="1">
      <alignment horizontal="center"/>
    </xf>
    <xf numFmtId="0" fontId="19" fillId="13" borderId="27" xfId="0" applyFont="1" applyFill="1" applyBorder="1" applyAlignment="1">
      <alignment horizontal="center"/>
    </xf>
    <xf numFmtId="0" fontId="19" fillId="31" borderId="25" xfId="0" applyFont="1" applyFill="1" applyBorder="1" applyAlignment="1">
      <alignment horizontal="center"/>
    </xf>
    <xf numFmtId="0" fontId="19" fillId="31" borderId="27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</cellXfs>
  <cellStyles count="5">
    <cellStyle name="Hiperlink 2" xfId="4" xr:uid="{85383BA5-AD9C-4E75-8CAB-90942E0FAC50}"/>
    <cellStyle name="Hyperlink" xfId="1" xr:uid="{00000000-000B-0000-0000-000008000000}"/>
    <cellStyle name="Moeda" xfId="2" builtinId="4"/>
    <cellStyle name="Moeda 2" xfId="3" xr:uid="{DD57439B-7ED0-4BA3-9A62-48838636335B}"/>
    <cellStyle name="Normal" xfId="0" builtinId="0"/>
  </cellStyles>
  <dxfs count="128"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AEEED"/>
          <bgColor rgb="FFFAEEED"/>
        </patternFill>
      </fill>
    </dxf>
    <dxf>
      <font>
        <color rgb="FF000000"/>
      </font>
      <fill>
        <patternFill patternType="solid">
          <fgColor indexed="64"/>
          <bgColor rgb="FFF4C7C3"/>
        </patternFill>
      </fill>
    </dxf>
    <dxf>
      <font>
        <color rgb="FF000000"/>
      </font>
      <fill>
        <patternFill patternType="solid">
          <fgColor indexed="64"/>
          <bgColor rgb="FFF9CB9C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B7E1CD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/>
        <top style="thin">
          <color theme="2" tint="-0.14996795556505021"/>
        </top>
        <bottom style="thin">
          <color theme="2" tint="-0.14996795556505021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64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[$R$ -416]#,##0.00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65" formatCode="_-[$R$-416]\ * #,##0.00_-;\-[$R$-416]\ * #,##0.00_-;_-[$R$-416]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  <vertical/>
        <horizontal/>
      </border>
    </dxf>
    <dxf>
      <numFmt numFmtId="168" formatCode="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numFmt numFmtId="168" formatCode="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-[$R$-416]\ * #,##0.00_-;\-[$R$-416]\ * #,##0.00_-;_-[$R$-416]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65" formatCode="_-[$R$-416]\ * #,##0.00_-;\-[$R$-416]\ * #,##0.00_-;_-[$R$-416]\ * &quot;-&quot;??_-;_-@_-"/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fill>
        <patternFill patternType="none">
          <fgColor indexed="64"/>
          <bgColor rgb="FFB7E1C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/>
      </border>
    </dxf>
    <dxf>
      <font>
        <sz val="11"/>
        <color rgb="FF000000"/>
        <name val="Calibri"/>
      </font>
      <numFmt numFmtId="168" formatCode="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sz val="11"/>
        <color rgb="FF000000"/>
        <name val="Calibri"/>
      </font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/>
        <bottom/>
      </border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</dxfs>
  <tableStyles count="3">
    <tableStyle name="Ações Externas-style" pivot="0" count="3" xr9:uid="{00000000-0011-0000-FFFF-FFFF00000000}">
      <tableStyleElement type="headerRow" dxfId="127"/>
      <tableStyleElement type="firstRowStripe" dxfId="126"/>
      <tableStyleElement type="secondRowStripe" dxfId="125"/>
    </tableStyle>
    <tableStyle name="Ações InCompany-style" pivot="0" count="3" xr9:uid="{00000000-0011-0000-FFFF-FFFF01000000}">
      <tableStyleElement type="headerRow" dxfId="124"/>
      <tableStyleElement type="firstRowStripe" dxfId="123"/>
      <tableStyleElement type="secondRowStripe" dxfId="122"/>
    </tableStyle>
    <tableStyle name="Coffee Break-style" pivot="0" count="3" xr9:uid="{00000000-0011-0000-FFFF-FFFF02000000}">
      <tableStyleElement type="headerRow" dxfId="121"/>
      <tableStyleElement type="firstRowStripe" dxfId="120"/>
      <tableStyleElement type="secondRowStripe" dxfId="119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Realizados por Público-Alvo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2026'!$B$10</c:f>
              <c:strCache>
                <c:ptCount val="1"/>
                <c:pt idx="0">
                  <c:v>Qtd. Cursos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3-4547-9ACE-A725428FE7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3-4547-9ACE-A725428FE7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3-4547-9ACE-A725428FE7E9}"/>
              </c:ext>
            </c:extLst>
          </c:dPt>
          <c:cat>
            <c:strRef>
              <c:f>'Dashboard 2026'!$A$11:$A$13</c:f>
              <c:strCache>
                <c:ptCount val="3"/>
                <c:pt idx="0">
                  <c:v>Servidores do TCDF</c:v>
                </c:pt>
                <c:pt idx="1">
                  <c:v>Jurisdicionados</c:v>
                </c:pt>
                <c:pt idx="2">
                  <c:v>Sociedade</c:v>
                </c:pt>
              </c:strCache>
            </c:strRef>
          </c:cat>
          <c:val>
            <c:numRef>
              <c:f>'Dashboard 2026'!$B$11:$B$13</c:f>
              <c:numCache>
                <c:formatCode>#,##0</c:formatCode>
                <c:ptCount val="3"/>
                <c:pt idx="0">
                  <c:v>5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3-46E6-A136-DF7EAE554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Participantes por 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2026'!$E$10</c:f>
              <c:strCache>
                <c:ptCount val="1"/>
                <c:pt idx="0">
                  <c:v>Qtd. Participantes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'Dashboard 2026'!$D$11:$D$13</c:f>
              <c:strCache>
                <c:ptCount val="3"/>
                <c:pt idx="0">
                  <c:v>Servidores (P. Servidores)</c:v>
                </c:pt>
                <c:pt idx="1">
                  <c:v>Jurisdicionados (P. Jurisdicionados)</c:v>
                </c:pt>
                <c:pt idx="2">
                  <c:v>Sociedade (P. Sociedade)</c:v>
                </c:pt>
              </c:strCache>
            </c:strRef>
          </c:cat>
          <c:val>
            <c:numRef>
              <c:f>'Dashboard 2026'!$E$11:$E$13</c:f>
              <c:numCache>
                <c:formatCode>#,##0</c:formatCode>
                <c:ptCount val="3"/>
                <c:pt idx="0">
                  <c:v>202</c:v>
                </c:pt>
                <c:pt idx="1">
                  <c:v>321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6-42DA-9523-0FCF0080C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174368"/>
        <c:axId val="1869175328"/>
      </c:barChart>
      <c:catAx>
        <c:axId val="18691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175328"/>
        <c:crosses val="autoZero"/>
        <c:auto val="1"/>
        <c:lblAlgn val="ctr"/>
        <c:lblOffset val="100"/>
        <c:noMultiLvlLbl val="0"/>
      </c:catAx>
      <c:valAx>
        <c:axId val="18691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17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por Programa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2026'!$B$32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'Dashboard 2026'!$A$33:$A$40</c:f>
              <c:strCache>
                <c:ptCount val="8"/>
                <c:pt idx="0">
                  <c:v>Treinamento de Jurisdicionados</c:v>
                </c:pt>
                <c:pt idx="1">
                  <c:v>Administração, Estratégia e Inovação</c:v>
                </c:pt>
                <c:pt idx="2">
                  <c:v>Inteligência Artificial e Análise de Dados</c:v>
                </c:pt>
                <c:pt idx="3">
                  <c:v>Escola de Instrutores</c:v>
                </c:pt>
                <c:pt idx="4">
                  <c:v>Desenvolvimento Individual e Promoção da Cultura Organizacional</c:v>
                </c:pt>
                <c:pt idx="5">
                  <c:v>Formação de Controladores sociais e cidadãos</c:v>
                </c:pt>
                <c:pt idx="6">
                  <c:v>Metodologias de Auditoria e Fiscalização</c:v>
                </c:pt>
                <c:pt idx="7">
                  <c:v>(Sem Programa)</c:v>
                </c:pt>
              </c:strCache>
            </c:strRef>
          </c:cat>
          <c:val>
            <c:numRef>
              <c:f>'Dashboard 2026'!$B$33:$B$40</c:f>
              <c:numCache>
                <c:formatCode>#,##0</c:formatCode>
                <c:ptCount val="8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9-4038-9F71-B3A32FF90A02}"/>
            </c:ext>
          </c:extLst>
        </c:ser>
        <c:ser>
          <c:idx val="1"/>
          <c:order val="1"/>
          <c:tx>
            <c:strRef>
              <c:f>'Dashboard 2026'!$C$32</c:f>
              <c:strCache>
                <c:ptCount val="1"/>
                <c:pt idx="0">
                  <c:v>A Realizar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strRef>
              <c:f>'Dashboard 2026'!$A$33:$A$40</c:f>
              <c:strCache>
                <c:ptCount val="8"/>
                <c:pt idx="0">
                  <c:v>Treinamento de Jurisdicionados</c:v>
                </c:pt>
                <c:pt idx="1">
                  <c:v>Administração, Estratégia e Inovação</c:v>
                </c:pt>
                <c:pt idx="2">
                  <c:v>Inteligência Artificial e Análise de Dados</c:v>
                </c:pt>
                <c:pt idx="3">
                  <c:v>Escola de Instrutores</c:v>
                </c:pt>
                <c:pt idx="4">
                  <c:v>Desenvolvimento Individual e Promoção da Cultura Organizacional</c:v>
                </c:pt>
                <c:pt idx="5">
                  <c:v>Formação de Controladores sociais e cidadãos</c:v>
                </c:pt>
                <c:pt idx="6">
                  <c:v>Metodologias de Auditoria e Fiscalização</c:v>
                </c:pt>
                <c:pt idx="7">
                  <c:v>(Sem Programa)</c:v>
                </c:pt>
              </c:strCache>
            </c:strRef>
          </c:cat>
          <c:val>
            <c:numRef>
              <c:f>'Dashboard 2026'!$C$33:$C$40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9-4038-9F71-B3A32FF9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7746128"/>
        <c:axId val="1837746608"/>
      </c:barChart>
      <c:catAx>
        <c:axId val="183774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746608"/>
        <c:crosses val="autoZero"/>
        <c:auto val="1"/>
        <c:lblAlgn val="ctr"/>
        <c:lblOffset val="100"/>
        <c:noMultiLvlLbl val="0"/>
      </c:catAx>
      <c:valAx>
        <c:axId val="183774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74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por Público-Alvo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2025'!$B$9</c:f>
              <c:strCache>
                <c:ptCount val="1"/>
                <c:pt idx="0">
                  <c:v>Qtd. Cursos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F1-4C7C-B6D5-D9E763C8FA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F1-4C7C-B6D5-D9E763C8FA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F1-4C7C-B6D5-D9E763C8FA98}"/>
              </c:ext>
            </c:extLst>
          </c:dPt>
          <c:cat>
            <c:strRef>
              <c:f>'Dashboard 2025'!$A$10:$A$12</c:f>
              <c:strCache>
                <c:ptCount val="3"/>
                <c:pt idx="0">
                  <c:v>Servidores do TCDF</c:v>
                </c:pt>
                <c:pt idx="1">
                  <c:v>Jurisdicionados</c:v>
                </c:pt>
                <c:pt idx="2">
                  <c:v>Sociedade</c:v>
                </c:pt>
              </c:strCache>
            </c:strRef>
          </c:cat>
          <c:val>
            <c:numRef>
              <c:f>'Dashboard 2025'!$B$10:$B$12</c:f>
              <c:numCache>
                <c:formatCode>#,##0</c:formatCode>
                <c:ptCount val="3"/>
                <c:pt idx="0">
                  <c:v>61</c:v>
                </c:pt>
                <c:pt idx="1">
                  <c:v>31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E-4272-96DC-8C763FC4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Participantes por 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2025'!$E$9</c:f>
              <c:strCache>
                <c:ptCount val="1"/>
                <c:pt idx="0">
                  <c:v>Qtd. Participantes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'Dashboard 2025'!$D$10:$D$12</c:f>
              <c:strCache>
                <c:ptCount val="3"/>
                <c:pt idx="0">
                  <c:v>Servidores (P. Servidores)</c:v>
                </c:pt>
                <c:pt idx="1">
                  <c:v>Jurisdicionados (P. Jurisdicionados)</c:v>
                </c:pt>
                <c:pt idx="2">
                  <c:v>Sociedade (P. Sociedade)</c:v>
                </c:pt>
              </c:strCache>
            </c:strRef>
          </c:cat>
          <c:val>
            <c:numRef>
              <c:f>'Dashboard 2025'!$E$10:$E$12</c:f>
              <c:numCache>
                <c:formatCode>#,##0</c:formatCode>
                <c:ptCount val="3"/>
                <c:pt idx="0">
                  <c:v>2649</c:v>
                </c:pt>
                <c:pt idx="1">
                  <c:v>2140</c:v>
                </c:pt>
                <c:pt idx="2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1-4154-A901-02B2A7ED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683136"/>
        <c:axId val="407682656"/>
      </c:barChart>
      <c:catAx>
        <c:axId val="40768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682656"/>
        <c:crosses val="autoZero"/>
        <c:auto val="1"/>
        <c:lblAlgn val="ctr"/>
        <c:lblOffset val="100"/>
        <c:noMultiLvlLbl val="0"/>
      </c:catAx>
      <c:valAx>
        <c:axId val="4076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68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por Programa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2025'!$B$31</c:f>
              <c:strCache>
                <c:ptCount val="1"/>
                <c:pt idx="0">
                  <c:v>Qtd. Cursos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'Dashboard 2025'!$A$32:$A$41</c:f>
              <c:strCache>
                <c:ptCount val="10"/>
                <c:pt idx="0">
                  <c:v>Treinamento de Jurisdicionados</c:v>
                </c:pt>
                <c:pt idx="1">
                  <c:v>Administração, Estratégia e Inovação</c:v>
                </c:pt>
                <c:pt idx="2">
                  <c:v>Desenvolvimento Individual e Promoção da Cultura Organizacional</c:v>
                </c:pt>
                <c:pt idx="3">
                  <c:v>Áreas Temáticas de Fiscalização do Setor Público</c:v>
                </c:pt>
                <c:pt idx="4">
                  <c:v>Mineração e Análise de Dados</c:v>
                </c:pt>
                <c:pt idx="5">
                  <c:v>Metodologias de Auditoria e Fiscalização</c:v>
                </c:pt>
                <c:pt idx="6">
                  <c:v>Ambientação e Desenvolvimento na Carreira</c:v>
                </c:pt>
                <c:pt idx="7">
                  <c:v>Avaliação de Políticas Públicas</c:v>
                </c:pt>
                <c:pt idx="8">
                  <c:v>Desenvolvimento Gerencial</c:v>
                </c:pt>
                <c:pt idx="9">
                  <c:v>(Sem Programa)</c:v>
                </c:pt>
              </c:strCache>
            </c:strRef>
          </c:cat>
          <c:val>
            <c:numRef>
              <c:f>'Dashboard 2025'!$B$32:$B$41</c:f>
              <c:numCache>
                <c:formatCode>#,##0</c:formatCode>
                <c:ptCount val="10"/>
                <c:pt idx="0">
                  <c:v>57</c:v>
                </c:pt>
                <c:pt idx="1">
                  <c:v>16</c:v>
                </c:pt>
                <c:pt idx="2">
                  <c:v>16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3-473F-BA11-246722CE4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3905440"/>
        <c:axId val="1883904480"/>
      </c:barChart>
      <c:catAx>
        <c:axId val="188390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904480"/>
        <c:crosses val="autoZero"/>
        <c:auto val="1"/>
        <c:lblAlgn val="ctr"/>
        <c:lblOffset val="100"/>
        <c:noMultiLvlLbl val="0"/>
      </c:catAx>
      <c:valAx>
        <c:axId val="188390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9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077C51-46DE-530B-9B2F-3BA6E263B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D0FDC-B042-4E06-782C-044528D8E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357C14-DB3D-95D5-9911-B3A38DBE9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3</xdr:col>
      <xdr:colOff>0</xdr:colOff>
      <xdr:row>28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9CC1E1-A9A7-7B1C-82DB-101EBA7FB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74CEBD-1B23-3BE8-9C66-91B0AAF2B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</xdr:row>
      <xdr:rowOff>190499</xdr:rowOff>
    </xdr:from>
    <xdr:to>
      <xdr:col>7</xdr:col>
      <xdr:colOff>0</xdr:colOff>
      <xdr:row>41</xdr:row>
      <xdr:rowOff>304799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EF7DFB-D1F0-19F8-6DDE-6632ACF85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76200</xdr:rowOff>
    </xdr:from>
    <xdr:to>
      <xdr:col>3</xdr:col>
      <xdr:colOff>694416</xdr:colOff>
      <xdr:row>3</xdr:row>
      <xdr:rowOff>409575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29342733-1B67-4C06-B753-12214535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76200"/>
          <a:ext cx="3447141" cy="904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D5F14-CD6F-4B62-85D2-128A9D3B5FF1}" name="Tabela2" displayName="Tabela2" ref="B1:T676" totalsRowShown="0" headerRowDxfId="118" dataDxfId="117">
  <autoFilter ref="B1:T676" xr:uid="{D1BD5F14-CD6F-4B62-85D2-128A9D3B5FF1}"/>
  <sortState xmlns:xlrd2="http://schemas.microsoft.com/office/spreadsheetml/2017/richdata2" ref="B2:T676">
    <sortCondition ref="I1:I676"/>
  </sortState>
  <tableColumns count="19">
    <tableColumn id="2" xr3:uid="{19532738-24D5-4BD5-BE04-C19DCC5894A1}" name="Ano" dataDxfId="116" totalsRowDxfId="115"/>
    <tableColumn id="3" xr3:uid="{8DE0B36A-F0DC-47A1-A74E-F4BE63A4FB1D}" name="Status Evento" dataDxfId="114" totalsRowDxfId="113"/>
    <tableColumn id="4" xr3:uid="{C1159FBD-CCD0-4CA2-BB8C-598E3AB5DDD8}" name="Processo" dataDxfId="112" totalsRowDxfId="111"/>
    <tableColumn id="5" xr3:uid="{A32670A4-BE4F-480D-8DE9-8FF18024C829}" name="Curso" dataDxfId="110" totalsRowDxfId="109"/>
    <tableColumn id="8" xr3:uid="{905DEA0A-D099-47EA-972D-1012D71C7792}" name="Público-Alvo" dataDxfId="108" totalsRowDxfId="107"/>
    <tableColumn id="9" xr3:uid="{7DC0A0BE-8030-47CA-AF56-2C13C9FF7AE5}" name="Programa" dataDxfId="106" totalsRowDxfId="105"/>
    <tableColumn id="11" xr3:uid="{2B799ACD-69E4-46A5-9A4F-F7E3D7A47CE9}" name="Data TXT" dataDxfId="104" totalsRowDxfId="103"/>
    <tableColumn id="12" xr3:uid="{62016C67-3729-4C41-B72D-09D6616B7474}" name="Início" dataDxfId="102" totalsRowDxfId="101"/>
    <tableColumn id="13" xr3:uid="{E4F20518-0042-40C0-B590-B7616F2843A5}" name="Término" dataDxfId="100" totalsRowDxfId="99"/>
    <tableColumn id="14" xr3:uid="{4D6C4412-CFEE-4506-830E-F79FD008371B}" name="Modalidade" dataDxfId="98" totalsRowDxfId="97"/>
    <tableColumn id="15" xr3:uid="{12EC931A-E71B-4AEB-B20B-0F9EA63D0C71}" name="Valor instrutoria" dataDxfId="96" totalsRowDxfId="95" dataCellStyle="Moeda" totalsRowCellStyle="Moeda"/>
    <tableColumn id="17" xr3:uid="{8FCDFADA-4FA3-41E0-86FF-E623116BAFEB}" name="Nota Av. Reação" dataDxfId="94" totalsRowDxfId="93"/>
    <tableColumn id="19" xr3:uid="{316EB379-BB97-4F60-9566-576B25A26B0E}" name="Qtd Vagas" dataDxfId="92" totalsRowDxfId="91"/>
    <tableColumn id="20" xr3:uid="{59A9FB16-6726-411C-88B5-8165DD520DA3}" name="P. Servidores" dataDxfId="90" totalsRowDxfId="89"/>
    <tableColumn id="21" xr3:uid="{0246E091-ADCD-4F62-8F95-84B21E8A7BE1}" name="P. Jurisdicionados" dataDxfId="88" totalsRowDxfId="87"/>
    <tableColumn id="22" xr3:uid="{1B6DBD6D-C072-4600-81C1-69D6F4422D7D}" name="P. Sociedade" dataDxfId="86" totalsRowDxfId="85"/>
    <tableColumn id="23" xr3:uid="{109F7E4E-776C-4249-88BE-FEC3A375D7D9}" name="Total Part." dataDxfId="84" totalsRowDxfId="83"/>
    <tableColumn id="24" xr3:uid="{C67AA4C6-834C-4EBB-839B-EF0CDD50F649}" name="C.H." dataDxfId="82" totalsRowDxfId="81"/>
    <tableColumn id="26" xr3:uid="{973608F6-3E97-493C-AC61-980F73C13CD6}" name="Instrutor" dataDxfId="80" totalsRowDxfId="79"/>
  </tableColumns>
  <tableStyleInfo name="Ações Externa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BECD1-3C9E-479E-A6C0-F5DDFAEF252F}" name="Tabela1" displayName="Tabela1" ref="B7:N59" totalsRowShown="0" headerRowDxfId="78" tableBorderDxfId="77">
  <autoFilter ref="B7:N59" xr:uid="{11FBECD1-3C9E-479E-A6C0-F5DDFAEF252F}"/>
  <tableColumns count="13">
    <tableColumn id="1" xr3:uid="{DF0296F9-AE1B-45FF-BA2F-86BE54A745AA}" name="Trimestre" dataDxfId="76"/>
    <tableColumn id="2" xr3:uid="{08135CD9-528D-4151-B7FE-1BCB30F53C9F}" name="Processo" dataDxfId="75"/>
    <tableColumn id="3" xr3:uid="{0C3130C7-753A-49F9-A2CB-39E359D9A26C}" name="Supervisão" dataDxfId="74"/>
    <tableColumn id="4" xr3:uid="{000F4C20-86FA-4670-A454-4A8B4E5945D1}" name="Nome da Ação Educacional" dataDxfId="73"/>
    <tableColumn id="5" xr3:uid="{049E6F41-0873-427E-A1BB-53E27F1EDE9F}" name="Status" dataDxfId="72"/>
    <tableColumn id="6" xr3:uid="{F17799BE-3DA0-4F5A-AA82-5ECC049A9AE3}" name="Qual fase?" dataDxfId="71"/>
    <tableColumn id="7" xr3:uid="{CDB73D45-1EEA-4F0E-9D2E-3C83DBBA265F}" name="Data do Curso" dataDxfId="70"/>
    <tableColumn id="8" xr3:uid="{1EA3DB31-2FFD-4432-8816-63D4241CA3C5}" name="C.H." dataDxfId="69"/>
    <tableColumn id="9" xr3:uid="{3468467E-A7D4-43E8-88EF-7B73BE3004CA}" name="Modalidade Instrutoria" dataDxfId="68"/>
    <tableColumn id="10" xr3:uid="{79CAC4BC-211D-4550-85D6-3FCA4C6CB83E}" name="Instrutores" dataDxfId="67"/>
    <tableColumn id="11" xr3:uid="{087E77F9-D933-4C9B-AD7C-A0575DA20CF4}" name="Vagas" dataDxfId="66"/>
    <tableColumn id="12" xr3:uid="{4A956F9F-E3E1-460C-AC43-776D38301F36}" name=" Inscritos" dataDxfId="65"/>
    <tableColumn id="13" xr3:uid="{0C6B2479-F222-412E-B67E-A346BD2CA2A2}" name="Responsável" dataDxfId="64"/>
  </tableColumns>
  <tableStyleInfo name="Ações Externas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E37876-AF11-418B-857F-B4AC131C0E6A}" name="Tabela24" displayName="Tabela24" ref="A1:AD1897" totalsRowShown="0" headerRowDxfId="63" dataDxfId="62">
  <autoFilter ref="A1:AD1897" xr:uid="{D1BD5F14-CD6F-4B62-85D2-128A9D3B5FF1}">
    <filterColumn colId="1">
      <filters blank="1">
        <filter val="2026"/>
      </filters>
    </filterColumn>
  </autoFilter>
  <sortState xmlns:xlrd2="http://schemas.microsoft.com/office/spreadsheetml/2017/richdata2" ref="A2:AD1897">
    <sortCondition ref="M1:M1897"/>
  </sortState>
  <tableColumns count="30">
    <tableColumn id="1" xr3:uid="{8AE24903-F27E-474C-AF29-0FECAEDFE9FB}" name="ID_TIPO" dataDxfId="61"/>
    <tableColumn id="2" xr3:uid="{CA0EF60D-2332-4353-800A-BF1D6AB67579}" name="Exerc." dataDxfId="60"/>
    <tableColumn id="30" xr3:uid="{0E9EF8C8-DB53-47E3-99E9-6792C71C0924}" name="Previsão " dataDxfId="59"/>
    <tableColumn id="3" xr3:uid="{EDC5802D-434D-45C1-B5BC-16987A61D5BF}" name="Status Evento" dataDxfId="58"/>
    <tableColumn id="4" xr3:uid="{1370F6A2-3D37-4668-BFB0-292B342ABAAF}" name="Processo" dataDxfId="57"/>
    <tableColumn id="5" xr3:uid="{5815BAF6-7E16-471F-871A-660E52353FAA}" name="Temática" dataDxfId="56"/>
    <tableColumn id="6" xr3:uid="{E912005C-37F8-491D-A5A2-16C77E69C040}" name="DESTAQUE" dataDxfId="55"/>
    <tableColumn id="7" xr3:uid="{167DD79A-D7DE-436C-825A-9366BAAA9B9A}" name="Descrição Dest." dataDxfId="54"/>
    <tableColumn id="8" xr3:uid="{AC411040-79D1-4395-949A-72410BF8BBAC}" name="Público-Alvo" dataDxfId="53"/>
    <tableColumn id="9" xr3:uid="{B222E746-01D3-4468-8F6B-436FFD74E0C9}" name="Programa" dataDxfId="52"/>
    <tableColumn id="10" xr3:uid="{FE66E9BD-7E43-42C1-941C-6FA9D84FE629}" name="TIPO ESCON" dataDxfId="51"/>
    <tableColumn id="11" xr3:uid="{6A622646-ECF9-4FB6-9A9B-05ABD7C5F691}" name="Data TXT" dataDxfId="50"/>
    <tableColumn id="12" xr3:uid="{C0A3C722-6C24-403D-8F2C-CA54520E4A96}" name="Início" dataDxfId="49"/>
    <tableColumn id="13" xr3:uid="{48B4229D-DE23-4987-8C68-989A828B69B4}" name="Término" dataDxfId="48"/>
    <tableColumn id="14" xr3:uid="{4EA1F950-E730-411A-8F91-3F39A40AF6EA}" name="Modalidade" dataDxfId="47"/>
    <tableColumn id="15" xr3:uid="{BDACBBA1-01A3-45C5-81D2-74A91D77DF93}" name="Valor Insc." dataDxfId="46" dataCellStyle="Moeda"/>
    <tableColumn id="16" xr3:uid="{E6A85113-C5DD-4880-8F05-96B4F8115DC0}" name="V. Coffee Break" dataDxfId="45"/>
    <tableColumn id="17" xr3:uid="{4D2018E6-BE3D-4227-8F67-33D69B9EBC6D}" name="Nota Av. Reação" dataDxfId="44"/>
    <tableColumn id="18" xr3:uid="{490B71C6-30D9-4AB1-B3A6-8F70ABF18377}" name="%Av. Reação" dataDxfId="43"/>
    <tableColumn id="19" xr3:uid="{07643E40-09AD-4561-BFDE-2F0E0F973E56}" name="Qtd Vagas" dataDxfId="42"/>
    <tableColumn id="20" xr3:uid="{AB2C7B45-9FAD-4283-B327-AD8DA60FF5C8}" name="P. Servidores" dataDxfId="41"/>
    <tableColumn id="21" xr3:uid="{DD9273F2-9104-4132-A446-1ACC9B899DB4}" name="P. Jurisdicionados" dataDxfId="40"/>
    <tableColumn id="22" xr3:uid="{BD88A827-C8B9-4627-8498-55210B9F54DD}" name="P. Sociedade" dataDxfId="39"/>
    <tableColumn id="23" xr3:uid="{279824EA-8F67-4ACD-9790-B3FFCD3A093C}" name="Total Part." dataDxfId="38"/>
    <tableColumn id="24" xr3:uid="{9E48E4C8-D03A-4031-8DDD-4A940C668376}" name="C.H." dataDxfId="37"/>
    <tableColumn id="25" xr3:uid="{D7A27E84-3C9B-4C0E-BE7F-7E7BD61997C5}" name="Mikhail" dataDxfId="36"/>
    <tableColumn id="26" xr3:uid="{704F2D16-0C35-4169-897E-5BEC5DD25B83}" name="Instrutor" dataDxfId="35"/>
    <tableColumn id="27" xr3:uid="{82DE90F1-1083-400A-9CB7-ADA3E9D3AD21}" name="Objetivo Geral" dataDxfId="34"/>
    <tableColumn id="28" xr3:uid="{AB991582-149B-48DD-8624-F8556B94C239}" name="Coluna1" dataDxfId="33"/>
    <tableColumn id="29" xr3:uid="{D654908B-5359-482D-8F75-EE841AC9AFCE}" name="Coluna2" dataDxfId="32"/>
  </tableColumns>
  <tableStyleInfo name="Ações Externas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8B321B-D3E0-4065-8E7B-726A06F27612}">
  <we:reference id="WA200009404" version="1.0.0.8" store="pt-pt" storeType="omex"/>
  <we:alternateReferences>
    <we:reference id="WA200009404" version="1.0.0.8" store="pt-pt" storeType="omex"/>
  </we:alternateReferences>
  <we:properties>
    <we:property name="claude.fileId" value="&quot;97e92f3a-5274-4681-8f9b-bc173348c42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rms.office.com/Pages/DesignPageV2.aspx?subpage=design&amp;FormId=ihiBcxMdFkOMXBklOdSA1CcSc_VjojVLkfynn-U9VX1URDZQN1BGMUs4RUs0OUNQUVEwQlU0SVJBVi4u&amp;Token=10b48b671f55407da798d9be050968f0" TargetMode="External"/><Relationship Id="rId21" Type="http://schemas.openxmlformats.org/officeDocument/2006/relationships/hyperlink" Target="https://forms.office.com/Pages/DesignPageV2.aspx?subpage=design&amp;FormId=ihiBcxMdFkOMXBklOdSA1DeeaGhFYAJIiOIMgFVVfgFUM0haM1U5WUIwM1NYSEdVSkxKMFFQQkFEVy4u&amp;Token=982d1b2326394ebca9810a5b9dc187e7" TargetMode="External"/><Relationship Id="rId42" Type="http://schemas.openxmlformats.org/officeDocument/2006/relationships/hyperlink" Target="https://forms.office.com/Pages/DesignPageV2.aspx?subpage=design&amp;FormId=ihiBcxMdFkOMXBklOdSA1HmixYPtZ1xLu3moYfQcI19UNDMzQ0tBVjhJUFdXNk83SFJPSDJOS0ZTRC4u&amp;Token=eea17f49f04d4d97bf0d80bb2311a9e4" TargetMode="External"/><Relationship Id="rId63" Type="http://schemas.openxmlformats.org/officeDocument/2006/relationships/hyperlink" Target="https://forms.office.com/Pages/DesignPageV2.aspx?subpage=design&amp;FormId=ihiBcxMdFkOMXBklOdSA1EnjMDmcDptIqzMY2A5SQ8tUMldCTzZJWFBXOVVKUktQSjFSNklWQ0U5Ui4u&amp;Token=e006d6045575467f86ed7789eee6928a" TargetMode="External"/><Relationship Id="rId84" Type="http://schemas.openxmlformats.org/officeDocument/2006/relationships/hyperlink" Target="https://forms.office.com/Pages/DesignPageV2.aspx?subpage=design&amp;FormId=ihiBcxMdFkOMXBklOdSA1OE41q1dD_lPttguSwQAoWRUQVM0WkJMMkRDSjVCVUc1WUVEVko3SUlWUS4u&amp;Token=36b41efe8bf6408485d258031c294dee" TargetMode="External"/><Relationship Id="rId138" Type="http://schemas.openxmlformats.org/officeDocument/2006/relationships/hyperlink" Target="https://forms.office.com/Pages/DesignPageV2.aspx?subpage=design&amp;FormId=ihiBcxMdFkOMXBklOdSA1CcSc_VjojVLkfynn-U9VX1UNzlJTDBHNlBQMDAyQUhHNEswMDBIM0szTy4u&amp;Token=27dd2b3ac62c45bf8df9415ea4dcc990" TargetMode="External"/><Relationship Id="rId107" Type="http://schemas.openxmlformats.org/officeDocument/2006/relationships/hyperlink" Target="https://forms.office.com/Pages/DesignPageV2.aspx?subpage=design&amp;FormId=ihiBcxMdFkOMXBklOdSA1OE41q1dD_lPttguSwQAoWRURFlKMFVSMzI1OEpJV1ZISlBBOUtDTzJXMS4u&amp;Token=e02130d8d5bc4b748336e3e6eee9ffd4" TargetMode="External"/><Relationship Id="rId11" Type="http://schemas.openxmlformats.org/officeDocument/2006/relationships/hyperlink" Target="https://forms.office.com/Pages/DesignPageV2.aspx?subpage=design&amp;FormId=ihiBcxMdFkOMXBklOdSA1HmixYPtZ1xLu3moYfQcI19UQlhRNVMxM1NUNzVHV1dKNU1YOENETlhESi4u&amp;Token=3b6275f4b2614ea6b18606a17100478c" TargetMode="External"/><Relationship Id="rId32" Type="http://schemas.openxmlformats.org/officeDocument/2006/relationships/hyperlink" Target="https://forms.office.com/Pages/DesignPageV2.aspx?subpage=design&amp;FormId=ihiBcxMdFkOMXBklOdSA1EnjMDmcDptIqzMY2A5SQ8tUMDlQWlQ1TkpOOFpBWENZSEFXTzg0RDZOVS4u&amp;Token=f85ca75ed23e4b8da33c0b2138c8b603" TargetMode="External"/><Relationship Id="rId37" Type="http://schemas.openxmlformats.org/officeDocument/2006/relationships/hyperlink" Target="https://forms.office.com/Pages/DesignPageV2.aspx?subpage=design&amp;FormId=ihiBcxMdFkOMXBklOdSA1EnjMDmcDptIqzMY2A5SQ8tUMTVYNjVHVlE3RDVETUtNU1pNR0xWM1Y3Qi4u&amp;Token=e2b804c23d0047dba31655b901c33f4b" TargetMode="External"/><Relationship Id="rId53" Type="http://schemas.openxmlformats.org/officeDocument/2006/relationships/hyperlink" Target="https://forms.office.com/Pages/DesignPageV2.aspx?subpage=design&amp;FormId=ihiBcxMdFkOMXBklOdSA1DeeaGhFYAJIiOIMgFVVfgFURFVXVjE3Ulo3SEgyQzJUR1VSMFg5ODVIRC4u&amp;Token=3447fc1c3d024ef0beca0f8531fe9b3e" TargetMode="External"/><Relationship Id="rId58" Type="http://schemas.openxmlformats.org/officeDocument/2006/relationships/hyperlink" Target="https://forms.office.com/Pages/DesignPageV2.aspx?subpage=design&amp;FormId=ihiBcxMdFkOMXBklOdSA1DeeaGhFYAJIiOIMgFVVfgFUQ0pVR0dDSUdVNUUzVURUS0EySVhOQlNXOS4u&amp;Token=db51b20ae7b849bdb4d266cdab863eca" TargetMode="External"/><Relationship Id="rId74" Type="http://schemas.openxmlformats.org/officeDocument/2006/relationships/hyperlink" Target="https://forms.office.com/Pages/DesignPageV2.aspx?subpage=design&amp;FormId=ihiBcxMdFkOMXBklOdSA1EnjMDmcDptIqzMY2A5SQ8tUMjBFVjFNVjlJVkRCTjNUMzExVFlJTkpSRi4u&amp;Token=6ec58cb2f4374eb69b4117bfc16eb9bf" TargetMode="External"/><Relationship Id="rId79" Type="http://schemas.openxmlformats.org/officeDocument/2006/relationships/hyperlink" Target="https://forms.office.com/Pages/DesignPageV2.aspx?subpage=design&amp;FormId=ihiBcxMdFkOMXBklOdSA1DeeaGhFYAJIiOIMgFVVfgFUQU40V1BDN0FDRTJFNzE5QjNJWUtFTjE1OC4u&amp;Token=92eed5a303eb43f796d4800d82faa7f4" TargetMode="External"/><Relationship Id="rId102" Type="http://schemas.openxmlformats.org/officeDocument/2006/relationships/hyperlink" Target="https://forms.office.com/Pages/DesignPageV2.aspx?subpage=design&amp;FormId=ihiBcxMdFkOMXBklOdSA1GW1b18aTnBApgapdOCAttRUQ01ONUlXNFlOUlg4NzhCUVhCUDE1WDRHTC4u&amp;Token=82621bd16517431ead334c50515ab2cf" TargetMode="External"/><Relationship Id="rId123" Type="http://schemas.openxmlformats.org/officeDocument/2006/relationships/hyperlink" Target="https://forms.office.com/Pages/DesignPageV2.aspx?subpage=design&amp;FormId=ihiBcxMdFkOMXBklOdSA1GaVL4WEvNtIiXBS4VMxdnJUNFY1STM3WDJDUDk5RVpLVzlCTTVJRllPQS4u&amp;Token=538a79034a0f408aa36257feab555ff9" TargetMode="External"/><Relationship Id="rId128" Type="http://schemas.openxmlformats.org/officeDocument/2006/relationships/hyperlink" Target="https://forms.office.com/Pages/DesignPageV2.aspx?subpage=design&amp;token=0b90bd6e28054571a5562afe19031940&amp;id=ihiBcxMdFkOMXBklOdSA1CcSc_VjojVLkfynn-U9VX1UNjRZUk5RNkVPWjlHM1haM1JPVE9XRERVUC4u" TargetMode="External"/><Relationship Id="rId5" Type="http://schemas.openxmlformats.org/officeDocument/2006/relationships/hyperlink" Target="https://forms.office.com/Pages/DesignPageV2.aspx?subpage=design&amp;FormId=ihiBcxMdFkOMXBklOdSA1EnjMDmcDptIqzMY2A5SQ8tUNTFETzVUV0JXSlFOMVhQSjVQUTdTRlBLOS4u&amp;Token=0bb30499c5a843e285d3674bad64df91" TargetMode="External"/><Relationship Id="rId90" Type="http://schemas.openxmlformats.org/officeDocument/2006/relationships/hyperlink" Target="https://forms.office.com/Pages/DesignPageV2.aspx?subpage=design&amp;FormId=ihiBcxMdFkOMXBklOdSA1OE41q1dD_lPttguSwQAoWRUQllNTks1WVlSVUpXVDVMOVRHWUo2SE1USy4u&amp;Token=981870a7c4a54ddaac3e5ef50f785701" TargetMode="External"/><Relationship Id="rId95" Type="http://schemas.openxmlformats.org/officeDocument/2006/relationships/hyperlink" Target="https://forms.office.com/Pages/DesignPageV2.aspx?subpage=design&amp;FormId=ihiBcxMdFkOMXBklOdSA1HmixYPtZ1xLu3moYfQcI19UQVA1NFdFVVpDREEyNjZOU0tCVkk5RVhXNy4u&amp;Token=62745499444d42c698a844f8bb8a55b7" TargetMode="External"/><Relationship Id="rId22" Type="http://schemas.openxmlformats.org/officeDocument/2006/relationships/hyperlink" Target="https://forms.office.com/Pages/DesignPageV2.aspx?subpage=design&amp;FormId=ihiBcxMdFkOMXBklOdSA1EnjMDmcDptIqzMY2A5SQ8tUMjJHVDVLQTA5UU5UTENVM0JYT0JGQUVYRC4u&amp;Token=54ccba6b9eeb4d438a6528f3fb4fdf73" TargetMode="External"/><Relationship Id="rId27" Type="http://schemas.openxmlformats.org/officeDocument/2006/relationships/hyperlink" Target="https://forms.office.com/Pages/DesignPageV2.aspx?subpage=design&amp;FormId=ihiBcxMdFkOMXBklOdSA1DeeaGhFYAJIiOIMgFVVfgFUNEQyODNLTE0xRzdBM1FDVEcwNUI2TlVLWC4u&amp;Token=2ae8e58bf46b48a2a2055980c5133430" TargetMode="External"/><Relationship Id="rId43" Type="http://schemas.openxmlformats.org/officeDocument/2006/relationships/hyperlink" Target="https://forms.office.com/Pages/DesignPageV2.aspx?subpage=design&amp;FormId=ihiBcxMdFkOMXBklOdSA1DeeaGhFYAJIiOIMgFVVfgFUOE5YUDdRTkk4VkJPMkVOMEJQR09JNUQ3Wi4u&amp;Token=8b9217c60b554f5c96c01c3273f4e49c" TargetMode="External"/><Relationship Id="rId48" Type="http://schemas.openxmlformats.org/officeDocument/2006/relationships/hyperlink" Target="https://forms.office.com/Pages/DesignPageV2.aspx?subpage=design&amp;FormId=ihiBcxMdFkOMXBklOdSA1DeeaGhFYAJIiOIMgFVVfgFUM0ZWSFhTMkFKSDJDVDRDVE9DVTdWQVI0OC4u&amp;Token=98fa07bd55d6439793ffd4d1209fd72c" TargetMode="External"/><Relationship Id="rId64" Type="http://schemas.openxmlformats.org/officeDocument/2006/relationships/hyperlink" Target="https://forms.office.com/Pages/DesignPageV2.aspx?subpage=design&amp;FormId=ihiBcxMdFkOMXBklOdSA1DeeaGhFYAJIiOIMgFVVfgFUMEZTNDVPVkdJRU1aRDBVMERZQlVTV1k5Mi4u&amp;Token=1efc399eb1574c929cc405f90e249b9f" TargetMode="External"/><Relationship Id="rId69" Type="http://schemas.openxmlformats.org/officeDocument/2006/relationships/hyperlink" Target="https://forms.office.com/Pages/DesignPageV2.aspx?subpage=design&amp;FormId=ihiBcxMdFkOMXBklOdSA1DeeaGhFYAJIiOIMgFVVfgFUQUlZQ09CMFpGWFk1V0pPUjk3UkVCRE9XQS4u&amp;Token=664e6b13c29049b5bb854de92ee89503" TargetMode="External"/><Relationship Id="rId113" Type="http://schemas.openxmlformats.org/officeDocument/2006/relationships/hyperlink" Target="https://forms.office.com/Pages/DesignPageV2.aspx?subpage=design&amp;FormId=ihiBcxMdFkOMXBklOdSA1CcSc_VjojVLkfynn-U9VX1UQVVMUzBNMzhLN1ZUOEw0VUQ4OEZGTzg4Uy4u&amp;Token=adac151615cd4b43935bb76ea604c65b" TargetMode="External"/><Relationship Id="rId118" Type="http://schemas.openxmlformats.org/officeDocument/2006/relationships/hyperlink" Target="https://forms.office.com/Pages/DesignPageV2.aspx?subpage=design&amp;FormId=ihiBcxMdFkOMXBklOdSA1GaVL4WEvNtIiXBS4VMxdnJUMUNGM1pOWllJRE8xTFJJU1ZPWEY2WEpNNC4u&amp;Token=3ebef28a29424051ad5e8aeb8c603abb" TargetMode="External"/><Relationship Id="rId134" Type="http://schemas.openxmlformats.org/officeDocument/2006/relationships/hyperlink" Target="https://forms.office.com/Pages/DesignPageV2.aspx?subpage=design&amp;FormId=ihiBcxMdFkOMXBklOdSA1GaVL4WEvNtIiXBS4VMxdnJUNEc3NTI2WU8wMk44NVFPMVM5NEdINVRITS4u&amp;Token=1ed57ca28b134fa4aaf29c0c0ce7cc0b" TargetMode="External"/><Relationship Id="rId139" Type="http://schemas.openxmlformats.org/officeDocument/2006/relationships/hyperlink" Target="https://forms.office.com/Pages/DesignPageV2.aspx?subpage=design&amp;FormId=ihiBcxMdFkOMXBklOdSA1CcSc_VjojVLkfynn-U9VX1UMEhSTTNMUDFNREsxTVlCRVlIMzE0WlEyUC4u&amp;Token=50e8c20028f0439c9a233cc85f0f3e54" TargetMode="External"/><Relationship Id="rId80" Type="http://schemas.openxmlformats.org/officeDocument/2006/relationships/hyperlink" Target="https://forms.office.com/Pages/DesignPageV2.aspx?subpage=design&amp;FormId=RKhJ2uPir0CGpsOBnXBPSexu_f6uHqRIm4CJLXuN3W5URERIQlkwMzY4MDM2QUtTQlkwWlRYSzRXUy4u&amp;Token=531322d4e5d5429388d7331e562ae72a" TargetMode="External"/><Relationship Id="rId85" Type="http://schemas.openxmlformats.org/officeDocument/2006/relationships/hyperlink" Target="https://forms.office.com/Pages/DesignPageV2.aspx?subpage=design&amp;FormId=ihiBcxMdFkOMXBklOdSA1OE41q1dD_lPttguSwQAoWRUNlZQRkdUNENIU1dTNzZCMEFKS0VWOUw0QS4u&amp;Token=e1e7a5b790aa491ca9663982264cc40a" TargetMode="External"/><Relationship Id="rId12" Type="http://schemas.openxmlformats.org/officeDocument/2006/relationships/hyperlink" Target="https://forms.office.com/Pages/DesignPageV2.aspx?subpage=design&amp;FormId=ihiBcxMdFkOMXBklOdSA1HmixYPtZ1xLu3moYfQcI19UOUxWSlM3UTZMQ0pVWVRCWFZGWFo0SVZaVS4u&amp;Token=9cdb842b8f6b42709ee520fade4f7ece" TargetMode="External"/><Relationship Id="rId17" Type="http://schemas.openxmlformats.org/officeDocument/2006/relationships/hyperlink" Target="https://forms.office.com/Pages/DesignPageV2.aspx?subpage=design&amp;FormId=ihiBcxMdFkOMXBklOdSA1DeeaGhFYAJIiOIMgFVVfgFUOTJZM0g3VzdJRkowR0pSTjdTRDFBOEVVSy4u&amp;Token=cbc7a55ecac5477eb55438c410ba149b" TargetMode="External"/><Relationship Id="rId33" Type="http://schemas.openxmlformats.org/officeDocument/2006/relationships/hyperlink" Target="https://forms.office.com/Pages/DesignPageV2.aspx?subpage=design&amp;FormId=ihiBcxMdFkOMXBklOdSA1EnjMDmcDptIqzMY2A5SQ8tUOEFHOTFDVk9FSzROVlUxN0NFMVJJRTJaOC4u&amp;Token=cc91088dc03f485cb1ff979487c04b1d" TargetMode="External"/><Relationship Id="rId38" Type="http://schemas.openxmlformats.org/officeDocument/2006/relationships/hyperlink" Target="https://forms.office.com/Pages/DesignPageV2.aspx?subpage=design&amp;FormId=ihiBcxMdFkOMXBklOdSA1DeeaGhFYAJIiOIMgFVVfgFUNE9GVUVPV0ZSTVY1V1dNVFVIVEZGTlZUMC4u&amp;Token=cddad3cbab96413787991a4f37df4453" TargetMode="External"/><Relationship Id="rId59" Type="http://schemas.openxmlformats.org/officeDocument/2006/relationships/hyperlink" Target="https://forms.office.com/r/PFCCKXDui9" TargetMode="External"/><Relationship Id="rId103" Type="http://schemas.openxmlformats.org/officeDocument/2006/relationships/hyperlink" Target="https://forms.office.com/Pages/DesignPageV2.aspx?subpage=design&amp;FormId=ihiBcxMdFkOMXBklOdSA1OE41q1dD_lPttguSwQAoWRURURPS0JGNFhNUjdGREQ0QUgwTUtOVVhVUy4u&amp;Token=627cfce7ffbb44bdbb50c09b26bc9033" TargetMode="External"/><Relationship Id="rId108" Type="http://schemas.openxmlformats.org/officeDocument/2006/relationships/hyperlink" Target="https://forms.office.com/Pages/DesignPageV2.aspx?subpage=design&amp;FormId=ihiBcxMdFkOMXBklOdSA1GaVL4WEvNtIiXBS4VMxdnJUNVhYVkFXQUxFTzg2TFVXU01NOEkzVDNKRi4u&amp;Token=f492b556d13a4c22953de264bf52e614" TargetMode="External"/><Relationship Id="rId124" Type="http://schemas.openxmlformats.org/officeDocument/2006/relationships/hyperlink" Target="https://forms.office.com/Pages/DesignPageV2.aspx?subpage=design&amp;FormId=ihiBcxMdFkOMXBklOdSA1CcSc_VjojVLkfynn-U9VX1URVo1VEFZNDM5VzlLSTBWUVo2MktWMUE1TS4u&amp;Token=95d02b925fde4371896883b89adfab45" TargetMode="External"/><Relationship Id="rId129" Type="http://schemas.openxmlformats.org/officeDocument/2006/relationships/hyperlink" Target="https://forms.office.com/Pages/DesignPageV2.aspx?subpage=design&amp;token=1c030107237e48bcbbc25cb90ccded42&amp;id=ihiBcxMdFkOMXBklOdSA1CcSc_VjojVLkfynn-U9VX1UMEcwODhZSkxZT1IwUUhUWVVDN1E0TUtHTi4u" TargetMode="External"/><Relationship Id="rId54" Type="http://schemas.openxmlformats.org/officeDocument/2006/relationships/hyperlink" Target="https://forms.office.com/Pages/DesignPageV2.aspx?subpage=design&amp;FormId=ihiBcxMdFkOMXBklOdSA1DeeaGhFYAJIiOIMgFVVfgFURVpPMkJDTTlHTEpPUzJEWkE1RVdQUTRFRS4u&amp;Token=e021e7626a3245c497bba49af5f89348" TargetMode="External"/><Relationship Id="rId70" Type="http://schemas.openxmlformats.org/officeDocument/2006/relationships/hyperlink" Target="https://forms.office.com/Pages/DesignPageV2.aspx?subpage=design&amp;FormId=ihiBcxMdFkOMXBklOdSA1DeeaGhFYAJIiOIMgFVVfgFUN1pPNjlLRTBKQ0NZWUZJNkdCMDBSUFo2My4u&amp;Token=95c04d849c6d4682bd0627a388a4547f" TargetMode="External"/><Relationship Id="rId75" Type="http://schemas.openxmlformats.org/officeDocument/2006/relationships/hyperlink" Target="https://forms.office.com/Pages/DesignPageV2.aspx?subpage=design&amp;FormId=ihiBcxMdFkOMXBklOdSA1HmixYPtZ1xLu3moYfQcI19UNTlQS1ZaQ0lFMExGVzM4R0VORDFPQ1hMQi4u&amp;Token=edf4dfe1e7424ae283aa651b1711ab8d" TargetMode="External"/><Relationship Id="rId91" Type="http://schemas.openxmlformats.org/officeDocument/2006/relationships/hyperlink" Target="https://forms.office.com/Pages/Designsubpage=design&amp;FormId=ihiBcxMdFkOMXBklOdSA1OE41q1dD_lPttguSwQAoWRUQ0RDVFFLMVRNUkhDUVUzTE1ZS0owODhORy4u&amp;Token=048f814776134381ac3d24efd2625827" TargetMode="External"/><Relationship Id="rId96" Type="http://schemas.openxmlformats.org/officeDocument/2006/relationships/hyperlink" Target="https://forms.office.com/Pages/DesignPageV2.aspx?subpage=design&amp;FormId=ihiBcxMdFkOMXBklOdSA1OE41q1dD_lPttguSwQAoWRUQkg2WjFMNUdaNjRCSFlQVkZLMDJFWDBaWi4u&amp;Token=c9b9c72641de4af3b97a9783ea9b92a2" TargetMode="External"/><Relationship Id="rId140" Type="http://schemas.openxmlformats.org/officeDocument/2006/relationships/printerSettings" Target="../printerSettings/printerSettings5.bin"/><Relationship Id="rId1" Type="http://schemas.openxmlformats.org/officeDocument/2006/relationships/hyperlink" Target="https://forms.office.com/Pages/DesignPageV2.aspx?subpage=design&amp;FormId=ihiBcxMdFkOMXBklOdSA1EnjMDmcDptIqzMY2A5SQ8tURVBYWThRUVg2S0U2VjlWQjJGOUpZSzQ4Ui4u&amp;Token=c4a1cd778f594447b56d834dd963de8c" TargetMode="External"/><Relationship Id="rId6" Type="http://schemas.openxmlformats.org/officeDocument/2006/relationships/hyperlink" Target="https://forms.office.com/Pages/DesignPageV2.aspx?subpage=design&amp;FormId=ihiBcxMdFkOMXBklOdSA1HmixYPtZ1xLu3moYfQcI19UOFZSWTFaQ0RQVDlaMlNMWDIzWFVIMUFLMS4u&amp;Token=a76025b1b453456b880c4da56ad9151d" TargetMode="External"/><Relationship Id="rId23" Type="http://schemas.openxmlformats.org/officeDocument/2006/relationships/hyperlink" Target="https://forms.office.com/Pages/DesignPageV2.aspx?subpage=design&amp;FormId=ihiBcxMdFkOMXBklOdSA1EnjMDmcDptIqzMY2A5SQ8tURE5TNVRFMTNUV081NU84VUhITUUzSTFBOC4u&amp;Token=28cacd836928434d95a0b04188507868" TargetMode="External"/><Relationship Id="rId28" Type="http://schemas.openxmlformats.org/officeDocument/2006/relationships/hyperlink" Target="https://forms.office.com/Pages/DesignPageV2.aspx?subpage=design&amp;FormId=ihiBcxMdFkOMXBklOdSA1EnjMDmcDptIqzMY2A5SQ8tUMjZFRUxMTU41WUU1WUQ2R0VSQTZIUFFJVi4u&amp;Token=cef85a91b12b4a6c962373a061ab3141" TargetMode="External"/><Relationship Id="rId49" Type="http://schemas.openxmlformats.org/officeDocument/2006/relationships/hyperlink" Target="https://forms.office.com/Pages/DesignPageV2.aspx?subpage=design&amp;FormId=ihiBcxMdFkOMXBklOdSA1DeeaGhFYAJIiOIMgFVVfgFUM0ZWSFhTMkFKSDJDVDRDVE9DVTdWQVI0OC4u&amp;Token=98fa07bd55d6439793ffd4d1209fd72c" TargetMode="External"/><Relationship Id="rId114" Type="http://schemas.openxmlformats.org/officeDocument/2006/relationships/hyperlink" Target="https://forms.office.com/Pages/DesignPageV2.aspx?subpage=design&amp;FormId=ihiBcxMdFkOMXBklOdSA1CcSc_VjojVLkfynn-U9VX1UQk9ETlVGRjI1UUVISDY2TUQ1MVBaNDIyQi4u&amp;Token=3ca10cff4ef143db8cd228847f754aec" TargetMode="External"/><Relationship Id="rId119" Type="http://schemas.openxmlformats.org/officeDocument/2006/relationships/hyperlink" Target="https://forms.office.com/Pages/DesignPageV2.aspx?subpage=design&amp;token=2c97aaa22d4a4f8496adcca87de060da&amp;id=ihiBcxMdFkOMXBklOdSA1CcSc_VjojVLkfynn-U9VX1UQVoxVTdTTTZaMlRGTUY0TjZaOTI5MVg4VS4u" TargetMode="External"/><Relationship Id="rId44" Type="http://schemas.openxmlformats.org/officeDocument/2006/relationships/hyperlink" Target="https://forms.office.com/Pages/DesignPageV2.aspx?subpage=design&amp;FormId=ihiBcxMdFkOMXBklOdSA1EnjMDmcDptIqzMY2A5SQ8tUMEJGUVE3SUtPQlgzQUk0Rkw5QTEyUUJYUC4u&amp;Token=1dde7a1d11894f7cb3f96e68587417d2" TargetMode="External"/><Relationship Id="rId60" Type="http://schemas.openxmlformats.org/officeDocument/2006/relationships/hyperlink" Target="https://forms.office.com/Pages/DesignPageV2.aspx?subpage=design&amp;FormId=ihiBcxMdFkOMXBklOdSA1DeeaGhFYAJIiOIMgFVVfgFURDc5M1REM01FTEs1TTFEVEJHN1RVTEJDTy4u&amp;Token=fa0a10769e5b47a0b08012da14ffe2b6" TargetMode="External"/><Relationship Id="rId65" Type="http://schemas.openxmlformats.org/officeDocument/2006/relationships/hyperlink" Target="https://forms.office.com/Pages/DesignPageV2.aspx?subpage=design&amp;FormId=ihiBcxMdFkOMXBklOdSA1DeeaGhFYAJIiOIMgFVVfgFUN0tXMVRLQkJHNVlGWFIxV1M2SzNBMDVOMy4u&amp;Token=7eb347e302004f7b98aa643382baff4f" TargetMode="External"/><Relationship Id="rId81" Type="http://schemas.openxmlformats.org/officeDocument/2006/relationships/hyperlink" Target="https://forms.office.com/Pages/DesignPageV2.aspx?subpage=design&amp;FormId=ihiBcxMdFkOMXBklOdSA1OE41q1dD_lPttguSwQAoWRUMjBSUlFKUlFYTFIyWkVHNVVNMVlLOU9aWC4u&amp;Token=7682f89d2307454f818b43a86aef7288" TargetMode="External"/><Relationship Id="rId86" Type="http://schemas.openxmlformats.org/officeDocument/2006/relationships/hyperlink" Target="https://forms.office.com/Pages/DesignPageV2.aspx?subpage=design&amp;FormId=ihiBcxMdFkOMXBklOdSA1OE41q1dD_lPttguSwQAoWRUQ1hGTlkwUlZJQjg1VUFNVDJUMVRBTDlPUy4u&amp;Token=0ff292838cc9491d8fc69c3ac389ab84" TargetMode="External"/><Relationship Id="rId130" Type="http://schemas.openxmlformats.org/officeDocument/2006/relationships/hyperlink" Target="https://forms.office.com/Pages/DesignPageV2.aspx?subpage=design&amp;FormId=ihiBcxMdFkOMXBklOdSA1GaVL4WEvNtIiXBS4VMxdnJUMVpFTUZFTEhBQ0lOQUVOVk9SQldVWUlOQi4u&amp;Token=75614f8da4d54a9daf306785b0d1a933" TargetMode="External"/><Relationship Id="rId135" Type="http://schemas.openxmlformats.org/officeDocument/2006/relationships/hyperlink" Target="https://forms.office.com/Pages/DesignPageV2.aspx?subpage=design&amp;FormId=ihiBcxMdFkOMXBklOdSA1CcSc_VjojVLkfynn-U9VX1UMFFFVDUxMERPT0w2NURNSldKTTFFVzJQVy4u&amp;Token=131e5e33251045169ef0781e997a205f" TargetMode="External"/><Relationship Id="rId13" Type="http://schemas.openxmlformats.org/officeDocument/2006/relationships/hyperlink" Target="https://forms.office.com/Pages/DesignPageV2.aspx?subpage=design&amp;FormId=ihiBcxMdFkOMXBklOdSA1HmixYPtZ1xLu3moYfQcI19UNkNVS05TMExESDRWTFcwMkNISExSSDRNSS4u&amp;Token=aec8a91c97404723b9efa01f43b6c72a" TargetMode="External"/><Relationship Id="rId18" Type="http://schemas.openxmlformats.org/officeDocument/2006/relationships/hyperlink" Target="https://forms.office.com/Pages/DesignPageV2.aspx?subpage=design&amp;FormId=ihiBcxMdFkOMXBklOdSA1HmixYPtZ1xLu3moYfQcI19UMkFNM002NFpHSVlBNlgyT0JOVzhVOTdCVi4u&amp;Token=960b446d57174f238952b1ec70923e03" TargetMode="External"/><Relationship Id="rId39" Type="http://schemas.openxmlformats.org/officeDocument/2006/relationships/hyperlink" Target="https://forms.office.com/Pages/DesignPageV2.aspx?subpage=design&amp;FormId=ihiBcxMdFkOMXBklOdSA1DeeaGhFYAJIiOIMgFVVfgFUN09LWUpEVUxNVDZNMTFIQ1BIQ0c1UjVTRS4u&amp;Token=e51e55df154342f4829d1a37f6d2e777" TargetMode="External"/><Relationship Id="rId109" Type="http://schemas.openxmlformats.org/officeDocument/2006/relationships/hyperlink" Target="https://forms.office.com/Pages/DesignPageV2.aspx?subpage=design&amp;FormId=ihiBcxMdFkOMXBklOdSA1GaVL4WEvNtIiXBS4VMxdnJUQjBTOUJCVDRUN0hJV1ZUT01UNUtMNzNYTS4u&amp;Token=b35678148259402f9b90612afe4b8376" TargetMode="External"/><Relationship Id="rId34" Type="http://schemas.openxmlformats.org/officeDocument/2006/relationships/hyperlink" Target="https://forms.office.com/Pages/DesignPageV2.aspx?subpage=design&amp;FormId=ihiBcxMdFkOMXBklOdSA1EnjMDmcDptIqzMY2A5SQ8tUMTFORENPV0VTWlFEOFBHNk9XVURJSjhUTC4u&amp;Token=7b737ab5fcc04d6ab462948da09d332c" TargetMode="External"/><Relationship Id="rId50" Type="http://schemas.openxmlformats.org/officeDocument/2006/relationships/hyperlink" Target="https://forms.office.com/Pages/DesignPageV2.aspx?subpage=design&amp;token=23fed8ccaf7b4e97b9c0e3bc7be1f223&amp;id=ihiBcxMdFkOMXBklOdSA1DeeaGhFYAJIiOIMgFVVfgFUMzc3RkdBTEVRS0w1UjdaUjVBOEhNNVZWVy4u" TargetMode="External"/><Relationship Id="rId55" Type="http://schemas.openxmlformats.org/officeDocument/2006/relationships/hyperlink" Target="https://forms.office.com/Pages/DesignPageV2.aspx?subpage=design&amp;FormId=ihiBcxMdFkOMXBklOdSA1DeeaGhFYAJIiOIMgFVVfgFURjNRRkpPSUVWMlRLVDFENTZWOVBLVFdXMC4u&amp;Token=7297eca128684ccdb9b8cbca923fed57" TargetMode="External"/><Relationship Id="rId76" Type="http://schemas.openxmlformats.org/officeDocument/2006/relationships/hyperlink" Target="https://forms.office.com/Pages/DesignPageV2.aspx?subpage=design&amp;FormId=ihiBcxMdFkOMXBklOdSA1DeeaGhFYAJIiOIMgFVVfgFUQTBBNExTWDFTODJNR1E0NEdPSENHTU9ZRC4u&amp;Token=876dd27f190249a887d98d0aef23ca3e" TargetMode="External"/><Relationship Id="rId97" Type="http://schemas.openxmlformats.org/officeDocument/2006/relationships/hyperlink" Target="https://forms.office.com/Pages/DesignPageV2.aspx?subpage=design&amp;FormId=ihiBcxMdFkOMXBklOdSA1GaVL4WEvNtIiXBS4VMxdnJUMzBOMDVKUks0TENIUjRGV0U4WVhTTkZIMC4u&amp;Token=b31d844d2cb44945a304953af58f9872" TargetMode="External"/><Relationship Id="rId104" Type="http://schemas.openxmlformats.org/officeDocument/2006/relationships/hyperlink" Target="https://forms.office.com/Pages/DesignPageV2.aspx?subpage=design&amp;FormId=ihiBcxMdFkOMXBklOdSA1GaVL4WEvNtIiXBS4VMxdnJURElFSEg5SVhKM1VPQkg0NElLODFUSEZOWS4u&amp;Token=58004391a66a4a508cf955d0925c7422" TargetMode="External"/><Relationship Id="rId120" Type="http://schemas.openxmlformats.org/officeDocument/2006/relationships/hyperlink" Target="https://forms.office.com/Pages/DesignPageV2.aspx?subpage=design&amp;FormId=ihiBcxMdFkOMXBklOdSA1GaVL4WEvNtIiXBS4VMxdnJUOUdKMkdPQVQ1NlgyRjdPMEs0RUZLWTM0WS4u&amp;Token=e7113977ffbe4ed5a3dbd44345a26ef9" TargetMode="External"/><Relationship Id="rId125" Type="http://schemas.openxmlformats.org/officeDocument/2006/relationships/hyperlink" Target="https://forms.office.com/Pages/DesignPageV2.aspx?subpage=design&amp;FormId=ihiBcxMdFkOMXBklOdSA1GaVL4WEvNtIiXBS4VMxdnJUQ1U3NE9XUFJIMjNNU0NSVVk4Q1lLV0E3SC4u&amp;Token=aecbfa46094f430480254f0381019544" TargetMode="External"/><Relationship Id="rId141" Type="http://schemas.openxmlformats.org/officeDocument/2006/relationships/table" Target="../tables/table3.xml"/><Relationship Id="rId7" Type="http://schemas.openxmlformats.org/officeDocument/2006/relationships/hyperlink" Target="https://forms.office.com/Pages/DesignPageV2.aspx?subpage=design&amp;FormId=ihiBcxMdFkOMXBklOdSA1DeeaGhFYAJIiOIMgFVVfgFUNlNKMDFDSVRDT1lQTlk5Sks4Tk9JMFNLTi4u&amp;Token=58890e712b56411f9dccfca35aaf731e" TargetMode="External"/><Relationship Id="rId71" Type="http://schemas.openxmlformats.org/officeDocument/2006/relationships/hyperlink" Target="https://forms.office.com/Pages/DesignPageV2.aspx?subpage=design&amp;FormId=ihiBcxMdFkOMXBklOdSA1DeeaGhFYAJIiOIMgFVVfgFUNUtQT1VOME8xUkFHTVBXRzZBTVBIVldNNy4u&amp;Token=c1324ee3c29b4cd2846d9586ee5736a2" TargetMode="External"/><Relationship Id="rId92" Type="http://schemas.openxmlformats.org/officeDocument/2006/relationships/hyperlink" Target="https://forms.office.com/Pages/DesignPageV2.aspx?subpage=design&amp;FormId=ihiBcxMdFkOMXBklOdSA1OE41q1dD_lPttguSwQAoWRUMlA2Q1JDV1RDQUtHSUJSQzdTOUU4MUdPRC4u&amp;Token=19a30ddb16534349b3179015a58dfef1" TargetMode="External"/><Relationship Id="rId2" Type="http://schemas.openxmlformats.org/officeDocument/2006/relationships/hyperlink" Target="https://forms.office.com/Pages/DesignPageV2.aspx?subpage=design&amp;FormId=ihiBcxMdFkOMXBklOdSA1EnjMDmcDptIqzMY2A5SQ8tUQVVHTlVLWlVFSlY4MDhWRDhXMVc4TzJWUS4u&amp;Token=3cf921f7a454419fb6e84d0c8cc76ebd" TargetMode="External"/><Relationship Id="rId29" Type="http://schemas.openxmlformats.org/officeDocument/2006/relationships/hyperlink" Target="https://forms.office.com/Pages/DesignPageV2.aspx?subpage=design&amp;FormId=ihiBcxMdFkOMXBklOdSA1G6keaewTLtItJjmxaqzrihUMDQ5NkowTkxKM1FPRDU0NkI1WU9PSEhSQy4u&amp;Token=020415bd7fc74a68ab708b1c87da8108" TargetMode="External"/><Relationship Id="rId24" Type="http://schemas.openxmlformats.org/officeDocument/2006/relationships/hyperlink" Target="https://forms.office.com/Pages/DesignPageV2.aspx?subpage=design&amp;FormId=ihiBcxMdFkOMXBklOdSA1EnjMDmcDptIqzMY2A5SQ8tUMTNEUFJVVkNSMU5UMVpHQk5EMlYxN1U2My4u&amp;Token=745838acdfb74a57823ac310d9cc2a08" TargetMode="External"/><Relationship Id="rId40" Type="http://schemas.openxmlformats.org/officeDocument/2006/relationships/hyperlink" Target="https://forms.office.com/Pages/DesignPageV2.aspx?subpage=design&amp;FormId=ihiBcxMdFkOMXBklOdSA1DeeaGhFYAJIiOIMgFVVfgFUMlpDTTQwSVBBWlRHTUZLSVZOSENXUkk4Ty4u&amp;Token=892146028f01402f9cfa5095e5326a5e" TargetMode="External"/><Relationship Id="rId45" Type="http://schemas.openxmlformats.org/officeDocument/2006/relationships/hyperlink" Target="https://forms.office.com/Pages/DesignPageV2.aspx?subpage=design&amp;FormId=ihiBcxMdFkOMXBklOdSA1DeeaGhFYAJIiOIMgFVVfgFUNFNESVdTU1ZSUUxTNkhKWU1XWEVTVUdHUy4u&amp;Token=85f000db950f469aac6915c8a3b8a025" TargetMode="External"/><Relationship Id="rId66" Type="http://schemas.openxmlformats.org/officeDocument/2006/relationships/hyperlink" Target="https://forms.office.com/Pages/DesignPageV2.aspx?subpage=design&amp;FormId=ihiBcxMdFkOMXBklOdSA1DeeaGhFYAJIiOIMgFVVfgFUMlFPVVNDMTRKSUhLUTAwRUNOQllISldMUy4u&amp;Token=3a877088dc064636a0cd46d94f4e7480" TargetMode="External"/><Relationship Id="rId87" Type="http://schemas.openxmlformats.org/officeDocument/2006/relationships/hyperlink" Target="https://forms.office.com/Pages/DesignPageV2.aspx?subpage=design&amp;FormId=ihiBcxMdFkOMXBklOdSA1OE41q1dD_lPttguSwQAoWRUQ1kzT1AzWjdNM1U0OUlHMjU1NU5TRElZVy4u&amp;Token=279d252e4aa947c0b9d199c9a7fdd6c8" TargetMode="External"/><Relationship Id="rId110" Type="http://schemas.openxmlformats.org/officeDocument/2006/relationships/hyperlink" Target="https://forms.office.com/Pages/DesignPageV2.aspx?subpage=design&amp;FormId=ihiBcxMdFkOMXBklOdSA1GaVL4WEvNtIiXBS4VMxdnJUN0hYSkpHM1hQVENWS1BRRUE4VU8wVVE2TC4u&amp;Token=01a15fb64327428e855d77056f6c1dae" TargetMode="External"/><Relationship Id="rId115" Type="http://schemas.openxmlformats.org/officeDocument/2006/relationships/hyperlink" Target="https://forms.office.com/Pages/DesignPageV2.aspx?subpage=design&amp;FormId=ihiBcxMdFkOMXBklOdSA1GaVL4WEvNtIiXBS4VMxdnJUMVc1MlhEU1hDM0hCMFhHQzc5TU1DUFQyRS4u&amp;Token=de99d707c0eb421eb4202ba7b73fab89" TargetMode="External"/><Relationship Id="rId131" Type="http://schemas.openxmlformats.org/officeDocument/2006/relationships/hyperlink" Target="https://forms.office.com/Pages/DesignPageV2.aspx?subpage=design&amp;FormId=ihiBcxMdFkOMXBklOdSA1GaVL4WEvNtIiXBS4VMxdnJUQzcwQk1IRUtJR1dMN1ZTR0tENTFXNVlUMS4u&amp;Token=b84a431cc2384372907941a913b838fb" TargetMode="External"/><Relationship Id="rId136" Type="http://schemas.openxmlformats.org/officeDocument/2006/relationships/hyperlink" Target="https://forms.cloud.microsoft/Pages/DesignPageV2.aspx?subpage=design&amp;FormId=ihiBcxMdFkOMXBklOdSA1GaVL4WEvNtIiXBS4VMxdnJUMDZQQzQ4Mkg2UE1CMjUzVDMzQVJNRTJJTC4u&amp;Token=06a4bd53a772435d804faeafeb12de1d" TargetMode="External"/><Relationship Id="rId61" Type="http://schemas.openxmlformats.org/officeDocument/2006/relationships/hyperlink" Target="https://forms.office.com/Pages/DesignPageV2.aspx?subpage=design&amp;FormId=ihiBcxMdFkOMXBklOdSA1DeeaGhFYAJIiOIMgFVVfgFUMTlOVDFQR1lEMDQwSlQyQVJNOEM3R0xOWi4u&amp;Token=41846392042043f6a5d9fbb6fba2ac44" TargetMode="External"/><Relationship Id="rId82" Type="http://schemas.openxmlformats.org/officeDocument/2006/relationships/hyperlink" Target="https://forms.office.com/Pages/DesignPageV2.aspx?subpage=design&amp;FormId=ihiBcxMdFkOMXBklOdSA1EnjMDmcDptIqzMY2A5SQ8tUME4xVlJJVkFWVk0yRVYzOUE0REVCWTdCOS4u&amp;Token=1c3f618e892b4feeac5092327d4333b3" TargetMode="External"/><Relationship Id="rId19" Type="http://schemas.openxmlformats.org/officeDocument/2006/relationships/hyperlink" Target="https://forms.office.com/Pages/DesignPageV2.aspx?subpage=design&amp;FormId=ihiBcxMdFkOMXBklOdSA1HmixYPtZ1xLu3moYfQcI19UMlBFUFc4QU9SU002N1RaMDIxVDg3MEhWMC4u&amp;Token=041bd4bbc67c4e3cb50d92ca5cc7e3f1" TargetMode="External"/><Relationship Id="rId14" Type="http://schemas.openxmlformats.org/officeDocument/2006/relationships/hyperlink" Target="https://forms.office.com/Pages/DesignPageV2.aspx?subpage=design&amp;FormId=ihiBcxMdFkOMXBklOdSA1HmixYPtZ1xLu3moYfQcI19URDJSWU82QzhWRkxTTFk1U1FYRklUN04yTS4u&amp;Token=b37688cb6b954014b38c2eab862645cc" TargetMode="External"/><Relationship Id="rId30" Type="http://schemas.openxmlformats.org/officeDocument/2006/relationships/hyperlink" Target="https://forms.office.com/Pages/DesignPageV2.aspx?subpage=design&amp;FormId=ihiBcxMdFkOMXBklOdSA1HmixYPtZ1xLu3moYfQcI19UQlFBWDdOMTFaUlJaWEFQMEhSWTNFWUhERy4u&amp;Token=e921405402954e02a168667355b1d788" TargetMode="External"/><Relationship Id="rId35" Type="http://schemas.openxmlformats.org/officeDocument/2006/relationships/hyperlink" Target="https://forms.office.com/Pages/DesignPageV2.aspx?subpage=design&amp;FormId=ihiBcxMdFkOMXBklOdSA1HmixYPtZ1xLu3moYfQcI19UMVEyN1BOOUNIUU1LMTZQWkVYMDhISEc5Si4u&amp;Token=8fac6a0afccb4d6fb172bb86a7796632" TargetMode="External"/><Relationship Id="rId56" Type="http://schemas.openxmlformats.org/officeDocument/2006/relationships/hyperlink" Target="https://forms.office.com/Pages/DesignPageV2.aspx?subpage=design&amp;FormId=ihiBcxMdFkOMXBklOdSA1DeeaGhFYAJIiOIMgFVVfgFUOUdQWkgxQVRHWFBLT1ExT05XWUQxRFIxUS4u&amp;Token=abf961a7b20b457a982cd6b96aa0d74b" TargetMode="External"/><Relationship Id="rId77" Type="http://schemas.openxmlformats.org/officeDocument/2006/relationships/hyperlink" Target="https://forms.office.com/Pages/DesignPageV2.aspx?subpage=design&amp;FormId=ihiBcxMdFkOMXBklOdSA1DeeaGhFYAJIiOIMgFVVfgFUNUg1NVEyNkNNMUhTWFlRRzhTTVZMTVcwNS4u&amp;Token=972fed08a5a44b39bd60dd95b7a4d617" TargetMode="External"/><Relationship Id="rId100" Type="http://schemas.openxmlformats.org/officeDocument/2006/relationships/hyperlink" Target="https://forms.office.com/Pages/DesignPageV2.aspx?subpage=design&amp;FormId=ihiBcxMdFkOMXBklOdSA1GaVL4WEvNtIiXBS4VMxdnJUNkk5Vk9VVzFBTjVCQlJVQ0c0MzNNUlM5VS4u&amp;Token=ac2b33fafe474128980528f996b010d7" TargetMode="External"/><Relationship Id="rId105" Type="http://schemas.openxmlformats.org/officeDocument/2006/relationships/hyperlink" Target="https://forms.office.com/Pages/DesignPageV2.aspx?subpage=design&amp;FormId=ihiBcxMdFkOMXBklOdSA1OE41q1dD_lPttguSwQAoWRUOTM5NFUyQUNYMjFPSzVYMkJFQVRFNVVSSS4u&amp;Token=4ca41bdb80504bdba2e234d12baecae4" TargetMode="External"/><Relationship Id="rId126" Type="http://schemas.openxmlformats.org/officeDocument/2006/relationships/hyperlink" Target="https://forms.office.com/Pages/DesignPageV2.aspx?subpage=design&amp;FormId=ihiBcxMdFkOMXBklOdSA1GaVL4WEvNtIiXBS4VMxdnJUNFJUVFUxRDZMSTdMSjc4TzZMNzU1WktEVC4u&amp;Token=1707b07b276c4bcab2d0b8c1fa3209f1" TargetMode="External"/><Relationship Id="rId8" Type="http://schemas.openxmlformats.org/officeDocument/2006/relationships/hyperlink" Target="https://forms.office.com/Pages/DesignPageV2.aspx?subpage=design&amp;FormId=ihiBcxMdFkOMXBklOdSA1EnjMDmcDptIqzMY2A5SQ8tUMVdJTERYNVRZRVdKQk9ETUowSTFEUk42SC4u&amp;Token=e637a9cb52414366b4be691b2f6574e8" TargetMode="External"/><Relationship Id="rId51" Type="http://schemas.openxmlformats.org/officeDocument/2006/relationships/hyperlink" Target="https://forms.office.com/Pages/DesignPageV2.aspx?subpage=design&amp;FormId=ihiBcxMdFkOMXBklOdSA1DeeaGhFYAJIiOIMgFVVfgFURUJBU0Y3RktWR002TTdBMUFMUE8zU1BISy4u&amp;Token=2ab03230813b4f9daa3068029254f62d" TargetMode="External"/><Relationship Id="rId72" Type="http://schemas.openxmlformats.org/officeDocument/2006/relationships/hyperlink" Target="https://forms.office.com/Pages/DesignPageV2.aspx?subpage=design&amp;FormId=ihiBcxMdFkOMXBklOdSA1DeeaGhFYAJIiOIMgFVVfgFUNjJPSVpMVTZFTllKMFRPWURNTUE4VktCRS4u&amp;Token=d951ecd187e74271bd684a61dd884d88" TargetMode="External"/><Relationship Id="rId93" Type="http://schemas.openxmlformats.org/officeDocument/2006/relationships/hyperlink" Target="https://forms.office.com/Pages/DesignPageV2.aspx?subpage=design&amp;FormId=ihiBcxMdFkOMXBklOdSA1OE41q1dD_lPttguSwQAoWRUNE1SR0RYSVpPRkpKODFVSk00Wkc1M1NEQi4u&amp;Token=76baf275566b47c8ae73ef1f43db0068" TargetMode="External"/><Relationship Id="rId98" Type="http://schemas.openxmlformats.org/officeDocument/2006/relationships/hyperlink" Target="https://forms.office.com/Pages/DesignPageV2.aspx?subpage=design&amp;FormId=ihiBcxMdFkOMXBklOdSA1GaVL4WEvNtIiXBS4VMxdnJUNVVDM045TE9DWEQ3Wk43Mzg1QkZHVVc1Ti4u&amp;Token=ac884c78bb5f4734a1af5f555ed7a741" TargetMode="External"/><Relationship Id="rId121" Type="http://schemas.openxmlformats.org/officeDocument/2006/relationships/hyperlink" Target="https://forms.office.com/Pages/DesignPageV2.aspx?subpage=design&amp;FormId=ihiBcxMdFkOMXBklOdSA1GaVL4WEvNtIiXBS4VMxdnJURFRDUUZBQTM5NlU4N1BNTkxJWVJTM0xHMS4u&amp;Token=18711aaa35724fb8bf435525c1478e36" TargetMode="External"/><Relationship Id="rId3" Type="http://schemas.openxmlformats.org/officeDocument/2006/relationships/hyperlink" Target="https://forms.office.com/Pages/DesignPageV2.aspx?subpage=design&amp;FormId=ihiBcxMdFkOMXBklOdSA1DeeaGhFYAJIiOIMgFVVfgFURU9MNzlQTUI2UVpRMUYzS0ZEWk5HT1k2Ui4u&amp;Token=836fe6f1e80642e0ba2656412ac3606a" TargetMode="External"/><Relationship Id="rId25" Type="http://schemas.openxmlformats.org/officeDocument/2006/relationships/hyperlink" Target="https://forms.office.com/Pages/DesignPageV2.aspx?subpage=design&amp;FormId=ihiBcxMdFkOMXBklOdSA1DeeaGhFYAJIiOIMgFVVfgFUMEROSVNUNFc3RVYyMk84MEo3RzhWMENEMy4u&amp;Token=27227bf9d38a48d58aa96423813b657d" TargetMode="External"/><Relationship Id="rId46" Type="http://schemas.openxmlformats.org/officeDocument/2006/relationships/hyperlink" Target="https://forms.office.com/Pages/DesignPageV2.aspx?subpage=design&amp;FormId=ihiBcxMdFkOMXBklOdSA1DeeaGhFYAJIiOIMgFVVfgFUN1pPNjlLRTBKQ0NZWUZJNkdCMDBSUFo2My4u&amp;Token=95c04d849c6d4682bd0627a388a4547f" TargetMode="External"/><Relationship Id="rId67" Type="http://schemas.openxmlformats.org/officeDocument/2006/relationships/hyperlink" Target="https://forms.office.com/Pages/DesignPageV2.aspx?subpage=design&amp;FormId=ihiBcxMdFkOMXBklOdSA1EnjMDmcDptIqzMY2A5SQ8tURVBYWThRUVg2S0U2VjlWQjJGOUpZSzQ4Ui4u&amp;Token=c4a1cd778f594447b56d834dd963de8c" TargetMode="External"/><Relationship Id="rId116" Type="http://schemas.openxmlformats.org/officeDocument/2006/relationships/hyperlink" Target="https://forms.office.com/Pages/DesignPageV2.aspx?subpage=design&amp;FormId=ihiBcxMdFkOMXBklOdSA1GaVL4WEvNtIiXBS4VMxdnJUQkM5T0hGRTBQOUxIOVkzMlFaM0YyTDhDQi4u&amp;Token=2152028c39d242688cd9325063c27e9c" TargetMode="External"/><Relationship Id="rId137" Type="http://schemas.openxmlformats.org/officeDocument/2006/relationships/hyperlink" Target="https://forms.office.com/Pages/DesignPageV2.aspx?subpage=design&amp;FormId=ihiBcxMdFkOMXBklOdSA1CcSc_VjojVLkfynn-U9VX1URDhYWVFDMjNDQlI1Wjg2M0dVVzNONkpURy4u&amp;Token=dc553f6a928d4b5bb3148c1d1f8c0e87" TargetMode="External"/><Relationship Id="rId20" Type="http://schemas.openxmlformats.org/officeDocument/2006/relationships/hyperlink" Target="https://forms.office.com/Pages/DesignPageV2.aspx?subpage=design&amp;FormId=ihiBcxMdFkOMXBklOdSA1EnjMDmcDptIqzMY2A5SQ8tUNVdXMU5NUFdDOVZaU0tSSUE1OFZUR1dLVS4u&amp;Token=8cf33b7b4b4d4c70ac30b0e675a7a260" TargetMode="External"/><Relationship Id="rId41" Type="http://schemas.openxmlformats.org/officeDocument/2006/relationships/hyperlink" Target="https://forms.office.com/Pages/DesignPageV2.aspx?subpage=design&amp;FormId=ihiBcxMdFkOMXBklOdSA1EnjMDmcDptIqzMY2A5SQ8tUQ0tJUjI5WFk3MDdZRTFNS1NGTkxaU1RIRy4u&amp;Token=4815b903843f411c9eb5845e9829ec66" TargetMode="External"/><Relationship Id="rId62" Type="http://schemas.openxmlformats.org/officeDocument/2006/relationships/hyperlink" Target="https://forms.office.com/Pages/DesignPageV2.aspx?subpage=design&amp;FormId=ihiBcxMdFkOMXBklOdSA1EnjMDmcDptIqzMY2A5SQ8tURVhVV0EyU1pOT0dEVTJSVjBBMVBLUFVRWS4u&amp;Token=441e4b6d8ba44b5f910dde2aa5c6d9ea" TargetMode="External"/><Relationship Id="rId83" Type="http://schemas.openxmlformats.org/officeDocument/2006/relationships/hyperlink" Target="https://forms.office.com/Pages/DesignPageV2.aspx?subpage=design&amp;FormId=ihiBcxMdFkOMXBklOdSA1OE41q1dD_lPttguSwQAoWRUOEw5TDVCSUsyN1JSNlExQkZLRFI2RkxUMS4u&amp;Token=cb48325d4ba7401bac5f04ab123e2683" TargetMode="External"/><Relationship Id="rId88" Type="http://schemas.openxmlformats.org/officeDocument/2006/relationships/hyperlink" Target="https://forms.office.com/Pages/DesignPageV2.aspx?subpage=design&amp;FormId=ihiBcxMdFkOMXBklOdSA1OE41q1dD_lPttguSwQAoWRUMlBKSDRDVDNSWUM5Q1VLOTVTT01WRkMxVy4u&amp;Token=003003a255d9476180e74fee39311e1e" TargetMode="External"/><Relationship Id="rId111" Type="http://schemas.openxmlformats.org/officeDocument/2006/relationships/hyperlink" Target="https://forms.office.com/Pages/DesignPageV2.aspx?subpage=design&amp;FormId=ihiBcxMdFkOMXBklOdSA1GaVL4WEvNtIiXBS4VMxdnJUM1BCNDdNTE0wVE0xRFpKWUw5OUJNTjVFTC4u&amp;Token=20ad31c3b8934d1fa440fd9eefb12000" TargetMode="External"/><Relationship Id="rId132" Type="http://schemas.openxmlformats.org/officeDocument/2006/relationships/hyperlink" Target="https://forms.office.com/Pages/DesignPageV2.aspx?subpage=design&amp;FormId=ihiBcxMdFkOMXBklOdSA1GaVL4WEvNtIiXBS4VMxdnJUM09EVTQ5UkM4Nzk5RUNGUzY5M09PTDU0US4u&amp;Token=18665b2afc494cd9862b25d5d4187043" TargetMode="External"/><Relationship Id="rId15" Type="http://schemas.openxmlformats.org/officeDocument/2006/relationships/hyperlink" Target="https://forms.office.com/Pages/DesignPageV2.aspx?subpage=design&amp;FormId=ihiBcxMdFkOMXBklOdSA1HmixYPtZ1xLu3moYfQcI19UNzIzSEdQREVVNFVISlgwQjZaOUFNM1BXTi4u&amp;Token=72cc5c55386a47d8a1251287ed86e85a" TargetMode="External"/><Relationship Id="rId36" Type="http://schemas.openxmlformats.org/officeDocument/2006/relationships/hyperlink" Target="https://forms.office.com/Pages/DesignPageV2.aspx?subpage=design&amp;FormId=ihiBcxMdFkOMXBklOdSA1DeeaGhFYAJIiOIMgFVVfgFUQVVPMjlPV1kyM0NFTU9aNEVDRFRHVjRVUC4u&amp;Token=e23350a641d94ecc8897e128f1f56017" TargetMode="External"/><Relationship Id="rId57" Type="http://schemas.openxmlformats.org/officeDocument/2006/relationships/hyperlink" Target="https://forms.office.com/Pages/DesignPageV2.aspx?subpage=design&amp;FormId=ihiBcxMdFkOMXBklOdSA1DeeaGhFYAJIiOIMgFVVfgFUQ05USDJMRDFKRkw1MUROVFZWVzJaUzZBUi4u&amp;Token=d9d39ce1edc8445e95a123ba2b42a25c" TargetMode="External"/><Relationship Id="rId106" Type="http://schemas.openxmlformats.org/officeDocument/2006/relationships/hyperlink" Target="https://forms.office.com/Pages/DesignPageV2.aspx?subpage=design&amp;FormId=ihiBcxMdFkOMXBklOdSA1OE41q1dD_lPttguSwQAoWRUMVk5OUZSRFBQOEJDTzVFRThBMEdPVUI3QS4u&amp;Token=1c066aff6d0d438fa10c1cfcab2a1cca" TargetMode="External"/><Relationship Id="rId127" Type="http://schemas.openxmlformats.org/officeDocument/2006/relationships/hyperlink" Target="https://forms.office.com/Pages/DesignPageV2.aspx?subpage=design&amp;FormId=ihiBcxMdFkOMXBklOdSA1CcSc_VjojVLkfynn-U9VX1UN1pUWjM1OEdGU0o3WFRZOFJQVjRPTUIyOS4u&amp;Token=ba030ad99f3d4901a409d30c127306ae" TargetMode="External"/><Relationship Id="rId10" Type="http://schemas.openxmlformats.org/officeDocument/2006/relationships/hyperlink" Target="https://forms.office.com/Pages/DesignPageV2.aspx?subpage=design&amp;FormId=ihiBcxMdFkOMXBklOdSA1EnjMDmcDptIqzMY2A5SQ8tUNTg5UEhLRVc5NUVDUlA3NTEzQ0s0MDJTMC4u&amp;Token=03611d54e185466097b31e4b5347035d" TargetMode="External"/><Relationship Id="rId31" Type="http://schemas.openxmlformats.org/officeDocument/2006/relationships/hyperlink" Target="https://forms.office.com/Pages/DesignPageV2.aspx?subpage=design&amp;FormId=ihiBcxMdFkOMXBklOdSA1EnjMDmcDptIqzMY2A5SQ8tURFRERUYwMFZYVVhBTEozODIySTRWWTBOVi4u&amp;Token=63b0fc42deb24e7b9713553e05e44e83" TargetMode="External"/><Relationship Id="rId52" Type="http://schemas.openxmlformats.org/officeDocument/2006/relationships/hyperlink" Target="https://forms.office.com/Pages/DesignPageV2.aspx?subpage=design&amp;FormId=ihiBcxMdFkOMXBklOdSA1DeeaGhFYAJIiOIMgFVVfgFUQ1hSOFdVV05ZNVlUUVpOM1lQTkdQMjJFUi4u&amp;Token=3c3d4b08db784e59a762328ba30f4b4d" TargetMode="External"/><Relationship Id="rId73" Type="http://schemas.openxmlformats.org/officeDocument/2006/relationships/hyperlink" Target="https://forms.office.com/Pages/DesignPageV2.aspx?subpage=design&amp;FormId=ihiBcxMdFkOMXBklOdSA1DeeaGhFYAJIiOIMgFVVfgFUMUZXRzk4SjBVODJYMFNGNUlHMlpGTlo1Ny4u&amp;Token=139204650b5f44aeb2c05cd9d411bcaa" TargetMode="External"/><Relationship Id="rId78" Type="http://schemas.openxmlformats.org/officeDocument/2006/relationships/hyperlink" Target="https://forms.office.com/Pages/DesignPageV2.aspx?subpage=design&amp;FormId=ihiBcxMdFkOMXBklOdSA1DeeaGhFYAJIiOIMgFVVfgFUNzVKMkFKM1BTNTZYOFo3UlJOV0daV0lENy4u&amp;Token=36cb7c28809240e2b0e2090bcbd21e8d" TargetMode="External"/><Relationship Id="rId94" Type="http://schemas.openxmlformats.org/officeDocument/2006/relationships/hyperlink" Target="https://forms.office.com/Pages/DesignPageV2.aspx?subpage=design&amp;FormId=ihiBcxMdFkOMXBklOdSA1OE41q1dD_lPttguSwQAoWRUMENWNFJORUdMSVNNUThQOU9TM1YySTdFUC4u&amp;Token=8cdd63cb735e49a7b5db90d13e06e508" TargetMode="External"/><Relationship Id="rId99" Type="http://schemas.openxmlformats.org/officeDocument/2006/relationships/hyperlink" Target="https://forms.office.com/Pages/DesignPageV2.aspx?subpage=design&amp;FormId=ihiBcxMdFkOMXBklOdSA1HmixYPtZ1xLu3moYfQcI19UNEE0MDhOSUNKNDFIU0U2UkFQR0I3RUhHMi4u&amp;Token=9016b5bdca7545688dec28b23808d803" TargetMode="External"/><Relationship Id="rId101" Type="http://schemas.openxmlformats.org/officeDocument/2006/relationships/hyperlink" Target="https://forms.office.com/Pages/DesignPageV2.aspx?subpage=design&amp;FormId=ihiBcxMdFkOMXBklOdSA1OE41q1dD_lPttguSwQAoWRUOFg0QTlWVDhFVEJYNlNZNllMQkNLUkpXTy4u&amp;Token=33915d78fc7f43718bd119b0b0253084" TargetMode="External"/><Relationship Id="rId122" Type="http://schemas.openxmlformats.org/officeDocument/2006/relationships/hyperlink" Target="https://forms.office.com/Pages/DesignPageV2.aspx?origin=NeoPortalPage&amp;subpage=design&amp;id=ihiBcxMdFkOMXBklOdSA1CcSc_VjojVLkfynn-U9VX1UOTNRREdORk5HNzFUOEJDNDc0UVJBSEo2TS4u" TargetMode="External"/><Relationship Id="rId4" Type="http://schemas.openxmlformats.org/officeDocument/2006/relationships/hyperlink" Target="https://forms.office.com/Pages/DesignPageV2.aspx?subpage=design&amp;FormId=ihiBcxMdFkOMXBklOdSA1HmixYPtZ1xLu3moYfQcI19UQlFBWDdOMTFaUlJaWEFQMEhSWTNFWUhERy4u&amp;Token=e921405402954e02a168667355b1d788" TargetMode="External"/><Relationship Id="rId9" Type="http://schemas.openxmlformats.org/officeDocument/2006/relationships/hyperlink" Target="https://forms.office.com/Pages/DesignPageV2.aspx?subpage=design&amp;FormId=ihiBcxMdFkOMXBklOdSA1HmixYPtZ1xLu3moYfQcI19UOVBDNUhIVU5DUk5XTFZERDJCTlpCMEdYRS4u&amp;Token=75690348b37a4302866afc65cf44e028" TargetMode="External"/><Relationship Id="rId26" Type="http://schemas.openxmlformats.org/officeDocument/2006/relationships/hyperlink" Target="https://forms.office.com/Pages/DesignPageV2.aspx?subpage=design&amp;FormId=ihiBcxMdFkOMXBklOdSA1DeeaGhFYAJIiOIMgFVVfgFUM0VaWUhPRDVYOVNNREtHNzY3RDhBOU5ZSC4u&amp;Token=09f5b65de05747198789bf18444f39af" TargetMode="External"/><Relationship Id="rId47" Type="http://schemas.openxmlformats.org/officeDocument/2006/relationships/hyperlink" Target="https://forms.office.com/Pages/DesignPageV2.aspx?subpage=design&amp;FormId=ihiBcxMdFkOMXBklOdSA1DeeaGhFYAJIiOIMgFVVfgFUMFlOQlRLUkFDM0hRTlkyVzlRVTJUMkFKMC4u&amp;Token=eb62298f5dcd4d1a89f9c8fa3d9331cb" TargetMode="External"/><Relationship Id="rId68" Type="http://schemas.openxmlformats.org/officeDocument/2006/relationships/hyperlink" Target="https://forms.office.com/Pages/DesignPageV2.aspx?subpage=design&amp;FormId=ihiBcxMdFkOMXBklOdSA1DeeaGhFYAJIiOIMgFVVfgFUQUlZQ09CMFpGWFk1V0pPUjk3UkVCRE9XQS4u&amp;Token=664e6b13c29049b5bb854de92ee89503" TargetMode="External"/><Relationship Id="rId89" Type="http://schemas.openxmlformats.org/officeDocument/2006/relationships/hyperlink" Target="https://forms.office.com/Pages/DesignPageV2.aspx?subpage=design&amp;FormId=ihiBcxMdFkOMXBklOdSA1OE41q1dD_lPttguSwQAoWRUMFpaMjVNNDNPQlZLSlE3QjNWU1pKQkVZTi4u&amp;Token=1420203461634c42b908a0eedd310a21" TargetMode="External"/><Relationship Id="rId112" Type="http://schemas.openxmlformats.org/officeDocument/2006/relationships/hyperlink" Target="https://forms.office.com/Pages/DesignPageV2.aspx?subpage=design&amp;FormId=ihiBcxMdFkOMXBklOdSA1CcSc_VjojVLkfynn-U9VX1UOUdEOFFaMFYyRjNWMlI4UDc0RU1CWUQyMC4u&amp;Token=02d7d51896ab41df9f44e6f1e209541a" TargetMode="External"/><Relationship Id="rId133" Type="http://schemas.openxmlformats.org/officeDocument/2006/relationships/hyperlink" Target="https://forms.office.com/Pages/DesignPageV2.aspx?subpage=design&amp;FormId=ihiBcxMdFkOMXBklOdSA1GaVL4WEvNtIiXBS4VMxdnJUOFc5VVk3Sk9VN0NWUFMxOVhCOVFLVjYxQi4u&amp;Token=6fcde947b0d04b74a42d5fd3a78596e4" TargetMode="External"/><Relationship Id="rId16" Type="http://schemas.openxmlformats.org/officeDocument/2006/relationships/hyperlink" Target="https://forms.office.com/Pages/DesignPageV2.aspx?subpage=design&amp;FormId=ihiBcxMdFkOMXBklOdSA1EnjMDmcDptIqzMY2A5SQ8tUQzFMM1FITzhKUVhVNTI4TklUM0lYRldYWi4u&amp;Token=d8f2c6a2ddd6451593207d6a65288d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EE64-90BD-49BC-87F7-70B7A5CCFC95}">
  <dimension ref="A1:G41"/>
  <sheetViews>
    <sheetView workbookViewId="0">
      <pane ySplit="2" topLeftCell="A5" activePane="bottomLeft" state="frozen"/>
      <selection pane="bottomLeft" activeCell="G18" sqref="G18"/>
    </sheetView>
  </sheetViews>
  <sheetFormatPr defaultRowHeight="15"/>
  <cols>
    <col min="1" max="1" width="41.85546875" customWidth="1"/>
    <col min="2" max="2" width="22.85546875" customWidth="1"/>
    <col min="3" max="3" width="7.5703125" customWidth="1"/>
    <col min="4" max="4" width="41.85546875" customWidth="1"/>
    <col min="5" max="5" width="22.85546875" customWidth="1"/>
    <col min="6" max="6" width="7.5703125" customWidth="1"/>
    <col min="7" max="7" width="41.85546875" customWidth="1"/>
  </cols>
  <sheetData>
    <row r="1" spans="1:7" ht="50.1" customHeight="1">
      <c r="A1" s="414" t="s">
        <v>3767</v>
      </c>
      <c r="B1" s="414"/>
      <c r="C1" s="414"/>
      <c r="D1" s="414"/>
      <c r="E1" s="414"/>
      <c r="F1" s="414"/>
      <c r="G1" s="414"/>
    </row>
    <row r="2" spans="1:7" ht="9.9499999999999993" customHeight="1">
      <c r="A2" s="384"/>
      <c r="B2" s="384"/>
      <c r="C2" s="384"/>
      <c r="D2" s="384"/>
      <c r="E2" s="384"/>
      <c r="F2" s="384"/>
      <c r="G2" s="384"/>
    </row>
    <row r="3" spans="1:7" ht="15.75" thickBot="1"/>
    <row r="4" spans="1:7" ht="24.95" customHeight="1">
      <c r="A4" s="415" t="s">
        <v>3768</v>
      </c>
      <c r="B4" s="416"/>
      <c r="D4" s="417" t="s">
        <v>3769</v>
      </c>
      <c r="E4" s="418"/>
      <c r="G4" s="405" t="s">
        <v>3770</v>
      </c>
    </row>
    <row r="5" spans="1:7" ht="54.95" customHeight="1" thickBot="1">
      <c r="A5" s="392">
        <f>COUNTIF('Ações InCompany'!B:B,2026)</f>
        <v>20</v>
      </c>
      <c r="B5" s="393" t="s">
        <v>3762</v>
      </c>
      <c r="D5" s="403">
        <f>COUNTIFS('Ações InCompany'!B:B,2026,'Ações InCompany'!C:C,"Realizado")</f>
        <v>12</v>
      </c>
      <c r="E5" s="404" t="s">
        <v>3762</v>
      </c>
      <c r="G5" s="406">
        <f>COUNTIFS('Ações InCompany'!B:B,2026,'Ações InCompany'!C:C,"A realizar")</f>
        <v>8</v>
      </c>
    </row>
    <row r="6" spans="1:7" ht="5.0999999999999996" customHeight="1">
      <c r="A6" s="384"/>
      <c r="B6" s="384"/>
      <c r="C6" s="384"/>
      <c r="D6" s="384"/>
      <c r="E6" s="384"/>
      <c r="F6" s="384"/>
      <c r="G6" s="384"/>
    </row>
    <row r="8" spans="1:7" ht="17.25">
      <c r="A8" s="412" t="s">
        <v>3771</v>
      </c>
      <c r="B8" s="412"/>
      <c r="D8" s="412" t="s">
        <v>3772</v>
      </c>
      <c r="E8" s="412"/>
    </row>
    <row r="9" spans="1:7" ht="5.0999999999999996" customHeight="1">
      <c r="A9" s="413"/>
      <c r="B9" s="413"/>
      <c r="D9" s="413"/>
      <c r="E9" s="413"/>
    </row>
    <row r="10" spans="1:7" ht="24.95" customHeight="1">
      <c r="A10" s="385" t="s">
        <v>59</v>
      </c>
      <c r="B10" s="385" t="s">
        <v>3754</v>
      </c>
      <c r="D10" s="385" t="s">
        <v>3756</v>
      </c>
      <c r="E10" s="385" t="s">
        <v>3757</v>
      </c>
    </row>
    <row r="11" spans="1:7" ht="27.95" customHeight="1">
      <c r="A11" s="386" t="s">
        <v>33</v>
      </c>
      <c r="B11" s="387">
        <f>COUNTIFS('Ações InCompany'!B:B,2026,'Ações InCompany'!C:C,"Realizado",'Ações InCompany'!F:F,"Servidores do TCDF")</f>
        <v>5</v>
      </c>
      <c r="D11" s="386" t="s">
        <v>3758</v>
      </c>
      <c r="E11" s="387">
        <f>SUMIFS('Ações InCompany'!O:O,'Ações InCompany'!B:B,2026,'Ações InCompany'!C:C,"Realizado")</f>
        <v>202</v>
      </c>
    </row>
    <row r="12" spans="1:7" ht="27.95" customHeight="1">
      <c r="A12" s="388" t="s">
        <v>44</v>
      </c>
      <c r="B12" s="389">
        <f>COUNTIFS('Ações InCompany'!B:B,2026,'Ações InCompany'!C:C,"Realizado",'Ações InCompany'!F:F,"Jurisdicionados")</f>
        <v>7</v>
      </c>
      <c r="D12" s="388" t="s">
        <v>3759</v>
      </c>
      <c r="E12" s="389">
        <f>SUMIFS('Ações InCompany'!P:P,'Ações InCompany'!B:B,2026,'Ações InCompany'!C:C,"Realizado")</f>
        <v>321</v>
      </c>
    </row>
    <row r="13" spans="1:7" ht="27.95" customHeight="1">
      <c r="A13" s="386" t="s">
        <v>48</v>
      </c>
      <c r="B13" s="387">
        <f>COUNTIFS('Ações InCompany'!B:B,2026,'Ações InCompany'!C:C,"Realizado",'Ações InCompany'!F:F,"Sociedade")</f>
        <v>0</v>
      </c>
      <c r="D13" s="386" t="s">
        <v>3760</v>
      </c>
      <c r="E13" s="387">
        <f>SUMIFS('Ações InCompany'!Q:Q,'Ações InCompany'!B:B,2026,'Ações InCompany'!C:C,"Realizado")</f>
        <v>73</v>
      </c>
    </row>
    <row r="14" spans="1:7" ht="27.95" customHeight="1">
      <c r="A14" s="390" t="s">
        <v>3761</v>
      </c>
      <c r="B14" s="391">
        <f>SUM(B11:B13)</f>
        <v>12</v>
      </c>
      <c r="D14" s="390" t="s">
        <v>2929</v>
      </c>
      <c r="E14" s="391">
        <f>SUM(E11:E13)</f>
        <v>596</v>
      </c>
    </row>
    <row r="30" spans="1:5" ht="17.25">
      <c r="A30" s="412" t="s">
        <v>3773</v>
      </c>
      <c r="B30" s="412"/>
      <c r="C30" s="412"/>
      <c r="D30" s="412"/>
      <c r="E30" s="412"/>
    </row>
    <row r="31" spans="1:5" ht="5.0999999999999996" customHeight="1">
      <c r="A31" s="413"/>
      <c r="B31" s="413"/>
      <c r="C31" s="413"/>
      <c r="D31" s="413"/>
      <c r="E31" s="413"/>
    </row>
    <row r="32" spans="1:5" ht="24.95" customHeight="1">
      <c r="A32" s="385" t="s">
        <v>60</v>
      </c>
      <c r="B32" s="385" t="s">
        <v>3774</v>
      </c>
      <c r="C32" s="385" t="s">
        <v>3775</v>
      </c>
      <c r="D32" s="385" t="s">
        <v>3776</v>
      </c>
      <c r="E32" s="385" t="s">
        <v>3765</v>
      </c>
    </row>
    <row r="33" spans="1:5" ht="24" customHeight="1">
      <c r="A33" s="386" t="s">
        <v>15</v>
      </c>
      <c r="B33" s="394">
        <f>COUNTIFS('Ações InCompany'!B:B,2026,'Ações InCompany'!C:C,"Realizado",'Ações InCompany'!G:G,A33)</f>
        <v>8</v>
      </c>
      <c r="C33" s="407">
        <f>COUNTIFS('Ações InCompany'!B:B,2026,'Ações InCompany'!C:C,"A realizar",'Ações InCompany'!G:G,A33)</f>
        <v>1</v>
      </c>
      <c r="D33" s="394">
        <f t="shared" ref="D33:D40" si="0">B33+C33</f>
        <v>9</v>
      </c>
      <c r="E33" s="395">
        <f t="shared" ref="E33:E40" si="1">D33/$D$41</f>
        <v>0.45</v>
      </c>
    </row>
    <row r="34" spans="1:5" ht="24" customHeight="1">
      <c r="A34" s="388" t="s">
        <v>25</v>
      </c>
      <c r="B34" s="396">
        <f>COUNTIFS('Ações InCompany'!B:B,2026,'Ações InCompany'!C:C,"Realizado",'Ações InCompany'!G:G,A34)</f>
        <v>1</v>
      </c>
      <c r="C34" s="408">
        <f>COUNTIFS('Ações InCompany'!B:B,2026,'Ações InCompany'!C:C,"A realizar",'Ações InCompany'!G:G,A34)</f>
        <v>2</v>
      </c>
      <c r="D34" s="396">
        <f t="shared" si="0"/>
        <v>3</v>
      </c>
      <c r="E34" s="397">
        <f t="shared" si="1"/>
        <v>0.15</v>
      </c>
    </row>
    <row r="35" spans="1:5" ht="24" customHeight="1">
      <c r="A35" s="386" t="s">
        <v>2695</v>
      </c>
      <c r="B35" s="394">
        <f>COUNTIFS('Ações InCompany'!B:B,2026,'Ações InCompany'!C:C,"Realizado",'Ações InCompany'!G:G,A35)</f>
        <v>1</v>
      </c>
      <c r="C35" s="407">
        <f>COUNTIFS('Ações InCompany'!B:B,2026,'Ações InCompany'!C:C,"A realizar",'Ações InCompany'!G:G,A35)</f>
        <v>1</v>
      </c>
      <c r="D35" s="394">
        <f t="shared" si="0"/>
        <v>2</v>
      </c>
      <c r="E35" s="395">
        <f t="shared" si="1"/>
        <v>0.1</v>
      </c>
    </row>
    <row r="36" spans="1:5" ht="24" customHeight="1">
      <c r="A36" s="388" t="s">
        <v>2676</v>
      </c>
      <c r="B36" s="396">
        <f>COUNTIFS('Ações InCompany'!B:B,2026,'Ações InCompany'!C:C,"Realizado",'Ações InCompany'!G:G,A36)</f>
        <v>1</v>
      </c>
      <c r="C36" s="408">
        <f>COUNTIFS('Ações InCompany'!B:B,2026,'Ações InCompany'!C:C,"A realizar",'Ações InCompany'!G:G,A36)</f>
        <v>0</v>
      </c>
      <c r="D36" s="396">
        <f t="shared" si="0"/>
        <v>1</v>
      </c>
      <c r="E36" s="397">
        <f t="shared" si="1"/>
        <v>0.05</v>
      </c>
    </row>
    <row r="37" spans="1:5" ht="24" customHeight="1">
      <c r="A37" s="386" t="s">
        <v>32</v>
      </c>
      <c r="B37" s="394">
        <f>COUNTIFS('Ações InCompany'!B:B,2026,'Ações InCompany'!C:C,"Realizado",'Ações InCompany'!G:G,A37)</f>
        <v>1</v>
      </c>
      <c r="C37" s="407">
        <f>COUNTIFS('Ações InCompany'!B:B,2026,'Ações InCompany'!C:C,"A realizar",'Ações InCompany'!G:G,A37)</f>
        <v>1</v>
      </c>
      <c r="D37" s="394">
        <f t="shared" si="0"/>
        <v>2</v>
      </c>
      <c r="E37" s="395">
        <f t="shared" si="1"/>
        <v>0.1</v>
      </c>
    </row>
    <row r="38" spans="1:5" ht="24" customHeight="1">
      <c r="A38" s="388" t="s">
        <v>18</v>
      </c>
      <c r="B38" s="396">
        <f>COUNTIFS('Ações InCompany'!B:B,2026,'Ações InCompany'!C:C,"Realizado",'Ações InCompany'!G:G,A38)</f>
        <v>0</v>
      </c>
      <c r="C38" s="408">
        <f>COUNTIFS('Ações InCompany'!B:B,2026,'Ações InCompany'!C:C,"A realizar",'Ações InCompany'!G:G,A38)</f>
        <v>2</v>
      </c>
      <c r="D38" s="396">
        <f t="shared" si="0"/>
        <v>2</v>
      </c>
      <c r="E38" s="397">
        <f t="shared" si="1"/>
        <v>0.1</v>
      </c>
    </row>
    <row r="39" spans="1:5" ht="24" customHeight="1">
      <c r="A39" s="386" t="s">
        <v>10</v>
      </c>
      <c r="B39" s="394">
        <f>COUNTIFS('Ações InCompany'!B:B,2026,'Ações InCompany'!C:C,"Realizado",'Ações InCompany'!G:G,A39)</f>
        <v>0</v>
      </c>
      <c r="C39" s="407">
        <f>COUNTIFS('Ações InCompany'!B:B,2026,'Ações InCompany'!C:C,"A realizar",'Ações InCompany'!G:G,A39)</f>
        <v>1</v>
      </c>
      <c r="D39" s="394">
        <f t="shared" si="0"/>
        <v>1</v>
      </c>
      <c r="E39" s="395">
        <f t="shared" si="1"/>
        <v>0.05</v>
      </c>
    </row>
    <row r="40" spans="1:5" ht="24" customHeight="1">
      <c r="A40" s="409" t="s">
        <v>3766</v>
      </c>
      <c r="B40" s="399">
        <f>COUNTIFS('Ações InCompany'!B:B,2026,'Ações InCompany'!C:C,"Realizado",'Ações InCompany'!G:G,"")</f>
        <v>0</v>
      </c>
      <c r="C40" s="399">
        <f>COUNTIFS('Ações InCompany'!B:B,2026,'Ações InCompany'!C:C,"A realizar",'Ações InCompany'!G:G,"")</f>
        <v>0</v>
      </c>
      <c r="D40" s="399">
        <f t="shared" si="0"/>
        <v>0</v>
      </c>
      <c r="E40" s="410">
        <f t="shared" si="1"/>
        <v>0</v>
      </c>
    </row>
    <row r="41" spans="1:5" ht="24" customHeight="1">
      <c r="A41" s="390" t="s">
        <v>3761</v>
      </c>
      <c r="B41" s="401">
        <f>SUM(B33:B40)</f>
        <v>12</v>
      </c>
      <c r="C41" s="401">
        <f>SUM(C33:C40)</f>
        <v>8</v>
      </c>
      <c r="D41" s="401">
        <f>SUM(D33:D40)</f>
        <v>20</v>
      </c>
      <c r="E41" s="402">
        <f>SUM(E33:E40)</f>
        <v>1</v>
      </c>
    </row>
  </sheetData>
  <mergeCells count="9">
    <mergeCell ref="A30:E30"/>
    <mergeCell ref="A31:E31"/>
    <mergeCell ref="A1:G1"/>
    <mergeCell ref="A4:B4"/>
    <mergeCell ref="D4:E4"/>
    <mergeCell ref="A8:B8"/>
    <mergeCell ref="A9:B9"/>
    <mergeCell ref="D8:E8"/>
    <mergeCell ref="D9:E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C9B6-74F8-49E6-B1B9-CE19DD765631}">
  <dimension ref="A1:G42"/>
  <sheetViews>
    <sheetView zoomScale="90" zoomScaleNormal="90" workbookViewId="0">
      <pane ySplit="2" topLeftCell="A9" activePane="bottomLeft" state="frozen"/>
      <selection pane="bottomLeft" activeCell="L20" sqref="L20"/>
    </sheetView>
  </sheetViews>
  <sheetFormatPr defaultRowHeight="15"/>
  <cols>
    <col min="1" max="1" width="41.85546875" customWidth="1"/>
    <col min="2" max="2" width="22.85546875" customWidth="1"/>
    <col min="3" max="3" width="24.28515625" customWidth="1"/>
    <col min="4" max="4" width="41.85546875" customWidth="1"/>
    <col min="5" max="5" width="22.85546875" customWidth="1"/>
    <col min="6" max="6" width="7.5703125" customWidth="1"/>
    <col min="7" max="7" width="41.85546875" customWidth="1"/>
  </cols>
  <sheetData>
    <row r="1" spans="1:7" ht="50.1" customHeight="1">
      <c r="A1" s="414" t="s">
        <v>3750</v>
      </c>
      <c r="B1" s="414"/>
      <c r="C1" s="414"/>
      <c r="D1" s="414"/>
      <c r="E1" s="414"/>
      <c r="F1" s="414"/>
      <c r="G1" s="414"/>
    </row>
    <row r="2" spans="1:7" ht="9.9499999999999993" customHeight="1">
      <c r="A2" s="384"/>
      <c r="B2" s="384"/>
      <c r="C2" s="384"/>
      <c r="D2" s="384"/>
      <c r="E2" s="384"/>
      <c r="F2" s="384"/>
      <c r="G2" s="384"/>
    </row>
    <row r="3" spans="1:7" ht="15.75" thickBot="1"/>
    <row r="4" spans="1:7" ht="24.95" customHeight="1">
      <c r="A4" s="415" t="s">
        <v>3751</v>
      </c>
      <c r="B4" s="416"/>
      <c r="D4" s="415" t="s">
        <v>3752</v>
      </c>
      <c r="E4" s="416"/>
    </row>
    <row r="5" spans="1:7" ht="54.95" customHeight="1" thickBot="1">
      <c r="A5" s="392">
        <f>COUNTIFS('Ações InCompany'!B:B,2025,'Ações InCompany'!C:C,"Realizado")</f>
        <v>120</v>
      </c>
      <c r="B5" s="393" t="s">
        <v>3762</v>
      </c>
      <c r="D5" s="392">
        <f>SUMIFS('Ações InCompany'!R:R,'Ações InCompany'!B:B,2025,'Ações InCompany'!C:C,"Realizado")</f>
        <v>6029</v>
      </c>
      <c r="E5" s="393" t="s">
        <v>3763</v>
      </c>
    </row>
    <row r="6" spans="1:7" ht="9.9499999999999993" customHeight="1"/>
    <row r="7" spans="1:7" ht="17.25">
      <c r="A7" s="412" t="s">
        <v>3753</v>
      </c>
      <c r="B7" s="412"/>
      <c r="D7" s="412" t="s">
        <v>3755</v>
      </c>
      <c r="E7" s="412"/>
    </row>
    <row r="8" spans="1:7" ht="5.0999999999999996" customHeight="1">
      <c r="A8" s="413"/>
      <c r="B8" s="413"/>
      <c r="D8" s="413"/>
      <c r="E8" s="413"/>
    </row>
    <row r="9" spans="1:7" ht="24.95" customHeight="1">
      <c r="A9" s="385" t="s">
        <v>59</v>
      </c>
      <c r="B9" s="385" t="s">
        <v>3754</v>
      </c>
      <c r="D9" s="385" t="s">
        <v>3756</v>
      </c>
      <c r="E9" s="385" t="s">
        <v>3757</v>
      </c>
    </row>
    <row r="10" spans="1:7" ht="27.95" customHeight="1">
      <c r="A10" s="386" t="s">
        <v>33</v>
      </c>
      <c r="B10" s="387">
        <f>COUNTIFS('Ações InCompany'!B:B,2025,'Ações InCompany'!C:C,"Realizado",'Ações InCompany'!F:F,"Servidores do TCDF")</f>
        <v>61</v>
      </c>
      <c r="D10" s="386" t="s">
        <v>3758</v>
      </c>
      <c r="E10" s="387">
        <f>SUMIFS('Ações InCompany'!O:O,'Ações InCompany'!B:B,2025,'Ações InCompany'!C:C,"Realizado")</f>
        <v>2649</v>
      </c>
    </row>
    <row r="11" spans="1:7" ht="27.95" customHeight="1">
      <c r="A11" s="388" t="s">
        <v>44</v>
      </c>
      <c r="B11" s="389">
        <f>COUNTIFS('Ações InCompany'!B:B,2025,'Ações InCompany'!C:C,"Realizado",'Ações InCompany'!F:F,"Jurisdicionados")</f>
        <v>31</v>
      </c>
      <c r="D11" s="388" t="s">
        <v>3759</v>
      </c>
      <c r="E11" s="389">
        <f>SUMIFS('Ações InCompany'!P:P,'Ações InCompany'!B:B,2025,'Ações InCompany'!C:C,"Realizado")</f>
        <v>2140</v>
      </c>
    </row>
    <row r="12" spans="1:7" ht="27.95" customHeight="1">
      <c r="A12" s="386" t="s">
        <v>48</v>
      </c>
      <c r="B12" s="387">
        <f>COUNTIFS('Ações InCompany'!B:B,2025,'Ações InCompany'!C:C,"Realizado",'Ações InCompany'!F:F,"Sociedade")</f>
        <v>28</v>
      </c>
      <c r="D12" s="386" t="s">
        <v>3760</v>
      </c>
      <c r="E12" s="387">
        <f>SUMIFS('Ações InCompany'!Q:Q,'Ações InCompany'!B:B,2025,'Ações InCompany'!C:C,"Realizado")</f>
        <v>1240</v>
      </c>
    </row>
    <row r="13" spans="1:7" ht="27.95" customHeight="1">
      <c r="A13" s="390" t="s">
        <v>3761</v>
      </c>
      <c r="B13" s="391">
        <f>SUM(B10:B12)</f>
        <v>120</v>
      </c>
      <c r="D13" s="390" t="s">
        <v>2929</v>
      </c>
      <c r="E13" s="391">
        <f>SUM(E10:E12)</f>
        <v>6029</v>
      </c>
    </row>
    <row r="29" spans="1:5" ht="17.25">
      <c r="A29" s="412" t="s">
        <v>3764</v>
      </c>
      <c r="B29" s="412"/>
      <c r="C29" s="412"/>
      <c r="D29" s="412"/>
      <c r="E29" s="412"/>
    </row>
    <row r="30" spans="1:5" ht="5.0999999999999996" customHeight="1">
      <c r="A30" s="413"/>
      <c r="B30" s="413"/>
      <c r="C30" s="413"/>
      <c r="D30" s="413"/>
      <c r="E30" s="413"/>
    </row>
    <row r="31" spans="1:5" ht="24.95" customHeight="1">
      <c r="A31" s="385" t="s">
        <v>60</v>
      </c>
      <c r="B31" s="385" t="s">
        <v>3754</v>
      </c>
      <c r="C31" s="385" t="s">
        <v>3765</v>
      </c>
    </row>
    <row r="32" spans="1:5" ht="24" customHeight="1">
      <c r="A32" s="386" t="s">
        <v>15</v>
      </c>
      <c r="B32" s="394">
        <f>COUNTIFS('Ações InCompany'!B:B,2025,'Ações InCompany'!C:C,"Realizado",'Ações InCompany'!G:G,A32)</f>
        <v>57</v>
      </c>
      <c r="C32" s="395">
        <f t="shared" ref="C32:C41" si="0">B32/$B$42</f>
        <v>0.47499999999999998</v>
      </c>
    </row>
    <row r="33" spans="1:3" ht="24" customHeight="1">
      <c r="A33" s="388" t="s">
        <v>25</v>
      </c>
      <c r="B33" s="396">
        <f>COUNTIFS('Ações InCompany'!B:B,2025,'Ações InCompany'!C:C,"Realizado",'Ações InCompany'!G:G,A33)</f>
        <v>16</v>
      </c>
      <c r="C33" s="397">
        <f t="shared" si="0"/>
        <v>0.13333333333333333</v>
      </c>
    </row>
    <row r="34" spans="1:3" ht="24" customHeight="1">
      <c r="A34" s="386" t="s">
        <v>32</v>
      </c>
      <c r="B34" s="394">
        <f>COUNTIFS('Ações InCompany'!B:B,2025,'Ações InCompany'!C:C,"Realizado",'Ações InCompany'!G:G,A34)</f>
        <v>16</v>
      </c>
      <c r="C34" s="395">
        <f t="shared" si="0"/>
        <v>0.13333333333333333</v>
      </c>
    </row>
    <row r="35" spans="1:3" ht="24" customHeight="1">
      <c r="A35" s="388" t="s">
        <v>13</v>
      </c>
      <c r="B35" s="396">
        <f>COUNTIFS('Ações InCompany'!B:B,2025,'Ações InCompany'!C:C,"Realizado",'Ações InCompany'!G:G,A35)</f>
        <v>8</v>
      </c>
      <c r="C35" s="397">
        <f t="shared" si="0"/>
        <v>6.6666666666666666E-2</v>
      </c>
    </row>
    <row r="36" spans="1:3" ht="24" customHeight="1">
      <c r="A36" s="386" t="s">
        <v>22</v>
      </c>
      <c r="B36" s="394">
        <f>COUNTIFS('Ações InCompany'!B:B,2025,'Ações InCompany'!C:C,"Realizado",'Ações InCompany'!G:G,A36)</f>
        <v>9</v>
      </c>
      <c r="C36" s="395">
        <f t="shared" si="0"/>
        <v>7.4999999999999997E-2</v>
      </c>
    </row>
    <row r="37" spans="1:3" ht="24" customHeight="1">
      <c r="A37" s="388" t="s">
        <v>10</v>
      </c>
      <c r="B37" s="396">
        <f>COUNTIFS('Ações InCompany'!B:B,2025,'Ações InCompany'!C:C,"Realizado",'Ações InCompany'!G:G,A37)</f>
        <v>6</v>
      </c>
      <c r="C37" s="397">
        <f t="shared" si="0"/>
        <v>0.05</v>
      </c>
    </row>
    <row r="38" spans="1:3" ht="24" customHeight="1">
      <c r="A38" s="386" t="s">
        <v>35</v>
      </c>
      <c r="B38" s="394">
        <f>COUNTIFS('Ações InCompany'!B:B,2025,'Ações InCompany'!C:C,"Realizado",'Ações InCompany'!G:G,A38)</f>
        <v>4</v>
      </c>
      <c r="C38" s="395">
        <f t="shared" si="0"/>
        <v>3.3333333333333333E-2</v>
      </c>
    </row>
    <row r="39" spans="1:3" ht="24" customHeight="1">
      <c r="A39" s="388" t="s">
        <v>7</v>
      </c>
      <c r="B39" s="396">
        <f>COUNTIFS('Ações InCompany'!B:B,2025,'Ações InCompany'!C:C,"Realizado",'Ações InCompany'!G:G,A39)</f>
        <v>2</v>
      </c>
      <c r="C39" s="397">
        <f t="shared" si="0"/>
        <v>1.6666666666666666E-2</v>
      </c>
    </row>
    <row r="40" spans="1:3" ht="24" customHeight="1">
      <c r="A40" s="386" t="s">
        <v>29</v>
      </c>
      <c r="B40" s="394">
        <f>COUNTIFS('Ações InCompany'!B:B,2025,'Ações InCompany'!C:C,"Realizado",'Ações InCompany'!G:G,A40)</f>
        <v>2</v>
      </c>
      <c r="C40" s="395">
        <f t="shared" si="0"/>
        <v>1.6666666666666666E-2</v>
      </c>
    </row>
    <row r="41" spans="1:3" ht="24" customHeight="1">
      <c r="A41" s="398" t="s">
        <v>3766</v>
      </c>
      <c r="B41" s="399">
        <f>COUNTIFS('Ações InCompany'!B:B,2025,'Ações InCompany'!C:C,"Realizado",'Ações InCompany'!G:G,"")</f>
        <v>0</v>
      </c>
      <c r="C41" s="400">
        <f t="shared" si="0"/>
        <v>0</v>
      </c>
    </row>
    <row r="42" spans="1:3" ht="24" customHeight="1">
      <c r="A42" s="390" t="s">
        <v>3761</v>
      </c>
      <c r="B42" s="401">
        <f>SUM(B32:B41)</f>
        <v>120</v>
      </c>
      <c r="C42" s="402">
        <f>SUM(C32:C41)</f>
        <v>1</v>
      </c>
    </row>
  </sheetData>
  <mergeCells count="9">
    <mergeCell ref="A29:E29"/>
    <mergeCell ref="A30:E30"/>
    <mergeCell ref="A1:G1"/>
    <mergeCell ref="A7:B7"/>
    <mergeCell ref="A8:B8"/>
    <mergeCell ref="D7:E7"/>
    <mergeCell ref="D8:E8"/>
    <mergeCell ref="A4:B4"/>
    <mergeCell ref="D4:E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251C-FE31-4CBA-9282-4F6428EC39EE}">
  <dimension ref="A1:E11"/>
  <sheetViews>
    <sheetView workbookViewId="0">
      <selection activeCell="A12" sqref="A12"/>
    </sheetView>
  </sheetViews>
  <sheetFormatPr defaultColWidth="9.140625" defaultRowHeight="18" customHeight="1"/>
  <cols>
    <col min="1" max="1" width="15.85546875" style="12" bestFit="1" customWidth="1"/>
    <col min="2" max="2" width="22" style="12" bestFit="1" customWidth="1"/>
    <col min="3" max="3" width="73.42578125" style="12" bestFit="1" customWidth="1"/>
    <col min="4" max="4" width="76.85546875" style="12" bestFit="1" customWidth="1"/>
    <col min="5" max="5" width="255.7109375" style="12" bestFit="1" customWidth="1"/>
    <col min="6" max="16384" width="9.140625" style="12"/>
  </cols>
  <sheetData>
    <row r="1" spans="1:5" ht="18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ht="18" customHeight="1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 ht="18" customHeight="1">
      <c r="A3" s="12" t="s">
        <v>5</v>
      </c>
      <c r="B3" s="12" t="s">
        <v>6</v>
      </c>
      <c r="C3" s="14" t="s">
        <v>10</v>
      </c>
      <c r="D3" s="12" t="s">
        <v>11</v>
      </c>
      <c r="E3" s="12" t="s">
        <v>12</v>
      </c>
    </row>
    <row r="4" spans="1:5" ht="18" customHeight="1">
      <c r="A4" s="12" t="s">
        <v>5</v>
      </c>
      <c r="B4" s="12" t="s">
        <v>6</v>
      </c>
      <c r="C4" s="12" t="s">
        <v>13</v>
      </c>
      <c r="D4" s="12" t="s">
        <v>8</v>
      </c>
      <c r="E4" s="12" t="s">
        <v>14</v>
      </c>
    </row>
    <row r="5" spans="1:5" ht="18" customHeight="1">
      <c r="A5" s="12" t="s">
        <v>5</v>
      </c>
      <c r="B5" s="12" t="s">
        <v>6</v>
      </c>
      <c r="C5" s="12" t="s">
        <v>15</v>
      </c>
      <c r="D5" s="12" t="s">
        <v>16</v>
      </c>
      <c r="E5" s="12" t="s">
        <v>17</v>
      </c>
    </row>
    <row r="6" spans="1:5" ht="18" customHeight="1">
      <c r="A6" s="12" t="s">
        <v>5</v>
      </c>
      <c r="B6" s="12" t="s">
        <v>6</v>
      </c>
      <c r="C6" s="12" t="s">
        <v>18</v>
      </c>
      <c r="D6" s="12" t="s">
        <v>19</v>
      </c>
      <c r="E6" s="12" t="s">
        <v>20</v>
      </c>
    </row>
    <row r="7" spans="1:5" ht="18" customHeight="1">
      <c r="A7" s="12" t="s">
        <v>5</v>
      </c>
      <c r="B7" s="12" t="s">
        <v>21</v>
      </c>
      <c r="C7" s="12" t="s">
        <v>22</v>
      </c>
      <c r="D7" s="12" t="s">
        <v>23</v>
      </c>
      <c r="E7" s="12" t="s">
        <v>24</v>
      </c>
    </row>
    <row r="8" spans="1:5" ht="18" customHeight="1">
      <c r="A8" s="12" t="s">
        <v>5</v>
      </c>
      <c r="B8" s="12" t="s">
        <v>21</v>
      </c>
      <c r="C8" s="12" t="s">
        <v>25</v>
      </c>
      <c r="D8" s="12" t="s">
        <v>26</v>
      </c>
      <c r="E8" s="12" t="s">
        <v>27</v>
      </c>
    </row>
    <row r="9" spans="1:5" ht="18" customHeight="1">
      <c r="A9" s="12" t="s">
        <v>5</v>
      </c>
      <c r="B9" s="12" t="s">
        <v>28</v>
      </c>
      <c r="C9" s="12" t="s">
        <v>29</v>
      </c>
      <c r="D9" s="12" t="s">
        <v>30</v>
      </c>
      <c r="E9" s="12" t="s">
        <v>31</v>
      </c>
    </row>
    <row r="10" spans="1:5" ht="18" customHeight="1">
      <c r="A10" s="12" t="s">
        <v>5</v>
      </c>
      <c r="B10" s="12" t="s">
        <v>28</v>
      </c>
      <c r="C10" s="12" t="s">
        <v>32</v>
      </c>
      <c r="D10" s="12" t="s">
        <v>33</v>
      </c>
      <c r="E10" s="12" t="s">
        <v>34</v>
      </c>
    </row>
    <row r="11" spans="1:5" ht="18" customHeight="1">
      <c r="A11" s="12" t="s">
        <v>5</v>
      </c>
      <c r="B11" s="12" t="s">
        <v>28</v>
      </c>
      <c r="C11" s="12" t="s">
        <v>35</v>
      </c>
      <c r="D11" s="12" t="s">
        <v>33</v>
      </c>
      <c r="E11" s="1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0FA4-DB0D-4ACD-9BBA-7CDB8D4109D9}">
  <dimension ref="A1:D6"/>
  <sheetViews>
    <sheetView workbookViewId="0">
      <selection activeCell="D17" sqref="D17"/>
    </sheetView>
  </sheetViews>
  <sheetFormatPr defaultColWidth="9.140625" defaultRowHeight="21" customHeight="1"/>
  <cols>
    <col min="1" max="1" width="23" style="12" customWidth="1"/>
    <col min="2" max="2" width="20.28515625" style="12" customWidth="1"/>
    <col min="3" max="3" width="11" style="12" customWidth="1"/>
    <col min="4" max="4" width="20.85546875" style="12" customWidth="1"/>
    <col min="5" max="16384" width="9.140625" style="12"/>
  </cols>
  <sheetData>
    <row r="1" spans="1:4" ht="21" customHeight="1">
      <c r="A1" s="15" t="s">
        <v>37</v>
      </c>
      <c r="B1" s="5" t="s">
        <v>38</v>
      </c>
      <c r="C1" s="15" t="s">
        <v>39</v>
      </c>
      <c r="D1" s="15" t="s">
        <v>40</v>
      </c>
    </row>
    <row r="2" spans="1:4" ht="21" customHeight="1">
      <c r="A2" s="25" t="s">
        <v>33</v>
      </c>
      <c r="B2" s="25" t="s">
        <v>41</v>
      </c>
      <c r="C2" s="12" t="s">
        <v>42</v>
      </c>
      <c r="D2" s="12" t="s">
        <v>43</v>
      </c>
    </row>
    <row r="3" spans="1:4" ht="21" customHeight="1">
      <c r="A3" s="12" t="s">
        <v>44</v>
      </c>
      <c r="B3" s="25" t="s">
        <v>45</v>
      </c>
      <c r="C3" s="12" t="s">
        <v>46</v>
      </c>
      <c r="D3" s="12" t="s">
        <v>47</v>
      </c>
    </row>
    <row r="4" spans="1:4" ht="21" customHeight="1">
      <c r="A4" s="14" t="s">
        <v>48</v>
      </c>
      <c r="B4" s="25" t="s">
        <v>49</v>
      </c>
      <c r="D4" s="12" t="s">
        <v>50</v>
      </c>
    </row>
    <row r="5" spans="1:4" ht="21" customHeight="1">
      <c r="A5" s="12" t="s">
        <v>51</v>
      </c>
      <c r="D5" s="12" t="s">
        <v>52</v>
      </c>
    </row>
    <row r="6" spans="1:4" ht="21" customHeight="1">
      <c r="D6" s="12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0031-0FEE-4C02-A480-D14B9CA90666}">
  <sheetPr>
    <pageSetUpPr fitToPage="1"/>
  </sheetPr>
  <dimension ref="A1:V680"/>
  <sheetViews>
    <sheetView tabSelected="1" topLeftCell="A666" zoomScaleNormal="100" workbookViewId="0">
      <pane xSplit="3" topLeftCell="N1" activePane="topRight" state="frozen"/>
      <selection pane="topRight" activeCell="S673" sqref="S673"/>
    </sheetView>
  </sheetViews>
  <sheetFormatPr defaultColWidth="9.140625" defaultRowHeight="23.25" customHeight="1"/>
  <cols>
    <col min="1" max="1" width="21.140625" style="2" customWidth="1"/>
    <col min="2" max="2" width="11.5703125" style="3" bestFit="1" customWidth="1"/>
    <col min="3" max="3" width="17.7109375" style="3" customWidth="1"/>
    <col min="4" max="4" width="21.42578125" style="3" customWidth="1"/>
    <col min="5" max="5" width="90.7109375" style="2" customWidth="1"/>
    <col min="6" max="6" width="28.85546875" style="2" customWidth="1"/>
    <col min="7" max="7" width="37.5703125" style="2" customWidth="1"/>
    <col min="8" max="8" width="35.7109375" style="3" customWidth="1"/>
    <col min="9" max="9" width="12.7109375" style="1" customWidth="1"/>
    <col min="10" max="10" width="12" style="1" customWidth="1"/>
    <col min="11" max="11" width="22.42578125" style="3" customWidth="1"/>
    <col min="12" max="12" width="18.140625" style="22" customWidth="1"/>
    <col min="13" max="13" width="16.28515625" style="2" customWidth="1"/>
    <col min="14" max="14" width="12.7109375" style="4" customWidth="1"/>
    <col min="15" max="15" width="12.42578125" style="4" customWidth="1"/>
    <col min="16" max="16" width="18.42578125" style="4" customWidth="1"/>
    <col min="17" max="17" width="12.42578125" style="4" customWidth="1"/>
    <col min="18" max="18" width="15.140625" style="4" customWidth="1"/>
    <col min="19" max="19" width="9.140625" style="2" customWidth="1"/>
    <col min="20" max="20" width="52.7109375" style="2" customWidth="1"/>
    <col min="21" max="16384" width="9.140625" style="2"/>
  </cols>
  <sheetData>
    <row r="1" spans="1:22" ht="23.25" customHeight="1">
      <c r="A1" s="5" t="s">
        <v>54</v>
      </c>
      <c r="B1" s="5" t="s">
        <v>55</v>
      </c>
      <c r="C1" s="5" t="s">
        <v>56</v>
      </c>
      <c r="D1" s="6" t="s">
        <v>57</v>
      </c>
      <c r="E1" s="7" t="s">
        <v>58</v>
      </c>
      <c r="F1" s="5" t="s">
        <v>59</v>
      </c>
      <c r="G1" s="5" t="s">
        <v>60</v>
      </c>
      <c r="H1" s="7" t="s">
        <v>61</v>
      </c>
      <c r="I1" s="8" t="s">
        <v>62</v>
      </c>
      <c r="J1" s="8" t="s">
        <v>63</v>
      </c>
      <c r="K1" s="5" t="s">
        <v>38</v>
      </c>
      <c r="L1" s="148" t="s">
        <v>64</v>
      </c>
      <c r="M1" s="9" t="s">
        <v>65</v>
      </c>
      <c r="N1" s="10" t="s">
        <v>66</v>
      </c>
      <c r="O1" s="11" t="s">
        <v>67</v>
      </c>
      <c r="P1" s="11" t="s">
        <v>68</v>
      </c>
      <c r="Q1" s="11" t="s">
        <v>69</v>
      </c>
      <c r="R1" s="23" t="s">
        <v>70</v>
      </c>
      <c r="S1" s="6" t="s">
        <v>71</v>
      </c>
      <c r="T1" s="5" t="s">
        <v>72</v>
      </c>
      <c r="V1"/>
    </row>
    <row r="2" spans="1:22" ht="23.25" customHeight="1">
      <c r="A2" s="62" t="s">
        <v>73</v>
      </c>
      <c r="B2" s="64">
        <v>2014</v>
      </c>
      <c r="C2" s="143" t="s">
        <v>52</v>
      </c>
      <c r="D2" s="64"/>
      <c r="E2" s="69" t="s">
        <v>74</v>
      </c>
      <c r="F2" s="71" t="s">
        <v>33</v>
      </c>
      <c r="G2" s="62" t="s">
        <v>10</v>
      </c>
      <c r="H2" s="78" t="s">
        <v>75</v>
      </c>
      <c r="I2" s="79">
        <v>41715</v>
      </c>
      <c r="J2" s="79">
        <v>41719</v>
      </c>
      <c r="K2" s="64" t="s">
        <v>45</v>
      </c>
      <c r="L2" s="70">
        <v>19500</v>
      </c>
      <c r="M2" s="139"/>
      <c r="N2" s="83"/>
      <c r="O2" s="65">
        <v>20</v>
      </c>
      <c r="P2" s="65"/>
      <c r="Q2" s="65"/>
      <c r="R2" s="65">
        <f t="shared" ref="R2:R65" si="0">SUM(O2:Q2)</f>
        <v>20</v>
      </c>
      <c r="S2" s="64">
        <v>20</v>
      </c>
      <c r="T2" s="62"/>
    </row>
    <row r="3" spans="1:22" ht="23.25" customHeight="1">
      <c r="A3" s="63" t="s">
        <v>76</v>
      </c>
      <c r="B3" s="66">
        <v>2014</v>
      </c>
      <c r="C3" s="143" t="s">
        <v>52</v>
      </c>
      <c r="D3" s="66"/>
      <c r="E3" s="72" t="s">
        <v>77</v>
      </c>
      <c r="F3" s="73" t="s">
        <v>33</v>
      </c>
      <c r="G3" s="63" t="s">
        <v>10</v>
      </c>
      <c r="H3" s="80" t="s">
        <v>78</v>
      </c>
      <c r="I3" s="81">
        <v>41743</v>
      </c>
      <c r="J3" s="81">
        <v>41744</v>
      </c>
      <c r="K3" s="66" t="s">
        <v>45</v>
      </c>
      <c r="L3" s="68">
        <v>28000</v>
      </c>
      <c r="M3" s="140"/>
      <c r="N3" s="82"/>
      <c r="O3" s="67">
        <v>16</v>
      </c>
      <c r="P3" s="67"/>
      <c r="Q3" s="67"/>
      <c r="R3" s="67">
        <f t="shared" si="0"/>
        <v>16</v>
      </c>
      <c r="S3" s="66">
        <v>16</v>
      </c>
      <c r="T3" s="63"/>
    </row>
    <row r="4" spans="1:22" ht="23.25" customHeight="1">
      <c r="A4" s="62" t="s">
        <v>79</v>
      </c>
      <c r="B4" s="64">
        <v>2014</v>
      </c>
      <c r="C4" s="143" t="s">
        <v>52</v>
      </c>
      <c r="D4" s="64"/>
      <c r="E4" s="69" t="s">
        <v>80</v>
      </c>
      <c r="F4" s="71" t="s">
        <v>33</v>
      </c>
      <c r="G4" s="62" t="s">
        <v>22</v>
      </c>
      <c r="H4" s="78" t="s">
        <v>81</v>
      </c>
      <c r="I4" s="79">
        <v>41792</v>
      </c>
      <c r="J4" s="79">
        <v>41799</v>
      </c>
      <c r="K4" s="64" t="s">
        <v>41</v>
      </c>
      <c r="L4" s="70">
        <v>2991</v>
      </c>
      <c r="M4" s="139"/>
      <c r="N4" s="83"/>
      <c r="O4" s="65">
        <v>24</v>
      </c>
      <c r="P4" s="65"/>
      <c r="Q4" s="65"/>
      <c r="R4" s="65">
        <f t="shared" si="0"/>
        <v>24</v>
      </c>
      <c r="S4" s="64">
        <v>24</v>
      </c>
      <c r="T4" s="62"/>
    </row>
    <row r="5" spans="1:22" ht="23.25" customHeight="1">
      <c r="A5" s="63" t="s">
        <v>82</v>
      </c>
      <c r="B5" s="66">
        <v>2014</v>
      </c>
      <c r="C5" s="143" t="s">
        <v>52</v>
      </c>
      <c r="D5" s="66"/>
      <c r="E5" s="72" t="s">
        <v>83</v>
      </c>
      <c r="F5" s="73" t="s">
        <v>33</v>
      </c>
      <c r="G5" s="63" t="s">
        <v>25</v>
      </c>
      <c r="H5" s="80" t="s">
        <v>84</v>
      </c>
      <c r="I5" s="81">
        <v>41814</v>
      </c>
      <c r="J5" s="81">
        <v>41815</v>
      </c>
      <c r="K5" s="66" t="s">
        <v>45</v>
      </c>
      <c r="L5" s="68">
        <v>41341.160000000003</v>
      </c>
      <c r="M5" s="140"/>
      <c r="N5" s="82"/>
      <c r="O5" s="67">
        <v>16</v>
      </c>
      <c r="P5" s="67"/>
      <c r="Q5" s="67"/>
      <c r="R5" s="67">
        <f t="shared" si="0"/>
        <v>16</v>
      </c>
      <c r="S5" s="66">
        <v>16</v>
      </c>
      <c r="T5" s="63"/>
    </row>
    <row r="6" spans="1:22" ht="23.25" customHeight="1">
      <c r="A6" s="62" t="s">
        <v>85</v>
      </c>
      <c r="B6" s="64">
        <v>2014</v>
      </c>
      <c r="C6" s="143" t="s">
        <v>52</v>
      </c>
      <c r="D6" s="64"/>
      <c r="E6" s="69" t="s">
        <v>86</v>
      </c>
      <c r="F6" s="71" t="s">
        <v>33</v>
      </c>
      <c r="G6" s="62" t="s">
        <v>10</v>
      </c>
      <c r="H6" s="78" t="s">
        <v>87</v>
      </c>
      <c r="I6" s="79">
        <v>41855</v>
      </c>
      <c r="J6" s="79">
        <v>41859</v>
      </c>
      <c r="K6" s="64" t="s">
        <v>45</v>
      </c>
      <c r="L6" s="70">
        <v>54900</v>
      </c>
      <c r="M6" s="139"/>
      <c r="N6" s="83"/>
      <c r="O6" s="65">
        <v>40</v>
      </c>
      <c r="P6" s="65"/>
      <c r="Q6" s="65"/>
      <c r="R6" s="65">
        <f t="shared" si="0"/>
        <v>40</v>
      </c>
      <c r="S6" s="64">
        <v>40</v>
      </c>
      <c r="T6" s="62"/>
    </row>
    <row r="7" spans="1:22" ht="23.25" customHeight="1">
      <c r="A7" s="63" t="s">
        <v>88</v>
      </c>
      <c r="B7" s="66">
        <v>2014</v>
      </c>
      <c r="C7" s="143" t="s">
        <v>52</v>
      </c>
      <c r="D7" s="66"/>
      <c r="E7" s="72" t="s">
        <v>89</v>
      </c>
      <c r="F7" s="73" t="s">
        <v>33</v>
      </c>
      <c r="G7" s="63" t="s">
        <v>10</v>
      </c>
      <c r="H7" s="80" t="s">
        <v>90</v>
      </c>
      <c r="I7" s="81">
        <v>41892</v>
      </c>
      <c r="J7" s="81">
        <v>41892</v>
      </c>
      <c r="K7" s="66" t="s">
        <v>45</v>
      </c>
      <c r="L7" s="68">
        <v>15000</v>
      </c>
      <c r="M7" s="140"/>
      <c r="N7" s="82"/>
      <c r="O7" s="67">
        <v>30</v>
      </c>
      <c r="P7" s="67"/>
      <c r="Q7" s="67"/>
      <c r="R7" s="67">
        <f t="shared" si="0"/>
        <v>30</v>
      </c>
      <c r="S7" s="66">
        <v>30</v>
      </c>
      <c r="T7" s="63"/>
    </row>
    <row r="8" spans="1:22" ht="23.25" customHeight="1">
      <c r="A8" s="62" t="s">
        <v>91</v>
      </c>
      <c r="B8" s="64">
        <v>2014</v>
      </c>
      <c r="C8" s="143" t="s">
        <v>52</v>
      </c>
      <c r="D8" s="64"/>
      <c r="E8" s="69"/>
      <c r="F8" s="71" t="s">
        <v>33</v>
      </c>
      <c r="G8" s="62" t="s">
        <v>10</v>
      </c>
      <c r="H8" s="78" t="s">
        <v>92</v>
      </c>
      <c r="I8" s="79">
        <v>41943</v>
      </c>
      <c r="J8" s="79">
        <v>41943</v>
      </c>
      <c r="K8" s="64" t="s">
        <v>45</v>
      </c>
      <c r="L8" s="70">
        <v>33260</v>
      </c>
      <c r="M8" s="139"/>
      <c r="N8" s="83"/>
      <c r="O8" s="65">
        <v>24</v>
      </c>
      <c r="P8" s="65"/>
      <c r="Q8" s="65"/>
      <c r="R8" s="65">
        <f t="shared" si="0"/>
        <v>24</v>
      </c>
      <c r="S8" s="64">
        <v>24</v>
      </c>
      <c r="T8" s="62"/>
    </row>
    <row r="9" spans="1:22" ht="23.25" customHeight="1">
      <c r="A9" s="63" t="s">
        <v>93</v>
      </c>
      <c r="B9" s="66">
        <v>2014</v>
      </c>
      <c r="C9" s="143" t="s">
        <v>52</v>
      </c>
      <c r="D9" s="66"/>
      <c r="E9" s="72" t="s">
        <v>94</v>
      </c>
      <c r="F9" s="73" t="s">
        <v>33</v>
      </c>
      <c r="G9" s="63" t="s">
        <v>25</v>
      </c>
      <c r="H9" s="80" t="s">
        <v>95</v>
      </c>
      <c r="I9" s="81">
        <v>41953</v>
      </c>
      <c r="J9" s="81">
        <v>41957</v>
      </c>
      <c r="K9" s="66" t="s">
        <v>41</v>
      </c>
      <c r="L9" s="68">
        <v>4353.54</v>
      </c>
      <c r="M9" s="140"/>
      <c r="N9" s="82"/>
      <c r="O9" s="67"/>
      <c r="P9" s="67">
        <v>37</v>
      </c>
      <c r="Q9" s="67"/>
      <c r="R9" s="67">
        <f t="shared" si="0"/>
        <v>37</v>
      </c>
      <c r="S9" s="66">
        <v>8</v>
      </c>
      <c r="T9" s="63"/>
    </row>
    <row r="10" spans="1:22" ht="23.25" customHeight="1">
      <c r="A10" s="62" t="s">
        <v>96</v>
      </c>
      <c r="B10" s="64">
        <v>2014</v>
      </c>
      <c r="C10" s="143" t="s">
        <v>52</v>
      </c>
      <c r="D10" s="64"/>
      <c r="E10" s="69" t="s">
        <v>97</v>
      </c>
      <c r="F10" s="71" t="s">
        <v>33</v>
      </c>
      <c r="G10" s="62" t="s">
        <v>10</v>
      </c>
      <c r="H10" s="78" t="s">
        <v>98</v>
      </c>
      <c r="I10" s="79">
        <v>41967</v>
      </c>
      <c r="J10" s="79">
        <v>41971</v>
      </c>
      <c r="K10" s="64" t="s">
        <v>41</v>
      </c>
      <c r="L10" s="70">
        <v>4353.54</v>
      </c>
      <c r="M10" s="139"/>
      <c r="N10" s="83"/>
      <c r="O10" s="65"/>
      <c r="P10" s="65">
        <v>58</v>
      </c>
      <c r="Q10" s="65"/>
      <c r="R10" s="65">
        <f t="shared" si="0"/>
        <v>58</v>
      </c>
      <c r="S10" s="64">
        <v>20</v>
      </c>
      <c r="T10" s="62"/>
    </row>
    <row r="11" spans="1:22" ht="23.25" customHeight="1">
      <c r="A11" s="63" t="s">
        <v>99</v>
      </c>
      <c r="B11" s="66">
        <v>2015</v>
      </c>
      <c r="C11" s="143" t="s">
        <v>52</v>
      </c>
      <c r="D11" s="66" t="s">
        <v>100</v>
      </c>
      <c r="E11" s="72" t="s">
        <v>101</v>
      </c>
      <c r="F11" s="73" t="s">
        <v>33</v>
      </c>
      <c r="G11" s="63" t="s">
        <v>10</v>
      </c>
      <c r="H11" s="80" t="s">
        <v>102</v>
      </c>
      <c r="I11" s="81">
        <v>42086</v>
      </c>
      <c r="J11" s="81">
        <v>42090</v>
      </c>
      <c r="K11" s="66" t="s">
        <v>45</v>
      </c>
      <c r="L11" s="68">
        <v>23500</v>
      </c>
      <c r="M11" s="140"/>
      <c r="N11" s="82"/>
      <c r="O11" s="67">
        <v>25</v>
      </c>
      <c r="P11" s="67"/>
      <c r="Q11" s="67"/>
      <c r="R11" s="67">
        <f t="shared" si="0"/>
        <v>25</v>
      </c>
      <c r="S11" s="66">
        <v>20</v>
      </c>
      <c r="T11" s="63" t="s">
        <v>103</v>
      </c>
    </row>
    <row r="12" spans="1:22" ht="23.25" customHeight="1">
      <c r="A12" s="62" t="s">
        <v>104</v>
      </c>
      <c r="B12" s="64">
        <v>2015</v>
      </c>
      <c r="C12" s="143" t="s">
        <v>52</v>
      </c>
      <c r="D12" s="64" t="s">
        <v>105</v>
      </c>
      <c r="E12" s="69" t="s">
        <v>106</v>
      </c>
      <c r="F12" s="71" t="s">
        <v>44</v>
      </c>
      <c r="G12" s="62" t="s">
        <v>25</v>
      </c>
      <c r="H12" s="78" t="s">
        <v>107</v>
      </c>
      <c r="I12" s="79">
        <v>42100</v>
      </c>
      <c r="J12" s="79">
        <v>42104</v>
      </c>
      <c r="K12" s="64" t="s">
        <v>41</v>
      </c>
      <c r="L12" s="70">
        <v>4992.74</v>
      </c>
      <c r="M12" s="139"/>
      <c r="N12" s="83"/>
      <c r="O12" s="65"/>
      <c r="P12" s="65">
        <v>85</v>
      </c>
      <c r="Q12" s="65"/>
      <c r="R12" s="65">
        <f t="shared" si="0"/>
        <v>85</v>
      </c>
      <c r="S12" s="64">
        <v>20</v>
      </c>
      <c r="T12" s="62" t="s">
        <v>108</v>
      </c>
    </row>
    <row r="13" spans="1:22" ht="23.25" customHeight="1">
      <c r="A13" s="63" t="s">
        <v>109</v>
      </c>
      <c r="B13" s="66">
        <v>2015</v>
      </c>
      <c r="C13" s="143" t="s">
        <v>52</v>
      </c>
      <c r="D13" s="66" t="s">
        <v>110</v>
      </c>
      <c r="E13" s="72" t="s">
        <v>111</v>
      </c>
      <c r="F13" s="73" t="s">
        <v>33</v>
      </c>
      <c r="G13" s="63" t="s">
        <v>13</v>
      </c>
      <c r="H13" s="80" t="s">
        <v>107</v>
      </c>
      <c r="I13" s="81">
        <v>42100</v>
      </c>
      <c r="J13" s="81">
        <v>42104</v>
      </c>
      <c r="K13" s="66" t="s">
        <v>45</v>
      </c>
      <c r="L13" s="68">
        <v>29000</v>
      </c>
      <c r="M13" s="140"/>
      <c r="N13" s="82"/>
      <c r="O13" s="67">
        <v>19</v>
      </c>
      <c r="P13" s="67"/>
      <c r="Q13" s="67"/>
      <c r="R13" s="67">
        <f t="shared" si="0"/>
        <v>19</v>
      </c>
      <c r="S13" s="66">
        <v>40</v>
      </c>
      <c r="T13" s="63" t="s">
        <v>112</v>
      </c>
    </row>
    <row r="14" spans="1:22" ht="23.25" customHeight="1">
      <c r="A14" s="62" t="s">
        <v>113</v>
      </c>
      <c r="B14" s="64">
        <v>2015</v>
      </c>
      <c r="C14" s="143" t="s">
        <v>52</v>
      </c>
      <c r="D14" s="64" t="s">
        <v>114</v>
      </c>
      <c r="E14" s="69" t="s">
        <v>97</v>
      </c>
      <c r="F14" s="71" t="s">
        <v>44</v>
      </c>
      <c r="G14" s="62" t="s">
        <v>15</v>
      </c>
      <c r="H14" s="78" t="s">
        <v>115</v>
      </c>
      <c r="I14" s="79">
        <v>42107</v>
      </c>
      <c r="J14" s="79">
        <v>42111</v>
      </c>
      <c r="K14" s="64" t="s">
        <v>41</v>
      </c>
      <c r="L14" s="70">
        <v>4447.5200000000004</v>
      </c>
      <c r="M14" s="139"/>
      <c r="N14" s="83"/>
      <c r="O14" s="65"/>
      <c r="P14" s="65">
        <v>89</v>
      </c>
      <c r="Q14" s="65"/>
      <c r="R14" s="65">
        <f t="shared" si="0"/>
        <v>89</v>
      </c>
      <c r="S14" s="64">
        <v>20</v>
      </c>
      <c r="T14" s="62" t="s">
        <v>116</v>
      </c>
    </row>
    <row r="15" spans="1:22" ht="23.25" customHeight="1">
      <c r="A15" s="63" t="s">
        <v>117</v>
      </c>
      <c r="B15" s="66">
        <v>2015</v>
      </c>
      <c r="C15" s="143" t="s">
        <v>52</v>
      </c>
      <c r="D15" s="66" t="s">
        <v>118</v>
      </c>
      <c r="E15" s="72" t="s">
        <v>119</v>
      </c>
      <c r="F15" s="73" t="s">
        <v>33</v>
      </c>
      <c r="G15" s="63" t="s">
        <v>25</v>
      </c>
      <c r="H15" s="80" t="s">
        <v>120</v>
      </c>
      <c r="I15" s="81">
        <v>42110</v>
      </c>
      <c r="J15" s="81">
        <v>42118</v>
      </c>
      <c r="K15" s="66" t="s">
        <v>41</v>
      </c>
      <c r="L15" s="68">
        <v>4447.5200000000004</v>
      </c>
      <c r="M15" s="140"/>
      <c r="N15" s="82"/>
      <c r="O15" s="67">
        <v>37</v>
      </c>
      <c r="P15" s="67"/>
      <c r="Q15" s="67"/>
      <c r="R15" s="67">
        <f t="shared" si="0"/>
        <v>37</v>
      </c>
      <c r="S15" s="66">
        <v>30</v>
      </c>
      <c r="T15" s="63" t="s">
        <v>116</v>
      </c>
    </row>
    <row r="16" spans="1:22" ht="23.25" customHeight="1">
      <c r="A16" s="62" t="s">
        <v>121</v>
      </c>
      <c r="B16" s="64">
        <v>2015</v>
      </c>
      <c r="C16" s="143" t="s">
        <v>52</v>
      </c>
      <c r="D16" s="64"/>
      <c r="E16" s="69" t="s">
        <v>122</v>
      </c>
      <c r="F16" s="71" t="s">
        <v>48</v>
      </c>
      <c r="G16" s="62" t="s">
        <v>123</v>
      </c>
      <c r="H16" s="78" t="s">
        <v>124</v>
      </c>
      <c r="I16" s="79">
        <v>42122</v>
      </c>
      <c r="J16" s="79">
        <v>42122</v>
      </c>
      <c r="K16" s="64" t="s">
        <v>41</v>
      </c>
      <c r="L16" s="70">
        <v>0</v>
      </c>
      <c r="M16" s="139"/>
      <c r="N16" s="83"/>
      <c r="O16" s="65">
        <v>0</v>
      </c>
      <c r="P16" s="65">
        <v>0</v>
      </c>
      <c r="Q16" s="65">
        <v>0</v>
      </c>
      <c r="R16" s="65">
        <f t="shared" si="0"/>
        <v>0</v>
      </c>
      <c r="S16" s="64">
        <v>5</v>
      </c>
      <c r="T16" s="62"/>
    </row>
    <row r="17" spans="1:20" ht="23.25" customHeight="1">
      <c r="A17" s="63" t="s">
        <v>125</v>
      </c>
      <c r="B17" s="66">
        <v>2015</v>
      </c>
      <c r="C17" s="143" t="s">
        <v>52</v>
      </c>
      <c r="D17" s="66" t="s">
        <v>126</v>
      </c>
      <c r="E17" s="72" t="s">
        <v>127</v>
      </c>
      <c r="F17" s="73" t="s">
        <v>33</v>
      </c>
      <c r="G17" s="63" t="s">
        <v>10</v>
      </c>
      <c r="H17" s="80" t="s">
        <v>128</v>
      </c>
      <c r="I17" s="81">
        <v>42129</v>
      </c>
      <c r="J17" s="81">
        <v>42132</v>
      </c>
      <c r="K17" s="66" t="s">
        <v>45</v>
      </c>
      <c r="L17" s="68">
        <v>35500</v>
      </c>
      <c r="M17" s="140"/>
      <c r="N17" s="82"/>
      <c r="O17" s="67">
        <v>30</v>
      </c>
      <c r="P17" s="67"/>
      <c r="Q17" s="67"/>
      <c r="R17" s="67">
        <f t="shared" si="0"/>
        <v>30</v>
      </c>
      <c r="S17" s="66">
        <v>16</v>
      </c>
      <c r="T17" s="63" t="s">
        <v>129</v>
      </c>
    </row>
    <row r="18" spans="1:20" ht="23.25" customHeight="1">
      <c r="A18" s="62" t="s">
        <v>130</v>
      </c>
      <c r="B18" s="64">
        <v>2015</v>
      </c>
      <c r="C18" s="143" t="s">
        <v>52</v>
      </c>
      <c r="D18" s="64" t="s">
        <v>131</v>
      </c>
      <c r="E18" s="69" t="s">
        <v>132</v>
      </c>
      <c r="F18" s="71" t="s">
        <v>33</v>
      </c>
      <c r="G18" s="62" t="s">
        <v>25</v>
      </c>
      <c r="H18" s="78" t="s">
        <v>133</v>
      </c>
      <c r="I18" s="79">
        <v>42135</v>
      </c>
      <c r="J18" s="79">
        <v>42139</v>
      </c>
      <c r="K18" s="64" t="s">
        <v>41</v>
      </c>
      <c r="L18" s="70">
        <v>4992.74</v>
      </c>
      <c r="M18" s="139"/>
      <c r="N18" s="83"/>
      <c r="O18" s="65">
        <v>30</v>
      </c>
      <c r="P18" s="65"/>
      <c r="Q18" s="65"/>
      <c r="R18" s="65">
        <f t="shared" si="0"/>
        <v>30</v>
      </c>
      <c r="S18" s="64">
        <v>20</v>
      </c>
      <c r="T18" s="62" t="s">
        <v>134</v>
      </c>
    </row>
    <row r="19" spans="1:20" ht="23.25" customHeight="1">
      <c r="A19" s="63" t="s">
        <v>135</v>
      </c>
      <c r="B19" s="66">
        <v>2015</v>
      </c>
      <c r="C19" s="143" t="s">
        <v>52</v>
      </c>
      <c r="D19" s="66" t="s">
        <v>136</v>
      </c>
      <c r="E19" s="72" t="s">
        <v>137</v>
      </c>
      <c r="F19" s="73" t="s">
        <v>33</v>
      </c>
      <c r="G19" s="63" t="s">
        <v>25</v>
      </c>
      <c r="H19" s="80" t="s">
        <v>138</v>
      </c>
      <c r="I19" s="81">
        <v>42146</v>
      </c>
      <c r="J19" s="81">
        <v>42146</v>
      </c>
      <c r="K19" s="66" t="s">
        <v>45</v>
      </c>
      <c r="L19" s="68">
        <v>0</v>
      </c>
      <c r="M19" s="140"/>
      <c r="N19" s="82"/>
      <c r="O19" s="67">
        <v>15</v>
      </c>
      <c r="P19" s="67"/>
      <c r="Q19" s="67"/>
      <c r="R19" s="67">
        <f t="shared" si="0"/>
        <v>15</v>
      </c>
      <c r="S19" s="66">
        <v>8</v>
      </c>
      <c r="T19" s="63" t="s">
        <v>139</v>
      </c>
    </row>
    <row r="20" spans="1:20" ht="23.25" customHeight="1">
      <c r="A20" s="62" t="s">
        <v>140</v>
      </c>
      <c r="B20" s="64">
        <v>2015</v>
      </c>
      <c r="C20" s="143" t="s">
        <v>52</v>
      </c>
      <c r="D20" s="64" t="s">
        <v>141</v>
      </c>
      <c r="E20" s="69" t="s">
        <v>142</v>
      </c>
      <c r="F20" s="71" t="s">
        <v>33</v>
      </c>
      <c r="G20" s="62" t="s">
        <v>22</v>
      </c>
      <c r="H20" s="78" t="s">
        <v>143</v>
      </c>
      <c r="I20" s="79">
        <v>42149</v>
      </c>
      <c r="J20" s="79">
        <v>42156</v>
      </c>
      <c r="K20" s="64" t="s">
        <v>45</v>
      </c>
      <c r="L20" s="70">
        <v>2630</v>
      </c>
      <c r="M20" s="139"/>
      <c r="N20" s="83"/>
      <c r="O20" s="65">
        <v>14</v>
      </c>
      <c r="P20" s="65"/>
      <c r="Q20" s="65"/>
      <c r="R20" s="65">
        <f t="shared" si="0"/>
        <v>14</v>
      </c>
      <c r="S20" s="64">
        <v>24</v>
      </c>
      <c r="T20" s="62" t="s">
        <v>144</v>
      </c>
    </row>
    <row r="21" spans="1:20" ht="23.25" customHeight="1">
      <c r="A21" s="63" t="s">
        <v>145</v>
      </c>
      <c r="B21" s="66">
        <v>2015</v>
      </c>
      <c r="C21" s="143" t="s">
        <v>52</v>
      </c>
      <c r="D21" s="66" t="s">
        <v>146</v>
      </c>
      <c r="E21" s="72" t="s">
        <v>147</v>
      </c>
      <c r="F21" s="73" t="s">
        <v>33</v>
      </c>
      <c r="G21" s="63" t="s">
        <v>25</v>
      </c>
      <c r="H21" s="80" t="s">
        <v>148</v>
      </c>
      <c r="I21" s="81">
        <v>42163</v>
      </c>
      <c r="J21" s="81">
        <v>42167</v>
      </c>
      <c r="K21" s="66" t="s">
        <v>41</v>
      </c>
      <c r="L21" s="68">
        <v>0</v>
      </c>
      <c r="M21" s="140"/>
      <c r="N21" s="82"/>
      <c r="O21" s="67">
        <v>14</v>
      </c>
      <c r="P21" s="67"/>
      <c r="Q21" s="67"/>
      <c r="R21" s="67">
        <f t="shared" si="0"/>
        <v>14</v>
      </c>
      <c r="S21" s="66">
        <v>20</v>
      </c>
      <c r="T21" s="63" t="s">
        <v>149</v>
      </c>
    </row>
    <row r="22" spans="1:20" ht="23.25" customHeight="1">
      <c r="A22" s="62" t="s">
        <v>150</v>
      </c>
      <c r="B22" s="64">
        <v>2015</v>
      </c>
      <c r="C22" s="143" t="s">
        <v>52</v>
      </c>
      <c r="D22" s="64" t="s">
        <v>151</v>
      </c>
      <c r="E22" s="69" t="s">
        <v>152</v>
      </c>
      <c r="F22" s="71" t="s">
        <v>44</v>
      </c>
      <c r="G22" s="62" t="s">
        <v>15</v>
      </c>
      <c r="H22" s="78" t="s">
        <v>153</v>
      </c>
      <c r="I22" s="79">
        <v>42170</v>
      </c>
      <c r="J22" s="79">
        <v>42174</v>
      </c>
      <c r="K22" s="64" t="s">
        <v>41</v>
      </c>
      <c r="L22" s="70">
        <v>4447.5200000000004</v>
      </c>
      <c r="M22" s="139"/>
      <c r="N22" s="83"/>
      <c r="O22" s="65"/>
      <c r="P22" s="65">
        <v>49</v>
      </c>
      <c r="Q22" s="65"/>
      <c r="R22" s="65">
        <f t="shared" si="0"/>
        <v>49</v>
      </c>
      <c r="S22" s="64">
        <v>20</v>
      </c>
      <c r="T22" s="62" t="s">
        <v>154</v>
      </c>
    </row>
    <row r="23" spans="1:20" ht="23.25" customHeight="1">
      <c r="A23" s="63" t="s">
        <v>155</v>
      </c>
      <c r="B23" s="66">
        <v>2015</v>
      </c>
      <c r="C23" s="143" t="s">
        <v>52</v>
      </c>
      <c r="D23" s="66" t="s">
        <v>156</v>
      </c>
      <c r="E23" s="72" t="s">
        <v>157</v>
      </c>
      <c r="F23" s="73" t="s">
        <v>33</v>
      </c>
      <c r="G23" s="63" t="s">
        <v>25</v>
      </c>
      <c r="H23" s="80" t="s">
        <v>158</v>
      </c>
      <c r="I23" s="81">
        <v>42221</v>
      </c>
      <c r="J23" s="81">
        <v>42223</v>
      </c>
      <c r="K23" s="66" t="s">
        <v>41</v>
      </c>
      <c r="L23" s="68">
        <v>0</v>
      </c>
      <c r="M23" s="140"/>
      <c r="N23" s="82"/>
      <c r="O23" s="67">
        <v>43</v>
      </c>
      <c r="P23" s="67"/>
      <c r="Q23" s="67"/>
      <c r="R23" s="67">
        <f t="shared" si="0"/>
        <v>43</v>
      </c>
      <c r="S23" s="66">
        <v>8</v>
      </c>
      <c r="T23" s="63" t="s">
        <v>159</v>
      </c>
    </row>
    <row r="24" spans="1:20" ht="23.25" customHeight="1">
      <c r="A24" s="62" t="s">
        <v>160</v>
      </c>
      <c r="B24" s="64">
        <v>2015</v>
      </c>
      <c r="C24" s="143" t="s">
        <v>52</v>
      </c>
      <c r="D24" s="64" t="s">
        <v>161</v>
      </c>
      <c r="E24" s="69" t="s">
        <v>162</v>
      </c>
      <c r="F24" s="71" t="s">
        <v>33</v>
      </c>
      <c r="G24" s="62" t="s">
        <v>22</v>
      </c>
      <c r="H24" s="78" t="s">
        <v>163</v>
      </c>
      <c r="I24" s="79">
        <v>42240</v>
      </c>
      <c r="J24" s="79">
        <v>42244</v>
      </c>
      <c r="K24" s="64" t="s">
        <v>41</v>
      </c>
      <c r="L24" s="70">
        <v>2702.38</v>
      </c>
      <c r="M24" s="139"/>
      <c r="N24" s="83"/>
      <c r="O24" s="65">
        <v>25</v>
      </c>
      <c r="P24" s="65"/>
      <c r="Q24" s="65"/>
      <c r="R24" s="65">
        <f t="shared" si="0"/>
        <v>25</v>
      </c>
      <c r="S24" s="64">
        <v>20</v>
      </c>
      <c r="T24" s="62" t="s">
        <v>2961</v>
      </c>
    </row>
    <row r="25" spans="1:20" ht="23.25" customHeight="1">
      <c r="A25" s="63" t="s">
        <v>165</v>
      </c>
      <c r="B25" s="66">
        <v>2015</v>
      </c>
      <c r="C25" s="143" t="s">
        <v>52</v>
      </c>
      <c r="D25" s="66" t="s">
        <v>166</v>
      </c>
      <c r="E25" s="72" t="s">
        <v>167</v>
      </c>
      <c r="F25" s="73" t="s">
        <v>33</v>
      </c>
      <c r="G25" s="63" t="s">
        <v>15</v>
      </c>
      <c r="H25" s="80" t="s">
        <v>168</v>
      </c>
      <c r="I25" s="81">
        <v>42247</v>
      </c>
      <c r="J25" s="81">
        <v>42251</v>
      </c>
      <c r="K25" s="66" t="s">
        <v>45</v>
      </c>
      <c r="L25" s="68">
        <v>33600</v>
      </c>
      <c r="M25" s="140"/>
      <c r="N25" s="82"/>
      <c r="O25" s="67">
        <v>35</v>
      </c>
      <c r="P25" s="67"/>
      <c r="Q25" s="67"/>
      <c r="R25" s="67">
        <f t="shared" si="0"/>
        <v>35</v>
      </c>
      <c r="S25" s="66">
        <v>20</v>
      </c>
      <c r="T25" s="63" t="s">
        <v>169</v>
      </c>
    </row>
    <row r="26" spans="1:20" ht="23.25" customHeight="1">
      <c r="A26" s="62" t="s">
        <v>170</v>
      </c>
      <c r="B26" s="64">
        <v>2015</v>
      </c>
      <c r="C26" s="143" t="s">
        <v>52</v>
      </c>
      <c r="D26" s="64" t="s">
        <v>171</v>
      </c>
      <c r="E26" s="69" t="s">
        <v>172</v>
      </c>
      <c r="F26" s="71" t="s">
        <v>33</v>
      </c>
      <c r="G26" s="62" t="s">
        <v>10</v>
      </c>
      <c r="H26" s="78" t="s">
        <v>173</v>
      </c>
      <c r="I26" s="79">
        <v>42261</v>
      </c>
      <c r="J26" s="79">
        <v>42265</v>
      </c>
      <c r="K26" s="64" t="s">
        <v>45</v>
      </c>
      <c r="L26" s="70">
        <v>15000</v>
      </c>
      <c r="M26" s="139"/>
      <c r="N26" s="83"/>
      <c r="O26" s="65">
        <v>35</v>
      </c>
      <c r="P26" s="65"/>
      <c r="Q26" s="65"/>
      <c r="R26" s="65">
        <f t="shared" si="0"/>
        <v>35</v>
      </c>
      <c r="S26" s="64">
        <v>25</v>
      </c>
      <c r="T26" s="62" t="s">
        <v>2962</v>
      </c>
    </row>
    <row r="27" spans="1:20" ht="23.25" customHeight="1">
      <c r="A27" s="63" t="s">
        <v>175</v>
      </c>
      <c r="B27" s="66">
        <v>2015</v>
      </c>
      <c r="C27" s="143" t="s">
        <v>52</v>
      </c>
      <c r="D27" s="66"/>
      <c r="E27" s="72" t="s">
        <v>176</v>
      </c>
      <c r="F27" s="73" t="s">
        <v>44</v>
      </c>
      <c r="G27" s="63" t="s">
        <v>123</v>
      </c>
      <c r="H27" s="80" t="s">
        <v>124</v>
      </c>
      <c r="I27" s="81">
        <v>42268</v>
      </c>
      <c r="J27" s="81">
        <v>42272</v>
      </c>
      <c r="K27" s="66" t="s">
        <v>41</v>
      </c>
      <c r="L27" s="68">
        <v>4447.5200000000004</v>
      </c>
      <c r="M27" s="140"/>
      <c r="N27" s="82"/>
      <c r="O27" s="67">
        <v>87</v>
      </c>
      <c r="P27" s="67"/>
      <c r="Q27" s="67"/>
      <c r="R27" s="67">
        <f t="shared" si="0"/>
        <v>87</v>
      </c>
      <c r="S27" s="66"/>
      <c r="T27" s="63"/>
    </row>
    <row r="28" spans="1:20" ht="23.25" customHeight="1">
      <c r="A28" s="62" t="s">
        <v>177</v>
      </c>
      <c r="B28" s="64">
        <v>2015</v>
      </c>
      <c r="C28" s="143" t="s">
        <v>52</v>
      </c>
      <c r="D28" s="64" t="s">
        <v>178</v>
      </c>
      <c r="E28" s="69" t="s">
        <v>179</v>
      </c>
      <c r="F28" s="71" t="s">
        <v>48</v>
      </c>
      <c r="G28" s="62" t="s">
        <v>15</v>
      </c>
      <c r="H28" s="78" t="s">
        <v>180</v>
      </c>
      <c r="I28" s="79">
        <v>42276</v>
      </c>
      <c r="J28" s="79">
        <v>42279</v>
      </c>
      <c r="K28" s="64" t="s">
        <v>41</v>
      </c>
      <c r="L28" s="70">
        <v>4076.52</v>
      </c>
      <c r="M28" s="139"/>
      <c r="N28" s="83"/>
      <c r="O28" s="65"/>
      <c r="P28" s="65"/>
      <c r="Q28" s="65">
        <v>46</v>
      </c>
      <c r="R28" s="65">
        <f t="shared" si="0"/>
        <v>46</v>
      </c>
      <c r="S28" s="64">
        <v>20</v>
      </c>
      <c r="T28" s="62" t="s">
        <v>181</v>
      </c>
    </row>
    <row r="29" spans="1:20" ht="23.25" customHeight="1">
      <c r="A29" s="63" t="s">
        <v>182</v>
      </c>
      <c r="B29" s="66">
        <v>2015</v>
      </c>
      <c r="C29" s="143" t="s">
        <v>52</v>
      </c>
      <c r="D29" s="66" t="s">
        <v>183</v>
      </c>
      <c r="E29" s="72" t="s">
        <v>184</v>
      </c>
      <c r="F29" s="73" t="s">
        <v>33</v>
      </c>
      <c r="G29" s="63" t="s">
        <v>22</v>
      </c>
      <c r="H29" s="80" t="s">
        <v>185</v>
      </c>
      <c r="I29" s="81">
        <v>42282</v>
      </c>
      <c r="J29" s="81">
        <v>42286</v>
      </c>
      <c r="K29" s="66" t="s">
        <v>41</v>
      </c>
      <c r="L29" s="68">
        <v>4447.5200000000004</v>
      </c>
      <c r="M29" s="140"/>
      <c r="N29" s="82"/>
      <c r="O29" s="67">
        <v>15</v>
      </c>
      <c r="P29" s="67"/>
      <c r="Q29" s="67"/>
      <c r="R29" s="67">
        <f t="shared" si="0"/>
        <v>15</v>
      </c>
      <c r="S29" s="66">
        <v>20</v>
      </c>
      <c r="T29" s="74" t="s">
        <v>2964</v>
      </c>
    </row>
    <row r="30" spans="1:20" ht="23.25" customHeight="1">
      <c r="A30" s="62" t="s">
        <v>187</v>
      </c>
      <c r="B30" s="64">
        <v>2015</v>
      </c>
      <c r="C30" s="143" t="s">
        <v>52</v>
      </c>
      <c r="D30" s="64" t="s">
        <v>151</v>
      </c>
      <c r="E30" s="69" t="s">
        <v>188</v>
      </c>
      <c r="F30" s="71" t="s">
        <v>44</v>
      </c>
      <c r="G30" s="62" t="s">
        <v>15</v>
      </c>
      <c r="H30" s="78" t="s">
        <v>189</v>
      </c>
      <c r="I30" s="79">
        <v>42296</v>
      </c>
      <c r="J30" s="79">
        <v>42300</v>
      </c>
      <c r="K30" s="64" t="s">
        <v>41</v>
      </c>
      <c r="L30" s="70">
        <v>4447.5200000000004</v>
      </c>
      <c r="M30" s="139"/>
      <c r="N30" s="83"/>
      <c r="O30" s="65"/>
      <c r="P30" s="65">
        <v>54</v>
      </c>
      <c r="Q30" s="65"/>
      <c r="R30" s="65">
        <f t="shared" si="0"/>
        <v>54</v>
      </c>
      <c r="S30" s="64">
        <v>20</v>
      </c>
      <c r="T30" s="62" t="s">
        <v>154</v>
      </c>
    </row>
    <row r="31" spans="1:20" ht="23.25" customHeight="1">
      <c r="A31" s="63" t="s">
        <v>190</v>
      </c>
      <c r="B31" s="66">
        <v>2015</v>
      </c>
      <c r="C31" s="143" t="s">
        <v>52</v>
      </c>
      <c r="D31" s="66"/>
      <c r="E31" s="72" t="s">
        <v>191</v>
      </c>
      <c r="F31" s="73" t="s">
        <v>44</v>
      </c>
      <c r="G31" s="63" t="s">
        <v>123</v>
      </c>
      <c r="H31" s="80" t="s">
        <v>124</v>
      </c>
      <c r="I31" s="81">
        <v>42303</v>
      </c>
      <c r="J31" s="81">
        <v>42305</v>
      </c>
      <c r="K31" s="66" t="s">
        <v>41</v>
      </c>
      <c r="L31" s="68">
        <v>4447.5200000000004</v>
      </c>
      <c r="M31" s="140"/>
      <c r="N31" s="82"/>
      <c r="O31" s="67">
        <v>52</v>
      </c>
      <c r="P31" s="67"/>
      <c r="Q31" s="67"/>
      <c r="R31" s="67">
        <f t="shared" si="0"/>
        <v>52</v>
      </c>
      <c r="S31" s="66">
        <v>0</v>
      </c>
      <c r="T31" s="63"/>
    </row>
    <row r="32" spans="1:20" ht="23.25" customHeight="1">
      <c r="A32" s="62" t="s">
        <v>192</v>
      </c>
      <c r="B32" s="64">
        <v>2015</v>
      </c>
      <c r="C32" s="143" t="s">
        <v>52</v>
      </c>
      <c r="D32" s="64" t="s">
        <v>178</v>
      </c>
      <c r="E32" s="69" t="s">
        <v>193</v>
      </c>
      <c r="F32" s="71" t="s">
        <v>48</v>
      </c>
      <c r="G32" s="62" t="s">
        <v>15</v>
      </c>
      <c r="H32" s="78" t="s">
        <v>194</v>
      </c>
      <c r="I32" s="79">
        <v>42325</v>
      </c>
      <c r="J32" s="79">
        <v>42328</v>
      </c>
      <c r="K32" s="64" t="s">
        <v>41</v>
      </c>
      <c r="L32" s="70">
        <v>4076.52</v>
      </c>
      <c r="M32" s="139"/>
      <c r="N32" s="83"/>
      <c r="O32" s="65"/>
      <c r="P32" s="65"/>
      <c r="Q32" s="65">
        <v>46</v>
      </c>
      <c r="R32" s="65">
        <f t="shared" si="0"/>
        <v>46</v>
      </c>
      <c r="S32" s="64">
        <v>20</v>
      </c>
      <c r="T32" s="62" t="s">
        <v>181</v>
      </c>
    </row>
    <row r="33" spans="1:20" ht="23.25" customHeight="1">
      <c r="A33" s="63" t="s">
        <v>195</v>
      </c>
      <c r="B33" s="66">
        <v>2016</v>
      </c>
      <c r="C33" s="143" t="s">
        <v>52</v>
      </c>
      <c r="D33" s="66" t="s">
        <v>196</v>
      </c>
      <c r="E33" s="72" t="s">
        <v>197</v>
      </c>
      <c r="F33" s="73" t="s">
        <v>33</v>
      </c>
      <c r="G33" s="63" t="s">
        <v>123</v>
      </c>
      <c r="H33" s="80" t="s">
        <v>124</v>
      </c>
      <c r="I33" s="81">
        <v>42495</v>
      </c>
      <c r="J33" s="81"/>
      <c r="K33" s="66" t="s">
        <v>45</v>
      </c>
      <c r="L33" s="68">
        <v>0</v>
      </c>
      <c r="M33" s="140"/>
      <c r="N33" s="82"/>
      <c r="O33" s="67">
        <v>14</v>
      </c>
      <c r="P33" s="67"/>
      <c r="Q33" s="67"/>
      <c r="R33" s="67">
        <f t="shared" si="0"/>
        <v>14</v>
      </c>
      <c r="S33" s="66">
        <v>8</v>
      </c>
      <c r="T33" s="63" t="s">
        <v>164</v>
      </c>
    </row>
    <row r="34" spans="1:20" ht="23.25" customHeight="1">
      <c r="A34" s="62" t="s">
        <v>198</v>
      </c>
      <c r="B34" s="64">
        <v>2016</v>
      </c>
      <c r="C34" s="143" t="s">
        <v>52</v>
      </c>
      <c r="D34" s="64"/>
      <c r="E34" s="69" t="s">
        <v>199</v>
      </c>
      <c r="F34" s="71" t="s">
        <v>33</v>
      </c>
      <c r="G34" s="62" t="s">
        <v>123</v>
      </c>
      <c r="H34" s="78" t="s">
        <v>124</v>
      </c>
      <c r="I34" s="79">
        <v>42495</v>
      </c>
      <c r="J34" s="79"/>
      <c r="K34" s="64" t="s">
        <v>45</v>
      </c>
      <c r="L34" s="70">
        <v>22500</v>
      </c>
      <c r="M34" s="139"/>
      <c r="N34" s="83"/>
      <c r="O34" s="65">
        <v>25</v>
      </c>
      <c r="P34" s="65"/>
      <c r="Q34" s="65"/>
      <c r="R34" s="65">
        <f t="shared" si="0"/>
        <v>25</v>
      </c>
      <c r="S34" s="64">
        <v>20</v>
      </c>
      <c r="T34" s="62"/>
    </row>
    <row r="35" spans="1:20" ht="23.25" customHeight="1">
      <c r="A35" s="63" t="s">
        <v>200</v>
      </c>
      <c r="B35" s="66">
        <v>2016</v>
      </c>
      <c r="C35" s="143" t="s">
        <v>52</v>
      </c>
      <c r="D35" s="66" t="s">
        <v>201</v>
      </c>
      <c r="E35" s="72" t="s">
        <v>202</v>
      </c>
      <c r="F35" s="73" t="s">
        <v>33</v>
      </c>
      <c r="G35" s="63" t="s">
        <v>123</v>
      </c>
      <c r="H35" s="80" t="s">
        <v>124</v>
      </c>
      <c r="I35" s="81">
        <v>42495</v>
      </c>
      <c r="J35" s="81"/>
      <c r="K35" s="66" t="s">
        <v>45</v>
      </c>
      <c r="L35" s="68">
        <v>25200</v>
      </c>
      <c r="M35" s="140"/>
      <c r="N35" s="82"/>
      <c r="O35" s="67">
        <v>17</v>
      </c>
      <c r="P35" s="67"/>
      <c r="Q35" s="67"/>
      <c r="R35" s="67">
        <f t="shared" si="0"/>
        <v>17</v>
      </c>
      <c r="S35" s="66">
        <v>20</v>
      </c>
      <c r="T35" s="63" t="s">
        <v>174</v>
      </c>
    </row>
    <row r="36" spans="1:20" ht="23.25" customHeight="1">
      <c r="A36" s="62" t="s">
        <v>203</v>
      </c>
      <c r="B36" s="64">
        <v>2016</v>
      </c>
      <c r="C36" s="143" t="s">
        <v>52</v>
      </c>
      <c r="D36" s="64" t="s">
        <v>204</v>
      </c>
      <c r="E36" s="69" t="s">
        <v>205</v>
      </c>
      <c r="F36" s="71" t="s">
        <v>44</v>
      </c>
      <c r="G36" s="62" t="s">
        <v>15</v>
      </c>
      <c r="H36" s="78" t="s">
        <v>206</v>
      </c>
      <c r="I36" s="79">
        <v>42506</v>
      </c>
      <c r="J36" s="79">
        <v>42510</v>
      </c>
      <c r="K36" s="64" t="s">
        <v>41</v>
      </c>
      <c r="L36" s="70">
        <v>6671.48</v>
      </c>
      <c r="M36" s="139"/>
      <c r="N36" s="83"/>
      <c r="O36" s="65"/>
      <c r="P36" s="65">
        <v>75</v>
      </c>
      <c r="Q36" s="65"/>
      <c r="R36" s="65">
        <f t="shared" si="0"/>
        <v>75</v>
      </c>
      <c r="S36" s="64">
        <v>20</v>
      </c>
      <c r="T36" s="62" t="s">
        <v>116</v>
      </c>
    </row>
    <row r="37" spans="1:20" ht="23.25" customHeight="1">
      <c r="A37" s="63" t="s">
        <v>207</v>
      </c>
      <c r="B37" s="66">
        <v>2016</v>
      </c>
      <c r="C37" s="143" t="s">
        <v>52</v>
      </c>
      <c r="D37" s="66" t="s">
        <v>208</v>
      </c>
      <c r="E37" s="72" t="s">
        <v>209</v>
      </c>
      <c r="F37" s="73" t="s">
        <v>48</v>
      </c>
      <c r="G37" s="63" t="s">
        <v>15</v>
      </c>
      <c r="H37" s="80" t="s">
        <v>210</v>
      </c>
      <c r="I37" s="81">
        <v>42534</v>
      </c>
      <c r="J37" s="81">
        <v>42534</v>
      </c>
      <c r="K37" s="66" t="s">
        <v>41</v>
      </c>
      <c r="L37" s="68">
        <v>2668.6</v>
      </c>
      <c r="M37" s="140"/>
      <c r="N37" s="82"/>
      <c r="O37" s="67"/>
      <c r="P37" s="67">
        <v>18</v>
      </c>
      <c r="Q37" s="67"/>
      <c r="R37" s="67">
        <f t="shared" si="0"/>
        <v>18</v>
      </c>
      <c r="S37" s="66">
        <v>3</v>
      </c>
      <c r="T37" s="74" t="s">
        <v>2970</v>
      </c>
    </row>
    <row r="38" spans="1:20" ht="23.25" customHeight="1">
      <c r="A38" s="62" t="s">
        <v>212</v>
      </c>
      <c r="B38" s="64">
        <v>2016</v>
      </c>
      <c r="C38" s="143" t="s">
        <v>52</v>
      </c>
      <c r="D38" s="64" t="s">
        <v>213</v>
      </c>
      <c r="E38" s="69" t="s">
        <v>214</v>
      </c>
      <c r="F38" s="71" t="s">
        <v>48</v>
      </c>
      <c r="G38" s="62" t="s">
        <v>15</v>
      </c>
      <c r="H38" s="78" t="s">
        <v>215</v>
      </c>
      <c r="I38" s="79">
        <v>42534</v>
      </c>
      <c r="J38" s="79">
        <v>42535</v>
      </c>
      <c r="K38" s="64" t="s">
        <v>45</v>
      </c>
      <c r="L38" s="70">
        <v>0</v>
      </c>
      <c r="M38" s="139"/>
      <c r="N38" s="83"/>
      <c r="O38" s="65">
        <v>33</v>
      </c>
      <c r="P38" s="65"/>
      <c r="Q38" s="65"/>
      <c r="R38" s="65">
        <f t="shared" si="0"/>
        <v>33</v>
      </c>
      <c r="S38" s="64">
        <v>10</v>
      </c>
      <c r="T38" s="62" t="s">
        <v>186</v>
      </c>
    </row>
    <row r="39" spans="1:20" ht="23.25" customHeight="1">
      <c r="A39" s="63" t="s">
        <v>216</v>
      </c>
      <c r="B39" s="66">
        <v>2016</v>
      </c>
      <c r="C39" s="143" t="s">
        <v>52</v>
      </c>
      <c r="D39" s="66" t="s">
        <v>217</v>
      </c>
      <c r="E39" s="72" t="s">
        <v>218</v>
      </c>
      <c r="F39" s="73" t="s">
        <v>44</v>
      </c>
      <c r="G39" s="63" t="s">
        <v>15</v>
      </c>
      <c r="H39" s="80" t="s">
        <v>219</v>
      </c>
      <c r="I39" s="81">
        <v>42534</v>
      </c>
      <c r="J39" s="81">
        <v>42538</v>
      </c>
      <c r="K39" s="66" t="s">
        <v>41</v>
      </c>
      <c r="L39" s="68">
        <v>6671.48</v>
      </c>
      <c r="M39" s="140"/>
      <c r="N39" s="82"/>
      <c r="O39" s="67"/>
      <c r="P39" s="67">
        <v>55</v>
      </c>
      <c r="Q39" s="67"/>
      <c r="R39" s="67">
        <f t="shared" si="0"/>
        <v>55</v>
      </c>
      <c r="S39" s="66">
        <v>20</v>
      </c>
      <c r="T39" s="63" t="s">
        <v>154</v>
      </c>
    </row>
    <row r="40" spans="1:20" ht="23.25" customHeight="1">
      <c r="A40" s="62" t="s">
        <v>221</v>
      </c>
      <c r="B40" s="64">
        <v>2016</v>
      </c>
      <c r="C40" s="143" t="s">
        <v>52</v>
      </c>
      <c r="D40" s="64" t="s">
        <v>222</v>
      </c>
      <c r="E40" s="69" t="s">
        <v>223</v>
      </c>
      <c r="F40" s="71" t="s">
        <v>48</v>
      </c>
      <c r="G40" s="62" t="s">
        <v>10</v>
      </c>
      <c r="H40" s="78" t="s">
        <v>224</v>
      </c>
      <c r="I40" s="79">
        <v>42548</v>
      </c>
      <c r="J40" s="79">
        <v>42552</v>
      </c>
      <c r="K40" s="64" t="s">
        <v>41</v>
      </c>
      <c r="L40" s="70">
        <v>7080.23</v>
      </c>
      <c r="M40" s="139"/>
      <c r="N40" s="83"/>
      <c r="O40" s="65"/>
      <c r="P40" s="65"/>
      <c r="Q40" s="65">
        <v>45</v>
      </c>
      <c r="R40" s="65">
        <f t="shared" si="0"/>
        <v>45</v>
      </c>
      <c r="S40" s="64">
        <v>20</v>
      </c>
      <c r="T40" s="62" t="s">
        <v>2963</v>
      </c>
    </row>
    <row r="41" spans="1:20" ht="23.25" customHeight="1">
      <c r="A41" s="63" t="s">
        <v>226</v>
      </c>
      <c r="B41" s="66">
        <v>2016</v>
      </c>
      <c r="C41" s="143" t="s">
        <v>52</v>
      </c>
      <c r="D41" s="66" t="s">
        <v>227</v>
      </c>
      <c r="E41" s="72" t="s">
        <v>228</v>
      </c>
      <c r="F41" s="73" t="s">
        <v>33</v>
      </c>
      <c r="G41" s="63" t="s">
        <v>22</v>
      </c>
      <c r="H41" s="80" t="s">
        <v>224</v>
      </c>
      <c r="I41" s="81">
        <v>42548</v>
      </c>
      <c r="J41" s="81">
        <v>42552</v>
      </c>
      <c r="K41" s="66" t="s">
        <v>41</v>
      </c>
      <c r="L41" s="68">
        <v>6671.48</v>
      </c>
      <c r="M41" s="140"/>
      <c r="N41" s="82"/>
      <c r="O41" s="67">
        <v>15</v>
      </c>
      <c r="P41" s="67"/>
      <c r="Q41" s="67"/>
      <c r="R41" s="67">
        <f t="shared" si="0"/>
        <v>15</v>
      </c>
      <c r="S41" s="66">
        <v>20</v>
      </c>
      <c r="T41" s="63" t="s">
        <v>2957</v>
      </c>
    </row>
    <row r="42" spans="1:20" ht="23.25" customHeight="1">
      <c r="A42" s="62" t="s">
        <v>229</v>
      </c>
      <c r="B42" s="64">
        <v>2016</v>
      </c>
      <c r="C42" s="143" t="s">
        <v>52</v>
      </c>
      <c r="D42" s="64" t="s">
        <v>230</v>
      </c>
      <c r="E42" s="69" t="s">
        <v>231</v>
      </c>
      <c r="F42" s="71" t="s">
        <v>48</v>
      </c>
      <c r="G42" s="62" t="s">
        <v>15</v>
      </c>
      <c r="H42" s="78" t="s">
        <v>232</v>
      </c>
      <c r="I42" s="79">
        <v>42549</v>
      </c>
      <c r="J42" s="79">
        <v>42551</v>
      </c>
      <c r="K42" s="64" t="s">
        <v>41</v>
      </c>
      <c r="L42" s="70">
        <v>1334.3</v>
      </c>
      <c r="M42" s="139"/>
      <c r="N42" s="83"/>
      <c r="O42" s="65"/>
      <c r="P42" s="65"/>
      <c r="Q42" s="65">
        <v>21</v>
      </c>
      <c r="R42" s="65">
        <f t="shared" si="0"/>
        <v>21</v>
      </c>
      <c r="S42" s="64">
        <v>8</v>
      </c>
      <c r="T42" s="75" t="s">
        <v>233</v>
      </c>
    </row>
    <row r="43" spans="1:20" ht="23.25" customHeight="1">
      <c r="A43" s="63" t="s">
        <v>234</v>
      </c>
      <c r="B43" s="66">
        <v>2016</v>
      </c>
      <c r="C43" s="143" t="s">
        <v>52</v>
      </c>
      <c r="D43" s="66" t="s">
        <v>235</v>
      </c>
      <c r="E43" s="72" t="s">
        <v>236</v>
      </c>
      <c r="F43" s="73" t="s">
        <v>33</v>
      </c>
      <c r="G43" s="63" t="s">
        <v>32</v>
      </c>
      <c r="H43" s="80" t="s">
        <v>237</v>
      </c>
      <c r="I43" s="81">
        <v>42571</v>
      </c>
      <c r="J43" s="81">
        <v>42572</v>
      </c>
      <c r="K43" s="66" t="s">
        <v>45</v>
      </c>
      <c r="L43" s="68">
        <v>0</v>
      </c>
      <c r="M43" s="140"/>
      <c r="N43" s="82"/>
      <c r="O43" s="67">
        <v>40</v>
      </c>
      <c r="P43" s="67"/>
      <c r="Q43" s="67"/>
      <c r="R43" s="67">
        <f t="shared" si="0"/>
        <v>40</v>
      </c>
      <c r="S43" s="66">
        <v>9</v>
      </c>
      <c r="T43" s="63" t="s">
        <v>238</v>
      </c>
    </row>
    <row r="44" spans="1:20" ht="23.25" customHeight="1">
      <c r="A44" s="62" t="s">
        <v>239</v>
      </c>
      <c r="B44" s="64">
        <v>2016</v>
      </c>
      <c r="C44" s="143" t="s">
        <v>52</v>
      </c>
      <c r="D44" s="64" t="s">
        <v>240</v>
      </c>
      <c r="E44" s="69" t="s">
        <v>241</v>
      </c>
      <c r="F44" s="71" t="s">
        <v>44</v>
      </c>
      <c r="G44" s="62" t="s">
        <v>15</v>
      </c>
      <c r="H44" s="78" t="s">
        <v>242</v>
      </c>
      <c r="I44" s="79">
        <v>42583</v>
      </c>
      <c r="J44" s="79">
        <v>42584</v>
      </c>
      <c r="K44" s="64" t="s">
        <v>41</v>
      </c>
      <c r="L44" s="70">
        <v>2668.6</v>
      </c>
      <c r="M44" s="139"/>
      <c r="N44" s="83"/>
      <c r="O44" s="65"/>
      <c r="P44" s="65">
        <v>45</v>
      </c>
      <c r="Q44" s="65"/>
      <c r="R44" s="65">
        <f t="shared" si="0"/>
        <v>45</v>
      </c>
      <c r="S44" s="64">
        <v>8</v>
      </c>
      <c r="T44" s="62" t="s">
        <v>243</v>
      </c>
    </row>
    <row r="45" spans="1:20" ht="23.25" customHeight="1">
      <c r="A45" s="63" t="s">
        <v>244</v>
      </c>
      <c r="B45" s="66">
        <v>2016</v>
      </c>
      <c r="C45" s="143" t="s">
        <v>52</v>
      </c>
      <c r="D45" s="66" t="s">
        <v>245</v>
      </c>
      <c r="E45" s="72" t="s">
        <v>246</v>
      </c>
      <c r="F45" s="73" t="s">
        <v>33</v>
      </c>
      <c r="G45" s="63" t="s">
        <v>22</v>
      </c>
      <c r="H45" s="80" t="s">
        <v>247</v>
      </c>
      <c r="I45" s="81">
        <v>42590</v>
      </c>
      <c r="J45" s="81">
        <v>42594</v>
      </c>
      <c r="K45" s="66" t="s">
        <v>41</v>
      </c>
      <c r="L45" s="68">
        <v>7488.98</v>
      </c>
      <c r="M45" s="140"/>
      <c r="N45" s="82"/>
      <c r="O45" s="67">
        <v>13</v>
      </c>
      <c r="P45" s="67"/>
      <c r="Q45" s="67"/>
      <c r="R45" s="67">
        <f t="shared" si="0"/>
        <v>13</v>
      </c>
      <c r="S45" s="66">
        <v>20</v>
      </c>
      <c r="T45" s="74" t="s">
        <v>248</v>
      </c>
    </row>
    <row r="46" spans="1:20" ht="23.25" customHeight="1">
      <c r="A46" s="62" t="s">
        <v>249</v>
      </c>
      <c r="B46" s="64">
        <v>2016</v>
      </c>
      <c r="C46" s="143" t="s">
        <v>52</v>
      </c>
      <c r="D46" s="64" t="s">
        <v>250</v>
      </c>
      <c r="E46" s="69" t="s">
        <v>251</v>
      </c>
      <c r="F46" s="71" t="s">
        <v>33</v>
      </c>
      <c r="G46" s="62" t="s">
        <v>32</v>
      </c>
      <c r="H46" s="78" t="s">
        <v>252</v>
      </c>
      <c r="I46" s="79">
        <v>42597</v>
      </c>
      <c r="J46" s="79">
        <v>42601</v>
      </c>
      <c r="K46" s="64" t="s">
        <v>45</v>
      </c>
      <c r="L46" s="70">
        <v>7880</v>
      </c>
      <c r="M46" s="139"/>
      <c r="N46" s="83"/>
      <c r="O46" s="65">
        <v>35</v>
      </c>
      <c r="P46" s="65"/>
      <c r="Q46" s="65"/>
      <c r="R46" s="65">
        <f t="shared" si="0"/>
        <v>35</v>
      </c>
      <c r="S46" s="64">
        <v>20</v>
      </c>
      <c r="T46" s="62" t="s">
        <v>3739</v>
      </c>
    </row>
    <row r="47" spans="1:20" ht="23.25" customHeight="1">
      <c r="A47" s="63" t="s">
        <v>254</v>
      </c>
      <c r="B47" s="66">
        <v>2016</v>
      </c>
      <c r="C47" s="143" t="s">
        <v>52</v>
      </c>
      <c r="D47" s="66" t="s">
        <v>255</v>
      </c>
      <c r="E47" s="72" t="s">
        <v>256</v>
      </c>
      <c r="F47" s="73" t="s">
        <v>44</v>
      </c>
      <c r="G47" s="63" t="s">
        <v>15</v>
      </c>
      <c r="H47" s="80" t="s">
        <v>252</v>
      </c>
      <c r="I47" s="81">
        <v>42597</v>
      </c>
      <c r="J47" s="81">
        <v>42601</v>
      </c>
      <c r="K47" s="66" t="s">
        <v>49</v>
      </c>
      <c r="L47" s="68">
        <v>9556.7000000000007</v>
      </c>
      <c r="M47" s="140"/>
      <c r="N47" s="82"/>
      <c r="O47" s="67">
        <v>8</v>
      </c>
      <c r="P47" s="67">
        <v>63</v>
      </c>
      <c r="Q47" s="67"/>
      <c r="R47" s="67">
        <f t="shared" si="0"/>
        <v>71</v>
      </c>
      <c r="S47" s="66">
        <v>20</v>
      </c>
      <c r="T47" s="63" t="s">
        <v>257</v>
      </c>
    </row>
    <row r="48" spans="1:20" ht="23.25" customHeight="1">
      <c r="A48" s="62" t="s">
        <v>258</v>
      </c>
      <c r="B48" s="64">
        <v>2016</v>
      </c>
      <c r="C48" s="143" t="s">
        <v>52</v>
      </c>
      <c r="D48" s="64" t="s">
        <v>259</v>
      </c>
      <c r="E48" s="69" t="s">
        <v>260</v>
      </c>
      <c r="F48" s="71" t="s">
        <v>51</v>
      </c>
      <c r="G48" s="62" t="s">
        <v>15</v>
      </c>
      <c r="H48" s="78" t="s">
        <v>261</v>
      </c>
      <c r="I48" s="79">
        <v>42613</v>
      </c>
      <c r="J48" s="79">
        <v>42614</v>
      </c>
      <c r="K48" s="64" t="s">
        <v>45</v>
      </c>
      <c r="L48" s="70">
        <v>44423.6</v>
      </c>
      <c r="M48" s="139"/>
      <c r="N48" s="83"/>
      <c r="O48" s="65">
        <v>87</v>
      </c>
      <c r="P48" s="65">
        <v>242</v>
      </c>
      <c r="Q48" s="65">
        <v>0</v>
      </c>
      <c r="R48" s="65">
        <f t="shared" si="0"/>
        <v>329</v>
      </c>
      <c r="S48" s="64">
        <v>8</v>
      </c>
      <c r="T48" s="62" t="s">
        <v>220</v>
      </c>
    </row>
    <row r="49" spans="1:20" ht="23.25" customHeight="1">
      <c r="A49" s="63" t="s">
        <v>262</v>
      </c>
      <c r="B49" s="66">
        <v>2016</v>
      </c>
      <c r="C49" s="143" t="s">
        <v>52</v>
      </c>
      <c r="D49" s="66" t="s">
        <v>263</v>
      </c>
      <c r="E49" s="72" t="s">
        <v>264</v>
      </c>
      <c r="F49" s="73" t="s">
        <v>33</v>
      </c>
      <c r="G49" s="63" t="s">
        <v>25</v>
      </c>
      <c r="H49" s="80" t="s">
        <v>265</v>
      </c>
      <c r="I49" s="81">
        <v>42625</v>
      </c>
      <c r="J49" s="81">
        <v>42629</v>
      </c>
      <c r="K49" s="66" t="s">
        <v>45</v>
      </c>
      <c r="L49" s="68">
        <v>9200</v>
      </c>
      <c r="M49" s="140"/>
      <c r="N49" s="82"/>
      <c r="O49" s="67">
        <v>26</v>
      </c>
      <c r="P49" s="67"/>
      <c r="Q49" s="67"/>
      <c r="R49" s="67">
        <f t="shared" si="0"/>
        <v>26</v>
      </c>
      <c r="S49" s="66">
        <v>20</v>
      </c>
      <c r="T49" s="63" t="s">
        <v>225</v>
      </c>
    </row>
    <row r="50" spans="1:20" ht="23.25" customHeight="1">
      <c r="A50" s="62" t="s">
        <v>266</v>
      </c>
      <c r="B50" s="64">
        <v>2016</v>
      </c>
      <c r="C50" s="143" t="s">
        <v>52</v>
      </c>
      <c r="D50" s="64" t="s">
        <v>267</v>
      </c>
      <c r="E50" s="69" t="s">
        <v>268</v>
      </c>
      <c r="F50" s="71" t="s">
        <v>33</v>
      </c>
      <c r="G50" s="62" t="s">
        <v>25</v>
      </c>
      <c r="H50" s="78" t="s">
        <v>269</v>
      </c>
      <c r="I50" s="79">
        <v>42632</v>
      </c>
      <c r="J50" s="79">
        <v>42636</v>
      </c>
      <c r="K50" s="64" t="s">
        <v>45</v>
      </c>
      <c r="L50" s="70">
        <v>5900</v>
      </c>
      <c r="M50" s="139"/>
      <c r="N50" s="83"/>
      <c r="O50" s="65">
        <v>35</v>
      </c>
      <c r="P50" s="65"/>
      <c r="Q50" s="65"/>
      <c r="R50" s="65">
        <f t="shared" si="0"/>
        <v>35</v>
      </c>
      <c r="S50" s="64">
        <v>20</v>
      </c>
      <c r="T50" s="62" t="s">
        <v>3740</v>
      </c>
    </row>
    <row r="51" spans="1:20" ht="23.25" customHeight="1">
      <c r="A51" s="63" t="s">
        <v>270</v>
      </c>
      <c r="B51" s="66">
        <v>2016</v>
      </c>
      <c r="C51" s="143" t="s">
        <v>52</v>
      </c>
      <c r="D51" s="66" t="s">
        <v>271</v>
      </c>
      <c r="E51" s="72" t="s">
        <v>272</v>
      </c>
      <c r="F51" s="73" t="s">
        <v>44</v>
      </c>
      <c r="G51" s="63" t="s">
        <v>15</v>
      </c>
      <c r="H51" s="80" t="s">
        <v>269</v>
      </c>
      <c r="I51" s="81">
        <v>42632</v>
      </c>
      <c r="J51" s="81">
        <v>42636</v>
      </c>
      <c r="K51" s="66" t="s">
        <v>41</v>
      </c>
      <c r="L51" s="68">
        <v>6671.48</v>
      </c>
      <c r="M51" s="140"/>
      <c r="N51" s="82"/>
      <c r="O51" s="67"/>
      <c r="P51" s="67">
        <v>46</v>
      </c>
      <c r="Q51" s="67"/>
      <c r="R51" s="67">
        <f t="shared" si="0"/>
        <v>46</v>
      </c>
      <c r="S51" s="66">
        <v>20</v>
      </c>
      <c r="T51" s="63" t="s">
        <v>154</v>
      </c>
    </row>
    <row r="52" spans="1:20" ht="23.25" customHeight="1">
      <c r="A52" s="62" t="s">
        <v>273</v>
      </c>
      <c r="B52" s="64">
        <v>2016</v>
      </c>
      <c r="C52" s="143" t="s">
        <v>52</v>
      </c>
      <c r="D52" s="64" t="s">
        <v>271</v>
      </c>
      <c r="E52" s="69" t="s">
        <v>274</v>
      </c>
      <c r="F52" s="71" t="s">
        <v>44</v>
      </c>
      <c r="G52" s="62" t="s">
        <v>15</v>
      </c>
      <c r="H52" s="78" t="s">
        <v>269</v>
      </c>
      <c r="I52" s="79">
        <v>42632</v>
      </c>
      <c r="J52" s="79">
        <v>42636</v>
      </c>
      <c r="K52" s="64" t="s">
        <v>41</v>
      </c>
      <c r="L52" s="70">
        <v>6671.48</v>
      </c>
      <c r="M52" s="139"/>
      <c r="N52" s="83"/>
      <c r="O52" s="65"/>
      <c r="P52" s="65">
        <v>52</v>
      </c>
      <c r="Q52" s="65"/>
      <c r="R52" s="65">
        <f t="shared" si="0"/>
        <v>52</v>
      </c>
      <c r="S52" s="64">
        <v>20</v>
      </c>
      <c r="T52" s="62" t="s">
        <v>154</v>
      </c>
    </row>
    <row r="53" spans="1:20" ht="23.25" customHeight="1">
      <c r="A53" s="63" t="s">
        <v>275</v>
      </c>
      <c r="B53" s="66">
        <v>2016</v>
      </c>
      <c r="C53" s="143" t="s">
        <v>52</v>
      </c>
      <c r="D53" s="66" t="s">
        <v>276</v>
      </c>
      <c r="E53" s="72" t="s">
        <v>277</v>
      </c>
      <c r="F53" s="73" t="s">
        <v>33</v>
      </c>
      <c r="G53" s="63" t="s">
        <v>32</v>
      </c>
      <c r="H53" s="80" t="s">
        <v>278</v>
      </c>
      <c r="I53" s="81">
        <v>42646</v>
      </c>
      <c r="J53" s="81">
        <v>42650</v>
      </c>
      <c r="K53" s="66" t="s">
        <v>41</v>
      </c>
      <c r="L53" s="68">
        <v>8088.22</v>
      </c>
      <c r="M53" s="140"/>
      <c r="N53" s="82"/>
      <c r="O53" s="67">
        <v>34</v>
      </c>
      <c r="P53" s="67"/>
      <c r="Q53" s="67"/>
      <c r="R53" s="67">
        <f t="shared" si="0"/>
        <v>34</v>
      </c>
      <c r="S53" s="66">
        <v>20</v>
      </c>
      <c r="T53" s="63" t="s">
        <v>279</v>
      </c>
    </row>
    <row r="54" spans="1:20" ht="23.25" customHeight="1">
      <c r="A54" s="62" t="s">
        <v>280</v>
      </c>
      <c r="B54" s="64">
        <v>2016</v>
      </c>
      <c r="C54" s="143" t="s">
        <v>52</v>
      </c>
      <c r="D54" s="64" t="s">
        <v>281</v>
      </c>
      <c r="E54" s="69" t="s">
        <v>282</v>
      </c>
      <c r="F54" s="71" t="s">
        <v>33</v>
      </c>
      <c r="G54" s="62" t="s">
        <v>10</v>
      </c>
      <c r="H54" s="78" t="s">
        <v>283</v>
      </c>
      <c r="I54" s="79">
        <v>42660</v>
      </c>
      <c r="J54" s="79">
        <v>42662</v>
      </c>
      <c r="K54" s="64" t="s">
        <v>45</v>
      </c>
      <c r="L54" s="70">
        <v>54183.63</v>
      </c>
      <c r="M54" s="139"/>
      <c r="N54" s="83"/>
      <c r="O54" s="65">
        <v>27</v>
      </c>
      <c r="P54" s="65"/>
      <c r="Q54" s="65"/>
      <c r="R54" s="65">
        <f t="shared" si="0"/>
        <v>27</v>
      </c>
      <c r="S54" s="64">
        <v>15</v>
      </c>
      <c r="T54" s="62" t="s">
        <v>3741</v>
      </c>
    </row>
    <row r="55" spans="1:20" ht="23.25" customHeight="1">
      <c r="A55" s="63" t="s">
        <v>284</v>
      </c>
      <c r="B55" s="66">
        <v>2016</v>
      </c>
      <c r="C55" s="143" t="s">
        <v>52</v>
      </c>
      <c r="D55" s="66" t="s">
        <v>285</v>
      </c>
      <c r="E55" s="76" t="s">
        <v>286</v>
      </c>
      <c r="F55" s="73" t="s">
        <v>33</v>
      </c>
      <c r="G55" s="63" t="s">
        <v>25</v>
      </c>
      <c r="H55" s="80" t="s">
        <v>287</v>
      </c>
      <c r="I55" s="81">
        <v>42663</v>
      </c>
      <c r="J55" s="81">
        <v>42671</v>
      </c>
      <c r="K55" s="66" t="s">
        <v>45</v>
      </c>
      <c r="L55" s="68">
        <v>22500</v>
      </c>
      <c r="M55" s="140"/>
      <c r="N55" s="82"/>
      <c r="O55" s="67">
        <v>16</v>
      </c>
      <c r="P55" s="67"/>
      <c r="Q55" s="67"/>
      <c r="R55" s="67">
        <f t="shared" si="0"/>
        <v>16</v>
      </c>
      <c r="S55" s="66">
        <v>20</v>
      </c>
      <c r="T55" s="63" t="s">
        <v>174</v>
      </c>
    </row>
    <row r="56" spans="1:20" ht="23.25" customHeight="1">
      <c r="A56" s="62" t="s">
        <v>288</v>
      </c>
      <c r="B56" s="64">
        <v>2016</v>
      </c>
      <c r="C56" s="143" t="s">
        <v>52</v>
      </c>
      <c r="D56" s="64" t="s">
        <v>289</v>
      </c>
      <c r="E56" s="69" t="s">
        <v>290</v>
      </c>
      <c r="F56" s="71" t="s">
        <v>44</v>
      </c>
      <c r="G56" s="62" t="s">
        <v>15</v>
      </c>
      <c r="H56" s="78" t="s">
        <v>291</v>
      </c>
      <c r="I56" s="79">
        <v>42667</v>
      </c>
      <c r="J56" s="79">
        <v>42669</v>
      </c>
      <c r="K56" s="64" t="s">
        <v>41</v>
      </c>
      <c r="L56" s="70">
        <v>4002.88</v>
      </c>
      <c r="M56" s="139"/>
      <c r="N56" s="83"/>
      <c r="O56" s="65"/>
      <c r="P56" s="65">
        <v>55</v>
      </c>
      <c r="Q56" s="65"/>
      <c r="R56" s="65">
        <f t="shared" si="0"/>
        <v>55</v>
      </c>
      <c r="S56" s="64">
        <v>12</v>
      </c>
      <c r="T56" s="62" t="s">
        <v>292</v>
      </c>
    </row>
    <row r="57" spans="1:20" ht="23.25" customHeight="1">
      <c r="A57" s="63" t="s">
        <v>293</v>
      </c>
      <c r="B57" s="66">
        <v>2016</v>
      </c>
      <c r="C57" s="143" t="s">
        <v>52</v>
      </c>
      <c r="D57" s="66" t="s">
        <v>294</v>
      </c>
      <c r="E57" s="72" t="s">
        <v>295</v>
      </c>
      <c r="F57" s="73" t="s">
        <v>33</v>
      </c>
      <c r="G57" s="63" t="s">
        <v>22</v>
      </c>
      <c r="H57" s="80" t="s">
        <v>296</v>
      </c>
      <c r="I57" s="81">
        <v>42681</v>
      </c>
      <c r="J57" s="81">
        <v>42685</v>
      </c>
      <c r="K57" s="66" t="s">
        <v>41</v>
      </c>
      <c r="L57" s="68">
        <v>8088.22</v>
      </c>
      <c r="M57" s="140"/>
      <c r="N57" s="82"/>
      <c r="O57" s="67">
        <v>14</v>
      </c>
      <c r="P57" s="67"/>
      <c r="Q57" s="67"/>
      <c r="R57" s="67">
        <f t="shared" si="0"/>
        <v>14</v>
      </c>
      <c r="S57" s="66">
        <v>20</v>
      </c>
      <c r="T57" s="74" t="s">
        <v>248</v>
      </c>
    </row>
    <row r="58" spans="1:20" ht="23.25" customHeight="1">
      <c r="A58" s="62" t="s">
        <v>297</v>
      </c>
      <c r="B58" s="64">
        <v>2016</v>
      </c>
      <c r="C58" s="143" t="s">
        <v>52</v>
      </c>
      <c r="D58" s="64" t="s">
        <v>298</v>
      </c>
      <c r="E58" s="69" t="s">
        <v>299</v>
      </c>
      <c r="F58" s="71" t="s">
        <v>44</v>
      </c>
      <c r="G58" s="62" t="s">
        <v>15</v>
      </c>
      <c r="H58" s="78" t="s">
        <v>296</v>
      </c>
      <c r="I58" s="79">
        <v>42681</v>
      </c>
      <c r="J58" s="79">
        <v>42685</v>
      </c>
      <c r="K58" s="64" t="s">
        <v>41</v>
      </c>
      <c r="L58" s="70">
        <v>6671.48</v>
      </c>
      <c r="M58" s="139"/>
      <c r="N58" s="83"/>
      <c r="O58" s="65"/>
      <c r="P58" s="65">
        <v>47</v>
      </c>
      <c r="Q58" s="65"/>
      <c r="R58" s="65">
        <f t="shared" si="0"/>
        <v>47</v>
      </c>
      <c r="S58" s="64">
        <v>20</v>
      </c>
      <c r="T58" s="62" t="s">
        <v>300</v>
      </c>
    </row>
    <row r="59" spans="1:20" ht="23.25" customHeight="1">
      <c r="A59" s="63" t="s">
        <v>301</v>
      </c>
      <c r="B59" s="66">
        <v>2016</v>
      </c>
      <c r="C59" s="143" t="s">
        <v>52</v>
      </c>
      <c r="D59" s="66" t="s">
        <v>302</v>
      </c>
      <c r="E59" s="72" t="s">
        <v>303</v>
      </c>
      <c r="F59" s="73" t="s">
        <v>33</v>
      </c>
      <c r="G59" s="63" t="s">
        <v>32</v>
      </c>
      <c r="H59" s="80" t="s">
        <v>304</v>
      </c>
      <c r="I59" s="81">
        <v>42695</v>
      </c>
      <c r="J59" s="81">
        <v>42702</v>
      </c>
      <c r="K59" s="66" t="s">
        <v>45</v>
      </c>
      <c r="L59" s="68">
        <v>7880</v>
      </c>
      <c r="M59" s="140"/>
      <c r="N59" s="82"/>
      <c r="O59" s="67">
        <v>31</v>
      </c>
      <c r="P59" s="67"/>
      <c r="Q59" s="67"/>
      <c r="R59" s="67">
        <f t="shared" si="0"/>
        <v>31</v>
      </c>
      <c r="S59" s="66">
        <v>20</v>
      </c>
      <c r="T59" s="63" t="s">
        <v>211</v>
      </c>
    </row>
    <row r="60" spans="1:20" ht="23.25" customHeight="1">
      <c r="A60" s="62" t="s">
        <v>305</v>
      </c>
      <c r="B60" s="64">
        <v>2016</v>
      </c>
      <c r="C60" s="143" t="s">
        <v>52</v>
      </c>
      <c r="D60" s="64" t="s">
        <v>306</v>
      </c>
      <c r="E60" s="69" t="s">
        <v>307</v>
      </c>
      <c r="F60" s="71" t="s">
        <v>44</v>
      </c>
      <c r="G60" s="62" t="s">
        <v>15</v>
      </c>
      <c r="H60" s="78" t="s">
        <v>308</v>
      </c>
      <c r="I60" s="79">
        <v>42695</v>
      </c>
      <c r="J60" s="79">
        <v>42699</v>
      </c>
      <c r="K60" s="64" t="s">
        <v>41</v>
      </c>
      <c r="L60" s="70">
        <v>5612</v>
      </c>
      <c r="M60" s="139"/>
      <c r="N60" s="83"/>
      <c r="O60" s="65"/>
      <c r="P60" s="65">
        <v>28</v>
      </c>
      <c r="Q60" s="65"/>
      <c r="R60" s="65">
        <f t="shared" si="0"/>
        <v>28</v>
      </c>
      <c r="S60" s="64">
        <v>20</v>
      </c>
      <c r="T60" s="62" t="s">
        <v>154</v>
      </c>
    </row>
    <row r="61" spans="1:20" ht="23.25" customHeight="1">
      <c r="A61" s="63" t="s">
        <v>309</v>
      </c>
      <c r="B61" s="66">
        <v>2016</v>
      </c>
      <c r="C61" s="143" t="s">
        <v>52</v>
      </c>
      <c r="D61" s="66" t="s">
        <v>306</v>
      </c>
      <c r="E61" s="72" t="s">
        <v>310</v>
      </c>
      <c r="F61" s="73" t="s">
        <v>44</v>
      </c>
      <c r="G61" s="63" t="s">
        <v>15</v>
      </c>
      <c r="H61" s="80" t="s">
        <v>308</v>
      </c>
      <c r="I61" s="81">
        <v>42695</v>
      </c>
      <c r="J61" s="81">
        <v>42699</v>
      </c>
      <c r="K61" s="66" t="s">
        <v>41</v>
      </c>
      <c r="L61" s="68">
        <v>5612</v>
      </c>
      <c r="M61" s="140"/>
      <c r="N61" s="82"/>
      <c r="O61" s="67"/>
      <c r="P61" s="67">
        <v>34</v>
      </c>
      <c r="Q61" s="67"/>
      <c r="R61" s="67">
        <f t="shared" si="0"/>
        <v>34</v>
      </c>
      <c r="S61" s="66">
        <v>20</v>
      </c>
      <c r="T61" s="63" t="s">
        <v>154</v>
      </c>
    </row>
    <row r="62" spans="1:20" ht="23.25" customHeight="1">
      <c r="A62" s="62" t="s">
        <v>311</v>
      </c>
      <c r="B62" s="64">
        <v>2016</v>
      </c>
      <c r="C62" s="143" t="s">
        <v>52</v>
      </c>
      <c r="D62" s="64" t="s">
        <v>312</v>
      </c>
      <c r="E62" s="69" t="s">
        <v>313</v>
      </c>
      <c r="F62" s="71" t="s">
        <v>44</v>
      </c>
      <c r="G62" s="62" t="s">
        <v>15</v>
      </c>
      <c r="H62" s="78" t="s">
        <v>314</v>
      </c>
      <c r="I62" s="79">
        <v>42709</v>
      </c>
      <c r="J62" s="79">
        <v>42711</v>
      </c>
      <c r="K62" s="64" t="s">
        <v>41</v>
      </c>
      <c r="L62" s="70">
        <v>8000</v>
      </c>
      <c r="M62" s="139"/>
      <c r="N62" s="83"/>
      <c r="O62" s="65"/>
      <c r="P62" s="65">
        <v>60</v>
      </c>
      <c r="Q62" s="65"/>
      <c r="R62" s="65">
        <f t="shared" si="0"/>
        <v>60</v>
      </c>
      <c r="S62" s="64">
        <v>20</v>
      </c>
      <c r="T62" s="62" t="s">
        <v>2997</v>
      </c>
    </row>
    <row r="63" spans="1:20" ht="23.25" customHeight="1">
      <c r="A63" s="63" t="s">
        <v>315</v>
      </c>
      <c r="B63" s="66">
        <v>2017</v>
      </c>
      <c r="C63" s="143" t="s">
        <v>52</v>
      </c>
      <c r="D63" s="66" t="s">
        <v>285</v>
      </c>
      <c r="E63" s="72" t="s">
        <v>316</v>
      </c>
      <c r="F63" s="73" t="s">
        <v>33</v>
      </c>
      <c r="G63" s="63" t="s">
        <v>25</v>
      </c>
      <c r="H63" s="80" t="s">
        <v>317</v>
      </c>
      <c r="I63" s="81">
        <v>42773</v>
      </c>
      <c r="J63" s="81">
        <v>42788</v>
      </c>
      <c r="K63" s="66" t="s">
        <v>45</v>
      </c>
      <c r="L63" s="68">
        <v>27300</v>
      </c>
      <c r="M63" s="140"/>
      <c r="N63" s="82"/>
      <c r="O63" s="67">
        <v>29</v>
      </c>
      <c r="P63" s="67"/>
      <c r="Q63" s="67"/>
      <c r="R63" s="67">
        <f t="shared" si="0"/>
        <v>29</v>
      </c>
      <c r="S63" s="66">
        <v>26</v>
      </c>
      <c r="T63" s="63" t="s">
        <v>2999</v>
      </c>
    </row>
    <row r="64" spans="1:20" ht="23.25" customHeight="1">
      <c r="A64" s="62" t="s">
        <v>318</v>
      </c>
      <c r="B64" s="64">
        <v>2017</v>
      </c>
      <c r="C64" s="143" t="s">
        <v>52</v>
      </c>
      <c r="D64" s="64" t="s">
        <v>285</v>
      </c>
      <c r="E64" s="69" t="s">
        <v>319</v>
      </c>
      <c r="F64" s="71" t="s">
        <v>33</v>
      </c>
      <c r="G64" s="62" t="s">
        <v>25</v>
      </c>
      <c r="H64" s="78" t="s">
        <v>320</v>
      </c>
      <c r="I64" s="79">
        <v>42800</v>
      </c>
      <c r="J64" s="79">
        <v>42825</v>
      </c>
      <c r="K64" s="64" t="s">
        <v>45</v>
      </c>
      <c r="L64" s="70">
        <v>54300</v>
      </c>
      <c r="M64" s="139"/>
      <c r="N64" s="83"/>
      <c r="O64" s="65">
        <v>26</v>
      </c>
      <c r="P64" s="65"/>
      <c r="Q64" s="65"/>
      <c r="R64" s="65">
        <f t="shared" si="0"/>
        <v>26</v>
      </c>
      <c r="S64" s="64">
        <v>30</v>
      </c>
      <c r="T64" s="62" t="s">
        <v>174</v>
      </c>
    </row>
    <row r="65" spans="1:20" ht="23.25" customHeight="1">
      <c r="A65" s="63" t="s">
        <v>321</v>
      </c>
      <c r="B65" s="66">
        <v>2017</v>
      </c>
      <c r="C65" s="143" t="s">
        <v>52</v>
      </c>
      <c r="D65" s="66" t="s">
        <v>322</v>
      </c>
      <c r="E65" s="72" t="s">
        <v>323</v>
      </c>
      <c r="F65" s="73" t="s">
        <v>44</v>
      </c>
      <c r="G65" s="63" t="s">
        <v>15</v>
      </c>
      <c r="H65" s="80" t="s">
        <v>324</v>
      </c>
      <c r="I65" s="81">
        <v>42807</v>
      </c>
      <c r="J65" s="81">
        <v>42811</v>
      </c>
      <c r="K65" s="66" t="s">
        <v>41</v>
      </c>
      <c r="L65" s="68">
        <v>6962.15</v>
      </c>
      <c r="M65" s="140"/>
      <c r="N65" s="82"/>
      <c r="O65" s="67"/>
      <c r="P65" s="67">
        <v>47</v>
      </c>
      <c r="Q65" s="67"/>
      <c r="R65" s="67">
        <f t="shared" si="0"/>
        <v>47</v>
      </c>
      <c r="S65" s="66">
        <v>20</v>
      </c>
      <c r="T65" s="63" t="s">
        <v>154</v>
      </c>
    </row>
    <row r="66" spans="1:20" ht="23.25" customHeight="1">
      <c r="A66" s="62" t="s">
        <v>325</v>
      </c>
      <c r="B66" s="64">
        <v>2017</v>
      </c>
      <c r="C66" s="143" t="s">
        <v>52</v>
      </c>
      <c r="D66" s="64" t="s">
        <v>326</v>
      </c>
      <c r="E66" s="69" t="s">
        <v>327</v>
      </c>
      <c r="F66" s="71" t="s">
        <v>33</v>
      </c>
      <c r="G66" s="62" t="s">
        <v>22</v>
      </c>
      <c r="H66" s="78" t="s">
        <v>328</v>
      </c>
      <c r="I66" s="79">
        <v>42814</v>
      </c>
      <c r="J66" s="79">
        <v>42818</v>
      </c>
      <c r="K66" s="64" t="s">
        <v>41</v>
      </c>
      <c r="L66" s="70">
        <v>7466.41</v>
      </c>
      <c r="M66" s="139"/>
      <c r="N66" s="83"/>
      <c r="O66" s="65">
        <v>20</v>
      </c>
      <c r="P66" s="65"/>
      <c r="Q66" s="65"/>
      <c r="R66" s="65">
        <f t="shared" ref="R66:R129" si="1">SUM(O66:Q66)</f>
        <v>20</v>
      </c>
      <c r="S66" s="64">
        <v>20</v>
      </c>
      <c r="T66" s="75" t="s">
        <v>248</v>
      </c>
    </row>
    <row r="67" spans="1:20" ht="23.25" customHeight="1">
      <c r="A67" s="63" t="s">
        <v>329</v>
      </c>
      <c r="B67" s="66">
        <v>2017</v>
      </c>
      <c r="C67" s="143" t="s">
        <v>52</v>
      </c>
      <c r="D67" s="66" t="s">
        <v>330</v>
      </c>
      <c r="E67" s="72" t="s">
        <v>331</v>
      </c>
      <c r="F67" s="73" t="s">
        <v>44</v>
      </c>
      <c r="G67" s="63" t="s">
        <v>15</v>
      </c>
      <c r="H67" s="80" t="s">
        <v>332</v>
      </c>
      <c r="I67" s="81">
        <v>42821</v>
      </c>
      <c r="J67" s="81">
        <v>42825</v>
      </c>
      <c r="K67" s="66" t="s">
        <v>41</v>
      </c>
      <c r="L67" s="68">
        <v>6962.15</v>
      </c>
      <c r="M67" s="140"/>
      <c r="N67" s="82"/>
      <c r="O67" s="67"/>
      <c r="P67" s="67">
        <v>43</v>
      </c>
      <c r="Q67" s="67"/>
      <c r="R67" s="67">
        <f t="shared" si="1"/>
        <v>43</v>
      </c>
      <c r="S67" s="66">
        <v>20</v>
      </c>
      <c r="T67" s="63" t="s">
        <v>116</v>
      </c>
    </row>
    <row r="68" spans="1:20" ht="23.25" customHeight="1">
      <c r="A68" s="62" t="s">
        <v>333</v>
      </c>
      <c r="B68" s="64">
        <v>2017</v>
      </c>
      <c r="C68" s="143" t="s">
        <v>52</v>
      </c>
      <c r="D68" s="64" t="s">
        <v>334</v>
      </c>
      <c r="E68" s="69" t="s">
        <v>335</v>
      </c>
      <c r="F68" s="71" t="s">
        <v>33</v>
      </c>
      <c r="G68" s="62" t="s">
        <v>32</v>
      </c>
      <c r="H68" s="78" t="s">
        <v>332</v>
      </c>
      <c r="I68" s="79">
        <v>42821</v>
      </c>
      <c r="J68" s="79">
        <v>42825</v>
      </c>
      <c r="K68" s="64" t="s">
        <v>41</v>
      </c>
      <c r="L68" s="70">
        <v>7241.74</v>
      </c>
      <c r="M68" s="139"/>
      <c r="N68" s="83"/>
      <c r="O68" s="65">
        <v>15</v>
      </c>
      <c r="P68" s="65"/>
      <c r="Q68" s="65"/>
      <c r="R68" s="65">
        <f t="shared" si="1"/>
        <v>15</v>
      </c>
      <c r="S68" s="64">
        <v>20</v>
      </c>
      <c r="T68" s="62" t="s">
        <v>279</v>
      </c>
    </row>
    <row r="69" spans="1:20" ht="23.25" customHeight="1">
      <c r="A69" s="63" t="s">
        <v>336</v>
      </c>
      <c r="B69" s="66">
        <v>2017</v>
      </c>
      <c r="C69" s="143" t="s">
        <v>52</v>
      </c>
      <c r="D69" s="66" t="s">
        <v>337</v>
      </c>
      <c r="E69" s="72" t="s">
        <v>338</v>
      </c>
      <c r="F69" s="73" t="s">
        <v>33</v>
      </c>
      <c r="G69" s="63" t="s">
        <v>13</v>
      </c>
      <c r="H69" s="80" t="s">
        <v>339</v>
      </c>
      <c r="I69" s="81">
        <v>42828</v>
      </c>
      <c r="J69" s="81">
        <v>42832</v>
      </c>
      <c r="K69" s="66" t="s">
        <v>45</v>
      </c>
      <c r="L69" s="68">
        <v>7950</v>
      </c>
      <c r="M69" s="140"/>
      <c r="N69" s="82"/>
      <c r="O69" s="67">
        <v>29</v>
      </c>
      <c r="P69" s="67"/>
      <c r="Q69" s="67"/>
      <c r="R69" s="67">
        <f t="shared" si="1"/>
        <v>29</v>
      </c>
      <c r="S69" s="66">
        <v>20</v>
      </c>
      <c r="T69" s="63" t="s">
        <v>340</v>
      </c>
    </row>
    <row r="70" spans="1:20" ht="23.25" customHeight="1">
      <c r="A70" s="62" t="s">
        <v>341</v>
      </c>
      <c r="B70" s="64">
        <v>2017</v>
      </c>
      <c r="C70" s="143" t="s">
        <v>52</v>
      </c>
      <c r="D70" s="64" t="s">
        <v>322</v>
      </c>
      <c r="E70" s="69" t="s">
        <v>342</v>
      </c>
      <c r="F70" s="71" t="s">
        <v>44</v>
      </c>
      <c r="G70" s="62" t="s">
        <v>15</v>
      </c>
      <c r="H70" s="78" t="s">
        <v>343</v>
      </c>
      <c r="I70" s="79">
        <v>42849</v>
      </c>
      <c r="J70" s="79">
        <v>42853</v>
      </c>
      <c r="K70" s="64" t="s">
        <v>41</v>
      </c>
      <c r="L70" s="70">
        <v>6962.15</v>
      </c>
      <c r="M70" s="139"/>
      <c r="N70" s="83"/>
      <c r="O70" s="65"/>
      <c r="P70" s="65">
        <v>46</v>
      </c>
      <c r="Q70" s="65"/>
      <c r="R70" s="65">
        <f t="shared" si="1"/>
        <v>46</v>
      </c>
      <c r="S70" s="64">
        <v>20</v>
      </c>
      <c r="T70" s="62" t="s">
        <v>154</v>
      </c>
    </row>
    <row r="71" spans="1:20" ht="23.25" customHeight="1">
      <c r="A71" s="63" t="s">
        <v>344</v>
      </c>
      <c r="B71" s="66">
        <v>2017</v>
      </c>
      <c r="C71" s="143" t="s">
        <v>52</v>
      </c>
      <c r="D71" s="66" t="s">
        <v>345</v>
      </c>
      <c r="E71" s="72" t="s">
        <v>346</v>
      </c>
      <c r="F71" s="73" t="s">
        <v>33</v>
      </c>
      <c r="G71" s="63" t="s">
        <v>123</v>
      </c>
      <c r="H71" s="80" t="s">
        <v>124</v>
      </c>
      <c r="I71" s="81">
        <v>42860</v>
      </c>
      <c r="J71" s="81">
        <v>42860</v>
      </c>
      <c r="K71" s="66" t="s">
        <v>45</v>
      </c>
      <c r="L71" s="68">
        <v>27300</v>
      </c>
      <c r="M71" s="140"/>
      <c r="N71" s="82"/>
      <c r="O71" s="67">
        <v>14</v>
      </c>
      <c r="P71" s="67"/>
      <c r="Q71" s="67"/>
      <c r="R71" s="67">
        <f t="shared" si="1"/>
        <v>14</v>
      </c>
      <c r="S71" s="66">
        <v>26</v>
      </c>
      <c r="T71" s="63" t="s">
        <v>253</v>
      </c>
    </row>
    <row r="72" spans="1:20" ht="23.25" customHeight="1">
      <c r="A72" s="62" t="s">
        <v>347</v>
      </c>
      <c r="B72" s="64">
        <v>2017</v>
      </c>
      <c r="C72" s="143" t="s">
        <v>52</v>
      </c>
      <c r="D72" s="64" t="s">
        <v>348</v>
      </c>
      <c r="E72" s="69" t="s">
        <v>349</v>
      </c>
      <c r="F72" s="71" t="s">
        <v>33</v>
      </c>
      <c r="G72" s="62" t="s">
        <v>123</v>
      </c>
      <c r="H72" s="78" t="s">
        <v>124</v>
      </c>
      <c r="I72" s="79">
        <v>42860</v>
      </c>
      <c r="J72" s="79">
        <v>42860</v>
      </c>
      <c r="K72" s="64" t="s">
        <v>45</v>
      </c>
      <c r="L72" s="70">
        <v>0</v>
      </c>
      <c r="M72" s="139"/>
      <c r="N72" s="83"/>
      <c r="O72" s="65">
        <v>12</v>
      </c>
      <c r="P72" s="65"/>
      <c r="Q72" s="65"/>
      <c r="R72" s="65">
        <f t="shared" si="1"/>
        <v>12</v>
      </c>
      <c r="S72" s="64">
        <v>8</v>
      </c>
      <c r="T72" s="62" t="s">
        <v>164</v>
      </c>
    </row>
    <row r="73" spans="1:20" ht="23.25" customHeight="1">
      <c r="A73" s="63" t="s">
        <v>350</v>
      </c>
      <c r="B73" s="66">
        <v>2017</v>
      </c>
      <c r="C73" s="143" t="s">
        <v>52</v>
      </c>
      <c r="D73" s="66" t="s">
        <v>351</v>
      </c>
      <c r="E73" s="72" t="s">
        <v>352</v>
      </c>
      <c r="F73" s="73" t="s">
        <v>33</v>
      </c>
      <c r="G73" s="63" t="s">
        <v>22</v>
      </c>
      <c r="H73" s="80" t="s">
        <v>353</v>
      </c>
      <c r="I73" s="81">
        <v>42863</v>
      </c>
      <c r="J73" s="81">
        <v>42867</v>
      </c>
      <c r="K73" s="66" t="s">
        <v>41</v>
      </c>
      <c r="L73" s="68">
        <v>7241.74</v>
      </c>
      <c r="M73" s="140"/>
      <c r="N73" s="82"/>
      <c r="O73" s="67">
        <v>18</v>
      </c>
      <c r="P73" s="67"/>
      <c r="Q73" s="67"/>
      <c r="R73" s="67">
        <f t="shared" si="1"/>
        <v>18</v>
      </c>
      <c r="S73" s="66">
        <v>20</v>
      </c>
      <c r="T73" s="74" t="s">
        <v>248</v>
      </c>
    </row>
    <row r="74" spans="1:20" ht="23.25" customHeight="1">
      <c r="A74" s="62" t="s">
        <v>354</v>
      </c>
      <c r="B74" s="64">
        <v>2017</v>
      </c>
      <c r="C74" s="143" t="s">
        <v>52</v>
      </c>
      <c r="D74" s="64" t="s">
        <v>355</v>
      </c>
      <c r="E74" s="69" t="s">
        <v>356</v>
      </c>
      <c r="F74" s="71" t="s">
        <v>33</v>
      </c>
      <c r="G74" s="62" t="s">
        <v>10</v>
      </c>
      <c r="H74" s="78" t="s">
        <v>357</v>
      </c>
      <c r="I74" s="79">
        <v>42870</v>
      </c>
      <c r="J74" s="79">
        <v>42874</v>
      </c>
      <c r="K74" s="64" t="s">
        <v>45</v>
      </c>
      <c r="L74" s="70">
        <v>33600</v>
      </c>
      <c r="M74" s="139"/>
      <c r="N74" s="83"/>
      <c r="O74" s="65">
        <v>30</v>
      </c>
      <c r="P74" s="65"/>
      <c r="Q74" s="65"/>
      <c r="R74" s="65">
        <f t="shared" si="1"/>
        <v>30</v>
      </c>
      <c r="S74" s="64">
        <v>20</v>
      </c>
      <c r="T74" s="62" t="s">
        <v>129</v>
      </c>
    </row>
    <row r="75" spans="1:20" ht="23.25" customHeight="1">
      <c r="A75" s="63" t="s">
        <v>358</v>
      </c>
      <c r="B75" s="66">
        <v>2017</v>
      </c>
      <c r="C75" s="143" t="s">
        <v>52</v>
      </c>
      <c r="D75" s="66" t="s">
        <v>359</v>
      </c>
      <c r="E75" s="72" t="s">
        <v>360</v>
      </c>
      <c r="F75" s="73" t="s">
        <v>48</v>
      </c>
      <c r="G75" s="63" t="s">
        <v>15</v>
      </c>
      <c r="H75" s="80" t="s">
        <v>361</v>
      </c>
      <c r="I75" s="81">
        <v>42877</v>
      </c>
      <c r="J75" s="81">
        <v>42881</v>
      </c>
      <c r="K75" s="66" t="s">
        <v>41</v>
      </c>
      <c r="L75" s="68">
        <v>0</v>
      </c>
      <c r="M75" s="140"/>
      <c r="N75" s="82"/>
      <c r="O75" s="67"/>
      <c r="P75" s="67"/>
      <c r="Q75" s="67">
        <v>37</v>
      </c>
      <c r="R75" s="67">
        <f t="shared" si="1"/>
        <v>37</v>
      </c>
      <c r="S75" s="66">
        <v>20</v>
      </c>
      <c r="T75" s="63" t="s">
        <v>362</v>
      </c>
    </row>
    <row r="76" spans="1:20" ht="23.25" customHeight="1">
      <c r="A76" s="62" t="s">
        <v>363</v>
      </c>
      <c r="B76" s="64">
        <v>2017</v>
      </c>
      <c r="C76" s="143" t="s">
        <v>52</v>
      </c>
      <c r="D76" s="64" t="s">
        <v>364</v>
      </c>
      <c r="E76" s="69" t="s">
        <v>365</v>
      </c>
      <c r="F76" s="71" t="s">
        <v>44</v>
      </c>
      <c r="G76" s="62" t="s">
        <v>15</v>
      </c>
      <c r="H76" s="78" t="s">
        <v>361</v>
      </c>
      <c r="I76" s="79">
        <v>42877</v>
      </c>
      <c r="J76" s="79">
        <v>42881</v>
      </c>
      <c r="K76" s="64" t="s">
        <v>41</v>
      </c>
      <c r="L76" s="70">
        <v>6962.15</v>
      </c>
      <c r="M76" s="139"/>
      <c r="N76" s="83"/>
      <c r="O76" s="65"/>
      <c r="P76" s="65">
        <v>47</v>
      </c>
      <c r="Q76" s="65"/>
      <c r="R76" s="65">
        <f t="shared" si="1"/>
        <v>47</v>
      </c>
      <c r="S76" s="64">
        <v>20</v>
      </c>
      <c r="T76" s="62" t="s">
        <v>300</v>
      </c>
    </row>
    <row r="77" spans="1:20" ht="23.25" customHeight="1">
      <c r="A77" s="63" t="s">
        <v>366</v>
      </c>
      <c r="B77" s="66">
        <v>2017</v>
      </c>
      <c r="C77" s="143" t="s">
        <v>52</v>
      </c>
      <c r="D77" s="66" t="s">
        <v>367</v>
      </c>
      <c r="E77" s="72" t="s">
        <v>368</v>
      </c>
      <c r="F77" s="73" t="s">
        <v>33</v>
      </c>
      <c r="G77" s="63" t="s">
        <v>10</v>
      </c>
      <c r="H77" s="80" t="s">
        <v>369</v>
      </c>
      <c r="I77" s="81">
        <v>42880</v>
      </c>
      <c r="J77" s="81">
        <v>42881</v>
      </c>
      <c r="K77" s="66" t="s">
        <v>45</v>
      </c>
      <c r="L77" s="68">
        <v>8000</v>
      </c>
      <c r="M77" s="140"/>
      <c r="N77" s="82"/>
      <c r="O77" s="67">
        <v>30</v>
      </c>
      <c r="P77" s="67"/>
      <c r="Q77" s="67"/>
      <c r="R77" s="67">
        <f t="shared" si="1"/>
        <v>30</v>
      </c>
      <c r="S77" s="66">
        <v>16</v>
      </c>
      <c r="T77" s="63" t="s">
        <v>370</v>
      </c>
    </row>
    <row r="78" spans="1:20" ht="23.25" customHeight="1">
      <c r="A78" s="62" t="s">
        <v>371</v>
      </c>
      <c r="B78" s="64">
        <v>2017</v>
      </c>
      <c r="C78" s="143" t="s">
        <v>52</v>
      </c>
      <c r="D78" s="64" t="s">
        <v>372</v>
      </c>
      <c r="E78" s="69" t="s">
        <v>373</v>
      </c>
      <c r="F78" s="71" t="s">
        <v>33</v>
      </c>
      <c r="G78" s="62" t="s">
        <v>32</v>
      </c>
      <c r="H78" s="78" t="s">
        <v>374</v>
      </c>
      <c r="I78" s="79">
        <v>42880</v>
      </c>
      <c r="J78" s="79">
        <v>42881</v>
      </c>
      <c r="K78" s="64" t="s">
        <v>45</v>
      </c>
      <c r="L78" s="70">
        <v>7880</v>
      </c>
      <c r="M78" s="139"/>
      <c r="N78" s="83"/>
      <c r="O78" s="65">
        <v>19</v>
      </c>
      <c r="P78" s="65"/>
      <c r="Q78" s="65"/>
      <c r="R78" s="65">
        <f t="shared" si="1"/>
        <v>19</v>
      </c>
      <c r="S78" s="64">
        <v>20</v>
      </c>
      <c r="T78" s="62" t="s">
        <v>211</v>
      </c>
    </row>
    <row r="79" spans="1:20" ht="23.25" customHeight="1">
      <c r="A79" s="63" t="s">
        <v>375</v>
      </c>
      <c r="B79" s="66">
        <v>2017</v>
      </c>
      <c r="C79" s="143" t="s">
        <v>52</v>
      </c>
      <c r="D79" s="66" t="s">
        <v>376</v>
      </c>
      <c r="E79" s="72" t="s">
        <v>377</v>
      </c>
      <c r="F79" s="73" t="s">
        <v>44</v>
      </c>
      <c r="G79" s="63" t="s">
        <v>15</v>
      </c>
      <c r="H79" s="80" t="s">
        <v>378</v>
      </c>
      <c r="I79" s="81">
        <v>42881</v>
      </c>
      <c r="J79" s="81">
        <v>42884</v>
      </c>
      <c r="K79" s="66" t="s">
        <v>41</v>
      </c>
      <c r="L79" s="68">
        <v>5569.72</v>
      </c>
      <c r="M79" s="140"/>
      <c r="N79" s="82"/>
      <c r="O79" s="67"/>
      <c r="P79" s="67">
        <v>37</v>
      </c>
      <c r="Q79" s="67"/>
      <c r="R79" s="67">
        <f t="shared" si="1"/>
        <v>37</v>
      </c>
      <c r="S79" s="66">
        <v>16</v>
      </c>
      <c r="T79" s="63" t="s">
        <v>3004</v>
      </c>
    </row>
    <row r="80" spans="1:20" ht="23.25" customHeight="1">
      <c r="A80" s="62" t="s">
        <v>380</v>
      </c>
      <c r="B80" s="64">
        <v>2017</v>
      </c>
      <c r="C80" s="143" t="s">
        <v>52</v>
      </c>
      <c r="D80" s="64" t="s">
        <v>372</v>
      </c>
      <c r="E80" s="69" t="s">
        <v>381</v>
      </c>
      <c r="F80" s="71" t="s">
        <v>33</v>
      </c>
      <c r="G80" s="62" t="s">
        <v>32</v>
      </c>
      <c r="H80" s="78" t="s">
        <v>382</v>
      </c>
      <c r="I80" s="79">
        <v>42891</v>
      </c>
      <c r="J80" s="79">
        <v>42895</v>
      </c>
      <c r="K80" s="64" t="s">
        <v>45</v>
      </c>
      <c r="L80" s="70">
        <v>7880</v>
      </c>
      <c r="M80" s="139"/>
      <c r="N80" s="83"/>
      <c r="O80" s="65">
        <v>19</v>
      </c>
      <c r="P80" s="65"/>
      <c r="Q80" s="65"/>
      <c r="R80" s="65">
        <f t="shared" si="1"/>
        <v>19</v>
      </c>
      <c r="S80" s="64">
        <v>20</v>
      </c>
      <c r="T80" s="62" t="s">
        <v>211</v>
      </c>
    </row>
    <row r="81" spans="1:20" ht="23.25" customHeight="1">
      <c r="A81" s="63" t="s">
        <v>383</v>
      </c>
      <c r="B81" s="66">
        <v>2017</v>
      </c>
      <c r="C81" s="143" t="s">
        <v>52</v>
      </c>
      <c r="D81" s="66" t="s">
        <v>384</v>
      </c>
      <c r="E81" s="72" t="s">
        <v>385</v>
      </c>
      <c r="F81" s="73" t="s">
        <v>33</v>
      </c>
      <c r="G81" s="63" t="s">
        <v>22</v>
      </c>
      <c r="H81" s="80" t="s">
        <v>386</v>
      </c>
      <c r="I81" s="81">
        <v>42905</v>
      </c>
      <c r="J81" s="81">
        <v>42909</v>
      </c>
      <c r="K81" s="66" t="s">
        <v>41</v>
      </c>
      <c r="L81" s="68">
        <v>8547.4</v>
      </c>
      <c r="M81" s="140"/>
      <c r="N81" s="82"/>
      <c r="O81" s="67">
        <v>20</v>
      </c>
      <c r="P81" s="67"/>
      <c r="Q81" s="67"/>
      <c r="R81" s="67">
        <f t="shared" si="1"/>
        <v>20</v>
      </c>
      <c r="S81" s="66">
        <v>20</v>
      </c>
      <c r="T81" s="63" t="s">
        <v>387</v>
      </c>
    </row>
    <row r="82" spans="1:20" ht="23.25" customHeight="1">
      <c r="A82" s="62" t="s">
        <v>388</v>
      </c>
      <c r="B82" s="64">
        <v>2017</v>
      </c>
      <c r="C82" s="143" t="s">
        <v>52</v>
      </c>
      <c r="D82" s="64" t="s">
        <v>389</v>
      </c>
      <c r="E82" s="69" t="s">
        <v>390</v>
      </c>
      <c r="F82" s="71" t="s">
        <v>33</v>
      </c>
      <c r="G82" s="62" t="s">
        <v>35</v>
      </c>
      <c r="H82" s="78" t="s">
        <v>391</v>
      </c>
      <c r="I82" s="79">
        <v>42909</v>
      </c>
      <c r="J82" s="79">
        <v>42963</v>
      </c>
      <c r="K82" s="64" t="s">
        <v>41</v>
      </c>
      <c r="L82" s="70">
        <v>11567.86</v>
      </c>
      <c r="M82" s="139"/>
      <c r="N82" s="83"/>
      <c r="O82" s="65">
        <v>50</v>
      </c>
      <c r="P82" s="65"/>
      <c r="Q82" s="65"/>
      <c r="R82" s="65">
        <f t="shared" si="1"/>
        <v>50</v>
      </c>
      <c r="S82" s="64">
        <v>20</v>
      </c>
      <c r="T82" s="62" t="s">
        <v>3745</v>
      </c>
    </row>
    <row r="83" spans="1:20" ht="23.25" customHeight="1">
      <c r="A83" s="63" t="s">
        <v>392</v>
      </c>
      <c r="B83" s="66">
        <v>2017</v>
      </c>
      <c r="C83" s="143" t="s">
        <v>52</v>
      </c>
      <c r="D83" s="66" t="s">
        <v>393</v>
      </c>
      <c r="E83" s="72" t="s">
        <v>264</v>
      </c>
      <c r="F83" s="73" t="s">
        <v>33</v>
      </c>
      <c r="G83" s="63" t="s">
        <v>25</v>
      </c>
      <c r="H83" s="80" t="s">
        <v>394</v>
      </c>
      <c r="I83" s="81">
        <v>42912</v>
      </c>
      <c r="J83" s="81">
        <v>42916</v>
      </c>
      <c r="K83" s="66" t="s">
        <v>45</v>
      </c>
      <c r="L83" s="68">
        <v>9780</v>
      </c>
      <c r="M83" s="140"/>
      <c r="N83" s="82"/>
      <c r="O83" s="67">
        <v>17</v>
      </c>
      <c r="P83" s="67"/>
      <c r="Q83" s="67"/>
      <c r="R83" s="67">
        <f t="shared" si="1"/>
        <v>17</v>
      </c>
      <c r="S83" s="66">
        <v>20</v>
      </c>
      <c r="T83" s="63" t="s">
        <v>225</v>
      </c>
    </row>
    <row r="84" spans="1:20" ht="23.25" customHeight="1">
      <c r="A84" s="62" t="s">
        <v>395</v>
      </c>
      <c r="B84" s="64">
        <v>2017</v>
      </c>
      <c r="C84" s="143" t="s">
        <v>52</v>
      </c>
      <c r="D84" s="64" t="s">
        <v>396</v>
      </c>
      <c r="E84" s="69" t="s">
        <v>397</v>
      </c>
      <c r="F84" s="71" t="s">
        <v>44</v>
      </c>
      <c r="G84" s="62" t="s">
        <v>15</v>
      </c>
      <c r="H84" s="78" t="s">
        <v>394</v>
      </c>
      <c r="I84" s="79">
        <v>42912</v>
      </c>
      <c r="J84" s="79">
        <v>42916</v>
      </c>
      <c r="K84" s="64" t="s">
        <v>41</v>
      </c>
      <c r="L84" s="70">
        <v>6962.15</v>
      </c>
      <c r="M84" s="139"/>
      <c r="N84" s="83"/>
      <c r="O84" s="65"/>
      <c r="P84" s="65">
        <v>25</v>
      </c>
      <c r="Q84" s="65"/>
      <c r="R84" s="65">
        <f t="shared" si="1"/>
        <v>25</v>
      </c>
      <c r="S84" s="64">
        <v>20</v>
      </c>
      <c r="T84" s="62" t="s">
        <v>116</v>
      </c>
    </row>
    <row r="85" spans="1:20" ht="23.25" customHeight="1">
      <c r="A85" s="63" t="s">
        <v>398</v>
      </c>
      <c r="B85" s="66">
        <v>2017</v>
      </c>
      <c r="C85" s="143" t="s">
        <v>52</v>
      </c>
      <c r="D85" s="66" t="s">
        <v>399</v>
      </c>
      <c r="E85" s="72" t="s">
        <v>223</v>
      </c>
      <c r="F85" s="73" t="s">
        <v>48</v>
      </c>
      <c r="G85" s="63" t="s">
        <v>15</v>
      </c>
      <c r="H85" s="80" t="s">
        <v>400</v>
      </c>
      <c r="I85" s="81">
        <v>42919</v>
      </c>
      <c r="J85" s="81">
        <v>42923</v>
      </c>
      <c r="K85" s="66" t="s">
        <v>41</v>
      </c>
      <c r="L85" s="68">
        <v>7231.26</v>
      </c>
      <c r="M85" s="140"/>
      <c r="N85" s="82"/>
      <c r="O85" s="67"/>
      <c r="P85" s="67"/>
      <c r="Q85" s="67">
        <v>49</v>
      </c>
      <c r="R85" s="67">
        <f t="shared" si="1"/>
        <v>49</v>
      </c>
      <c r="S85" s="66">
        <v>20</v>
      </c>
      <c r="T85" s="63" t="s">
        <v>181</v>
      </c>
    </row>
    <row r="86" spans="1:20" ht="23.25" customHeight="1">
      <c r="A86" s="62" t="s">
        <v>401</v>
      </c>
      <c r="B86" s="64">
        <v>2017</v>
      </c>
      <c r="C86" s="143" t="s">
        <v>52</v>
      </c>
      <c r="D86" s="64" t="s">
        <v>402</v>
      </c>
      <c r="E86" s="69" t="s">
        <v>403</v>
      </c>
      <c r="F86" s="71" t="s">
        <v>44</v>
      </c>
      <c r="G86" s="62" t="s">
        <v>15</v>
      </c>
      <c r="H86" s="78" t="s">
        <v>404</v>
      </c>
      <c r="I86" s="79">
        <v>42940</v>
      </c>
      <c r="J86" s="79">
        <v>42944</v>
      </c>
      <c r="K86" s="64" t="s">
        <v>41</v>
      </c>
      <c r="L86" s="70">
        <v>6008.6</v>
      </c>
      <c r="M86" s="139"/>
      <c r="N86" s="83"/>
      <c r="O86" s="65"/>
      <c r="P86" s="65">
        <v>34</v>
      </c>
      <c r="Q86" s="65"/>
      <c r="R86" s="65">
        <f t="shared" si="1"/>
        <v>34</v>
      </c>
      <c r="S86" s="64">
        <v>20</v>
      </c>
      <c r="T86" s="62" t="s">
        <v>116</v>
      </c>
    </row>
    <row r="87" spans="1:20" ht="23.25" customHeight="1">
      <c r="A87" s="63" t="s">
        <v>405</v>
      </c>
      <c r="B87" s="66">
        <v>2017</v>
      </c>
      <c r="C87" s="143" t="s">
        <v>52</v>
      </c>
      <c r="D87" s="66" t="s">
        <v>406</v>
      </c>
      <c r="E87" s="72" t="s">
        <v>407</v>
      </c>
      <c r="F87" s="73" t="s">
        <v>33</v>
      </c>
      <c r="G87" s="63" t="s">
        <v>22</v>
      </c>
      <c r="H87" s="80" t="s">
        <v>408</v>
      </c>
      <c r="I87" s="81">
        <v>42968</v>
      </c>
      <c r="J87" s="81">
        <v>42972</v>
      </c>
      <c r="K87" s="66" t="s">
        <v>41</v>
      </c>
      <c r="L87" s="68">
        <v>7603.8</v>
      </c>
      <c r="M87" s="140"/>
      <c r="N87" s="82"/>
      <c r="O87" s="67">
        <v>19</v>
      </c>
      <c r="P87" s="67"/>
      <c r="Q87" s="67"/>
      <c r="R87" s="67">
        <f t="shared" si="1"/>
        <v>19</v>
      </c>
      <c r="S87" s="66">
        <v>20</v>
      </c>
      <c r="T87" s="74" t="s">
        <v>248</v>
      </c>
    </row>
    <row r="88" spans="1:20" ht="23.25" customHeight="1">
      <c r="A88" s="62" t="s">
        <v>409</v>
      </c>
      <c r="B88" s="64">
        <v>2017</v>
      </c>
      <c r="C88" s="143" t="s">
        <v>52</v>
      </c>
      <c r="D88" s="64" t="s">
        <v>410</v>
      </c>
      <c r="E88" s="69" t="s">
        <v>411</v>
      </c>
      <c r="F88" s="71" t="s">
        <v>44</v>
      </c>
      <c r="G88" s="62" t="s">
        <v>15</v>
      </c>
      <c r="H88" s="78" t="s">
        <v>412</v>
      </c>
      <c r="I88" s="79">
        <v>42976</v>
      </c>
      <c r="J88" s="79">
        <v>42977</v>
      </c>
      <c r="K88" s="64" t="s">
        <v>45</v>
      </c>
      <c r="L88" s="70">
        <v>40881.51</v>
      </c>
      <c r="M88" s="139"/>
      <c r="N88" s="83"/>
      <c r="O88" s="65">
        <v>100</v>
      </c>
      <c r="P88" s="65">
        <v>212</v>
      </c>
      <c r="Q88" s="65">
        <v>0</v>
      </c>
      <c r="R88" s="65">
        <f t="shared" si="1"/>
        <v>312</v>
      </c>
      <c r="S88" s="64">
        <v>8</v>
      </c>
      <c r="T88" s="62" t="s">
        <v>379</v>
      </c>
    </row>
    <row r="89" spans="1:20" ht="23.25" customHeight="1">
      <c r="A89" s="63" t="s">
        <v>413</v>
      </c>
      <c r="B89" s="66">
        <v>2017</v>
      </c>
      <c r="C89" s="143" t="s">
        <v>52</v>
      </c>
      <c r="D89" s="66" t="s">
        <v>414</v>
      </c>
      <c r="E89" s="72" t="s">
        <v>415</v>
      </c>
      <c r="F89" s="73" t="s">
        <v>44</v>
      </c>
      <c r="G89" s="63" t="s">
        <v>15</v>
      </c>
      <c r="H89" s="80" t="s">
        <v>416</v>
      </c>
      <c r="I89" s="81">
        <v>42989</v>
      </c>
      <c r="J89" s="81">
        <v>42993</v>
      </c>
      <c r="K89" s="66" t="s">
        <v>41</v>
      </c>
      <c r="L89" s="68">
        <v>7452.02</v>
      </c>
      <c r="M89" s="140"/>
      <c r="N89" s="82"/>
      <c r="O89" s="67"/>
      <c r="P89" s="67">
        <v>57</v>
      </c>
      <c r="Q89" s="67"/>
      <c r="R89" s="67">
        <f t="shared" si="1"/>
        <v>57</v>
      </c>
      <c r="S89" s="66">
        <v>20</v>
      </c>
      <c r="T89" s="63" t="s">
        <v>154</v>
      </c>
    </row>
    <row r="90" spans="1:20" ht="23.25" customHeight="1">
      <c r="A90" s="62" t="s">
        <v>417</v>
      </c>
      <c r="B90" s="64">
        <v>2017</v>
      </c>
      <c r="C90" s="143" t="s">
        <v>52</v>
      </c>
      <c r="D90" s="64" t="s">
        <v>418</v>
      </c>
      <c r="E90" s="69" t="s">
        <v>419</v>
      </c>
      <c r="F90" s="71" t="s">
        <v>44</v>
      </c>
      <c r="G90" s="62" t="s">
        <v>15</v>
      </c>
      <c r="H90" s="78" t="s">
        <v>420</v>
      </c>
      <c r="I90" s="79">
        <v>43003</v>
      </c>
      <c r="J90" s="79">
        <v>43007</v>
      </c>
      <c r="K90" s="64" t="s">
        <v>41</v>
      </c>
      <c r="L90" s="70">
        <v>7510.44</v>
      </c>
      <c r="M90" s="139"/>
      <c r="N90" s="83"/>
      <c r="O90" s="65"/>
      <c r="P90" s="65">
        <v>50</v>
      </c>
      <c r="Q90" s="65"/>
      <c r="R90" s="65">
        <f t="shared" si="1"/>
        <v>50</v>
      </c>
      <c r="S90" s="64">
        <v>20</v>
      </c>
      <c r="T90" s="62" t="s">
        <v>154</v>
      </c>
    </row>
    <row r="91" spans="1:20" ht="23.25" customHeight="1">
      <c r="A91" s="63" t="s">
        <v>421</v>
      </c>
      <c r="B91" s="66">
        <v>2017</v>
      </c>
      <c r="C91" s="143" t="s">
        <v>52</v>
      </c>
      <c r="D91" s="66" t="s">
        <v>422</v>
      </c>
      <c r="E91" s="72" t="s">
        <v>423</v>
      </c>
      <c r="F91" s="73" t="s">
        <v>33</v>
      </c>
      <c r="G91" s="63" t="s">
        <v>13</v>
      </c>
      <c r="H91" s="80" t="s">
        <v>424</v>
      </c>
      <c r="I91" s="81">
        <v>43025</v>
      </c>
      <c r="J91" s="81">
        <v>43026</v>
      </c>
      <c r="K91" s="66" t="s">
        <v>45</v>
      </c>
      <c r="L91" s="68">
        <v>19780</v>
      </c>
      <c r="M91" s="140"/>
      <c r="N91" s="82"/>
      <c r="O91" s="67">
        <v>18</v>
      </c>
      <c r="P91" s="67"/>
      <c r="Q91" s="67"/>
      <c r="R91" s="67">
        <f t="shared" si="1"/>
        <v>18</v>
      </c>
      <c r="S91" s="66">
        <v>20</v>
      </c>
      <c r="T91" s="63" t="s">
        <v>112</v>
      </c>
    </row>
    <row r="92" spans="1:20" ht="23.25" customHeight="1">
      <c r="A92" s="62" t="s">
        <v>425</v>
      </c>
      <c r="B92" s="64">
        <v>2017</v>
      </c>
      <c r="C92" s="143" t="s">
        <v>52</v>
      </c>
      <c r="D92" s="64" t="s">
        <v>426</v>
      </c>
      <c r="E92" s="69" t="s">
        <v>427</v>
      </c>
      <c r="F92" s="71" t="s">
        <v>33</v>
      </c>
      <c r="G92" s="62" t="s">
        <v>25</v>
      </c>
      <c r="H92" s="78" t="s">
        <v>428</v>
      </c>
      <c r="I92" s="79">
        <v>43031</v>
      </c>
      <c r="J92" s="79">
        <v>43035</v>
      </c>
      <c r="K92" s="64" t="s">
        <v>41</v>
      </c>
      <c r="L92" s="70">
        <v>7452.02</v>
      </c>
      <c r="M92" s="139"/>
      <c r="N92" s="83"/>
      <c r="O92" s="65">
        <v>18</v>
      </c>
      <c r="P92" s="65"/>
      <c r="Q92" s="65"/>
      <c r="R92" s="65">
        <f t="shared" si="1"/>
        <v>18</v>
      </c>
      <c r="S92" s="64">
        <v>20</v>
      </c>
      <c r="T92" s="62" t="s">
        <v>3016</v>
      </c>
    </row>
    <row r="93" spans="1:20" ht="23.25" customHeight="1">
      <c r="A93" s="63" t="s">
        <v>430</v>
      </c>
      <c r="B93" s="66">
        <v>2017</v>
      </c>
      <c r="C93" s="143" t="s">
        <v>52</v>
      </c>
      <c r="D93" s="66" t="s">
        <v>431</v>
      </c>
      <c r="E93" s="72" t="s">
        <v>432</v>
      </c>
      <c r="F93" s="73" t="s">
        <v>44</v>
      </c>
      <c r="G93" s="63" t="s">
        <v>15</v>
      </c>
      <c r="H93" s="80" t="s">
        <v>428</v>
      </c>
      <c r="I93" s="81">
        <v>43031</v>
      </c>
      <c r="J93" s="81">
        <v>43035</v>
      </c>
      <c r="K93" s="66" t="s">
        <v>49</v>
      </c>
      <c r="L93" s="68">
        <v>10272.4</v>
      </c>
      <c r="M93" s="140"/>
      <c r="N93" s="82"/>
      <c r="O93" s="67"/>
      <c r="P93" s="67">
        <v>40</v>
      </c>
      <c r="Q93" s="67"/>
      <c r="R93" s="67">
        <f t="shared" si="1"/>
        <v>40</v>
      </c>
      <c r="S93" s="66">
        <v>20</v>
      </c>
      <c r="T93" s="63" t="s">
        <v>433</v>
      </c>
    </row>
    <row r="94" spans="1:20" ht="23.25" customHeight="1">
      <c r="A94" s="62" t="s">
        <v>434</v>
      </c>
      <c r="B94" s="64">
        <v>2017</v>
      </c>
      <c r="C94" s="143" t="s">
        <v>52</v>
      </c>
      <c r="D94" s="64" t="s">
        <v>435</v>
      </c>
      <c r="E94" s="69" t="s">
        <v>436</v>
      </c>
      <c r="F94" s="71" t="s">
        <v>44</v>
      </c>
      <c r="G94" s="62" t="s">
        <v>15</v>
      </c>
      <c r="H94" s="78" t="s">
        <v>437</v>
      </c>
      <c r="I94" s="79">
        <v>43045</v>
      </c>
      <c r="J94" s="79">
        <v>43048</v>
      </c>
      <c r="K94" s="64" t="s">
        <v>41</v>
      </c>
      <c r="L94" s="70">
        <v>5961.61</v>
      </c>
      <c r="M94" s="139"/>
      <c r="N94" s="83"/>
      <c r="O94" s="65"/>
      <c r="P94" s="65">
        <v>37</v>
      </c>
      <c r="Q94" s="65"/>
      <c r="R94" s="65">
        <f t="shared" si="1"/>
        <v>37</v>
      </c>
      <c r="S94" s="64">
        <v>16</v>
      </c>
      <c r="T94" s="62" t="s">
        <v>438</v>
      </c>
    </row>
    <row r="95" spans="1:20" ht="23.25" customHeight="1">
      <c r="A95" s="63" t="s">
        <v>439</v>
      </c>
      <c r="B95" s="66">
        <v>2018</v>
      </c>
      <c r="C95" s="143" t="s">
        <v>52</v>
      </c>
      <c r="D95" s="66" t="s">
        <v>440</v>
      </c>
      <c r="E95" s="72" t="s">
        <v>223</v>
      </c>
      <c r="F95" s="73" t="s">
        <v>48</v>
      </c>
      <c r="G95" s="63" t="s">
        <v>15</v>
      </c>
      <c r="H95" s="80" t="s">
        <v>441</v>
      </c>
      <c r="I95" s="81">
        <v>43179</v>
      </c>
      <c r="J95" s="81">
        <v>43180</v>
      </c>
      <c r="K95" s="66" t="s">
        <v>41</v>
      </c>
      <c r="L95" s="68">
        <v>5647.92</v>
      </c>
      <c r="M95" s="140"/>
      <c r="N95" s="82"/>
      <c r="O95" s="67"/>
      <c r="P95" s="67"/>
      <c r="Q95" s="67">
        <v>96</v>
      </c>
      <c r="R95" s="67">
        <f t="shared" si="1"/>
        <v>96</v>
      </c>
      <c r="S95" s="66">
        <v>20</v>
      </c>
      <c r="T95" s="74" t="s">
        <v>442</v>
      </c>
    </row>
    <row r="96" spans="1:20" ht="23.25" customHeight="1">
      <c r="A96" s="62" t="s">
        <v>443</v>
      </c>
      <c r="B96" s="64">
        <v>2018</v>
      </c>
      <c r="C96" s="143" t="s">
        <v>52</v>
      </c>
      <c r="D96" s="64" t="s">
        <v>444</v>
      </c>
      <c r="E96" s="69" t="s">
        <v>445</v>
      </c>
      <c r="F96" s="71" t="s">
        <v>33</v>
      </c>
      <c r="G96" s="62" t="s">
        <v>22</v>
      </c>
      <c r="H96" s="78" t="s">
        <v>446</v>
      </c>
      <c r="I96" s="79">
        <v>43192</v>
      </c>
      <c r="J96" s="79">
        <v>43196</v>
      </c>
      <c r="K96" s="64" t="s">
        <v>41</v>
      </c>
      <c r="L96" s="70">
        <v>13018.48</v>
      </c>
      <c r="M96" s="139"/>
      <c r="N96" s="83"/>
      <c r="O96" s="65">
        <v>19</v>
      </c>
      <c r="P96" s="65"/>
      <c r="Q96" s="65"/>
      <c r="R96" s="65">
        <f t="shared" si="1"/>
        <v>19</v>
      </c>
      <c r="S96" s="64">
        <v>20</v>
      </c>
      <c r="T96" s="62" t="s">
        <v>149</v>
      </c>
    </row>
    <row r="97" spans="1:20" ht="23.25" customHeight="1">
      <c r="A97" s="63" t="s">
        <v>447</v>
      </c>
      <c r="B97" s="66">
        <v>2018</v>
      </c>
      <c r="C97" s="143" t="s">
        <v>52</v>
      </c>
      <c r="D97" s="66" t="s">
        <v>448</v>
      </c>
      <c r="E97" s="72" t="s">
        <v>449</v>
      </c>
      <c r="F97" s="73" t="s">
        <v>44</v>
      </c>
      <c r="G97" s="63" t="s">
        <v>15</v>
      </c>
      <c r="H97" s="80" t="s">
        <v>450</v>
      </c>
      <c r="I97" s="81">
        <v>43199</v>
      </c>
      <c r="J97" s="81">
        <v>43203</v>
      </c>
      <c r="K97" s="66" t="s">
        <v>41</v>
      </c>
      <c r="L97" s="68">
        <v>7310.2</v>
      </c>
      <c r="M97" s="140"/>
      <c r="N97" s="82"/>
      <c r="O97" s="67"/>
      <c r="P97" s="67">
        <v>65</v>
      </c>
      <c r="Q97" s="67"/>
      <c r="R97" s="67">
        <f t="shared" si="1"/>
        <v>65</v>
      </c>
      <c r="S97" s="66">
        <v>20</v>
      </c>
      <c r="T97" s="63" t="s">
        <v>154</v>
      </c>
    </row>
    <row r="98" spans="1:20" ht="23.25" customHeight="1">
      <c r="A98" s="62" t="s">
        <v>451</v>
      </c>
      <c r="B98" s="64">
        <v>2018</v>
      </c>
      <c r="C98" s="143" t="s">
        <v>52</v>
      </c>
      <c r="D98" s="64" t="s">
        <v>452</v>
      </c>
      <c r="E98" s="69" t="s">
        <v>453</v>
      </c>
      <c r="F98" s="71" t="s">
        <v>33</v>
      </c>
      <c r="G98" s="62" t="s">
        <v>123</v>
      </c>
      <c r="H98" s="78" t="s">
        <v>124</v>
      </c>
      <c r="I98" s="79">
        <v>43225</v>
      </c>
      <c r="J98" s="79">
        <v>43225</v>
      </c>
      <c r="K98" s="64" t="s">
        <v>45</v>
      </c>
      <c r="L98" s="70">
        <v>0</v>
      </c>
      <c r="M98" s="139"/>
      <c r="N98" s="83"/>
      <c r="O98" s="65">
        <v>19</v>
      </c>
      <c r="P98" s="65"/>
      <c r="Q98" s="65"/>
      <c r="R98" s="65">
        <f t="shared" si="1"/>
        <v>19</v>
      </c>
      <c r="S98" s="64">
        <v>8</v>
      </c>
      <c r="T98" s="62" t="s">
        <v>149</v>
      </c>
    </row>
    <row r="99" spans="1:20" ht="23.25" customHeight="1">
      <c r="A99" s="63" t="s">
        <v>454</v>
      </c>
      <c r="B99" s="66">
        <v>2018</v>
      </c>
      <c r="C99" s="143" t="s">
        <v>52</v>
      </c>
      <c r="D99" s="66" t="s">
        <v>455</v>
      </c>
      <c r="E99" s="72" t="s">
        <v>456</v>
      </c>
      <c r="F99" s="73" t="s">
        <v>33</v>
      </c>
      <c r="G99" s="63" t="s">
        <v>32</v>
      </c>
      <c r="H99" s="80" t="s">
        <v>457</v>
      </c>
      <c r="I99" s="81">
        <v>43227</v>
      </c>
      <c r="J99" s="81">
        <v>43231</v>
      </c>
      <c r="K99" s="66" t="s">
        <v>45</v>
      </c>
      <c r="L99" s="68">
        <v>7690</v>
      </c>
      <c r="M99" s="140"/>
      <c r="N99" s="82"/>
      <c r="O99" s="67">
        <v>19</v>
      </c>
      <c r="P99" s="67"/>
      <c r="Q99" s="67"/>
      <c r="R99" s="67">
        <f t="shared" si="1"/>
        <v>19</v>
      </c>
      <c r="S99" s="66">
        <v>16</v>
      </c>
      <c r="T99" s="63" t="s">
        <v>211</v>
      </c>
    </row>
    <row r="100" spans="1:20" ht="23.25" customHeight="1">
      <c r="A100" s="62" t="s">
        <v>458</v>
      </c>
      <c r="B100" s="64">
        <v>2018</v>
      </c>
      <c r="C100" s="143" t="s">
        <v>52</v>
      </c>
      <c r="D100" s="64" t="s">
        <v>459</v>
      </c>
      <c r="E100" s="69" t="s">
        <v>460</v>
      </c>
      <c r="F100" s="71" t="s">
        <v>33</v>
      </c>
      <c r="G100" s="62" t="s">
        <v>22</v>
      </c>
      <c r="H100" s="78" t="s">
        <v>461</v>
      </c>
      <c r="I100" s="79">
        <v>43234</v>
      </c>
      <c r="J100" s="79">
        <v>43238</v>
      </c>
      <c r="K100" s="64" t="s">
        <v>41</v>
      </c>
      <c r="L100" s="70">
        <v>7510.44</v>
      </c>
      <c r="M100" s="139"/>
      <c r="N100" s="83"/>
      <c r="O100" s="65">
        <v>20</v>
      </c>
      <c r="P100" s="65"/>
      <c r="Q100" s="65"/>
      <c r="R100" s="65">
        <f t="shared" si="1"/>
        <v>20</v>
      </c>
      <c r="S100" s="64">
        <v>20</v>
      </c>
      <c r="T100" s="62" t="s">
        <v>149</v>
      </c>
    </row>
    <row r="101" spans="1:20" ht="23.25" customHeight="1">
      <c r="A101" s="63" t="s">
        <v>462</v>
      </c>
      <c r="B101" s="66">
        <v>2018</v>
      </c>
      <c r="C101" s="143" t="s">
        <v>52</v>
      </c>
      <c r="D101" s="66" t="s">
        <v>463</v>
      </c>
      <c r="E101" s="72" t="s">
        <v>464</v>
      </c>
      <c r="F101" s="73" t="s">
        <v>44</v>
      </c>
      <c r="G101" s="63" t="s">
        <v>15</v>
      </c>
      <c r="H101" s="80" t="s">
        <v>465</v>
      </c>
      <c r="I101" s="81">
        <v>43255</v>
      </c>
      <c r="J101" s="81">
        <v>43259</v>
      </c>
      <c r="K101" s="66" t="s">
        <v>49</v>
      </c>
      <c r="L101" s="68">
        <v>6612.08</v>
      </c>
      <c r="M101" s="140"/>
      <c r="N101" s="82"/>
      <c r="O101" s="67"/>
      <c r="P101" s="67">
        <v>63</v>
      </c>
      <c r="Q101" s="67"/>
      <c r="R101" s="67">
        <f t="shared" si="1"/>
        <v>63</v>
      </c>
      <c r="S101" s="66">
        <v>20</v>
      </c>
      <c r="T101" s="63" t="s">
        <v>429</v>
      </c>
    </row>
    <row r="102" spans="1:20" ht="23.25" customHeight="1">
      <c r="A102" s="62" t="s">
        <v>466</v>
      </c>
      <c r="B102" s="64">
        <v>2018</v>
      </c>
      <c r="C102" s="143" t="s">
        <v>52</v>
      </c>
      <c r="D102" s="64" t="s">
        <v>444</v>
      </c>
      <c r="E102" s="69" t="s">
        <v>467</v>
      </c>
      <c r="F102" s="77" t="s">
        <v>33</v>
      </c>
      <c r="G102" s="62" t="s">
        <v>22</v>
      </c>
      <c r="H102" s="78" t="s">
        <v>465</v>
      </c>
      <c r="I102" s="79">
        <v>43255</v>
      </c>
      <c r="J102" s="79">
        <v>43259</v>
      </c>
      <c r="K102" s="64" t="s">
        <v>41</v>
      </c>
      <c r="L102" s="70">
        <v>6509.24</v>
      </c>
      <c r="M102" s="139"/>
      <c r="N102" s="83"/>
      <c r="O102" s="65">
        <v>18</v>
      </c>
      <c r="P102" s="65"/>
      <c r="Q102" s="65"/>
      <c r="R102" s="65">
        <f t="shared" si="1"/>
        <v>18</v>
      </c>
      <c r="S102" s="64">
        <v>20</v>
      </c>
      <c r="T102" s="62" t="s">
        <v>2957</v>
      </c>
    </row>
    <row r="103" spans="1:20" ht="23.25" customHeight="1">
      <c r="A103" s="63" t="s">
        <v>468</v>
      </c>
      <c r="B103" s="66">
        <v>2018</v>
      </c>
      <c r="C103" s="143" t="s">
        <v>52</v>
      </c>
      <c r="D103" s="66" t="s">
        <v>469</v>
      </c>
      <c r="E103" s="72" t="s">
        <v>470</v>
      </c>
      <c r="F103" s="73" t="s">
        <v>33</v>
      </c>
      <c r="G103" s="63" t="s">
        <v>25</v>
      </c>
      <c r="H103" s="80" t="s">
        <v>471</v>
      </c>
      <c r="I103" s="81">
        <v>43262</v>
      </c>
      <c r="J103" s="81">
        <v>43266</v>
      </c>
      <c r="K103" s="66" t="s">
        <v>45</v>
      </c>
      <c r="L103" s="68">
        <v>20000</v>
      </c>
      <c r="M103" s="140"/>
      <c r="N103" s="82"/>
      <c r="O103" s="67">
        <v>31</v>
      </c>
      <c r="P103" s="67"/>
      <c r="Q103" s="67"/>
      <c r="R103" s="67">
        <f t="shared" si="1"/>
        <v>31</v>
      </c>
      <c r="S103" s="66">
        <v>20</v>
      </c>
      <c r="T103" s="63" t="s">
        <v>496</v>
      </c>
    </row>
    <row r="104" spans="1:20" ht="23.25" customHeight="1">
      <c r="A104" s="62" t="s">
        <v>472</v>
      </c>
      <c r="B104" s="64">
        <v>2018</v>
      </c>
      <c r="C104" s="143" t="s">
        <v>52</v>
      </c>
      <c r="D104" s="64" t="s">
        <v>473</v>
      </c>
      <c r="E104" s="69" t="s">
        <v>474</v>
      </c>
      <c r="F104" s="71" t="s">
        <v>44</v>
      </c>
      <c r="G104" s="62" t="s">
        <v>15</v>
      </c>
      <c r="H104" s="78" t="s">
        <v>475</v>
      </c>
      <c r="I104" s="79">
        <v>43269</v>
      </c>
      <c r="J104" s="79">
        <v>43273</v>
      </c>
      <c r="K104" s="64" t="s">
        <v>41</v>
      </c>
      <c r="L104" s="70">
        <v>7310.2</v>
      </c>
      <c r="M104" s="139"/>
      <c r="N104" s="83"/>
      <c r="O104" s="65"/>
      <c r="P104" s="65">
        <v>59</v>
      </c>
      <c r="Q104" s="65"/>
      <c r="R104" s="65">
        <f t="shared" si="1"/>
        <v>59</v>
      </c>
      <c r="S104" s="64">
        <v>20</v>
      </c>
      <c r="T104" s="62" t="s">
        <v>300</v>
      </c>
    </row>
    <row r="105" spans="1:20" ht="23.25" customHeight="1">
      <c r="A105" s="63" t="s">
        <v>476</v>
      </c>
      <c r="B105" s="66">
        <v>2018</v>
      </c>
      <c r="C105" s="143" t="s">
        <v>52</v>
      </c>
      <c r="D105" s="66" t="s">
        <v>477</v>
      </c>
      <c r="E105" s="72" t="s">
        <v>478</v>
      </c>
      <c r="F105" s="73" t="s">
        <v>33</v>
      </c>
      <c r="G105" s="63" t="s">
        <v>29</v>
      </c>
      <c r="H105" s="80" t="s">
        <v>479</v>
      </c>
      <c r="I105" s="81">
        <v>43272</v>
      </c>
      <c r="J105" s="81">
        <v>43277</v>
      </c>
      <c r="K105" s="66" t="s">
        <v>45</v>
      </c>
      <c r="L105" s="68">
        <v>17625</v>
      </c>
      <c r="M105" s="140"/>
      <c r="N105" s="82"/>
      <c r="O105" s="67">
        <v>25</v>
      </c>
      <c r="P105" s="67"/>
      <c r="Q105" s="67"/>
      <c r="R105" s="67">
        <f t="shared" si="1"/>
        <v>25</v>
      </c>
      <c r="S105" s="66">
        <v>24</v>
      </c>
      <c r="T105" s="63" t="s">
        <v>3742</v>
      </c>
    </row>
    <row r="106" spans="1:20" ht="23.25" customHeight="1">
      <c r="A106" s="62" t="s">
        <v>480</v>
      </c>
      <c r="B106" s="64">
        <v>2018</v>
      </c>
      <c r="C106" s="143" t="s">
        <v>52</v>
      </c>
      <c r="D106" s="64" t="s">
        <v>481</v>
      </c>
      <c r="E106" s="69" t="s">
        <v>482</v>
      </c>
      <c r="F106" s="71" t="s">
        <v>44</v>
      </c>
      <c r="G106" s="62" t="s">
        <v>15</v>
      </c>
      <c r="H106" s="78" t="s">
        <v>483</v>
      </c>
      <c r="I106" s="79">
        <v>43297</v>
      </c>
      <c r="J106" s="79">
        <v>43301</v>
      </c>
      <c r="K106" s="64" t="s">
        <v>41</v>
      </c>
      <c r="L106" s="70">
        <v>7510.44</v>
      </c>
      <c r="M106" s="139"/>
      <c r="N106" s="83"/>
      <c r="O106" s="65"/>
      <c r="P106" s="65">
        <v>34</v>
      </c>
      <c r="Q106" s="65"/>
      <c r="R106" s="65">
        <f t="shared" si="1"/>
        <v>34</v>
      </c>
      <c r="S106" s="64">
        <v>20</v>
      </c>
      <c r="T106" s="62" t="s">
        <v>484</v>
      </c>
    </row>
    <row r="107" spans="1:20" ht="23.25" customHeight="1">
      <c r="A107" s="63" t="s">
        <v>485</v>
      </c>
      <c r="B107" s="66">
        <v>2018</v>
      </c>
      <c r="C107" s="143" t="s">
        <v>52</v>
      </c>
      <c r="D107" s="66" t="s">
        <v>455</v>
      </c>
      <c r="E107" s="72" t="s">
        <v>486</v>
      </c>
      <c r="F107" s="73" t="s">
        <v>33</v>
      </c>
      <c r="G107" s="63" t="s">
        <v>32</v>
      </c>
      <c r="H107" s="80" t="s">
        <v>487</v>
      </c>
      <c r="I107" s="81">
        <v>43325</v>
      </c>
      <c r="J107" s="81">
        <v>43329</v>
      </c>
      <c r="K107" s="66" t="s">
        <v>45</v>
      </c>
      <c r="L107" s="68">
        <v>7690</v>
      </c>
      <c r="M107" s="140"/>
      <c r="N107" s="82"/>
      <c r="O107" s="67">
        <v>19</v>
      </c>
      <c r="P107" s="67"/>
      <c r="Q107" s="67"/>
      <c r="R107" s="67">
        <f t="shared" si="1"/>
        <v>19</v>
      </c>
      <c r="S107" s="66">
        <v>16</v>
      </c>
      <c r="T107" s="63" t="s">
        <v>211</v>
      </c>
    </row>
    <row r="108" spans="1:20" ht="23.25" customHeight="1">
      <c r="A108" s="62" t="s">
        <v>488</v>
      </c>
      <c r="B108" s="64">
        <v>2018</v>
      </c>
      <c r="C108" s="143" t="s">
        <v>52</v>
      </c>
      <c r="D108" s="64" t="s">
        <v>489</v>
      </c>
      <c r="E108" s="69" t="s">
        <v>490</v>
      </c>
      <c r="F108" s="71" t="s">
        <v>33</v>
      </c>
      <c r="G108" s="62" t="s">
        <v>15</v>
      </c>
      <c r="H108" s="78" t="s">
        <v>491</v>
      </c>
      <c r="I108" s="79">
        <v>43333</v>
      </c>
      <c r="J108" s="79">
        <v>43334</v>
      </c>
      <c r="K108" s="64" t="s">
        <v>45</v>
      </c>
      <c r="L108" s="70">
        <v>25096.14</v>
      </c>
      <c r="M108" s="139"/>
      <c r="N108" s="83"/>
      <c r="O108" s="65">
        <v>79</v>
      </c>
      <c r="P108" s="65">
        <v>274</v>
      </c>
      <c r="Q108" s="65">
        <v>0</v>
      </c>
      <c r="R108" s="65">
        <f t="shared" si="1"/>
        <v>353</v>
      </c>
      <c r="S108" s="64">
        <v>8</v>
      </c>
      <c r="T108" s="62" t="s">
        <v>492</v>
      </c>
    </row>
    <row r="109" spans="1:20" ht="23.25" customHeight="1">
      <c r="A109" s="63" t="s">
        <v>493</v>
      </c>
      <c r="B109" s="66">
        <v>2018</v>
      </c>
      <c r="C109" s="143" t="s">
        <v>52</v>
      </c>
      <c r="D109" s="66" t="s">
        <v>469</v>
      </c>
      <c r="E109" s="72" t="s">
        <v>494</v>
      </c>
      <c r="F109" s="73" t="s">
        <v>33</v>
      </c>
      <c r="G109" s="63" t="s">
        <v>25</v>
      </c>
      <c r="H109" s="80" t="s">
        <v>495</v>
      </c>
      <c r="I109" s="81">
        <v>43339</v>
      </c>
      <c r="J109" s="81">
        <v>43343</v>
      </c>
      <c r="K109" s="66" t="s">
        <v>45</v>
      </c>
      <c r="L109" s="68">
        <v>20000</v>
      </c>
      <c r="M109" s="140"/>
      <c r="N109" s="82"/>
      <c r="O109" s="67">
        <v>28</v>
      </c>
      <c r="P109" s="67"/>
      <c r="Q109" s="67"/>
      <c r="R109" s="67">
        <f t="shared" si="1"/>
        <v>28</v>
      </c>
      <c r="S109" s="66">
        <v>20</v>
      </c>
      <c r="T109" s="63" t="s">
        <v>496</v>
      </c>
    </row>
    <row r="110" spans="1:20" ht="23.25" customHeight="1">
      <c r="A110" s="62" t="s">
        <v>497</v>
      </c>
      <c r="B110" s="64">
        <v>2018</v>
      </c>
      <c r="C110" s="143" t="s">
        <v>52</v>
      </c>
      <c r="D110" s="64" t="s">
        <v>498</v>
      </c>
      <c r="E110" s="69" t="s">
        <v>499</v>
      </c>
      <c r="F110" s="71" t="s">
        <v>33</v>
      </c>
      <c r="G110" s="62" t="s">
        <v>29</v>
      </c>
      <c r="H110" s="78" t="s">
        <v>500</v>
      </c>
      <c r="I110" s="79">
        <v>43343</v>
      </c>
      <c r="J110" s="79">
        <v>43343</v>
      </c>
      <c r="K110" s="64" t="s">
        <v>45</v>
      </c>
      <c r="L110" s="70">
        <v>43000</v>
      </c>
      <c r="M110" s="139"/>
      <c r="N110" s="83"/>
      <c r="O110" s="65">
        <v>215</v>
      </c>
      <c r="P110" s="65"/>
      <c r="Q110" s="65"/>
      <c r="R110" s="65">
        <f t="shared" si="1"/>
        <v>215</v>
      </c>
      <c r="S110" s="64">
        <v>2</v>
      </c>
      <c r="T110" s="62" t="s">
        <v>501</v>
      </c>
    </row>
    <row r="111" spans="1:20" ht="23.25" customHeight="1">
      <c r="A111" s="63" t="s">
        <v>502</v>
      </c>
      <c r="B111" s="66">
        <v>2018</v>
      </c>
      <c r="C111" s="143" t="s">
        <v>52</v>
      </c>
      <c r="D111" s="66" t="s">
        <v>503</v>
      </c>
      <c r="E111" s="72" t="s">
        <v>504</v>
      </c>
      <c r="F111" s="73" t="s">
        <v>33</v>
      </c>
      <c r="G111" s="63" t="s">
        <v>29</v>
      </c>
      <c r="H111" s="80" t="s">
        <v>505</v>
      </c>
      <c r="I111" s="81">
        <v>43369</v>
      </c>
      <c r="J111" s="81">
        <v>43424</v>
      </c>
      <c r="K111" s="66" t="s">
        <v>45</v>
      </c>
      <c r="L111" s="68">
        <v>31960</v>
      </c>
      <c r="M111" s="140"/>
      <c r="N111" s="82"/>
      <c r="O111" s="67">
        <v>55</v>
      </c>
      <c r="P111" s="67"/>
      <c r="Q111" s="67"/>
      <c r="R111" s="67">
        <f t="shared" si="1"/>
        <v>55</v>
      </c>
      <c r="S111" s="66">
        <v>47</v>
      </c>
      <c r="T111" s="63" t="s">
        <v>506</v>
      </c>
    </row>
    <row r="112" spans="1:20" ht="23.25" customHeight="1">
      <c r="A112" s="62" t="s">
        <v>507</v>
      </c>
      <c r="B112" s="64">
        <v>2018</v>
      </c>
      <c r="C112" s="143" t="s">
        <v>52</v>
      </c>
      <c r="D112" s="64" t="s">
        <v>508</v>
      </c>
      <c r="E112" s="69" t="s">
        <v>509</v>
      </c>
      <c r="F112" s="71" t="s">
        <v>33</v>
      </c>
      <c r="G112" s="62" t="s">
        <v>29</v>
      </c>
      <c r="H112" s="78" t="s">
        <v>510</v>
      </c>
      <c r="I112" s="79">
        <v>43397</v>
      </c>
      <c r="J112" s="79">
        <v>43397</v>
      </c>
      <c r="K112" s="64" t="s">
        <v>45</v>
      </c>
      <c r="L112" s="70">
        <v>2419.23</v>
      </c>
      <c r="M112" s="139"/>
      <c r="N112" s="83"/>
      <c r="O112" s="65">
        <v>11</v>
      </c>
      <c r="P112" s="65"/>
      <c r="Q112" s="65"/>
      <c r="R112" s="65">
        <f t="shared" si="1"/>
        <v>11</v>
      </c>
      <c r="S112" s="64">
        <v>3.5</v>
      </c>
      <c r="T112" s="62" t="s">
        <v>511</v>
      </c>
    </row>
    <row r="113" spans="1:20" ht="23.25" customHeight="1">
      <c r="A113" s="63" t="s">
        <v>512</v>
      </c>
      <c r="B113" s="66">
        <v>2018</v>
      </c>
      <c r="C113" s="143" t="s">
        <v>52</v>
      </c>
      <c r="D113" s="66" t="s">
        <v>513</v>
      </c>
      <c r="E113" s="72" t="s">
        <v>514</v>
      </c>
      <c r="F113" s="73" t="s">
        <v>33</v>
      </c>
      <c r="G113" s="63" t="s">
        <v>25</v>
      </c>
      <c r="H113" s="80" t="s">
        <v>515</v>
      </c>
      <c r="I113" s="81">
        <v>43423</v>
      </c>
      <c r="J113" s="81">
        <v>43425</v>
      </c>
      <c r="K113" s="66" t="s">
        <v>41</v>
      </c>
      <c r="L113" s="68">
        <v>2585.36</v>
      </c>
      <c r="M113" s="140"/>
      <c r="N113" s="82"/>
      <c r="O113" s="67">
        <v>26</v>
      </c>
      <c r="P113" s="67"/>
      <c r="Q113" s="67"/>
      <c r="R113" s="67">
        <f t="shared" si="1"/>
        <v>26</v>
      </c>
      <c r="S113" s="66">
        <v>14</v>
      </c>
      <c r="T113" s="63" t="s">
        <v>516</v>
      </c>
    </row>
    <row r="114" spans="1:20" ht="23.25" customHeight="1">
      <c r="A114" s="62" t="s">
        <v>517</v>
      </c>
      <c r="B114" s="64">
        <v>2018</v>
      </c>
      <c r="C114" s="143" t="s">
        <v>52</v>
      </c>
      <c r="D114" s="64" t="s">
        <v>508</v>
      </c>
      <c r="E114" s="69" t="s">
        <v>518</v>
      </c>
      <c r="F114" s="71" t="s">
        <v>33</v>
      </c>
      <c r="G114" s="62" t="s">
        <v>29</v>
      </c>
      <c r="H114" s="78" t="s">
        <v>519</v>
      </c>
      <c r="I114" s="79">
        <v>43431</v>
      </c>
      <c r="J114" s="79">
        <v>43431</v>
      </c>
      <c r="K114" s="64" t="s">
        <v>45</v>
      </c>
      <c r="L114" s="70">
        <v>1760.48</v>
      </c>
      <c r="M114" s="139"/>
      <c r="N114" s="83"/>
      <c r="O114" s="65">
        <v>8</v>
      </c>
      <c r="P114" s="65"/>
      <c r="Q114" s="65"/>
      <c r="R114" s="65">
        <f t="shared" si="1"/>
        <v>8</v>
      </c>
      <c r="S114" s="64">
        <v>3.5</v>
      </c>
      <c r="T114" s="62" t="s">
        <v>520</v>
      </c>
    </row>
    <row r="115" spans="1:20" ht="23.25" customHeight="1">
      <c r="A115" s="63" t="s">
        <v>521</v>
      </c>
      <c r="B115" s="66">
        <v>2018</v>
      </c>
      <c r="C115" s="143" t="s">
        <v>52</v>
      </c>
      <c r="D115" s="66" t="s">
        <v>522</v>
      </c>
      <c r="E115" s="72" t="s">
        <v>523</v>
      </c>
      <c r="F115" s="73" t="s">
        <v>33</v>
      </c>
      <c r="G115" s="63" t="s">
        <v>25</v>
      </c>
      <c r="H115" s="80" t="s">
        <v>524</v>
      </c>
      <c r="I115" s="81">
        <v>43437</v>
      </c>
      <c r="J115" s="81">
        <v>43437</v>
      </c>
      <c r="K115" s="66" t="s">
        <v>45</v>
      </c>
      <c r="L115" s="68">
        <v>3000</v>
      </c>
      <c r="M115" s="140"/>
      <c r="N115" s="82"/>
      <c r="O115" s="67">
        <v>38</v>
      </c>
      <c r="P115" s="67">
        <v>0</v>
      </c>
      <c r="Q115" s="67">
        <v>0</v>
      </c>
      <c r="R115" s="67">
        <f t="shared" si="1"/>
        <v>38</v>
      </c>
      <c r="S115" s="66">
        <v>4</v>
      </c>
      <c r="T115" s="63" t="s">
        <v>3038</v>
      </c>
    </row>
    <row r="116" spans="1:20" ht="23.25" customHeight="1">
      <c r="A116" s="62" t="s">
        <v>526</v>
      </c>
      <c r="B116" s="64">
        <v>2019</v>
      </c>
      <c r="C116" s="143" t="s">
        <v>52</v>
      </c>
      <c r="D116" s="64" t="s">
        <v>527</v>
      </c>
      <c r="E116" s="69" t="s">
        <v>528</v>
      </c>
      <c r="F116" s="71" t="s">
        <v>33</v>
      </c>
      <c r="G116" s="62" t="s">
        <v>35</v>
      </c>
      <c r="H116" s="78" t="s">
        <v>529</v>
      </c>
      <c r="I116" s="79">
        <v>43542</v>
      </c>
      <c r="J116" s="79">
        <v>43717</v>
      </c>
      <c r="K116" s="64" t="s">
        <v>41</v>
      </c>
      <c r="L116" s="70">
        <v>6624.6</v>
      </c>
      <c r="M116" s="139">
        <v>4.5999999999999996</v>
      </c>
      <c r="N116" s="83">
        <v>20</v>
      </c>
      <c r="O116" s="65">
        <v>18</v>
      </c>
      <c r="P116" s="65">
        <v>0</v>
      </c>
      <c r="Q116" s="65"/>
      <c r="R116" s="65">
        <f t="shared" si="1"/>
        <v>18</v>
      </c>
      <c r="S116" s="64">
        <v>20</v>
      </c>
      <c r="T116" s="62" t="s">
        <v>530</v>
      </c>
    </row>
    <row r="117" spans="1:20" ht="23.25" customHeight="1">
      <c r="A117" s="63" t="s">
        <v>531</v>
      </c>
      <c r="B117" s="66">
        <v>2019</v>
      </c>
      <c r="C117" s="143" t="s">
        <v>52</v>
      </c>
      <c r="D117" s="66" t="s">
        <v>532</v>
      </c>
      <c r="E117" s="72" t="s">
        <v>533</v>
      </c>
      <c r="F117" s="73" t="s">
        <v>44</v>
      </c>
      <c r="G117" s="63" t="s">
        <v>15</v>
      </c>
      <c r="H117" s="80" t="s">
        <v>534</v>
      </c>
      <c r="I117" s="81">
        <v>43546</v>
      </c>
      <c r="J117" s="81">
        <v>43571</v>
      </c>
      <c r="K117" s="66" t="s">
        <v>45</v>
      </c>
      <c r="L117" s="68">
        <v>48000</v>
      </c>
      <c r="M117" s="140">
        <v>0</v>
      </c>
      <c r="N117" s="82">
        <v>60</v>
      </c>
      <c r="O117" s="67">
        <v>35</v>
      </c>
      <c r="P117" s="67">
        <v>10</v>
      </c>
      <c r="Q117" s="67"/>
      <c r="R117" s="67">
        <f t="shared" si="1"/>
        <v>45</v>
      </c>
      <c r="S117" s="66">
        <v>18</v>
      </c>
      <c r="T117" s="63" t="s">
        <v>535</v>
      </c>
    </row>
    <row r="118" spans="1:20" ht="23.25" customHeight="1">
      <c r="A118" s="62" t="s">
        <v>536</v>
      </c>
      <c r="B118" s="64">
        <v>2019</v>
      </c>
      <c r="C118" s="143" t="s">
        <v>52</v>
      </c>
      <c r="D118" s="64" t="s">
        <v>537</v>
      </c>
      <c r="E118" s="69" t="s">
        <v>538</v>
      </c>
      <c r="F118" s="71" t="s">
        <v>33</v>
      </c>
      <c r="G118" s="62" t="s">
        <v>35</v>
      </c>
      <c r="H118" s="78" t="s">
        <v>539</v>
      </c>
      <c r="I118" s="79">
        <v>43549</v>
      </c>
      <c r="J118" s="79">
        <v>43728</v>
      </c>
      <c r="K118" s="64" t="s">
        <v>41</v>
      </c>
      <c r="L118" s="70">
        <v>7886.16</v>
      </c>
      <c r="M118" s="139">
        <v>4.5999999999999996</v>
      </c>
      <c r="N118" s="83">
        <v>47</v>
      </c>
      <c r="O118" s="65">
        <v>45</v>
      </c>
      <c r="P118" s="65">
        <v>0</v>
      </c>
      <c r="Q118" s="65"/>
      <c r="R118" s="65">
        <f t="shared" si="1"/>
        <v>45</v>
      </c>
      <c r="S118" s="64">
        <v>20</v>
      </c>
      <c r="T118" s="62" t="s">
        <v>540</v>
      </c>
    </row>
    <row r="119" spans="1:20" ht="23.25" customHeight="1">
      <c r="A119" s="63" t="s">
        <v>541</v>
      </c>
      <c r="B119" s="66">
        <v>2019</v>
      </c>
      <c r="C119" s="143" t="s">
        <v>52</v>
      </c>
      <c r="D119" s="66" t="s">
        <v>542</v>
      </c>
      <c r="E119" s="72" t="s">
        <v>543</v>
      </c>
      <c r="F119" s="73" t="s">
        <v>33</v>
      </c>
      <c r="G119" s="63" t="s">
        <v>10</v>
      </c>
      <c r="H119" s="80" t="s">
        <v>544</v>
      </c>
      <c r="I119" s="81">
        <v>43577</v>
      </c>
      <c r="J119" s="81">
        <v>43585</v>
      </c>
      <c r="K119" s="66" t="s">
        <v>41</v>
      </c>
      <c r="L119" s="68">
        <v>0</v>
      </c>
      <c r="M119" s="140">
        <v>4.5</v>
      </c>
      <c r="N119" s="82">
        <v>60</v>
      </c>
      <c r="O119" s="67">
        <v>44</v>
      </c>
      <c r="P119" s="67">
        <v>0</v>
      </c>
      <c r="Q119" s="67"/>
      <c r="R119" s="67">
        <f t="shared" si="1"/>
        <v>44</v>
      </c>
      <c r="S119" s="66">
        <v>12</v>
      </c>
      <c r="T119" s="63" t="s">
        <v>525</v>
      </c>
    </row>
    <row r="120" spans="1:20" ht="23.25" customHeight="1">
      <c r="A120" s="62" t="s">
        <v>545</v>
      </c>
      <c r="B120" s="64">
        <v>2019</v>
      </c>
      <c r="C120" s="143" t="s">
        <v>52</v>
      </c>
      <c r="D120" s="64" t="s">
        <v>546</v>
      </c>
      <c r="E120" s="69" t="s">
        <v>547</v>
      </c>
      <c r="F120" s="71" t="s">
        <v>44</v>
      </c>
      <c r="G120" s="62" t="s">
        <v>15</v>
      </c>
      <c r="H120" s="78" t="s">
        <v>548</v>
      </c>
      <c r="I120" s="79">
        <v>43578</v>
      </c>
      <c r="J120" s="79">
        <v>43578</v>
      </c>
      <c r="K120" s="64" t="s">
        <v>41</v>
      </c>
      <c r="L120" s="70">
        <v>1386.78</v>
      </c>
      <c r="M120" s="139">
        <v>0</v>
      </c>
      <c r="N120" s="83">
        <v>60</v>
      </c>
      <c r="O120" s="65">
        <v>0</v>
      </c>
      <c r="P120" s="65">
        <v>50</v>
      </c>
      <c r="Q120" s="65"/>
      <c r="R120" s="65">
        <f t="shared" si="1"/>
        <v>50</v>
      </c>
      <c r="S120" s="64">
        <v>4</v>
      </c>
      <c r="T120" s="62" t="s">
        <v>549</v>
      </c>
    </row>
    <row r="121" spans="1:20" ht="23.25" customHeight="1">
      <c r="A121" s="63" t="s">
        <v>550</v>
      </c>
      <c r="B121" s="66">
        <v>2019</v>
      </c>
      <c r="C121" s="143" t="s">
        <v>52</v>
      </c>
      <c r="D121" s="66" t="s">
        <v>542</v>
      </c>
      <c r="E121" s="72" t="s">
        <v>551</v>
      </c>
      <c r="F121" s="73" t="s">
        <v>33</v>
      </c>
      <c r="G121" s="63" t="s">
        <v>10</v>
      </c>
      <c r="H121" s="80" t="s">
        <v>552</v>
      </c>
      <c r="I121" s="81">
        <v>43598</v>
      </c>
      <c r="J121" s="81">
        <v>43602</v>
      </c>
      <c r="K121" s="66" t="s">
        <v>41</v>
      </c>
      <c r="L121" s="68">
        <v>4831.82</v>
      </c>
      <c r="M121" s="140">
        <v>4.5</v>
      </c>
      <c r="N121" s="82">
        <v>60</v>
      </c>
      <c r="O121" s="67">
        <v>41</v>
      </c>
      <c r="P121" s="67">
        <v>0</v>
      </c>
      <c r="Q121" s="67"/>
      <c r="R121" s="67">
        <f t="shared" si="1"/>
        <v>41</v>
      </c>
      <c r="S121" s="66">
        <v>12</v>
      </c>
      <c r="T121" s="63" t="s">
        <v>553</v>
      </c>
    </row>
    <row r="122" spans="1:20" ht="23.25" customHeight="1">
      <c r="A122" s="62" t="s">
        <v>554</v>
      </c>
      <c r="B122" s="64">
        <v>2019</v>
      </c>
      <c r="C122" s="143" t="s">
        <v>52</v>
      </c>
      <c r="D122" s="64" t="s">
        <v>546</v>
      </c>
      <c r="E122" s="69" t="s">
        <v>555</v>
      </c>
      <c r="F122" s="71" t="s">
        <v>44</v>
      </c>
      <c r="G122" s="62" t="s">
        <v>15</v>
      </c>
      <c r="H122" s="78" t="s">
        <v>556</v>
      </c>
      <c r="I122" s="79">
        <v>43605</v>
      </c>
      <c r="J122" s="79">
        <v>43605</v>
      </c>
      <c r="K122" s="64" t="s">
        <v>41</v>
      </c>
      <c r="L122" s="70">
        <v>1386.78</v>
      </c>
      <c r="M122" s="139">
        <v>0</v>
      </c>
      <c r="N122" s="83">
        <v>60</v>
      </c>
      <c r="O122" s="65">
        <v>0</v>
      </c>
      <c r="P122" s="65">
        <v>44</v>
      </c>
      <c r="Q122" s="65"/>
      <c r="R122" s="65">
        <f t="shared" si="1"/>
        <v>44</v>
      </c>
      <c r="S122" s="64">
        <v>4</v>
      </c>
      <c r="T122" s="62" t="s">
        <v>549</v>
      </c>
    </row>
    <row r="123" spans="1:20" ht="23.25" customHeight="1">
      <c r="A123" s="63" t="s">
        <v>557</v>
      </c>
      <c r="B123" s="66">
        <v>2019</v>
      </c>
      <c r="C123" s="143" t="s">
        <v>52</v>
      </c>
      <c r="D123" s="66" t="s">
        <v>546</v>
      </c>
      <c r="E123" s="72" t="s">
        <v>558</v>
      </c>
      <c r="F123" s="73" t="s">
        <v>44</v>
      </c>
      <c r="G123" s="63" t="s">
        <v>15</v>
      </c>
      <c r="H123" s="80" t="s">
        <v>559</v>
      </c>
      <c r="I123" s="81">
        <v>43606</v>
      </c>
      <c r="J123" s="81">
        <v>43606</v>
      </c>
      <c r="K123" s="66" t="s">
        <v>41</v>
      </c>
      <c r="L123" s="68">
        <v>1386.78</v>
      </c>
      <c r="M123" s="140">
        <v>0</v>
      </c>
      <c r="N123" s="82">
        <v>60</v>
      </c>
      <c r="O123" s="67">
        <v>0</v>
      </c>
      <c r="P123" s="67">
        <v>40</v>
      </c>
      <c r="Q123" s="67"/>
      <c r="R123" s="67">
        <f t="shared" si="1"/>
        <v>40</v>
      </c>
      <c r="S123" s="66">
        <v>4</v>
      </c>
      <c r="T123" s="63" t="s">
        <v>549</v>
      </c>
    </row>
    <row r="124" spans="1:20" ht="23.25" customHeight="1">
      <c r="A124" s="62" t="s">
        <v>560</v>
      </c>
      <c r="B124" s="64">
        <v>2019</v>
      </c>
      <c r="C124" s="143" t="s">
        <v>52</v>
      </c>
      <c r="D124" s="64" t="s">
        <v>561</v>
      </c>
      <c r="E124" s="69" t="s">
        <v>562</v>
      </c>
      <c r="F124" s="71" t="s">
        <v>33</v>
      </c>
      <c r="G124" s="62" t="s">
        <v>10</v>
      </c>
      <c r="H124" s="78" t="s">
        <v>563</v>
      </c>
      <c r="I124" s="79">
        <v>43606</v>
      </c>
      <c r="J124" s="79">
        <v>43608</v>
      </c>
      <c r="K124" s="64" t="s">
        <v>41</v>
      </c>
      <c r="L124" s="70">
        <v>3433.24</v>
      </c>
      <c r="M124" s="139">
        <v>4.7</v>
      </c>
      <c r="N124" s="83">
        <v>20</v>
      </c>
      <c r="O124" s="65">
        <v>12</v>
      </c>
      <c r="P124" s="65">
        <v>0</v>
      </c>
      <c r="Q124" s="65"/>
      <c r="R124" s="65">
        <f t="shared" si="1"/>
        <v>12</v>
      </c>
      <c r="S124" s="64">
        <v>8</v>
      </c>
      <c r="T124" s="62" t="s">
        <v>564</v>
      </c>
    </row>
    <row r="125" spans="1:20" ht="23.25" customHeight="1">
      <c r="A125" s="63" t="s">
        <v>565</v>
      </c>
      <c r="B125" s="66">
        <v>2019</v>
      </c>
      <c r="C125" s="143" t="s">
        <v>52</v>
      </c>
      <c r="D125" s="66" t="s">
        <v>566</v>
      </c>
      <c r="E125" s="72" t="s">
        <v>567</v>
      </c>
      <c r="F125" s="73" t="s">
        <v>33</v>
      </c>
      <c r="G125" s="63" t="s">
        <v>13</v>
      </c>
      <c r="H125" s="80" t="s">
        <v>568</v>
      </c>
      <c r="I125" s="81">
        <v>43607</v>
      </c>
      <c r="J125" s="81">
        <v>43614</v>
      </c>
      <c r="K125" s="66" t="s">
        <v>41</v>
      </c>
      <c r="L125" s="68">
        <v>5384.88</v>
      </c>
      <c r="M125" s="140">
        <v>4.5</v>
      </c>
      <c r="N125" s="82">
        <v>20</v>
      </c>
      <c r="O125" s="67">
        <v>19</v>
      </c>
      <c r="P125" s="67">
        <v>0</v>
      </c>
      <c r="Q125" s="67"/>
      <c r="R125" s="67">
        <f t="shared" si="1"/>
        <v>19</v>
      </c>
      <c r="S125" s="66">
        <v>12</v>
      </c>
      <c r="T125" s="63" t="s">
        <v>569</v>
      </c>
    </row>
    <row r="126" spans="1:20" ht="23.25" customHeight="1">
      <c r="A126" s="62" t="s">
        <v>570</v>
      </c>
      <c r="B126" s="64">
        <v>2019</v>
      </c>
      <c r="C126" s="143" t="s">
        <v>52</v>
      </c>
      <c r="D126" s="64" t="s">
        <v>571</v>
      </c>
      <c r="E126" s="69" t="s">
        <v>572</v>
      </c>
      <c r="F126" s="71" t="s">
        <v>33</v>
      </c>
      <c r="G126" s="62" t="s">
        <v>22</v>
      </c>
      <c r="H126" s="78" t="s">
        <v>573</v>
      </c>
      <c r="I126" s="79">
        <v>43612</v>
      </c>
      <c r="J126" s="79">
        <v>43619</v>
      </c>
      <c r="K126" s="64" t="s">
        <v>41</v>
      </c>
      <c r="L126" s="70">
        <v>2875.02</v>
      </c>
      <c r="M126" s="139">
        <v>4.4000000000000004</v>
      </c>
      <c r="N126" s="83">
        <v>20</v>
      </c>
      <c r="O126" s="65">
        <v>14</v>
      </c>
      <c r="P126" s="65">
        <v>0</v>
      </c>
      <c r="Q126" s="65"/>
      <c r="R126" s="65">
        <f t="shared" si="1"/>
        <v>14</v>
      </c>
      <c r="S126" s="64">
        <v>12</v>
      </c>
      <c r="T126" s="62" t="s">
        <v>574</v>
      </c>
    </row>
    <row r="127" spans="1:20" ht="23.25" customHeight="1">
      <c r="A127" s="63" t="s">
        <v>575</v>
      </c>
      <c r="B127" s="66">
        <v>2019</v>
      </c>
      <c r="C127" s="143" t="s">
        <v>52</v>
      </c>
      <c r="D127" s="66" t="s">
        <v>566</v>
      </c>
      <c r="E127" s="72" t="s">
        <v>576</v>
      </c>
      <c r="F127" s="73" t="s">
        <v>33</v>
      </c>
      <c r="G127" s="63" t="s">
        <v>13</v>
      </c>
      <c r="H127" s="80" t="s">
        <v>577</v>
      </c>
      <c r="I127" s="81">
        <v>43622</v>
      </c>
      <c r="J127" s="81">
        <v>43626</v>
      </c>
      <c r="K127" s="66" t="s">
        <v>41</v>
      </c>
      <c r="L127" s="68">
        <v>5236.26</v>
      </c>
      <c r="M127" s="140">
        <v>5</v>
      </c>
      <c r="N127" s="82">
        <v>20</v>
      </c>
      <c r="O127" s="67">
        <v>19</v>
      </c>
      <c r="P127" s="67">
        <v>0</v>
      </c>
      <c r="Q127" s="67"/>
      <c r="R127" s="67">
        <f t="shared" si="1"/>
        <v>19</v>
      </c>
      <c r="S127" s="66">
        <v>12</v>
      </c>
      <c r="T127" s="63" t="s">
        <v>569</v>
      </c>
    </row>
    <row r="128" spans="1:20" ht="23.25" customHeight="1">
      <c r="A128" s="62" t="s">
        <v>578</v>
      </c>
      <c r="B128" s="64">
        <v>2019</v>
      </c>
      <c r="C128" s="143" t="s">
        <v>52</v>
      </c>
      <c r="D128" s="64" t="s">
        <v>561</v>
      </c>
      <c r="E128" s="69" t="s">
        <v>579</v>
      </c>
      <c r="F128" s="71" t="s">
        <v>33</v>
      </c>
      <c r="G128" s="62" t="s">
        <v>10</v>
      </c>
      <c r="H128" s="78" t="s">
        <v>580</v>
      </c>
      <c r="I128" s="79">
        <v>43633</v>
      </c>
      <c r="J128" s="79">
        <v>43635</v>
      </c>
      <c r="K128" s="64" t="s">
        <v>41</v>
      </c>
      <c r="L128" s="70">
        <v>3280.6</v>
      </c>
      <c r="M128" s="139">
        <v>4.7</v>
      </c>
      <c r="N128" s="83">
        <v>20</v>
      </c>
      <c r="O128" s="65">
        <v>9</v>
      </c>
      <c r="P128" s="65">
        <v>0</v>
      </c>
      <c r="Q128" s="65"/>
      <c r="R128" s="65">
        <f t="shared" si="1"/>
        <v>9</v>
      </c>
      <c r="S128" s="64">
        <v>8</v>
      </c>
      <c r="T128" s="62" t="s">
        <v>564</v>
      </c>
    </row>
    <row r="129" spans="1:20" ht="23.25" customHeight="1">
      <c r="A129" s="63" t="s">
        <v>581</v>
      </c>
      <c r="B129" s="66">
        <v>2019</v>
      </c>
      <c r="C129" s="143" t="s">
        <v>52</v>
      </c>
      <c r="D129" s="66" t="s">
        <v>546</v>
      </c>
      <c r="E129" s="72" t="s">
        <v>582</v>
      </c>
      <c r="F129" s="73" t="s">
        <v>44</v>
      </c>
      <c r="G129" s="63" t="s">
        <v>15</v>
      </c>
      <c r="H129" s="80" t="s">
        <v>583</v>
      </c>
      <c r="I129" s="81">
        <v>43634</v>
      </c>
      <c r="J129" s="81">
        <v>43634</v>
      </c>
      <c r="K129" s="66" t="s">
        <v>41</v>
      </c>
      <c r="L129" s="68">
        <v>1386.78</v>
      </c>
      <c r="M129" s="140">
        <v>0</v>
      </c>
      <c r="N129" s="82">
        <v>60</v>
      </c>
      <c r="O129" s="67">
        <v>0</v>
      </c>
      <c r="P129" s="67">
        <v>45</v>
      </c>
      <c r="Q129" s="67"/>
      <c r="R129" s="67">
        <f t="shared" si="1"/>
        <v>45</v>
      </c>
      <c r="S129" s="66">
        <v>4</v>
      </c>
      <c r="T129" s="63" t="s">
        <v>549</v>
      </c>
    </row>
    <row r="130" spans="1:20" ht="23.25" customHeight="1">
      <c r="A130" s="62" t="s">
        <v>584</v>
      </c>
      <c r="B130" s="64">
        <v>2019</v>
      </c>
      <c r="C130" s="143" t="s">
        <v>52</v>
      </c>
      <c r="D130" s="64" t="s">
        <v>566</v>
      </c>
      <c r="E130" s="69" t="s">
        <v>585</v>
      </c>
      <c r="F130" s="71" t="s">
        <v>44</v>
      </c>
      <c r="G130" s="62" t="s">
        <v>13</v>
      </c>
      <c r="H130" s="78" t="s">
        <v>586</v>
      </c>
      <c r="I130" s="79">
        <v>43643</v>
      </c>
      <c r="J130" s="79">
        <v>43651</v>
      </c>
      <c r="K130" s="64" t="s">
        <v>41</v>
      </c>
      <c r="L130" s="70">
        <v>5236.26</v>
      </c>
      <c r="M130" s="139">
        <v>4.5999999999999996</v>
      </c>
      <c r="N130" s="83">
        <v>30</v>
      </c>
      <c r="O130" s="65">
        <v>0</v>
      </c>
      <c r="P130" s="65">
        <v>25</v>
      </c>
      <c r="Q130" s="65"/>
      <c r="R130" s="65">
        <f t="shared" ref="R130:R193" si="2">SUM(O130:Q130)</f>
        <v>25</v>
      </c>
      <c r="S130" s="64">
        <v>12</v>
      </c>
      <c r="T130" s="62" t="s">
        <v>569</v>
      </c>
    </row>
    <row r="131" spans="1:20" ht="23.25" customHeight="1">
      <c r="A131" s="63" t="s">
        <v>587</v>
      </c>
      <c r="B131" s="66">
        <v>2019</v>
      </c>
      <c r="C131" s="143" t="s">
        <v>52</v>
      </c>
      <c r="D131" s="66" t="s">
        <v>588</v>
      </c>
      <c r="E131" s="72" t="s">
        <v>589</v>
      </c>
      <c r="F131" s="73" t="s">
        <v>33</v>
      </c>
      <c r="G131" s="63" t="s">
        <v>10</v>
      </c>
      <c r="H131" s="80" t="s">
        <v>590</v>
      </c>
      <c r="I131" s="81">
        <v>43647</v>
      </c>
      <c r="J131" s="81">
        <v>43654</v>
      </c>
      <c r="K131" s="66" t="s">
        <v>41</v>
      </c>
      <c r="L131" s="68">
        <v>4731.7</v>
      </c>
      <c r="M131" s="140">
        <v>4.3</v>
      </c>
      <c r="N131" s="82">
        <v>20</v>
      </c>
      <c r="O131" s="67">
        <v>15</v>
      </c>
      <c r="P131" s="67">
        <v>0</v>
      </c>
      <c r="Q131" s="67"/>
      <c r="R131" s="67">
        <f t="shared" si="2"/>
        <v>15</v>
      </c>
      <c r="S131" s="66">
        <v>12</v>
      </c>
      <c r="T131" s="63" t="s">
        <v>591</v>
      </c>
    </row>
    <row r="132" spans="1:20" ht="23.25" customHeight="1">
      <c r="A132" s="62" t="s">
        <v>592</v>
      </c>
      <c r="B132" s="64">
        <v>2019</v>
      </c>
      <c r="C132" s="143" t="s">
        <v>52</v>
      </c>
      <c r="D132" s="64" t="s">
        <v>593</v>
      </c>
      <c r="E132" s="69" t="s">
        <v>594</v>
      </c>
      <c r="F132" s="71" t="s">
        <v>44</v>
      </c>
      <c r="G132" s="62" t="s">
        <v>13</v>
      </c>
      <c r="H132" s="78" t="s">
        <v>595</v>
      </c>
      <c r="I132" s="79">
        <v>43654</v>
      </c>
      <c r="J132" s="79">
        <v>43657</v>
      </c>
      <c r="K132" s="64" t="s">
        <v>41</v>
      </c>
      <c r="L132" s="70">
        <v>6140.72</v>
      </c>
      <c r="M132" s="139">
        <v>4.5999999999999996</v>
      </c>
      <c r="N132" s="83">
        <v>40</v>
      </c>
      <c r="O132" s="65">
        <v>0</v>
      </c>
      <c r="P132" s="65">
        <v>26</v>
      </c>
      <c r="Q132" s="65"/>
      <c r="R132" s="65">
        <f t="shared" si="2"/>
        <v>26</v>
      </c>
      <c r="S132" s="64">
        <v>16</v>
      </c>
      <c r="T132" s="62" t="s">
        <v>484</v>
      </c>
    </row>
    <row r="133" spans="1:20" ht="23.25" customHeight="1">
      <c r="A133" s="63" t="s">
        <v>596</v>
      </c>
      <c r="B133" s="66">
        <v>2019</v>
      </c>
      <c r="C133" s="143" t="s">
        <v>52</v>
      </c>
      <c r="D133" s="66" t="s">
        <v>597</v>
      </c>
      <c r="E133" s="72" t="s">
        <v>598</v>
      </c>
      <c r="F133" s="73" t="s">
        <v>33</v>
      </c>
      <c r="G133" s="63" t="s">
        <v>10</v>
      </c>
      <c r="H133" s="80" t="s">
        <v>599</v>
      </c>
      <c r="I133" s="81">
        <v>43658</v>
      </c>
      <c r="J133" s="81">
        <v>43661</v>
      </c>
      <c r="K133" s="66" t="s">
        <v>41</v>
      </c>
      <c r="L133" s="68">
        <v>3260.66</v>
      </c>
      <c r="M133" s="140">
        <v>4.5999999999999996</v>
      </c>
      <c r="N133" s="82">
        <v>20</v>
      </c>
      <c r="O133" s="67">
        <v>16</v>
      </c>
      <c r="P133" s="67">
        <v>0</v>
      </c>
      <c r="Q133" s="67"/>
      <c r="R133" s="67">
        <f t="shared" si="2"/>
        <v>16</v>
      </c>
      <c r="S133" s="66">
        <v>8</v>
      </c>
      <c r="T133" s="63" t="s">
        <v>3063</v>
      </c>
    </row>
    <row r="134" spans="1:20" ht="23.25" customHeight="1">
      <c r="A134" s="62" t="s">
        <v>601</v>
      </c>
      <c r="B134" s="64">
        <v>2019</v>
      </c>
      <c r="C134" s="143" t="s">
        <v>52</v>
      </c>
      <c r="D134" s="64" t="s">
        <v>597</v>
      </c>
      <c r="E134" s="69" t="s">
        <v>602</v>
      </c>
      <c r="F134" s="71" t="s">
        <v>33</v>
      </c>
      <c r="G134" s="62" t="s">
        <v>10</v>
      </c>
      <c r="H134" s="78" t="s">
        <v>603</v>
      </c>
      <c r="I134" s="79">
        <v>43678</v>
      </c>
      <c r="J134" s="79">
        <v>43683</v>
      </c>
      <c r="K134" s="64" t="s">
        <v>41</v>
      </c>
      <c r="L134" s="70">
        <v>3260.66</v>
      </c>
      <c r="M134" s="139">
        <v>4.8</v>
      </c>
      <c r="N134" s="83">
        <v>20</v>
      </c>
      <c r="O134" s="65">
        <v>15</v>
      </c>
      <c r="P134" s="65">
        <v>0</v>
      </c>
      <c r="Q134" s="65"/>
      <c r="R134" s="65">
        <f t="shared" si="2"/>
        <v>15</v>
      </c>
      <c r="S134" s="64">
        <v>8</v>
      </c>
      <c r="T134" s="62" t="s">
        <v>604</v>
      </c>
    </row>
    <row r="135" spans="1:20" ht="23.25" customHeight="1">
      <c r="A135" s="63" t="s">
        <v>605</v>
      </c>
      <c r="B135" s="66">
        <v>2019</v>
      </c>
      <c r="C135" s="143" t="s">
        <v>52</v>
      </c>
      <c r="D135" s="66" t="s">
        <v>588</v>
      </c>
      <c r="E135" s="72" t="s">
        <v>606</v>
      </c>
      <c r="F135" s="73" t="s">
        <v>33</v>
      </c>
      <c r="G135" s="63" t="s">
        <v>10</v>
      </c>
      <c r="H135" s="80" t="s">
        <v>607</v>
      </c>
      <c r="I135" s="81">
        <v>43690</v>
      </c>
      <c r="J135" s="81">
        <v>43697</v>
      </c>
      <c r="K135" s="66" t="s">
        <v>41</v>
      </c>
      <c r="L135" s="68">
        <v>4605.54</v>
      </c>
      <c r="M135" s="140">
        <v>4.4000000000000004</v>
      </c>
      <c r="N135" s="82">
        <v>20</v>
      </c>
      <c r="O135" s="67">
        <v>14</v>
      </c>
      <c r="P135" s="67">
        <v>0</v>
      </c>
      <c r="Q135" s="67"/>
      <c r="R135" s="67">
        <f t="shared" si="2"/>
        <v>14</v>
      </c>
      <c r="S135" s="66">
        <v>12</v>
      </c>
      <c r="T135" s="63" t="s">
        <v>591</v>
      </c>
    </row>
    <row r="136" spans="1:20" ht="23.25" customHeight="1">
      <c r="A136" s="62" t="s">
        <v>608</v>
      </c>
      <c r="B136" s="64">
        <v>2019</v>
      </c>
      <c r="C136" s="143" t="s">
        <v>52</v>
      </c>
      <c r="D136" s="64" t="s">
        <v>609</v>
      </c>
      <c r="E136" s="69" t="s">
        <v>610</v>
      </c>
      <c r="F136" s="71" t="s">
        <v>44</v>
      </c>
      <c r="G136" s="62" t="s">
        <v>15</v>
      </c>
      <c r="H136" s="78" t="s">
        <v>611</v>
      </c>
      <c r="I136" s="79">
        <v>43696</v>
      </c>
      <c r="J136" s="79">
        <v>43698</v>
      </c>
      <c r="K136" s="64" t="s">
        <v>41</v>
      </c>
      <c r="L136" s="70">
        <v>0</v>
      </c>
      <c r="M136" s="139">
        <v>4.5</v>
      </c>
      <c r="N136" s="83">
        <v>450</v>
      </c>
      <c r="O136" s="65">
        <v>46</v>
      </c>
      <c r="P136" s="65">
        <v>136</v>
      </c>
      <c r="Q136" s="65"/>
      <c r="R136" s="65">
        <f t="shared" si="2"/>
        <v>182</v>
      </c>
      <c r="S136" s="64">
        <v>8</v>
      </c>
      <c r="T136" s="62" t="s">
        <v>612</v>
      </c>
    </row>
    <row r="137" spans="1:20" ht="23.25" customHeight="1">
      <c r="A137" s="63" t="s">
        <v>613</v>
      </c>
      <c r="B137" s="66">
        <v>2019</v>
      </c>
      <c r="C137" s="143" t="s">
        <v>52</v>
      </c>
      <c r="D137" s="66" t="s">
        <v>593</v>
      </c>
      <c r="E137" s="72" t="s">
        <v>614</v>
      </c>
      <c r="F137" s="73" t="s">
        <v>44</v>
      </c>
      <c r="G137" s="63" t="s">
        <v>13</v>
      </c>
      <c r="H137" s="80" t="s">
        <v>615</v>
      </c>
      <c r="I137" s="81">
        <v>43703</v>
      </c>
      <c r="J137" s="81">
        <v>43706</v>
      </c>
      <c r="K137" s="66" t="s">
        <v>41</v>
      </c>
      <c r="L137" s="68">
        <v>5299.68</v>
      </c>
      <c r="M137" s="140">
        <v>4.5999999999999996</v>
      </c>
      <c r="N137" s="82">
        <v>40</v>
      </c>
      <c r="O137" s="67">
        <v>0</v>
      </c>
      <c r="P137" s="67">
        <v>34</v>
      </c>
      <c r="Q137" s="67"/>
      <c r="R137" s="67">
        <f t="shared" si="2"/>
        <v>34</v>
      </c>
      <c r="S137" s="66">
        <v>16</v>
      </c>
      <c r="T137" s="63" t="s">
        <v>484</v>
      </c>
    </row>
    <row r="138" spans="1:20" ht="23.25" customHeight="1">
      <c r="A138" s="62" t="s">
        <v>616</v>
      </c>
      <c r="B138" s="64">
        <v>2019</v>
      </c>
      <c r="C138" s="143" t="s">
        <v>52</v>
      </c>
      <c r="D138" s="64" t="s">
        <v>617</v>
      </c>
      <c r="E138" s="69" t="s">
        <v>618</v>
      </c>
      <c r="F138" s="71" t="s">
        <v>33</v>
      </c>
      <c r="G138" s="62" t="s">
        <v>32</v>
      </c>
      <c r="H138" s="78" t="s">
        <v>619</v>
      </c>
      <c r="I138" s="79">
        <v>43703</v>
      </c>
      <c r="J138" s="79">
        <v>43737</v>
      </c>
      <c r="K138" s="64" t="s">
        <v>45</v>
      </c>
      <c r="L138" s="70">
        <v>7980</v>
      </c>
      <c r="M138" s="139">
        <v>4.7</v>
      </c>
      <c r="N138" s="83">
        <v>20</v>
      </c>
      <c r="O138" s="65">
        <v>17</v>
      </c>
      <c r="P138" s="65">
        <v>0</v>
      </c>
      <c r="Q138" s="65">
        <v>0</v>
      </c>
      <c r="R138" s="65">
        <f t="shared" si="2"/>
        <v>17</v>
      </c>
      <c r="S138" s="64">
        <v>16</v>
      </c>
      <c r="T138" s="62" t="s">
        <v>3069</v>
      </c>
    </row>
    <row r="139" spans="1:20" ht="23.25" customHeight="1">
      <c r="A139" s="63" t="s">
        <v>621</v>
      </c>
      <c r="B139" s="66">
        <v>2019</v>
      </c>
      <c r="C139" s="143" t="s">
        <v>52</v>
      </c>
      <c r="D139" s="66" t="s">
        <v>527</v>
      </c>
      <c r="E139" s="72" t="s">
        <v>622</v>
      </c>
      <c r="F139" s="73" t="s">
        <v>33</v>
      </c>
      <c r="G139" s="63" t="s">
        <v>35</v>
      </c>
      <c r="H139" s="80" t="s">
        <v>623</v>
      </c>
      <c r="I139" s="81">
        <v>43710</v>
      </c>
      <c r="J139" s="81">
        <v>43717</v>
      </c>
      <c r="K139" s="66" t="s">
        <v>41</v>
      </c>
      <c r="L139" s="68">
        <v>6624.6</v>
      </c>
      <c r="M139" s="140">
        <v>4.7</v>
      </c>
      <c r="N139" s="82">
        <v>21</v>
      </c>
      <c r="O139" s="67">
        <v>20</v>
      </c>
      <c r="P139" s="67">
        <v>0</v>
      </c>
      <c r="Q139" s="67"/>
      <c r="R139" s="67">
        <f t="shared" si="2"/>
        <v>20</v>
      </c>
      <c r="S139" s="66">
        <v>20</v>
      </c>
      <c r="T139" s="63" t="s">
        <v>530</v>
      </c>
    </row>
    <row r="140" spans="1:20" ht="23.25" customHeight="1">
      <c r="A140" s="62" t="s">
        <v>624</v>
      </c>
      <c r="B140" s="64">
        <v>2019</v>
      </c>
      <c r="C140" s="143" t="s">
        <v>52</v>
      </c>
      <c r="D140" s="64" t="s">
        <v>537</v>
      </c>
      <c r="E140" s="69" t="s">
        <v>625</v>
      </c>
      <c r="F140" s="71" t="s">
        <v>33</v>
      </c>
      <c r="G140" s="62" t="s">
        <v>35</v>
      </c>
      <c r="H140" s="78" t="s">
        <v>626</v>
      </c>
      <c r="I140" s="79">
        <v>43719</v>
      </c>
      <c r="J140" s="79">
        <v>43728</v>
      </c>
      <c r="K140" s="64" t="s">
        <v>41</v>
      </c>
      <c r="L140" s="70">
        <v>7675.9</v>
      </c>
      <c r="M140" s="139">
        <v>4.5</v>
      </c>
      <c r="N140" s="83">
        <v>41</v>
      </c>
      <c r="O140" s="65">
        <v>40</v>
      </c>
      <c r="P140" s="65">
        <v>0</v>
      </c>
      <c r="Q140" s="65"/>
      <c r="R140" s="65">
        <f t="shared" si="2"/>
        <v>40</v>
      </c>
      <c r="S140" s="64">
        <v>20</v>
      </c>
      <c r="T140" s="62" t="s">
        <v>3045</v>
      </c>
    </row>
    <row r="141" spans="1:20" ht="23.25" customHeight="1">
      <c r="A141" s="63" t="s">
        <v>627</v>
      </c>
      <c r="B141" s="66">
        <v>2019</v>
      </c>
      <c r="C141" s="143" t="s">
        <v>52</v>
      </c>
      <c r="D141" s="66" t="s">
        <v>628</v>
      </c>
      <c r="E141" s="72" t="s">
        <v>629</v>
      </c>
      <c r="F141" s="73" t="s">
        <v>33</v>
      </c>
      <c r="G141" s="63" t="s">
        <v>32</v>
      </c>
      <c r="H141" s="80" t="s">
        <v>630</v>
      </c>
      <c r="I141" s="81">
        <v>43719</v>
      </c>
      <c r="J141" s="81">
        <v>43747</v>
      </c>
      <c r="K141" s="66" t="s">
        <v>41</v>
      </c>
      <c r="L141" s="68">
        <v>4731.7</v>
      </c>
      <c r="M141" s="140">
        <v>4.5999999999999996</v>
      </c>
      <c r="N141" s="82">
        <v>15</v>
      </c>
      <c r="O141" s="67">
        <v>12</v>
      </c>
      <c r="P141" s="67">
        <v>0</v>
      </c>
      <c r="Q141" s="67">
        <v>0</v>
      </c>
      <c r="R141" s="67">
        <f t="shared" si="2"/>
        <v>12</v>
      </c>
      <c r="S141" s="66">
        <v>12</v>
      </c>
      <c r="T141" s="63" t="s">
        <v>3073</v>
      </c>
    </row>
    <row r="142" spans="1:20" ht="23.25" customHeight="1">
      <c r="A142" s="62" t="s">
        <v>631</v>
      </c>
      <c r="B142" s="64">
        <v>2019</v>
      </c>
      <c r="C142" s="143" t="s">
        <v>52</v>
      </c>
      <c r="D142" s="64" t="s">
        <v>632</v>
      </c>
      <c r="E142" s="69" t="s">
        <v>633</v>
      </c>
      <c r="F142" s="71" t="s">
        <v>33</v>
      </c>
      <c r="G142" s="62" t="s">
        <v>123</v>
      </c>
      <c r="H142" s="78" t="s">
        <v>634</v>
      </c>
      <c r="I142" s="79">
        <v>43724</v>
      </c>
      <c r="J142" s="79">
        <v>43728</v>
      </c>
      <c r="K142" s="64" t="s">
        <v>45</v>
      </c>
      <c r="L142" s="70">
        <v>6065.18</v>
      </c>
      <c r="M142" s="139">
        <v>4.5999999999999996</v>
      </c>
      <c r="N142" s="83">
        <v>31</v>
      </c>
      <c r="O142" s="65">
        <v>12</v>
      </c>
      <c r="P142" s="65">
        <v>0</v>
      </c>
      <c r="Q142" s="65"/>
      <c r="R142" s="65">
        <f t="shared" si="2"/>
        <v>12</v>
      </c>
      <c r="S142" s="64">
        <v>16</v>
      </c>
      <c r="T142" s="62" t="s">
        <v>600</v>
      </c>
    </row>
    <row r="143" spans="1:20" ht="23.25" customHeight="1">
      <c r="A143" s="63" t="s">
        <v>635</v>
      </c>
      <c r="B143" s="66">
        <v>2019</v>
      </c>
      <c r="C143" s="143" t="s">
        <v>52</v>
      </c>
      <c r="D143" s="66" t="s">
        <v>566</v>
      </c>
      <c r="E143" s="72" t="s">
        <v>636</v>
      </c>
      <c r="F143" s="73" t="s">
        <v>33</v>
      </c>
      <c r="G143" s="63" t="s">
        <v>13</v>
      </c>
      <c r="H143" s="80" t="s">
        <v>637</v>
      </c>
      <c r="I143" s="81">
        <v>43726</v>
      </c>
      <c r="J143" s="81">
        <v>43731</v>
      </c>
      <c r="K143" s="66" t="s">
        <v>41</v>
      </c>
      <c r="L143" s="68">
        <v>5236.26</v>
      </c>
      <c r="M143" s="140">
        <v>4.5</v>
      </c>
      <c r="N143" s="82">
        <v>20</v>
      </c>
      <c r="O143" s="67">
        <v>19</v>
      </c>
      <c r="P143" s="67">
        <v>0</v>
      </c>
      <c r="Q143" s="67"/>
      <c r="R143" s="67">
        <f t="shared" si="2"/>
        <v>19</v>
      </c>
      <c r="S143" s="66">
        <v>12</v>
      </c>
      <c r="T143" s="63" t="s">
        <v>569</v>
      </c>
    </row>
    <row r="144" spans="1:20" ht="23.25" customHeight="1">
      <c r="A144" s="62" t="s">
        <v>638</v>
      </c>
      <c r="B144" s="64">
        <v>2019</v>
      </c>
      <c r="C144" s="143" t="s">
        <v>52</v>
      </c>
      <c r="D144" s="64" t="s">
        <v>639</v>
      </c>
      <c r="E144" s="69" t="s">
        <v>640</v>
      </c>
      <c r="F144" s="71" t="s">
        <v>33</v>
      </c>
      <c r="G144" s="62" t="s">
        <v>13</v>
      </c>
      <c r="H144" s="78" t="s">
        <v>641</v>
      </c>
      <c r="I144" s="79">
        <v>43731</v>
      </c>
      <c r="J144" s="79">
        <v>43735</v>
      </c>
      <c r="K144" s="64" t="s">
        <v>41</v>
      </c>
      <c r="L144" s="70">
        <v>8727.1</v>
      </c>
      <c r="M144" s="139">
        <v>4.5999999999999996</v>
      </c>
      <c r="N144" s="83">
        <v>15</v>
      </c>
      <c r="O144" s="65">
        <v>12</v>
      </c>
      <c r="P144" s="65">
        <v>0</v>
      </c>
      <c r="Q144" s="65"/>
      <c r="R144" s="65">
        <f t="shared" si="2"/>
        <v>12</v>
      </c>
      <c r="S144" s="64">
        <v>20</v>
      </c>
      <c r="T144" s="62" t="s">
        <v>116</v>
      </c>
    </row>
    <row r="145" spans="1:20" ht="23.25" customHeight="1">
      <c r="A145" s="63" t="s">
        <v>642</v>
      </c>
      <c r="B145" s="66">
        <v>2019</v>
      </c>
      <c r="C145" s="143" t="s">
        <v>52</v>
      </c>
      <c r="D145" s="66" t="s">
        <v>643</v>
      </c>
      <c r="E145" s="72" t="s">
        <v>644</v>
      </c>
      <c r="F145" s="73" t="s">
        <v>33</v>
      </c>
      <c r="G145" s="63" t="s">
        <v>32</v>
      </c>
      <c r="H145" s="80" t="s">
        <v>645</v>
      </c>
      <c r="I145" s="81">
        <v>43739</v>
      </c>
      <c r="J145" s="81">
        <v>43741</v>
      </c>
      <c r="K145" s="66" t="s">
        <v>45</v>
      </c>
      <c r="L145" s="68">
        <v>9240.5</v>
      </c>
      <c r="M145" s="140">
        <v>4.5999999999999996</v>
      </c>
      <c r="N145" s="66">
        <v>35</v>
      </c>
      <c r="O145" s="67">
        <v>31</v>
      </c>
      <c r="P145" s="67">
        <v>0</v>
      </c>
      <c r="Q145" s="67">
        <v>0</v>
      </c>
      <c r="R145" s="67">
        <f t="shared" si="2"/>
        <v>31</v>
      </c>
      <c r="S145" s="66">
        <v>12</v>
      </c>
      <c r="T145" s="63" t="s">
        <v>646</v>
      </c>
    </row>
    <row r="146" spans="1:20" ht="23.25" customHeight="1">
      <c r="A146" s="62" t="s">
        <v>647</v>
      </c>
      <c r="B146" s="64">
        <v>2019</v>
      </c>
      <c r="C146" s="143" t="s">
        <v>52</v>
      </c>
      <c r="D146" s="64" t="s">
        <v>593</v>
      </c>
      <c r="E146" s="69" t="s">
        <v>648</v>
      </c>
      <c r="F146" s="71" t="s">
        <v>44</v>
      </c>
      <c r="G146" s="62" t="s">
        <v>13</v>
      </c>
      <c r="H146" s="78" t="s">
        <v>649</v>
      </c>
      <c r="I146" s="79">
        <v>43745</v>
      </c>
      <c r="J146" s="79">
        <v>43748</v>
      </c>
      <c r="K146" s="64" t="s">
        <v>41</v>
      </c>
      <c r="L146" s="70">
        <v>5299.68</v>
      </c>
      <c r="M146" s="139">
        <v>4.7</v>
      </c>
      <c r="N146" s="83">
        <v>40</v>
      </c>
      <c r="O146" s="65">
        <v>0</v>
      </c>
      <c r="P146" s="65">
        <v>27</v>
      </c>
      <c r="Q146" s="65"/>
      <c r="R146" s="65">
        <f t="shared" si="2"/>
        <v>27</v>
      </c>
      <c r="S146" s="64">
        <v>16</v>
      </c>
      <c r="T146" s="62" t="s">
        <v>484</v>
      </c>
    </row>
    <row r="147" spans="1:20" ht="23.25" customHeight="1">
      <c r="A147" s="63" t="s">
        <v>650</v>
      </c>
      <c r="B147" s="66">
        <v>2019</v>
      </c>
      <c r="C147" s="143" t="s">
        <v>52</v>
      </c>
      <c r="D147" s="66"/>
      <c r="E147" s="72" t="s">
        <v>651</v>
      </c>
      <c r="F147" s="73" t="s">
        <v>33</v>
      </c>
      <c r="G147" s="63" t="s">
        <v>13</v>
      </c>
      <c r="H147" s="80" t="s">
        <v>652</v>
      </c>
      <c r="I147" s="81">
        <v>43749</v>
      </c>
      <c r="J147" s="81">
        <v>43749</v>
      </c>
      <c r="K147" s="66" t="s">
        <v>45</v>
      </c>
      <c r="L147" s="68">
        <v>0</v>
      </c>
      <c r="M147" s="140">
        <v>0</v>
      </c>
      <c r="N147" s="82">
        <v>60</v>
      </c>
      <c r="O147" s="67">
        <v>54</v>
      </c>
      <c r="P147" s="67">
        <v>0</v>
      </c>
      <c r="Q147" s="67">
        <v>0</v>
      </c>
      <c r="R147" s="67">
        <f t="shared" si="2"/>
        <v>54</v>
      </c>
      <c r="S147" s="66">
        <v>1.5</v>
      </c>
      <c r="T147" s="63" t="s">
        <v>620</v>
      </c>
    </row>
    <row r="148" spans="1:20" ht="23.25" customHeight="1">
      <c r="A148" s="62" t="s">
        <v>653</v>
      </c>
      <c r="B148" s="64">
        <v>2019</v>
      </c>
      <c r="C148" s="143" t="s">
        <v>52</v>
      </c>
      <c r="D148" s="64" t="s">
        <v>654</v>
      </c>
      <c r="E148" s="69" t="s">
        <v>655</v>
      </c>
      <c r="F148" s="71" t="s">
        <v>33</v>
      </c>
      <c r="G148" s="62" t="s">
        <v>22</v>
      </c>
      <c r="H148" s="78" t="s">
        <v>656</v>
      </c>
      <c r="I148" s="79">
        <v>43752</v>
      </c>
      <c r="J148" s="79">
        <v>43756</v>
      </c>
      <c r="K148" s="64" t="s">
        <v>41</v>
      </c>
      <c r="L148" s="70">
        <v>0</v>
      </c>
      <c r="M148" s="139">
        <v>4.33</v>
      </c>
      <c r="N148" s="83">
        <v>20</v>
      </c>
      <c r="O148" s="65">
        <v>9</v>
      </c>
      <c r="P148" s="65">
        <v>0</v>
      </c>
      <c r="Q148" s="65"/>
      <c r="R148" s="65">
        <f t="shared" si="2"/>
        <v>9</v>
      </c>
      <c r="S148" s="64">
        <v>12</v>
      </c>
      <c r="T148" s="62" t="s">
        <v>657</v>
      </c>
    </row>
    <row r="149" spans="1:20" ht="23.25" customHeight="1">
      <c r="A149" s="63" t="s">
        <v>658</v>
      </c>
      <c r="B149" s="66">
        <v>2019</v>
      </c>
      <c r="C149" s="143" t="s">
        <v>52</v>
      </c>
      <c r="D149" s="66" t="s">
        <v>546</v>
      </c>
      <c r="E149" s="72" t="s">
        <v>659</v>
      </c>
      <c r="F149" s="73" t="s">
        <v>44</v>
      </c>
      <c r="G149" s="63" t="s">
        <v>15</v>
      </c>
      <c r="H149" s="80" t="s">
        <v>660</v>
      </c>
      <c r="I149" s="81">
        <v>43767</v>
      </c>
      <c r="J149" s="81">
        <v>43767</v>
      </c>
      <c r="K149" s="66" t="s">
        <v>41</v>
      </c>
      <c r="L149" s="68">
        <v>1386.78</v>
      </c>
      <c r="M149" s="140">
        <v>4.4000000000000004</v>
      </c>
      <c r="N149" s="82">
        <v>60</v>
      </c>
      <c r="O149" s="67">
        <v>0</v>
      </c>
      <c r="P149" s="67">
        <v>38</v>
      </c>
      <c r="Q149" s="67"/>
      <c r="R149" s="67">
        <f t="shared" si="2"/>
        <v>38</v>
      </c>
      <c r="S149" s="66">
        <v>4</v>
      </c>
      <c r="T149" s="63" t="s">
        <v>661</v>
      </c>
    </row>
    <row r="150" spans="1:20" ht="23.25" customHeight="1">
      <c r="A150" s="62" t="s">
        <v>662</v>
      </c>
      <c r="B150" s="64">
        <v>2019</v>
      </c>
      <c r="C150" s="143" t="s">
        <v>52</v>
      </c>
      <c r="D150" s="64" t="s">
        <v>546</v>
      </c>
      <c r="E150" s="69" t="s">
        <v>663</v>
      </c>
      <c r="F150" s="71" t="s">
        <v>44</v>
      </c>
      <c r="G150" s="62" t="s">
        <v>15</v>
      </c>
      <c r="H150" s="78" t="s">
        <v>664</v>
      </c>
      <c r="I150" s="79">
        <v>43774</v>
      </c>
      <c r="J150" s="79">
        <v>43774</v>
      </c>
      <c r="K150" s="64" t="s">
        <v>41</v>
      </c>
      <c r="L150" s="70">
        <v>1386.78</v>
      </c>
      <c r="M150" s="139">
        <v>3.88</v>
      </c>
      <c r="N150" s="83">
        <v>60</v>
      </c>
      <c r="O150" s="65">
        <v>0</v>
      </c>
      <c r="P150" s="65">
        <v>62</v>
      </c>
      <c r="Q150" s="65"/>
      <c r="R150" s="65">
        <f t="shared" si="2"/>
        <v>62</v>
      </c>
      <c r="S150" s="64">
        <v>4</v>
      </c>
      <c r="T150" s="62" t="s">
        <v>661</v>
      </c>
    </row>
    <row r="151" spans="1:20" ht="23.25" customHeight="1">
      <c r="A151" s="63" t="s">
        <v>665</v>
      </c>
      <c r="B151" s="66">
        <v>2019</v>
      </c>
      <c r="C151" s="143" t="s">
        <v>52</v>
      </c>
      <c r="D151" s="66" t="s">
        <v>588</v>
      </c>
      <c r="E151" s="72" t="s">
        <v>666</v>
      </c>
      <c r="F151" s="73" t="s">
        <v>44</v>
      </c>
      <c r="G151" s="63" t="s">
        <v>10</v>
      </c>
      <c r="H151" s="80" t="s">
        <v>667</v>
      </c>
      <c r="I151" s="81">
        <v>43774</v>
      </c>
      <c r="J151" s="81">
        <v>43788</v>
      </c>
      <c r="K151" s="66" t="s">
        <v>41</v>
      </c>
      <c r="L151" s="68">
        <v>6140.72</v>
      </c>
      <c r="M151" s="140">
        <v>3.8</v>
      </c>
      <c r="N151" s="82">
        <v>20</v>
      </c>
      <c r="O151" s="67">
        <v>0</v>
      </c>
      <c r="P151" s="67">
        <v>13</v>
      </c>
      <c r="Q151" s="67"/>
      <c r="R151" s="67">
        <f t="shared" si="2"/>
        <v>13</v>
      </c>
      <c r="S151" s="66">
        <v>16</v>
      </c>
      <c r="T151" s="63" t="s">
        <v>591</v>
      </c>
    </row>
    <row r="152" spans="1:20" ht="23.25" customHeight="1">
      <c r="A152" s="62" t="s">
        <v>668</v>
      </c>
      <c r="B152" s="64">
        <v>2019</v>
      </c>
      <c r="C152" s="143" t="s">
        <v>52</v>
      </c>
      <c r="D152" s="64" t="s">
        <v>654</v>
      </c>
      <c r="E152" s="69" t="s">
        <v>669</v>
      </c>
      <c r="F152" s="71" t="s">
        <v>33</v>
      </c>
      <c r="G152" s="62" t="s">
        <v>22</v>
      </c>
      <c r="H152" s="78" t="s">
        <v>670</v>
      </c>
      <c r="I152" s="79">
        <v>43787</v>
      </c>
      <c r="J152" s="79">
        <v>43791</v>
      </c>
      <c r="K152" s="64" t="s">
        <v>41</v>
      </c>
      <c r="L152" s="70">
        <v>0</v>
      </c>
      <c r="M152" s="139">
        <v>4.3</v>
      </c>
      <c r="N152" s="83">
        <v>20</v>
      </c>
      <c r="O152" s="65">
        <v>8</v>
      </c>
      <c r="P152" s="65">
        <v>0</v>
      </c>
      <c r="Q152" s="65"/>
      <c r="R152" s="65">
        <f t="shared" si="2"/>
        <v>8</v>
      </c>
      <c r="S152" s="64">
        <v>12</v>
      </c>
      <c r="T152" s="62" t="s">
        <v>657</v>
      </c>
    </row>
    <row r="153" spans="1:20" ht="23.25" customHeight="1">
      <c r="A153" s="63" t="s">
        <v>671</v>
      </c>
      <c r="B153" s="66">
        <v>2019</v>
      </c>
      <c r="C153" s="143" t="s">
        <v>52</v>
      </c>
      <c r="D153" s="66" t="s">
        <v>672</v>
      </c>
      <c r="E153" s="72" t="s">
        <v>673</v>
      </c>
      <c r="F153" s="73" t="s">
        <v>33</v>
      </c>
      <c r="G153" s="63" t="s">
        <v>13</v>
      </c>
      <c r="H153" s="80" t="s">
        <v>674</v>
      </c>
      <c r="I153" s="81">
        <v>43788</v>
      </c>
      <c r="J153" s="81">
        <v>43798</v>
      </c>
      <c r="K153" s="66" t="s">
        <v>41</v>
      </c>
      <c r="L153" s="68">
        <v>7493.04</v>
      </c>
      <c r="M153" s="140">
        <v>4.7699999999999996</v>
      </c>
      <c r="N153" s="82">
        <v>30</v>
      </c>
      <c r="O153" s="67">
        <v>20</v>
      </c>
      <c r="P153" s="67">
        <v>0</v>
      </c>
      <c r="Q153" s="67"/>
      <c r="R153" s="67">
        <f t="shared" si="2"/>
        <v>20</v>
      </c>
      <c r="S153" s="66">
        <v>20</v>
      </c>
      <c r="T153" s="63" t="s">
        <v>675</v>
      </c>
    </row>
    <row r="154" spans="1:20" ht="23.25" customHeight="1">
      <c r="A154" s="62" t="s">
        <v>676</v>
      </c>
      <c r="B154" s="64">
        <v>2019</v>
      </c>
      <c r="C154" s="143" t="s">
        <v>52</v>
      </c>
      <c r="D154" s="64" t="s">
        <v>677</v>
      </c>
      <c r="E154" s="69" t="s">
        <v>678</v>
      </c>
      <c r="F154" s="71" t="s">
        <v>33</v>
      </c>
      <c r="G154" s="62" t="s">
        <v>32</v>
      </c>
      <c r="H154" s="78" t="s">
        <v>679</v>
      </c>
      <c r="I154" s="79">
        <v>43795</v>
      </c>
      <c r="J154" s="79">
        <v>43795</v>
      </c>
      <c r="K154" s="64" t="s">
        <v>41</v>
      </c>
      <c r="L154" s="70">
        <v>0</v>
      </c>
      <c r="M154" s="139">
        <v>5</v>
      </c>
      <c r="N154" s="83">
        <v>90</v>
      </c>
      <c r="O154" s="65">
        <v>74</v>
      </c>
      <c r="P154" s="65">
        <v>0</v>
      </c>
      <c r="Q154" s="65">
        <v>0</v>
      </c>
      <c r="R154" s="65">
        <f t="shared" si="2"/>
        <v>74</v>
      </c>
      <c r="S154" s="64">
        <v>1.5</v>
      </c>
      <c r="T154" s="62" t="s">
        <v>680</v>
      </c>
    </row>
    <row r="155" spans="1:20" ht="23.25" customHeight="1">
      <c r="A155" s="63" t="s">
        <v>681</v>
      </c>
      <c r="B155" s="66">
        <v>2019</v>
      </c>
      <c r="C155" s="143" t="s">
        <v>52</v>
      </c>
      <c r="D155" s="66" t="s">
        <v>672</v>
      </c>
      <c r="E155" s="72" t="s">
        <v>682</v>
      </c>
      <c r="F155" s="73" t="s">
        <v>33</v>
      </c>
      <c r="G155" s="63" t="s">
        <v>13</v>
      </c>
      <c r="H155" s="80" t="s">
        <v>683</v>
      </c>
      <c r="I155" s="81">
        <v>43801</v>
      </c>
      <c r="J155" s="81">
        <v>43811</v>
      </c>
      <c r="K155" s="66" t="s">
        <v>41</v>
      </c>
      <c r="L155" s="68">
        <v>7493.04</v>
      </c>
      <c r="M155" s="140">
        <v>4.4000000000000004</v>
      </c>
      <c r="N155" s="82">
        <v>30</v>
      </c>
      <c r="O155" s="67">
        <v>24</v>
      </c>
      <c r="P155" s="67">
        <v>0</v>
      </c>
      <c r="Q155" s="67"/>
      <c r="R155" s="67">
        <f t="shared" si="2"/>
        <v>24</v>
      </c>
      <c r="S155" s="66">
        <v>20</v>
      </c>
      <c r="T155" s="63" t="s">
        <v>675</v>
      </c>
    </row>
    <row r="156" spans="1:20" ht="23.25" customHeight="1">
      <c r="A156" s="62" t="s">
        <v>684</v>
      </c>
      <c r="B156" s="64">
        <v>2020</v>
      </c>
      <c r="C156" s="143" t="s">
        <v>52</v>
      </c>
      <c r="D156" s="64" t="s">
        <v>685</v>
      </c>
      <c r="E156" s="69" t="s">
        <v>686</v>
      </c>
      <c r="F156" s="71" t="s">
        <v>33</v>
      </c>
      <c r="G156" s="62" t="s">
        <v>25</v>
      </c>
      <c r="H156" s="78" t="s">
        <v>687</v>
      </c>
      <c r="I156" s="79">
        <v>43854</v>
      </c>
      <c r="J156" s="79">
        <v>43854</v>
      </c>
      <c r="K156" s="64" t="s">
        <v>45</v>
      </c>
      <c r="L156" s="70">
        <v>0</v>
      </c>
      <c r="M156" s="139">
        <v>5</v>
      </c>
      <c r="N156" s="83">
        <v>20</v>
      </c>
      <c r="O156" s="65">
        <v>21</v>
      </c>
      <c r="P156" s="65">
        <v>0</v>
      </c>
      <c r="Q156" s="65">
        <v>0</v>
      </c>
      <c r="R156" s="65">
        <f t="shared" si="2"/>
        <v>21</v>
      </c>
      <c r="S156" s="64">
        <v>2</v>
      </c>
      <c r="T156" s="62" t="s">
        <v>688</v>
      </c>
    </row>
    <row r="157" spans="1:20" ht="23.25" customHeight="1">
      <c r="A157" s="63" t="s">
        <v>689</v>
      </c>
      <c r="B157" s="66">
        <v>2020</v>
      </c>
      <c r="C157" s="143" t="s">
        <v>52</v>
      </c>
      <c r="D157" s="66" t="s">
        <v>690</v>
      </c>
      <c r="E157" s="72" t="s">
        <v>691</v>
      </c>
      <c r="F157" s="73" t="s">
        <v>33</v>
      </c>
      <c r="G157" s="63" t="s">
        <v>22</v>
      </c>
      <c r="H157" s="80" t="s">
        <v>692</v>
      </c>
      <c r="I157" s="81">
        <v>43857</v>
      </c>
      <c r="J157" s="81">
        <v>43861</v>
      </c>
      <c r="K157" s="66" t="s">
        <v>45</v>
      </c>
      <c r="L157" s="68">
        <v>2470.54</v>
      </c>
      <c r="M157" s="140">
        <v>4.7300000000000004</v>
      </c>
      <c r="N157" s="82">
        <v>20</v>
      </c>
      <c r="O157" s="67">
        <v>21</v>
      </c>
      <c r="P157" s="67">
        <v>0</v>
      </c>
      <c r="Q157" s="67">
        <v>0</v>
      </c>
      <c r="R157" s="67">
        <f t="shared" si="2"/>
        <v>21</v>
      </c>
      <c r="S157" s="66">
        <v>20</v>
      </c>
      <c r="T157" s="63" t="s">
        <v>693</v>
      </c>
    </row>
    <row r="158" spans="1:20" ht="23.25" customHeight="1">
      <c r="A158" s="62" t="s">
        <v>694</v>
      </c>
      <c r="B158" s="64">
        <v>2020</v>
      </c>
      <c r="C158" s="143" t="s">
        <v>52</v>
      </c>
      <c r="D158" s="64" t="s">
        <v>695</v>
      </c>
      <c r="E158" s="69" t="s">
        <v>696</v>
      </c>
      <c r="F158" s="71" t="s">
        <v>33</v>
      </c>
      <c r="G158" s="62" t="s">
        <v>25</v>
      </c>
      <c r="H158" s="78" t="s">
        <v>697</v>
      </c>
      <c r="I158" s="79">
        <v>43859</v>
      </c>
      <c r="J158" s="79">
        <v>43859</v>
      </c>
      <c r="K158" s="64" t="s">
        <v>45</v>
      </c>
      <c r="L158" s="70">
        <v>0</v>
      </c>
      <c r="M158" s="139">
        <v>4.8499999999999996</v>
      </c>
      <c r="N158" s="83">
        <v>30</v>
      </c>
      <c r="O158" s="65">
        <v>13</v>
      </c>
      <c r="P158" s="65">
        <v>0</v>
      </c>
      <c r="Q158" s="65">
        <v>0</v>
      </c>
      <c r="R158" s="65">
        <f t="shared" si="2"/>
        <v>13</v>
      </c>
      <c r="S158" s="64">
        <v>2</v>
      </c>
      <c r="T158" s="62" t="s">
        <v>698</v>
      </c>
    </row>
    <row r="159" spans="1:20" ht="23.25" customHeight="1">
      <c r="A159" s="63" t="s">
        <v>699</v>
      </c>
      <c r="B159" s="66">
        <v>2020</v>
      </c>
      <c r="C159" s="143" t="s">
        <v>52</v>
      </c>
      <c r="D159" s="66" t="s">
        <v>700</v>
      </c>
      <c r="E159" s="72" t="s">
        <v>701</v>
      </c>
      <c r="F159" s="73" t="s">
        <v>33</v>
      </c>
      <c r="G159" s="63" t="s">
        <v>10</v>
      </c>
      <c r="H159" s="80" t="s">
        <v>702</v>
      </c>
      <c r="I159" s="81">
        <v>43894</v>
      </c>
      <c r="J159" s="81">
        <v>43895</v>
      </c>
      <c r="K159" s="66" t="s">
        <v>41</v>
      </c>
      <c r="L159" s="68">
        <v>0</v>
      </c>
      <c r="M159" s="140">
        <v>4.32</v>
      </c>
      <c r="N159" s="82">
        <v>100</v>
      </c>
      <c r="O159" s="67">
        <v>39</v>
      </c>
      <c r="P159" s="67">
        <v>0</v>
      </c>
      <c r="Q159" s="67">
        <v>78</v>
      </c>
      <c r="R159" s="67">
        <f t="shared" si="2"/>
        <v>117</v>
      </c>
      <c r="S159" s="66">
        <v>14</v>
      </c>
      <c r="T159" s="63" t="s">
        <v>492</v>
      </c>
    </row>
    <row r="160" spans="1:20" ht="23.25" customHeight="1">
      <c r="A160" s="62" t="s">
        <v>703</v>
      </c>
      <c r="B160" s="64">
        <v>2020</v>
      </c>
      <c r="C160" s="143" t="s">
        <v>52</v>
      </c>
      <c r="D160" s="64" t="s">
        <v>690</v>
      </c>
      <c r="E160" s="69" t="s">
        <v>704</v>
      </c>
      <c r="F160" s="71" t="s">
        <v>33</v>
      </c>
      <c r="G160" s="62" t="s">
        <v>22</v>
      </c>
      <c r="H160" s="78" t="s">
        <v>705</v>
      </c>
      <c r="I160" s="79">
        <v>43899</v>
      </c>
      <c r="J160" s="79">
        <v>43951</v>
      </c>
      <c r="K160" s="64" t="s">
        <v>45</v>
      </c>
      <c r="L160" s="70">
        <v>1780.95</v>
      </c>
      <c r="M160" s="139">
        <v>4.2</v>
      </c>
      <c r="N160" s="83">
        <v>20</v>
      </c>
      <c r="O160" s="65">
        <v>20</v>
      </c>
      <c r="P160" s="65">
        <v>0</v>
      </c>
      <c r="Q160" s="65">
        <v>0</v>
      </c>
      <c r="R160" s="65">
        <f t="shared" si="2"/>
        <v>20</v>
      </c>
      <c r="S160" s="64">
        <v>20</v>
      </c>
      <c r="T160" s="62" t="s">
        <v>693</v>
      </c>
    </row>
    <row r="161" spans="1:20" ht="23.25" customHeight="1">
      <c r="A161" s="63" t="s">
        <v>706</v>
      </c>
      <c r="B161" s="66">
        <v>2020</v>
      </c>
      <c r="C161" s="143" t="s">
        <v>52</v>
      </c>
      <c r="D161" s="66" t="s">
        <v>707</v>
      </c>
      <c r="E161" s="72" t="s">
        <v>708</v>
      </c>
      <c r="F161" s="73" t="s">
        <v>33</v>
      </c>
      <c r="G161" s="63" t="s">
        <v>13</v>
      </c>
      <c r="H161" s="80" t="s">
        <v>709</v>
      </c>
      <c r="I161" s="81">
        <v>43927</v>
      </c>
      <c r="J161" s="81">
        <v>43943</v>
      </c>
      <c r="K161" s="66" t="s">
        <v>41</v>
      </c>
      <c r="L161" s="68">
        <f>4731.54+5384.88</f>
        <v>10116.42</v>
      </c>
      <c r="M161" s="140">
        <v>4.49</v>
      </c>
      <c r="N161" s="82">
        <v>20</v>
      </c>
      <c r="O161" s="67">
        <v>22</v>
      </c>
      <c r="P161" s="67">
        <v>0</v>
      </c>
      <c r="Q161" s="67">
        <v>0</v>
      </c>
      <c r="R161" s="67">
        <f t="shared" si="2"/>
        <v>22</v>
      </c>
      <c r="S161" s="66">
        <v>24</v>
      </c>
      <c r="T161" s="63" t="s">
        <v>710</v>
      </c>
    </row>
    <row r="162" spans="1:20" ht="23.25" customHeight="1">
      <c r="A162" s="62" t="s">
        <v>711</v>
      </c>
      <c r="B162" s="64">
        <v>2020</v>
      </c>
      <c r="C162" s="143" t="s">
        <v>52</v>
      </c>
      <c r="D162" s="64" t="s">
        <v>712</v>
      </c>
      <c r="E162" s="69" t="s">
        <v>713</v>
      </c>
      <c r="F162" s="71" t="s">
        <v>33</v>
      </c>
      <c r="G162" s="62" t="s">
        <v>22</v>
      </c>
      <c r="H162" s="78" t="s">
        <v>714</v>
      </c>
      <c r="I162" s="79">
        <v>43941</v>
      </c>
      <c r="J162" s="79">
        <v>43945</v>
      </c>
      <c r="K162" s="64" t="s">
        <v>41</v>
      </c>
      <c r="L162" s="70">
        <v>5384.88</v>
      </c>
      <c r="M162" s="139">
        <v>4.1100000000000003</v>
      </c>
      <c r="N162" s="83">
        <v>20</v>
      </c>
      <c r="O162" s="65">
        <v>21</v>
      </c>
      <c r="P162" s="65">
        <v>0</v>
      </c>
      <c r="Q162" s="65">
        <v>0</v>
      </c>
      <c r="R162" s="65">
        <f t="shared" si="2"/>
        <v>21</v>
      </c>
      <c r="S162" s="64">
        <v>12</v>
      </c>
      <c r="T162" s="75" t="s">
        <v>248</v>
      </c>
    </row>
    <row r="163" spans="1:20" ht="23.25" customHeight="1">
      <c r="A163" s="63" t="s">
        <v>715</v>
      </c>
      <c r="B163" s="66">
        <v>2020</v>
      </c>
      <c r="C163" s="143" t="s">
        <v>52</v>
      </c>
      <c r="D163" s="66" t="s">
        <v>716</v>
      </c>
      <c r="E163" s="72" t="s">
        <v>717</v>
      </c>
      <c r="F163" s="73" t="s">
        <v>33</v>
      </c>
      <c r="G163" s="63" t="s">
        <v>32</v>
      </c>
      <c r="H163" s="80" t="s">
        <v>718</v>
      </c>
      <c r="I163" s="81">
        <v>43966</v>
      </c>
      <c r="J163" s="81">
        <v>43966</v>
      </c>
      <c r="K163" s="66" t="s">
        <v>41</v>
      </c>
      <c r="L163" s="68">
        <v>591.44000000000005</v>
      </c>
      <c r="M163" s="140">
        <v>5</v>
      </c>
      <c r="N163" s="82">
        <v>59</v>
      </c>
      <c r="O163" s="67">
        <v>59</v>
      </c>
      <c r="P163" s="67">
        <v>0</v>
      </c>
      <c r="Q163" s="67">
        <v>0</v>
      </c>
      <c r="R163" s="67">
        <f t="shared" si="2"/>
        <v>59</v>
      </c>
      <c r="S163" s="66">
        <v>1.5</v>
      </c>
      <c r="T163" s="63" t="s">
        <v>3073</v>
      </c>
    </row>
    <row r="164" spans="1:20" ht="23.25" customHeight="1">
      <c r="A164" s="62" t="s">
        <v>719</v>
      </c>
      <c r="B164" s="64">
        <v>2020</v>
      </c>
      <c r="C164" s="143" t="s">
        <v>52</v>
      </c>
      <c r="D164" s="64" t="s">
        <v>720</v>
      </c>
      <c r="E164" s="69" t="s">
        <v>721</v>
      </c>
      <c r="F164" s="71" t="s">
        <v>33</v>
      </c>
      <c r="G164" s="62" t="s">
        <v>22</v>
      </c>
      <c r="H164" s="78" t="s">
        <v>722</v>
      </c>
      <c r="I164" s="79">
        <v>43969</v>
      </c>
      <c r="J164" s="79">
        <v>43977</v>
      </c>
      <c r="K164" s="64" t="s">
        <v>45</v>
      </c>
      <c r="L164" s="70">
        <v>2125.29</v>
      </c>
      <c r="M164" s="139">
        <v>4.8</v>
      </c>
      <c r="N164" s="83">
        <v>20</v>
      </c>
      <c r="O164" s="65">
        <v>24</v>
      </c>
      <c r="P164" s="65">
        <v>0</v>
      </c>
      <c r="Q164" s="65">
        <v>0</v>
      </c>
      <c r="R164" s="65">
        <f t="shared" si="2"/>
        <v>24</v>
      </c>
      <c r="S164" s="64">
        <v>20</v>
      </c>
      <c r="T164" s="62" t="s">
        <v>693</v>
      </c>
    </row>
    <row r="165" spans="1:20" ht="23.25" customHeight="1">
      <c r="A165" s="63" t="s">
        <v>723</v>
      </c>
      <c r="B165" s="66">
        <v>2020</v>
      </c>
      <c r="C165" s="143" t="s">
        <v>52</v>
      </c>
      <c r="D165" s="66" t="s">
        <v>716</v>
      </c>
      <c r="E165" s="72" t="s">
        <v>724</v>
      </c>
      <c r="F165" s="73" t="s">
        <v>33</v>
      </c>
      <c r="G165" s="63" t="s">
        <v>32</v>
      </c>
      <c r="H165" s="80" t="s">
        <v>725</v>
      </c>
      <c r="I165" s="81">
        <v>43980</v>
      </c>
      <c r="J165" s="81">
        <v>43980</v>
      </c>
      <c r="K165" s="66" t="s">
        <v>41</v>
      </c>
      <c r="L165" s="68">
        <v>591.44000000000005</v>
      </c>
      <c r="M165" s="140">
        <v>5</v>
      </c>
      <c r="N165" s="82">
        <v>41</v>
      </c>
      <c r="O165" s="67">
        <v>41</v>
      </c>
      <c r="P165" s="67">
        <v>0</v>
      </c>
      <c r="Q165" s="67">
        <v>0</v>
      </c>
      <c r="R165" s="67">
        <f t="shared" si="2"/>
        <v>41</v>
      </c>
      <c r="S165" s="66">
        <v>1.5</v>
      </c>
      <c r="T165" s="63" t="s">
        <v>726</v>
      </c>
    </row>
    <row r="166" spans="1:20" ht="23.25" customHeight="1">
      <c r="A166" s="62" t="s">
        <v>727</v>
      </c>
      <c r="B166" s="64">
        <v>2020</v>
      </c>
      <c r="C166" s="143" t="s">
        <v>52</v>
      </c>
      <c r="D166" s="64" t="s">
        <v>685</v>
      </c>
      <c r="E166" s="69" t="s">
        <v>728</v>
      </c>
      <c r="F166" s="71" t="s">
        <v>33</v>
      </c>
      <c r="G166" s="62" t="s">
        <v>29</v>
      </c>
      <c r="H166" s="78" t="s">
        <v>729</v>
      </c>
      <c r="I166" s="79">
        <v>43987</v>
      </c>
      <c r="J166" s="79">
        <v>43987</v>
      </c>
      <c r="K166" s="64" t="s">
        <v>45</v>
      </c>
      <c r="L166" s="70">
        <v>0</v>
      </c>
      <c r="M166" s="139">
        <v>5</v>
      </c>
      <c r="N166" s="83">
        <v>35</v>
      </c>
      <c r="O166" s="65">
        <v>35</v>
      </c>
      <c r="P166" s="65">
        <v>0</v>
      </c>
      <c r="Q166" s="65">
        <v>0</v>
      </c>
      <c r="R166" s="65">
        <f t="shared" si="2"/>
        <v>35</v>
      </c>
      <c r="S166" s="64">
        <v>1.5</v>
      </c>
      <c r="T166" s="62" t="s">
        <v>688</v>
      </c>
    </row>
    <row r="167" spans="1:20" ht="23.25" customHeight="1">
      <c r="A167" s="63" t="s">
        <v>730</v>
      </c>
      <c r="B167" s="66">
        <v>2020</v>
      </c>
      <c r="C167" s="143" t="s">
        <v>52</v>
      </c>
      <c r="D167" s="66" t="s">
        <v>731</v>
      </c>
      <c r="E167" s="72" t="s">
        <v>732</v>
      </c>
      <c r="F167" s="73" t="s">
        <v>33</v>
      </c>
      <c r="G167" s="63" t="s">
        <v>10</v>
      </c>
      <c r="H167" s="80" t="s">
        <v>733</v>
      </c>
      <c r="I167" s="81">
        <v>43990</v>
      </c>
      <c r="J167" s="81">
        <v>43994</v>
      </c>
      <c r="K167" s="66" t="s">
        <v>41</v>
      </c>
      <c r="L167" s="68">
        <v>6308.72</v>
      </c>
      <c r="M167" s="140">
        <v>4.6500000000000004</v>
      </c>
      <c r="N167" s="82">
        <v>20</v>
      </c>
      <c r="O167" s="67">
        <v>15</v>
      </c>
      <c r="P167" s="67">
        <v>0</v>
      </c>
      <c r="Q167" s="67">
        <v>0</v>
      </c>
      <c r="R167" s="67">
        <f t="shared" si="2"/>
        <v>15</v>
      </c>
      <c r="S167" s="66">
        <v>16</v>
      </c>
      <c r="T167" s="63" t="s">
        <v>591</v>
      </c>
    </row>
    <row r="168" spans="1:20" ht="23.25" customHeight="1">
      <c r="A168" s="62" t="s">
        <v>734</v>
      </c>
      <c r="B168" s="64">
        <v>2020</v>
      </c>
      <c r="C168" s="143" t="s">
        <v>52</v>
      </c>
      <c r="D168" s="64" t="s">
        <v>735</v>
      </c>
      <c r="E168" s="69" t="s">
        <v>736</v>
      </c>
      <c r="F168" s="71" t="s">
        <v>33</v>
      </c>
      <c r="G168" s="62" t="s">
        <v>22</v>
      </c>
      <c r="H168" s="78" t="s">
        <v>737</v>
      </c>
      <c r="I168" s="79">
        <v>43997</v>
      </c>
      <c r="J168" s="79">
        <v>44006</v>
      </c>
      <c r="K168" s="64" t="s">
        <v>41</v>
      </c>
      <c r="L168" s="70">
        <v>7179.84</v>
      </c>
      <c r="M168" s="139">
        <v>3.82</v>
      </c>
      <c r="N168" s="83">
        <v>20</v>
      </c>
      <c r="O168" s="65">
        <v>23</v>
      </c>
      <c r="P168" s="65">
        <v>0</v>
      </c>
      <c r="Q168" s="65">
        <v>0</v>
      </c>
      <c r="R168" s="65">
        <f t="shared" si="2"/>
        <v>23</v>
      </c>
      <c r="S168" s="64">
        <v>16</v>
      </c>
      <c r="T168" s="75" t="s">
        <v>248</v>
      </c>
    </row>
    <row r="169" spans="1:20" ht="23.25" customHeight="1">
      <c r="A169" s="63" t="s">
        <v>738</v>
      </c>
      <c r="B169" s="66">
        <v>2020</v>
      </c>
      <c r="C169" s="143" t="s">
        <v>52</v>
      </c>
      <c r="D169" s="66" t="s">
        <v>739</v>
      </c>
      <c r="E169" s="72" t="s">
        <v>740</v>
      </c>
      <c r="F169" s="73" t="s">
        <v>33</v>
      </c>
      <c r="G169" s="63" t="s">
        <v>13</v>
      </c>
      <c r="H169" s="80" t="s">
        <v>741</v>
      </c>
      <c r="I169" s="81">
        <v>43998</v>
      </c>
      <c r="J169" s="81">
        <v>43998</v>
      </c>
      <c r="K169" s="66" t="s">
        <v>45</v>
      </c>
      <c r="L169" s="68">
        <v>0</v>
      </c>
      <c r="M169" s="140">
        <v>4.8</v>
      </c>
      <c r="N169" s="82">
        <v>36</v>
      </c>
      <c r="O169" s="67">
        <v>36</v>
      </c>
      <c r="P169" s="67">
        <v>0</v>
      </c>
      <c r="Q169" s="67">
        <v>0</v>
      </c>
      <c r="R169" s="67">
        <f t="shared" si="2"/>
        <v>36</v>
      </c>
      <c r="S169" s="66">
        <v>1.5</v>
      </c>
      <c r="T169" s="63" t="s">
        <v>742</v>
      </c>
    </row>
    <row r="170" spans="1:20" ht="23.25" customHeight="1">
      <c r="A170" s="62" t="s">
        <v>743</v>
      </c>
      <c r="B170" s="64">
        <v>2020</v>
      </c>
      <c r="C170" s="143" t="s">
        <v>52</v>
      </c>
      <c r="D170" s="64" t="s">
        <v>739</v>
      </c>
      <c r="E170" s="69" t="s">
        <v>744</v>
      </c>
      <c r="F170" s="71" t="s">
        <v>33</v>
      </c>
      <c r="G170" s="62" t="s">
        <v>13</v>
      </c>
      <c r="H170" s="78" t="s">
        <v>745</v>
      </c>
      <c r="I170" s="79">
        <v>44012</v>
      </c>
      <c r="J170" s="79">
        <v>44012</v>
      </c>
      <c r="K170" s="64" t="s">
        <v>45</v>
      </c>
      <c r="L170" s="70">
        <v>0</v>
      </c>
      <c r="M170" s="139">
        <v>4.8600000000000003</v>
      </c>
      <c r="N170" s="83">
        <v>42</v>
      </c>
      <c r="O170" s="91">
        <v>84</v>
      </c>
      <c r="P170" s="65">
        <v>0</v>
      </c>
      <c r="Q170" s="65">
        <v>0</v>
      </c>
      <c r="R170" s="65">
        <f t="shared" si="2"/>
        <v>84</v>
      </c>
      <c r="S170" s="64">
        <v>1.5</v>
      </c>
      <c r="T170" s="62" t="s">
        <v>742</v>
      </c>
    </row>
    <row r="171" spans="1:20" ht="23.25" customHeight="1">
      <c r="A171" s="63" t="s">
        <v>746</v>
      </c>
      <c r="B171" s="66">
        <v>2020</v>
      </c>
      <c r="C171" s="143" t="s">
        <v>52</v>
      </c>
      <c r="D171" s="66" t="s">
        <v>739</v>
      </c>
      <c r="E171" s="72" t="s">
        <v>747</v>
      </c>
      <c r="F171" s="73" t="s">
        <v>33</v>
      </c>
      <c r="G171" s="63" t="s">
        <v>13</v>
      </c>
      <c r="H171" s="80" t="s">
        <v>748</v>
      </c>
      <c r="I171" s="81">
        <v>44019</v>
      </c>
      <c r="J171" s="81">
        <v>44019</v>
      </c>
      <c r="K171" s="66" t="s">
        <v>45</v>
      </c>
      <c r="L171" s="68">
        <v>0</v>
      </c>
      <c r="M171" s="140">
        <v>4.76</v>
      </c>
      <c r="N171" s="82">
        <v>40</v>
      </c>
      <c r="O171" s="67">
        <v>40</v>
      </c>
      <c r="P171" s="67">
        <v>0</v>
      </c>
      <c r="Q171" s="67">
        <v>0</v>
      </c>
      <c r="R171" s="67">
        <f t="shared" si="2"/>
        <v>40</v>
      </c>
      <c r="S171" s="66">
        <v>1.5</v>
      </c>
      <c r="T171" s="63" t="s">
        <v>749</v>
      </c>
    </row>
    <row r="172" spans="1:20" ht="23.25" customHeight="1">
      <c r="A172" s="62" t="s">
        <v>750</v>
      </c>
      <c r="B172" s="64">
        <v>2020</v>
      </c>
      <c r="C172" s="143" t="s">
        <v>52</v>
      </c>
      <c r="D172" s="64" t="s">
        <v>739</v>
      </c>
      <c r="E172" s="69" t="s">
        <v>751</v>
      </c>
      <c r="F172" s="71" t="s">
        <v>33</v>
      </c>
      <c r="G172" s="62" t="s">
        <v>13</v>
      </c>
      <c r="H172" s="78" t="s">
        <v>752</v>
      </c>
      <c r="I172" s="79">
        <v>44047</v>
      </c>
      <c r="J172" s="79">
        <v>44047</v>
      </c>
      <c r="K172" s="64" t="s">
        <v>45</v>
      </c>
      <c r="L172" s="70">
        <v>0</v>
      </c>
      <c r="M172" s="139">
        <v>4.5</v>
      </c>
      <c r="N172" s="83">
        <v>40</v>
      </c>
      <c r="O172" s="65">
        <v>40</v>
      </c>
      <c r="P172" s="65">
        <v>0</v>
      </c>
      <c r="Q172" s="65">
        <v>0</v>
      </c>
      <c r="R172" s="65">
        <f t="shared" si="2"/>
        <v>40</v>
      </c>
      <c r="S172" s="64">
        <v>1.5</v>
      </c>
      <c r="T172" s="62" t="s">
        <v>753</v>
      </c>
    </row>
    <row r="173" spans="1:20" ht="23.25" customHeight="1">
      <c r="A173" s="63" t="s">
        <v>754</v>
      </c>
      <c r="B173" s="66">
        <v>2020</v>
      </c>
      <c r="C173" s="143" t="s">
        <v>52</v>
      </c>
      <c r="D173" s="66" t="s">
        <v>739</v>
      </c>
      <c r="E173" s="72" t="s">
        <v>755</v>
      </c>
      <c r="F173" s="73" t="s">
        <v>33</v>
      </c>
      <c r="G173" s="63" t="s">
        <v>13</v>
      </c>
      <c r="H173" s="80" t="s">
        <v>756</v>
      </c>
      <c r="I173" s="81">
        <v>44054</v>
      </c>
      <c r="J173" s="81">
        <v>44054</v>
      </c>
      <c r="K173" s="66" t="s">
        <v>45</v>
      </c>
      <c r="L173" s="68">
        <v>0</v>
      </c>
      <c r="M173" s="140">
        <v>4.9000000000000004</v>
      </c>
      <c r="N173" s="82">
        <v>44</v>
      </c>
      <c r="O173" s="67">
        <v>44</v>
      </c>
      <c r="P173" s="67">
        <v>0</v>
      </c>
      <c r="Q173" s="67">
        <v>0</v>
      </c>
      <c r="R173" s="67">
        <f t="shared" si="2"/>
        <v>44</v>
      </c>
      <c r="S173" s="66">
        <v>1.5</v>
      </c>
      <c r="T173" s="63" t="s">
        <v>757</v>
      </c>
    </row>
    <row r="174" spans="1:20" ht="23.25" customHeight="1">
      <c r="A174" s="62" t="s">
        <v>758</v>
      </c>
      <c r="B174" s="64">
        <v>2020</v>
      </c>
      <c r="C174" s="143" t="s">
        <v>52</v>
      </c>
      <c r="D174" s="64" t="s">
        <v>759</v>
      </c>
      <c r="E174" s="69" t="s">
        <v>760</v>
      </c>
      <c r="F174" s="71" t="s">
        <v>33</v>
      </c>
      <c r="G174" s="62" t="s">
        <v>13</v>
      </c>
      <c r="H174" s="78" t="s">
        <v>761</v>
      </c>
      <c r="I174" s="79">
        <v>44063</v>
      </c>
      <c r="J174" s="79">
        <v>44078</v>
      </c>
      <c r="K174" s="64" t="s">
        <v>45</v>
      </c>
      <c r="L174" s="70">
        <v>18000</v>
      </c>
      <c r="M174" s="139">
        <v>4.1500000000000004</v>
      </c>
      <c r="N174" s="83">
        <v>30</v>
      </c>
      <c r="O174" s="65">
        <v>31</v>
      </c>
      <c r="P174" s="65">
        <v>0</v>
      </c>
      <c r="Q174" s="65">
        <v>0</v>
      </c>
      <c r="R174" s="65">
        <f t="shared" si="2"/>
        <v>31</v>
      </c>
      <c r="S174" s="64">
        <v>24</v>
      </c>
      <c r="T174" s="62" t="s">
        <v>762</v>
      </c>
    </row>
    <row r="175" spans="1:20" ht="23.25" customHeight="1">
      <c r="A175" s="63" t="s">
        <v>763</v>
      </c>
      <c r="B175" s="66">
        <v>2020</v>
      </c>
      <c r="C175" s="143" t="s">
        <v>52</v>
      </c>
      <c r="D175" s="66" t="s">
        <v>764</v>
      </c>
      <c r="E175" s="72" t="s">
        <v>765</v>
      </c>
      <c r="F175" s="73" t="s">
        <v>33</v>
      </c>
      <c r="G175" s="63" t="s">
        <v>25</v>
      </c>
      <c r="H175" s="80" t="s">
        <v>766</v>
      </c>
      <c r="I175" s="81">
        <v>44102</v>
      </c>
      <c r="J175" s="81">
        <v>44112</v>
      </c>
      <c r="K175" s="66" t="s">
        <v>41</v>
      </c>
      <c r="L175" s="68">
        <v>6500</v>
      </c>
      <c r="M175" s="140">
        <v>4.68</v>
      </c>
      <c r="N175" s="82">
        <v>20</v>
      </c>
      <c r="O175" s="67">
        <v>29</v>
      </c>
      <c r="P175" s="67">
        <v>0</v>
      </c>
      <c r="Q175" s="67">
        <v>0</v>
      </c>
      <c r="R175" s="67">
        <f t="shared" si="2"/>
        <v>29</v>
      </c>
      <c r="S175" s="66">
        <v>15</v>
      </c>
      <c r="T175" s="63" t="s">
        <v>116</v>
      </c>
    </row>
    <row r="176" spans="1:20" ht="23.25" customHeight="1">
      <c r="A176" s="62" t="s">
        <v>767</v>
      </c>
      <c r="B176" s="64">
        <v>2020</v>
      </c>
      <c r="C176" s="143" t="s">
        <v>52</v>
      </c>
      <c r="D176" s="64" t="s">
        <v>768</v>
      </c>
      <c r="E176" s="69" t="s">
        <v>769</v>
      </c>
      <c r="F176" s="71" t="s">
        <v>48</v>
      </c>
      <c r="G176" s="62" t="s">
        <v>13</v>
      </c>
      <c r="H176" s="78" t="s">
        <v>770</v>
      </c>
      <c r="I176" s="79">
        <v>44158</v>
      </c>
      <c r="J176" s="79">
        <v>44162</v>
      </c>
      <c r="K176" s="64" t="s">
        <v>45</v>
      </c>
      <c r="L176" s="70">
        <v>0</v>
      </c>
      <c r="M176" s="139">
        <v>4.9000000000000004</v>
      </c>
      <c r="N176" s="83">
        <v>100</v>
      </c>
      <c r="O176" s="65">
        <v>22</v>
      </c>
      <c r="P176" s="65">
        <v>0</v>
      </c>
      <c r="Q176" s="65">
        <v>97</v>
      </c>
      <c r="R176" s="65">
        <f t="shared" si="2"/>
        <v>119</v>
      </c>
      <c r="S176" s="64">
        <v>10</v>
      </c>
      <c r="T176" s="62" t="s">
        <v>492</v>
      </c>
    </row>
    <row r="177" spans="1:20" ht="23.25" customHeight="1">
      <c r="A177" s="63" t="s">
        <v>771</v>
      </c>
      <c r="B177" s="66">
        <v>2021</v>
      </c>
      <c r="C177" s="143" t="s">
        <v>52</v>
      </c>
      <c r="D177" s="66" t="s">
        <v>772</v>
      </c>
      <c r="E177" s="72" t="s">
        <v>773</v>
      </c>
      <c r="F177" s="73" t="s">
        <v>51</v>
      </c>
      <c r="G177" s="63" t="s">
        <v>10</v>
      </c>
      <c r="H177" s="80" t="s">
        <v>774</v>
      </c>
      <c r="I177" s="81">
        <v>44229</v>
      </c>
      <c r="J177" s="81">
        <v>44229</v>
      </c>
      <c r="K177" s="66" t="s">
        <v>41</v>
      </c>
      <c r="L177" s="68">
        <f>1577.18/4</f>
        <v>394.29500000000002</v>
      </c>
      <c r="M177" s="140">
        <v>4.9000000000000004</v>
      </c>
      <c r="N177" s="82">
        <v>122</v>
      </c>
      <c r="O177" s="67">
        <v>55</v>
      </c>
      <c r="P177" s="67">
        <v>67</v>
      </c>
      <c r="Q177" s="67">
        <v>0</v>
      </c>
      <c r="R177" s="67">
        <f t="shared" si="2"/>
        <v>122</v>
      </c>
      <c r="S177" s="66">
        <v>1</v>
      </c>
      <c r="T177" s="63" t="s">
        <v>775</v>
      </c>
    </row>
    <row r="178" spans="1:20" ht="23.25" customHeight="1">
      <c r="A178" s="62" t="s">
        <v>776</v>
      </c>
      <c r="B178" s="64">
        <v>2021</v>
      </c>
      <c r="C178" s="143" t="s">
        <v>52</v>
      </c>
      <c r="D178" s="64" t="s">
        <v>772</v>
      </c>
      <c r="E178" s="69" t="s">
        <v>777</v>
      </c>
      <c r="F178" s="71" t="s">
        <v>51</v>
      </c>
      <c r="G178" s="62" t="s">
        <v>10</v>
      </c>
      <c r="H178" s="78" t="s">
        <v>778</v>
      </c>
      <c r="I178" s="79">
        <v>44236</v>
      </c>
      <c r="J178" s="79">
        <v>44236</v>
      </c>
      <c r="K178" s="64" t="s">
        <v>41</v>
      </c>
      <c r="L178" s="70">
        <f>1577.18/4</f>
        <v>394.29500000000002</v>
      </c>
      <c r="M178" s="139">
        <v>4.9000000000000004</v>
      </c>
      <c r="N178" s="83">
        <v>116</v>
      </c>
      <c r="O178" s="65">
        <v>54</v>
      </c>
      <c r="P178" s="65">
        <v>62</v>
      </c>
      <c r="Q178" s="65">
        <v>0</v>
      </c>
      <c r="R178" s="65">
        <f t="shared" si="2"/>
        <v>116</v>
      </c>
      <c r="S178" s="64">
        <v>1</v>
      </c>
      <c r="T178" s="62" t="s">
        <v>775</v>
      </c>
    </row>
    <row r="179" spans="1:20" ht="23.25" customHeight="1">
      <c r="A179" s="63" t="s">
        <v>779</v>
      </c>
      <c r="B179" s="66">
        <v>2021</v>
      </c>
      <c r="C179" s="143" t="s">
        <v>52</v>
      </c>
      <c r="D179" s="66" t="s">
        <v>772</v>
      </c>
      <c r="E179" s="72" t="s">
        <v>780</v>
      </c>
      <c r="F179" s="73" t="s">
        <v>51</v>
      </c>
      <c r="G179" s="63" t="s">
        <v>10</v>
      </c>
      <c r="H179" s="80" t="s">
        <v>781</v>
      </c>
      <c r="I179" s="81">
        <v>44250</v>
      </c>
      <c r="J179" s="81">
        <v>44250</v>
      </c>
      <c r="K179" s="66" t="s">
        <v>41</v>
      </c>
      <c r="L179" s="68">
        <f>1577.18/4</f>
        <v>394.29500000000002</v>
      </c>
      <c r="M179" s="140">
        <v>4.9000000000000004</v>
      </c>
      <c r="N179" s="82">
        <v>83</v>
      </c>
      <c r="O179" s="67">
        <v>48</v>
      </c>
      <c r="P179" s="67">
        <v>35</v>
      </c>
      <c r="Q179" s="67">
        <v>0</v>
      </c>
      <c r="R179" s="67">
        <f t="shared" si="2"/>
        <v>83</v>
      </c>
      <c r="S179" s="66">
        <v>1</v>
      </c>
      <c r="T179" s="63" t="s">
        <v>3131</v>
      </c>
    </row>
    <row r="180" spans="1:20" ht="23.25" customHeight="1">
      <c r="A180" s="62" t="s">
        <v>782</v>
      </c>
      <c r="B180" s="64">
        <v>2021</v>
      </c>
      <c r="C180" s="143" t="s">
        <v>52</v>
      </c>
      <c r="D180" s="64" t="s">
        <v>772</v>
      </c>
      <c r="E180" s="69" t="s">
        <v>783</v>
      </c>
      <c r="F180" s="71" t="s">
        <v>51</v>
      </c>
      <c r="G180" s="62" t="s">
        <v>10</v>
      </c>
      <c r="H180" s="78" t="s">
        <v>784</v>
      </c>
      <c r="I180" s="79">
        <v>44257</v>
      </c>
      <c r="J180" s="79">
        <v>44257</v>
      </c>
      <c r="K180" s="64" t="s">
        <v>41</v>
      </c>
      <c r="L180" s="70">
        <v>1577.18</v>
      </c>
      <c r="M180" s="139">
        <v>4.7</v>
      </c>
      <c r="N180" s="83">
        <v>69</v>
      </c>
      <c r="O180" s="65">
        <v>47</v>
      </c>
      <c r="P180" s="65">
        <v>22</v>
      </c>
      <c r="Q180" s="65">
        <v>0</v>
      </c>
      <c r="R180" s="65">
        <f t="shared" si="2"/>
        <v>69</v>
      </c>
      <c r="S180" s="64">
        <v>1</v>
      </c>
      <c r="T180" s="62" t="s">
        <v>775</v>
      </c>
    </row>
    <row r="181" spans="1:20" ht="23.25" customHeight="1">
      <c r="A181" s="63" t="s">
        <v>785</v>
      </c>
      <c r="B181" s="66">
        <v>2021</v>
      </c>
      <c r="C181" s="143" t="s">
        <v>52</v>
      </c>
      <c r="D181" s="66" t="s">
        <v>786</v>
      </c>
      <c r="E181" s="72" t="s">
        <v>787</v>
      </c>
      <c r="F181" s="73" t="s">
        <v>33</v>
      </c>
      <c r="G181" s="63" t="s">
        <v>13</v>
      </c>
      <c r="H181" s="80" t="s">
        <v>788</v>
      </c>
      <c r="I181" s="81">
        <v>44259</v>
      </c>
      <c r="J181" s="81">
        <v>44260</v>
      </c>
      <c r="K181" s="66" t="s">
        <v>41</v>
      </c>
      <c r="L181" s="68">
        <v>813.65</v>
      </c>
      <c r="M181" s="140">
        <v>4.9000000000000004</v>
      </c>
      <c r="N181" s="82">
        <v>48</v>
      </c>
      <c r="O181" s="67">
        <v>48</v>
      </c>
      <c r="P181" s="67">
        <v>0</v>
      </c>
      <c r="Q181" s="67">
        <v>0</v>
      </c>
      <c r="R181" s="67">
        <f t="shared" si="2"/>
        <v>48</v>
      </c>
      <c r="S181" s="66">
        <v>2.5</v>
      </c>
      <c r="T181" s="63" t="s">
        <v>789</v>
      </c>
    </row>
    <row r="182" spans="1:20" ht="23.25" customHeight="1">
      <c r="A182" s="62" t="s">
        <v>790</v>
      </c>
      <c r="B182" s="64">
        <v>2021</v>
      </c>
      <c r="C182" s="143" t="s">
        <v>52</v>
      </c>
      <c r="D182" s="64" t="s">
        <v>685</v>
      </c>
      <c r="E182" s="69" t="s">
        <v>791</v>
      </c>
      <c r="F182" s="71" t="s">
        <v>33</v>
      </c>
      <c r="G182" s="62" t="s">
        <v>22</v>
      </c>
      <c r="H182" s="78" t="s">
        <v>792</v>
      </c>
      <c r="I182" s="79">
        <v>44265</v>
      </c>
      <c r="J182" s="79">
        <v>44265</v>
      </c>
      <c r="K182" s="64" t="s">
        <v>45</v>
      </c>
      <c r="L182" s="70">
        <v>0</v>
      </c>
      <c r="M182" s="139">
        <v>4.9000000000000004</v>
      </c>
      <c r="N182" s="83">
        <v>19</v>
      </c>
      <c r="O182" s="65">
        <v>19</v>
      </c>
      <c r="P182" s="65">
        <v>0</v>
      </c>
      <c r="Q182" s="65">
        <v>0</v>
      </c>
      <c r="R182" s="65">
        <f t="shared" si="2"/>
        <v>19</v>
      </c>
      <c r="S182" s="64">
        <v>1.5</v>
      </c>
      <c r="T182" s="75" t="s">
        <v>793</v>
      </c>
    </row>
    <row r="183" spans="1:20" ht="23.25" customHeight="1">
      <c r="A183" s="63" t="s">
        <v>794</v>
      </c>
      <c r="B183" s="66">
        <v>2021</v>
      </c>
      <c r="C183" s="143" t="s">
        <v>52</v>
      </c>
      <c r="D183" s="66" t="s">
        <v>795</v>
      </c>
      <c r="E183" s="72" t="s">
        <v>796</v>
      </c>
      <c r="F183" s="73" t="s">
        <v>48</v>
      </c>
      <c r="G183" s="63" t="s">
        <v>15</v>
      </c>
      <c r="H183" s="80" t="s">
        <v>797</v>
      </c>
      <c r="I183" s="81">
        <v>44280</v>
      </c>
      <c r="J183" s="81">
        <v>44280</v>
      </c>
      <c r="K183" s="66" t="s">
        <v>41</v>
      </c>
      <c r="L183" s="68">
        <v>600</v>
      </c>
      <c r="M183" s="140">
        <v>5</v>
      </c>
      <c r="N183" s="82">
        <v>73</v>
      </c>
      <c r="O183" s="67">
        <v>0</v>
      </c>
      <c r="P183" s="67">
        <v>0</v>
      </c>
      <c r="Q183" s="67">
        <v>73</v>
      </c>
      <c r="R183" s="67">
        <f t="shared" si="2"/>
        <v>73</v>
      </c>
      <c r="S183" s="66">
        <v>1.5</v>
      </c>
      <c r="T183" s="63" t="s">
        <v>134</v>
      </c>
    </row>
    <row r="184" spans="1:20" ht="23.25" customHeight="1">
      <c r="A184" s="62" t="s">
        <v>798</v>
      </c>
      <c r="B184" s="64">
        <v>2021</v>
      </c>
      <c r="C184" s="143" t="s">
        <v>52</v>
      </c>
      <c r="D184" s="64" t="s">
        <v>799</v>
      </c>
      <c r="E184" s="69" t="s">
        <v>800</v>
      </c>
      <c r="F184" s="71" t="s">
        <v>33</v>
      </c>
      <c r="G184" s="62" t="s">
        <v>29</v>
      </c>
      <c r="H184" s="78" t="s">
        <v>801</v>
      </c>
      <c r="I184" s="79">
        <v>44285</v>
      </c>
      <c r="J184" s="79">
        <v>44286</v>
      </c>
      <c r="K184" s="64" t="s">
        <v>41</v>
      </c>
      <c r="L184" s="70">
        <v>0</v>
      </c>
      <c r="M184" s="139">
        <v>4.5999999999999996</v>
      </c>
      <c r="N184" s="83">
        <v>94</v>
      </c>
      <c r="O184" s="65">
        <v>94</v>
      </c>
      <c r="P184" s="65">
        <v>0</v>
      </c>
      <c r="Q184" s="65">
        <v>0</v>
      </c>
      <c r="R184" s="65">
        <f t="shared" si="2"/>
        <v>94</v>
      </c>
      <c r="S184" s="64">
        <v>1</v>
      </c>
      <c r="T184" s="62" t="s">
        <v>802</v>
      </c>
    </row>
    <row r="185" spans="1:20" ht="23.25" customHeight="1">
      <c r="A185" s="63" t="s">
        <v>803</v>
      </c>
      <c r="B185" s="66">
        <v>2021</v>
      </c>
      <c r="C185" s="143" t="s">
        <v>52</v>
      </c>
      <c r="D185" s="66" t="s">
        <v>804</v>
      </c>
      <c r="E185" s="72" t="s">
        <v>390</v>
      </c>
      <c r="F185" s="73" t="s">
        <v>33</v>
      </c>
      <c r="G185" s="63" t="s">
        <v>35</v>
      </c>
      <c r="H185" s="80" t="s">
        <v>805</v>
      </c>
      <c r="I185" s="81">
        <v>44298</v>
      </c>
      <c r="J185" s="81">
        <v>44308</v>
      </c>
      <c r="K185" s="66" t="s">
        <v>41</v>
      </c>
      <c r="L185" s="68">
        <v>7885.9</v>
      </c>
      <c r="M185" s="140">
        <v>4.3</v>
      </c>
      <c r="N185" s="82">
        <v>42</v>
      </c>
      <c r="O185" s="67">
        <v>42</v>
      </c>
      <c r="P185" s="67">
        <v>0</v>
      </c>
      <c r="Q185" s="67">
        <v>0</v>
      </c>
      <c r="R185" s="67">
        <f t="shared" si="2"/>
        <v>42</v>
      </c>
      <c r="S185" s="66">
        <v>20</v>
      </c>
      <c r="T185" s="63" t="s">
        <v>3135</v>
      </c>
    </row>
    <row r="186" spans="1:20" ht="23.25" customHeight="1">
      <c r="A186" s="62" t="s">
        <v>806</v>
      </c>
      <c r="B186" s="64">
        <v>2021</v>
      </c>
      <c r="C186" s="143" t="s">
        <v>52</v>
      </c>
      <c r="D186" s="64" t="s">
        <v>807</v>
      </c>
      <c r="E186" s="69" t="s">
        <v>808</v>
      </c>
      <c r="F186" s="71" t="s">
        <v>33</v>
      </c>
      <c r="G186" s="62" t="s">
        <v>32</v>
      </c>
      <c r="H186" s="78" t="s">
        <v>809</v>
      </c>
      <c r="I186" s="79">
        <v>44298</v>
      </c>
      <c r="J186" s="79">
        <v>44302</v>
      </c>
      <c r="K186" s="64" t="s">
        <v>45</v>
      </c>
      <c r="L186" s="70">
        <v>5980</v>
      </c>
      <c r="M186" s="139">
        <v>4.5999999999999996</v>
      </c>
      <c r="N186" s="83">
        <v>30</v>
      </c>
      <c r="O186" s="65">
        <v>32</v>
      </c>
      <c r="P186" s="65">
        <v>0</v>
      </c>
      <c r="Q186" s="65">
        <v>0</v>
      </c>
      <c r="R186" s="65">
        <f t="shared" si="2"/>
        <v>32</v>
      </c>
      <c r="S186" s="64">
        <v>15</v>
      </c>
      <c r="T186" s="62" t="s">
        <v>810</v>
      </c>
    </row>
    <row r="187" spans="1:20" ht="23.25" customHeight="1">
      <c r="A187" s="63" t="s">
        <v>811</v>
      </c>
      <c r="B187" s="66">
        <v>2021</v>
      </c>
      <c r="C187" s="143" t="s">
        <v>52</v>
      </c>
      <c r="D187" s="66" t="s">
        <v>812</v>
      </c>
      <c r="E187" s="72" t="s">
        <v>813</v>
      </c>
      <c r="F187" s="73" t="s">
        <v>33</v>
      </c>
      <c r="G187" s="63" t="s">
        <v>13</v>
      </c>
      <c r="H187" s="80" t="s">
        <v>814</v>
      </c>
      <c r="I187" s="81">
        <v>44312</v>
      </c>
      <c r="J187" s="81">
        <v>44316</v>
      </c>
      <c r="K187" s="66" t="s">
        <v>41</v>
      </c>
      <c r="L187" s="68">
        <v>5384.72</v>
      </c>
      <c r="M187" s="140">
        <v>4.5999999999999996</v>
      </c>
      <c r="N187" s="82">
        <v>20</v>
      </c>
      <c r="O187" s="67">
        <v>12</v>
      </c>
      <c r="P187" s="67">
        <v>10</v>
      </c>
      <c r="Q187" s="67">
        <v>0</v>
      </c>
      <c r="R187" s="67">
        <f t="shared" si="2"/>
        <v>22</v>
      </c>
      <c r="S187" s="66">
        <v>12</v>
      </c>
      <c r="T187" s="63" t="s">
        <v>569</v>
      </c>
    </row>
    <row r="188" spans="1:20" ht="23.25" customHeight="1">
      <c r="A188" s="62" t="s">
        <v>815</v>
      </c>
      <c r="B188" s="64">
        <v>2021</v>
      </c>
      <c r="C188" s="143" t="s">
        <v>52</v>
      </c>
      <c r="D188" s="64" t="s">
        <v>816</v>
      </c>
      <c r="E188" s="69" t="s">
        <v>817</v>
      </c>
      <c r="F188" s="71" t="s">
        <v>44</v>
      </c>
      <c r="G188" s="62" t="s">
        <v>15</v>
      </c>
      <c r="H188" s="78" t="s">
        <v>818</v>
      </c>
      <c r="I188" s="79">
        <v>44313</v>
      </c>
      <c r="J188" s="79">
        <v>44322</v>
      </c>
      <c r="K188" s="64" t="s">
        <v>41</v>
      </c>
      <c r="L188" s="70">
        <f>435.64+3285.26</f>
        <v>3720.9</v>
      </c>
      <c r="M188" s="139">
        <v>4.5</v>
      </c>
      <c r="N188" s="83">
        <v>590</v>
      </c>
      <c r="O188" s="65">
        <v>0</v>
      </c>
      <c r="P188" s="65">
        <v>590</v>
      </c>
      <c r="Q188" s="65">
        <v>0</v>
      </c>
      <c r="R188" s="65">
        <f t="shared" si="2"/>
        <v>590</v>
      </c>
      <c r="S188" s="64">
        <v>20</v>
      </c>
      <c r="T188" s="62" t="s">
        <v>819</v>
      </c>
    </row>
    <row r="189" spans="1:20" ht="23.25" customHeight="1">
      <c r="A189" s="63" t="s">
        <v>820</v>
      </c>
      <c r="B189" s="66">
        <v>2021</v>
      </c>
      <c r="C189" s="143" t="s">
        <v>52</v>
      </c>
      <c r="D189" s="66" t="s">
        <v>821</v>
      </c>
      <c r="E189" s="72" t="s">
        <v>673</v>
      </c>
      <c r="F189" s="73" t="s">
        <v>33</v>
      </c>
      <c r="G189" s="63" t="s">
        <v>13</v>
      </c>
      <c r="H189" s="80" t="s">
        <v>822</v>
      </c>
      <c r="I189" s="81">
        <v>44319</v>
      </c>
      <c r="J189" s="81">
        <v>44344</v>
      </c>
      <c r="K189" s="66" t="s">
        <v>41</v>
      </c>
      <c r="L189" s="68">
        <f>394*20</f>
        <v>7880</v>
      </c>
      <c r="M189" s="140">
        <v>4.7</v>
      </c>
      <c r="N189" s="82">
        <v>40</v>
      </c>
      <c r="O189" s="67">
        <v>41</v>
      </c>
      <c r="P189" s="67">
        <v>0</v>
      </c>
      <c r="Q189" s="67">
        <v>0</v>
      </c>
      <c r="R189" s="67">
        <f t="shared" si="2"/>
        <v>41</v>
      </c>
      <c r="S189" s="66">
        <v>20</v>
      </c>
      <c r="T189" s="63" t="s">
        <v>823</v>
      </c>
    </row>
    <row r="190" spans="1:20" ht="23.25" customHeight="1">
      <c r="A190" s="62" t="s">
        <v>824</v>
      </c>
      <c r="B190" s="64">
        <v>2021</v>
      </c>
      <c r="C190" s="143" t="s">
        <v>52</v>
      </c>
      <c r="D190" s="64" t="s">
        <v>825</v>
      </c>
      <c r="E190" s="69" t="s">
        <v>826</v>
      </c>
      <c r="F190" s="71" t="s">
        <v>33</v>
      </c>
      <c r="G190" s="62" t="s">
        <v>29</v>
      </c>
      <c r="H190" s="92">
        <v>44382</v>
      </c>
      <c r="I190" s="79">
        <v>44323</v>
      </c>
      <c r="J190" s="79">
        <v>44323</v>
      </c>
      <c r="K190" s="64" t="s">
        <v>45</v>
      </c>
      <c r="L190" s="70">
        <v>0</v>
      </c>
      <c r="M190" s="139">
        <v>4.5999999999999996</v>
      </c>
      <c r="N190" s="83">
        <v>80</v>
      </c>
      <c r="O190" s="65">
        <v>80</v>
      </c>
      <c r="P190" s="65">
        <v>0</v>
      </c>
      <c r="Q190" s="65">
        <v>0</v>
      </c>
      <c r="R190" s="65">
        <f t="shared" si="2"/>
        <v>80</v>
      </c>
      <c r="S190" s="64">
        <v>1.5</v>
      </c>
      <c r="T190" s="62" t="s">
        <v>827</v>
      </c>
    </row>
    <row r="191" spans="1:20" ht="23.25" customHeight="1">
      <c r="A191" s="63" t="s">
        <v>828</v>
      </c>
      <c r="B191" s="66">
        <v>2021</v>
      </c>
      <c r="C191" s="143" t="s">
        <v>52</v>
      </c>
      <c r="D191" s="66" t="s">
        <v>829</v>
      </c>
      <c r="E191" s="72" t="s">
        <v>830</v>
      </c>
      <c r="F191" s="73" t="s">
        <v>48</v>
      </c>
      <c r="G191" s="63" t="s">
        <v>15</v>
      </c>
      <c r="H191" s="80" t="s">
        <v>831</v>
      </c>
      <c r="I191" s="81">
        <v>44325</v>
      </c>
      <c r="J191" s="81">
        <v>44325</v>
      </c>
      <c r="K191" s="66" t="s">
        <v>41</v>
      </c>
      <c r="L191" s="68">
        <f>11040</f>
        <v>11040</v>
      </c>
      <c r="M191" s="140">
        <v>5</v>
      </c>
      <c r="N191" s="82">
        <v>36</v>
      </c>
      <c r="O191" s="67">
        <v>0</v>
      </c>
      <c r="P191" s="67">
        <v>0</v>
      </c>
      <c r="Q191" s="67">
        <v>36</v>
      </c>
      <c r="R191" s="67">
        <f t="shared" si="2"/>
        <v>36</v>
      </c>
      <c r="S191" s="66">
        <v>2</v>
      </c>
      <c r="T191" s="63" t="s">
        <v>832</v>
      </c>
    </row>
    <row r="192" spans="1:20" ht="23.25" customHeight="1">
      <c r="A192" s="62" t="s">
        <v>833</v>
      </c>
      <c r="B192" s="64">
        <v>2021</v>
      </c>
      <c r="C192" s="143" t="s">
        <v>52</v>
      </c>
      <c r="D192" s="64" t="s">
        <v>834</v>
      </c>
      <c r="E192" s="69" t="s">
        <v>835</v>
      </c>
      <c r="F192" s="71" t="s">
        <v>33</v>
      </c>
      <c r="G192" s="62" t="s">
        <v>25</v>
      </c>
      <c r="H192" s="78" t="s">
        <v>836</v>
      </c>
      <c r="I192" s="79">
        <v>44326</v>
      </c>
      <c r="J192" s="79">
        <v>44330</v>
      </c>
      <c r="K192" s="64" t="s">
        <v>45</v>
      </c>
      <c r="L192" s="70">
        <v>19800</v>
      </c>
      <c r="M192" s="139">
        <v>4.5999999999999996</v>
      </c>
      <c r="N192" s="83">
        <v>80</v>
      </c>
      <c r="O192" s="65">
        <v>70</v>
      </c>
      <c r="P192" s="65">
        <v>0</v>
      </c>
      <c r="Q192" s="65">
        <v>0</v>
      </c>
      <c r="R192" s="65">
        <f t="shared" si="2"/>
        <v>70</v>
      </c>
      <c r="S192" s="64">
        <v>8</v>
      </c>
      <c r="T192" s="62" t="s">
        <v>837</v>
      </c>
    </row>
    <row r="193" spans="1:20" ht="23.25" customHeight="1">
      <c r="A193" s="63" t="s">
        <v>838</v>
      </c>
      <c r="B193" s="66">
        <v>2021</v>
      </c>
      <c r="C193" s="143" t="s">
        <v>52</v>
      </c>
      <c r="D193" s="66" t="s">
        <v>839</v>
      </c>
      <c r="E193" s="72" t="s">
        <v>840</v>
      </c>
      <c r="F193" s="73" t="s">
        <v>33</v>
      </c>
      <c r="G193" s="63" t="s">
        <v>32</v>
      </c>
      <c r="H193" s="80" t="s">
        <v>841</v>
      </c>
      <c r="I193" s="81">
        <v>44327</v>
      </c>
      <c r="J193" s="81">
        <v>44336</v>
      </c>
      <c r="K193" s="66" t="s">
        <v>45</v>
      </c>
      <c r="L193" s="68">
        <v>5980</v>
      </c>
      <c r="M193" s="140">
        <v>4.8</v>
      </c>
      <c r="N193" s="82">
        <v>30</v>
      </c>
      <c r="O193" s="67">
        <v>21</v>
      </c>
      <c r="P193" s="67">
        <v>0</v>
      </c>
      <c r="Q193" s="67">
        <v>0</v>
      </c>
      <c r="R193" s="67">
        <f t="shared" si="2"/>
        <v>21</v>
      </c>
      <c r="S193" s="66">
        <v>15</v>
      </c>
      <c r="T193" s="63" t="s">
        <v>880</v>
      </c>
    </row>
    <row r="194" spans="1:20" ht="23.25" customHeight="1">
      <c r="A194" s="62" t="s">
        <v>842</v>
      </c>
      <c r="B194" s="64">
        <v>2021</v>
      </c>
      <c r="C194" s="143" t="s">
        <v>52</v>
      </c>
      <c r="D194" s="64" t="s">
        <v>825</v>
      </c>
      <c r="E194" s="69" t="s">
        <v>843</v>
      </c>
      <c r="F194" s="71" t="s">
        <v>33</v>
      </c>
      <c r="G194" s="62" t="s">
        <v>25</v>
      </c>
      <c r="H194" s="78" t="s">
        <v>844</v>
      </c>
      <c r="I194" s="79">
        <v>44330</v>
      </c>
      <c r="J194" s="79">
        <v>44337</v>
      </c>
      <c r="K194" s="64" t="s">
        <v>45</v>
      </c>
      <c r="L194" s="70">
        <v>5800</v>
      </c>
      <c r="M194" s="139">
        <v>4.5</v>
      </c>
      <c r="N194" s="83">
        <v>24</v>
      </c>
      <c r="O194" s="65">
        <v>20</v>
      </c>
      <c r="P194" s="65">
        <v>0</v>
      </c>
      <c r="Q194" s="65">
        <v>0</v>
      </c>
      <c r="R194" s="65">
        <f t="shared" ref="R194:R257" si="3">SUM(O194:Q194)</f>
        <v>20</v>
      </c>
      <c r="S194" s="64">
        <v>14</v>
      </c>
      <c r="T194" s="62" t="s">
        <v>827</v>
      </c>
    </row>
    <row r="195" spans="1:20" ht="23.25" customHeight="1">
      <c r="A195" s="63" t="s">
        <v>845</v>
      </c>
      <c r="B195" s="66">
        <v>2021</v>
      </c>
      <c r="C195" s="143" t="s">
        <v>52</v>
      </c>
      <c r="D195" s="66" t="s">
        <v>821</v>
      </c>
      <c r="E195" s="72" t="s">
        <v>682</v>
      </c>
      <c r="F195" s="73" t="s">
        <v>33</v>
      </c>
      <c r="G195" s="63" t="s">
        <v>13</v>
      </c>
      <c r="H195" s="80" t="s">
        <v>846</v>
      </c>
      <c r="I195" s="81">
        <v>44340</v>
      </c>
      <c r="J195" s="81">
        <v>44344</v>
      </c>
      <c r="K195" s="66" t="s">
        <v>41</v>
      </c>
      <c r="L195" s="68">
        <v>5914.42</v>
      </c>
      <c r="M195" s="140">
        <v>4.7</v>
      </c>
      <c r="N195" s="82">
        <v>20</v>
      </c>
      <c r="O195" s="67">
        <v>28</v>
      </c>
      <c r="P195" s="67">
        <v>0</v>
      </c>
      <c r="Q195" s="67">
        <v>0</v>
      </c>
      <c r="R195" s="67">
        <f t="shared" si="3"/>
        <v>28</v>
      </c>
      <c r="S195" s="66">
        <v>20</v>
      </c>
      <c r="T195" s="63" t="s">
        <v>823</v>
      </c>
    </row>
    <row r="196" spans="1:20" ht="23.25" customHeight="1">
      <c r="A196" s="62" t="s">
        <v>847</v>
      </c>
      <c r="B196" s="64">
        <v>2021</v>
      </c>
      <c r="C196" s="143" t="s">
        <v>52</v>
      </c>
      <c r="D196" s="64" t="s">
        <v>848</v>
      </c>
      <c r="E196" s="69" t="s">
        <v>708</v>
      </c>
      <c r="F196" s="71" t="s">
        <v>33</v>
      </c>
      <c r="G196" s="62" t="s">
        <v>13</v>
      </c>
      <c r="H196" s="78" t="s">
        <v>849</v>
      </c>
      <c r="I196" s="79">
        <v>44341</v>
      </c>
      <c r="J196" s="79">
        <v>44357</v>
      </c>
      <c r="K196" s="64" t="s">
        <v>41</v>
      </c>
      <c r="L196" s="70">
        <v>10116.42</v>
      </c>
      <c r="M196" s="139">
        <v>4.5999999999999996</v>
      </c>
      <c r="N196" s="83">
        <v>20</v>
      </c>
      <c r="O196" s="65">
        <v>19</v>
      </c>
      <c r="P196" s="65">
        <v>6</v>
      </c>
      <c r="Q196" s="65">
        <v>0</v>
      </c>
      <c r="R196" s="65">
        <f t="shared" si="3"/>
        <v>25</v>
      </c>
      <c r="S196" s="64">
        <v>24</v>
      </c>
      <c r="T196" s="62" t="s">
        <v>850</v>
      </c>
    </row>
    <row r="197" spans="1:20" ht="23.25" customHeight="1">
      <c r="A197" s="63" t="s">
        <v>851</v>
      </c>
      <c r="B197" s="66">
        <v>2021</v>
      </c>
      <c r="C197" s="143" t="s">
        <v>52</v>
      </c>
      <c r="D197" s="66" t="s">
        <v>852</v>
      </c>
      <c r="E197" s="72" t="s">
        <v>853</v>
      </c>
      <c r="F197" s="73" t="s">
        <v>33</v>
      </c>
      <c r="G197" s="63" t="s">
        <v>25</v>
      </c>
      <c r="H197" s="80" t="s">
        <v>854</v>
      </c>
      <c r="I197" s="81">
        <v>44347</v>
      </c>
      <c r="J197" s="81">
        <v>44375</v>
      </c>
      <c r="K197" s="66" t="s">
        <v>45</v>
      </c>
      <c r="L197" s="68">
        <v>35700</v>
      </c>
      <c r="M197" s="140">
        <v>5</v>
      </c>
      <c r="N197" s="82">
        <v>15</v>
      </c>
      <c r="O197" s="67">
        <v>14</v>
      </c>
      <c r="P197" s="67">
        <v>0</v>
      </c>
      <c r="Q197" s="67">
        <v>0</v>
      </c>
      <c r="R197" s="67">
        <f t="shared" si="3"/>
        <v>14</v>
      </c>
      <c r="S197" s="66">
        <v>12</v>
      </c>
      <c r="T197" s="63" t="s">
        <v>855</v>
      </c>
    </row>
    <row r="198" spans="1:20" ht="23.25" customHeight="1">
      <c r="A198" s="62" t="s">
        <v>856</v>
      </c>
      <c r="B198" s="64">
        <v>2021</v>
      </c>
      <c r="C198" s="143" t="s">
        <v>52</v>
      </c>
      <c r="D198" s="64" t="s">
        <v>857</v>
      </c>
      <c r="E198" s="69" t="s">
        <v>858</v>
      </c>
      <c r="F198" s="71" t="s">
        <v>33</v>
      </c>
      <c r="G198" s="62" t="s">
        <v>10</v>
      </c>
      <c r="H198" s="92">
        <v>44233</v>
      </c>
      <c r="I198" s="79">
        <v>44349</v>
      </c>
      <c r="J198" s="79">
        <v>44349</v>
      </c>
      <c r="K198" s="64" t="s">
        <v>41</v>
      </c>
      <c r="L198" s="70">
        <v>390</v>
      </c>
      <c r="M198" s="139">
        <v>5</v>
      </c>
      <c r="N198" s="83">
        <v>46</v>
      </c>
      <c r="O198" s="65">
        <v>46</v>
      </c>
      <c r="P198" s="65">
        <v>0</v>
      </c>
      <c r="Q198" s="65">
        <v>0</v>
      </c>
      <c r="R198" s="65">
        <f t="shared" si="3"/>
        <v>46</v>
      </c>
      <c r="S198" s="64">
        <v>2</v>
      </c>
      <c r="T198" s="62" t="s">
        <v>604</v>
      </c>
    </row>
    <row r="199" spans="1:20" ht="23.25" customHeight="1">
      <c r="A199" s="63" t="s">
        <v>859</v>
      </c>
      <c r="B199" s="66">
        <v>2021</v>
      </c>
      <c r="C199" s="143" t="s">
        <v>52</v>
      </c>
      <c r="D199" s="66" t="s">
        <v>860</v>
      </c>
      <c r="E199" s="72" t="s">
        <v>861</v>
      </c>
      <c r="F199" s="73" t="s">
        <v>33</v>
      </c>
      <c r="G199" s="63" t="s">
        <v>32</v>
      </c>
      <c r="H199" s="80" t="s">
        <v>862</v>
      </c>
      <c r="I199" s="81">
        <v>44358</v>
      </c>
      <c r="J199" s="81">
        <v>44358</v>
      </c>
      <c r="K199" s="66" t="s">
        <v>41</v>
      </c>
      <c r="L199" s="93">
        <v>0</v>
      </c>
      <c r="M199" s="140">
        <v>5</v>
      </c>
      <c r="N199" s="82">
        <v>98</v>
      </c>
      <c r="O199" s="67">
        <v>98</v>
      </c>
      <c r="P199" s="67">
        <v>0</v>
      </c>
      <c r="Q199" s="67">
        <v>0</v>
      </c>
      <c r="R199" s="67">
        <f t="shared" si="3"/>
        <v>98</v>
      </c>
      <c r="S199" s="66">
        <v>2</v>
      </c>
      <c r="T199" s="63" t="s">
        <v>863</v>
      </c>
    </row>
    <row r="200" spans="1:20" ht="23.25" customHeight="1">
      <c r="A200" s="62" t="s">
        <v>864</v>
      </c>
      <c r="B200" s="64">
        <v>2021</v>
      </c>
      <c r="C200" s="143" t="s">
        <v>52</v>
      </c>
      <c r="D200" s="64" t="s">
        <v>865</v>
      </c>
      <c r="E200" s="69" t="s">
        <v>866</v>
      </c>
      <c r="F200" s="71" t="s">
        <v>48</v>
      </c>
      <c r="G200" s="62" t="s">
        <v>15</v>
      </c>
      <c r="H200" s="78" t="s">
        <v>867</v>
      </c>
      <c r="I200" s="79">
        <v>44361</v>
      </c>
      <c r="J200" s="79">
        <v>44365</v>
      </c>
      <c r="K200" s="64" t="s">
        <v>41</v>
      </c>
      <c r="L200" s="70">
        <v>5384.88</v>
      </c>
      <c r="M200" s="139">
        <v>4.8</v>
      </c>
      <c r="N200" s="83">
        <v>40</v>
      </c>
      <c r="O200" s="65">
        <v>6</v>
      </c>
      <c r="P200" s="65">
        <v>0</v>
      </c>
      <c r="Q200" s="65">
        <v>44</v>
      </c>
      <c r="R200" s="65">
        <f t="shared" si="3"/>
        <v>50</v>
      </c>
      <c r="S200" s="64">
        <v>9</v>
      </c>
      <c r="T200" s="62" t="s">
        <v>868</v>
      </c>
    </row>
    <row r="201" spans="1:20" ht="23.25" customHeight="1">
      <c r="A201" s="63" t="s">
        <v>869</v>
      </c>
      <c r="B201" s="66">
        <v>2021</v>
      </c>
      <c r="C201" s="143" t="s">
        <v>52</v>
      </c>
      <c r="D201" s="66" t="s">
        <v>807</v>
      </c>
      <c r="E201" s="72" t="s">
        <v>870</v>
      </c>
      <c r="F201" s="73" t="s">
        <v>33</v>
      </c>
      <c r="G201" s="63" t="s">
        <v>32</v>
      </c>
      <c r="H201" s="80" t="s">
        <v>871</v>
      </c>
      <c r="I201" s="81">
        <v>44361</v>
      </c>
      <c r="J201" s="81">
        <v>44365</v>
      </c>
      <c r="K201" s="66" t="s">
        <v>45</v>
      </c>
      <c r="L201" s="68">
        <v>5980</v>
      </c>
      <c r="M201" s="140">
        <v>4.8</v>
      </c>
      <c r="N201" s="82">
        <v>30</v>
      </c>
      <c r="O201" s="67">
        <v>17</v>
      </c>
      <c r="P201" s="67">
        <v>0</v>
      </c>
      <c r="Q201" s="67">
        <v>0</v>
      </c>
      <c r="R201" s="67">
        <f t="shared" si="3"/>
        <v>17</v>
      </c>
      <c r="S201" s="66">
        <v>15</v>
      </c>
      <c r="T201" s="63" t="s">
        <v>810</v>
      </c>
    </row>
    <row r="202" spans="1:20" ht="23.25" customHeight="1">
      <c r="A202" s="62" t="s">
        <v>872</v>
      </c>
      <c r="B202" s="64">
        <v>2021</v>
      </c>
      <c r="C202" s="143" t="s">
        <v>52</v>
      </c>
      <c r="D202" s="64" t="s">
        <v>873</v>
      </c>
      <c r="E202" s="69" t="s">
        <v>874</v>
      </c>
      <c r="F202" s="71" t="s">
        <v>33</v>
      </c>
      <c r="G202" s="62" t="s">
        <v>25</v>
      </c>
      <c r="H202" s="78" t="s">
        <v>875</v>
      </c>
      <c r="I202" s="79">
        <v>44385</v>
      </c>
      <c r="J202" s="79">
        <v>44396</v>
      </c>
      <c r="K202" s="64" t="s">
        <v>45</v>
      </c>
      <c r="L202" s="94">
        <v>37800</v>
      </c>
      <c r="M202" s="139">
        <v>4.5999999999999996</v>
      </c>
      <c r="N202" s="83">
        <v>80</v>
      </c>
      <c r="O202" s="65">
        <v>43</v>
      </c>
      <c r="P202" s="65">
        <v>10</v>
      </c>
      <c r="Q202" s="65">
        <v>0</v>
      </c>
      <c r="R202" s="65">
        <f t="shared" si="3"/>
        <v>53</v>
      </c>
      <c r="S202" s="64">
        <v>8</v>
      </c>
      <c r="T202" s="62" t="s">
        <v>876</v>
      </c>
    </row>
    <row r="203" spans="1:20" ht="23.25" customHeight="1">
      <c r="A203" s="63" t="s">
        <v>877</v>
      </c>
      <c r="B203" s="66">
        <v>2021</v>
      </c>
      <c r="C203" s="143" t="s">
        <v>52</v>
      </c>
      <c r="D203" s="66" t="s">
        <v>839</v>
      </c>
      <c r="E203" s="72" t="s">
        <v>878</v>
      </c>
      <c r="F203" s="73" t="s">
        <v>33</v>
      </c>
      <c r="G203" s="63" t="s">
        <v>32</v>
      </c>
      <c r="H203" s="80" t="s">
        <v>879</v>
      </c>
      <c r="I203" s="81">
        <v>44389</v>
      </c>
      <c r="J203" s="81">
        <v>44393</v>
      </c>
      <c r="K203" s="66" t="s">
        <v>45</v>
      </c>
      <c r="L203" s="68">
        <v>5980</v>
      </c>
      <c r="M203" s="140">
        <v>4.5999999999999996</v>
      </c>
      <c r="N203" s="82">
        <v>30</v>
      </c>
      <c r="O203" s="67">
        <v>16</v>
      </c>
      <c r="P203" s="67">
        <v>0</v>
      </c>
      <c r="Q203" s="67">
        <v>0</v>
      </c>
      <c r="R203" s="67">
        <f t="shared" si="3"/>
        <v>16</v>
      </c>
      <c r="S203" s="66">
        <v>15</v>
      </c>
      <c r="T203" s="63" t="s">
        <v>880</v>
      </c>
    </row>
    <row r="204" spans="1:20" ht="23.25" customHeight="1">
      <c r="A204" s="62" t="s">
        <v>881</v>
      </c>
      <c r="B204" s="64">
        <v>2021</v>
      </c>
      <c r="C204" s="143" t="s">
        <v>52</v>
      </c>
      <c r="D204" s="64" t="s">
        <v>882</v>
      </c>
      <c r="E204" s="69" t="s">
        <v>883</v>
      </c>
      <c r="F204" s="71" t="s">
        <v>48</v>
      </c>
      <c r="G204" s="62" t="s">
        <v>15</v>
      </c>
      <c r="H204" s="78" t="s">
        <v>884</v>
      </c>
      <c r="I204" s="79">
        <v>44397</v>
      </c>
      <c r="J204" s="79">
        <v>44399</v>
      </c>
      <c r="K204" s="64" t="s">
        <v>45</v>
      </c>
      <c r="L204" s="70">
        <v>4750</v>
      </c>
      <c r="M204" s="139">
        <v>4.5999999999999996</v>
      </c>
      <c r="N204" s="83">
        <v>40</v>
      </c>
      <c r="O204" s="65">
        <v>0</v>
      </c>
      <c r="P204" s="65">
        <v>0</v>
      </c>
      <c r="Q204" s="65">
        <v>59</v>
      </c>
      <c r="R204" s="65">
        <f t="shared" si="3"/>
        <v>59</v>
      </c>
      <c r="S204" s="64">
        <v>12</v>
      </c>
      <c r="T204" s="62" t="s">
        <v>362</v>
      </c>
    </row>
    <row r="205" spans="1:20" ht="23.25" customHeight="1">
      <c r="A205" s="63" t="s">
        <v>885</v>
      </c>
      <c r="B205" s="66">
        <v>2021</v>
      </c>
      <c r="C205" s="143" t="s">
        <v>52</v>
      </c>
      <c r="D205" s="66" t="s">
        <v>860</v>
      </c>
      <c r="E205" s="72" t="s">
        <v>886</v>
      </c>
      <c r="F205" s="73" t="s">
        <v>33</v>
      </c>
      <c r="G205" s="63" t="s">
        <v>32</v>
      </c>
      <c r="H205" s="80" t="s">
        <v>887</v>
      </c>
      <c r="I205" s="81">
        <v>44400</v>
      </c>
      <c r="J205" s="81">
        <v>44400</v>
      </c>
      <c r="K205" s="66" t="s">
        <v>41</v>
      </c>
      <c r="L205" s="68">
        <v>0</v>
      </c>
      <c r="M205" s="140">
        <v>5</v>
      </c>
      <c r="N205" s="82">
        <v>76</v>
      </c>
      <c r="O205" s="67">
        <v>76</v>
      </c>
      <c r="P205" s="67">
        <v>0</v>
      </c>
      <c r="Q205" s="67">
        <v>0</v>
      </c>
      <c r="R205" s="67">
        <f t="shared" si="3"/>
        <v>76</v>
      </c>
      <c r="S205" s="66">
        <v>2</v>
      </c>
      <c r="T205" s="63" t="s">
        <v>863</v>
      </c>
    </row>
    <row r="206" spans="1:20" ht="23.25" customHeight="1">
      <c r="A206" s="62" t="s">
        <v>888</v>
      </c>
      <c r="B206" s="64">
        <v>2021</v>
      </c>
      <c r="C206" s="143" t="s">
        <v>52</v>
      </c>
      <c r="D206" s="64" t="s">
        <v>889</v>
      </c>
      <c r="E206" s="69" t="s">
        <v>890</v>
      </c>
      <c r="F206" s="71" t="s">
        <v>33</v>
      </c>
      <c r="G206" s="62" t="s">
        <v>10</v>
      </c>
      <c r="H206" s="92" t="s">
        <v>891</v>
      </c>
      <c r="I206" s="79">
        <v>44407</v>
      </c>
      <c r="J206" s="79">
        <v>44407</v>
      </c>
      <c r="K206" s="64" t="s">
        <v>41</v>
      </c>
      <c r="L206" s="70">
        <v>897.48</v>
      </c>
      <c r="M206" s="139">
        <v>5</v>
      </c>
      <c r="N206" s="83">
        <v>33</v>
      </c>
      <c r="O206" s="65">
        <v>33</v>
      </c>
      <c r="P206" s="65">
        <v>0</v>
      </c>
      <c r="Q206" s="65">
        <v>0</v>
      </c>
      <c r="R206" s="65">
        <f t="shared" si="3"/>
        <v>33</v>
      </c>
      <c r="S206" s="64">
        <v>2</v>
      </c>
      <c r="T206" s="75" t="s">
        <v>248</v>
      </c>
    </row>
    <row r="207" spans="1:20" ht="23.25" customHeight="1">
      <c r="A207" s="63" t="s">
        <v>892</v>
      </c>
      <c r="B207" s="66">
        <v>2021</v>
      </c>
      <c r="C207" s="143" t="s">
        <v>52</v>
      </c>
      <c r="D207" s="66" t="s">
        <v>893</v>
      </c>
      <c r="E207" s="72" t="s">
        <v>894</v>
      </c>
      <c r="F207" s="73" t="s">
        <v>33</v>
      </c>
      <c r="G207" s="63" t="s">
        <v>25</v>
      </c>
      <c r="H207" s="80" t="s">
        <v>895</v>
      </c>
      <c r="I207" s="81">
        <v>44413</v>
      </c>
      <c r="J207" s="81">
        <v>44414</v>
      </c>
      <c r="K207" s="66" t="s">
        <v>45</v>
      </c>
      <c r="L207" s="68">
        <v>19800</v>
      </c>
      <c r="M207" s="140">
        <v>4.5</v>
      </c>
      <c r="N207" s="82">
        <v>80</v>
      </c>
      <c r="O207" s="67">
        <v>16</v>
      </c>
      <c r="P207" s="67">
        <v>42</v>
      </c>
      <c r="Q207" s="67">
        <v>0</v>
      </c>
      <c r="R207" s="67">
        <f t="shared" si="3"/>
        <v>58</v>
      </c>
      <c r="S207" s="66">
        <v>8</v>
      </c>
      <c r="T207" s="63" t="s">
        <v>896</v>
      </c>
    </row>
    <row r="208" spans="1:20" ht="23.25" customHeight="1">
      <c r="A208" s="62" t="s">
        <v>897</v>
      </c>
      <c r="B208" s="64">
        <v>2021</v>
      </c>
      <c r="C208" s="143" t="s">
        <v>52</v>
      </c>
      <c r="D208" s="64" t="s">
        <v>865</v>
      </c>
      <c r="E208" s="69" t="s">
        <v>898</v>
      </c>
      <c r="F208" s="71" t="s">
        <v>48</v>
      </c>
      <c r="G208" s="62" t="s">
        <v>15</v>
      </c>
      <c r="H208" s="78" t="s">
        <v>899</v>
      </c>
      <c r="I208" s="79">
        <v>44417</v>
      </c>
      <c r="J208" s="79">
        <v>44421</v>
      </c>
      <c r="K208" s="64" t="s">
        <v>41</v>
      </c>
      <c r="L208" s="70">
        <v>5384.88</v>
      </c>
      <c r="M208" s="139">
        <v>4.5999999999999996</v>
      </c>
      <c r="N208" s="83">
        <v>40</v>
      </c>
      <c r="O208" s="65">
        <v>2</v>
      </c>
      <c r="P208" s="65">
        <v>21</v>
      </c>
      <c r="Q208" s="65">
        <v>37</v>
      </c>
      <c r="R208" s="65">
        <f t="shared" si="3"/>
        <v>60</v>
      </c>
      <c r="S208" s="64">
        <v>9</v>
      </c>
      <c r="T208" s="62" t="s">
        <v>868</v>
      </c>
    </row>
    <row r="209" spans="1:20" ht="23.25" customHeight="1">
      <c r="A209" s="63" t="s">
        <v>900</v>
      </c>
      <c r="B209" s="66">
        <v>2021</v>
      </c>
      <c r="C209" s="143" t="s">
        <v>52</v>
      </c>
      <c r="D209" s="66" t="s">
        <v>901</v>
      </c>
      <c r="E209" s="72" t="s">
        <v>902</v>
      </c>
      <c r="F209" s="73" t="s">
        <v>33</v>
      </c>
      <c r="G209" s="63" t="s">
        <v>22</v>
      </c>
      <c r="H209" s="80" t="s">
        <v>903</v>
      </c>
      <c r="I209" s="81">
        <v>44417</v>
      </c>
      <c r="J209" s="81">
        <v>44421</v>
      </c>
      <c r="K209" s="66" t="s">
        <v>45</v>
      </c>
      <c r="L209" s="68">
        <v>2125.79</v>
      </c>
      <c r="M209" s="140">
        <v>4.7</v>
      </c>
      <c r="N209" s="82">
        <v>20</v>
      </c>
      <c r="O209" s="67">
        <v>13</v>
      </c>
      <c r="P209" s="67">
        <v>0</v>
      </c>
      <c r="Q209" s="67">
        <v>0</v>
      </c>
      <c r="R209" s="67">
        <f t="shared" si="3"/>
        <v>13</v>
      </c>
      <c r="S209" s="66">
        <v>20</v>
      </c>
      <c r="T209" s="63" t="s">
        <v>693</v>
      </c>
    </row>
    <row r="210" spans="1:20" ht="23.25" customHeight="1">
      <c r="A210" s="62" t="s">
        <v>904</v>
      </c>
      <c r="B210" s="64">
        <v>2021</v>
      </c>
      <c r="C210" s="143" t="s">
        <v>52</v>
      </c>
      <c r="D210" s="64" t="s">
        <v>905</v>
      </c>
      <c r="E210" s="69" t="s">
        <v>906</v>
      </c>
      <c r="F210" s="71" t="s">
        <v>33</v>
      </c>
      <c r="G210" s="62" t="s">
        <v>22</v>
      </c>
      <c r="H210" s="78" t="s">
        <v>907</v>
      </c>
      <c r="I210" s="79">
        <v>44421</v>
      </c>
      <c r="J210" s="79">
        <v>44442</v>
      </c>
      <c r="K210" s="64" t="s">
        <v>45</v>
      </c>
      <c r="L210" s="70">
        <v>0</v>
      </c>
      <c r="M210" s="139">
        <v>3.5</v>
      </c>
      <c r="N210" s="83">
        <v>40</v>
      </c>
      <c r="O210" s="65">
        <v>14</v>
      </c>
      <c r="P210" s="65">
        <v>0</v>
      </c>
      <c r="Q210" s="65">
        <v>0</v>
      </c>
      <c r="R210" s="65">
        <f t="shared" si="3"/>
        <v>14</v>
      </c>
      <c r="S210" s="64">
        <v>8</v>
      </c>
      <c r="T210" s="62" t="s">
        <v>908</v>
      </c>
    </row>
    <row r="211" spans="1:20" ht="23.25" customHeight="1">
      <c r="A211" s="63" t="s">
        <v>909</v>
      </c>
      <c r="B211" s="66">
        <v>2021</v>
      </c>
      <c r="C211" s="143" t="s">
        <v>52</v>
      </c>
      <c r="D211" s="66" t="s">
        <v>910</v>
      </c>
      <c r="E211" s="72" t="s">
        <v>911</v>
      </c>
      <c r="F211" s="73" t="s">
        <v>44</v>
      </c>
      <c r="G211" s="63" t="s">
        <v>15</v>
      </c>
      <c r="H211" s="80" t="s">
        <v>912</v>
      </c>
      <c r="I211" s="81">
        <v>44424</v>
      </c>
      <c r="J211" s="81">
        <v>44427</v>
      </c>
      <c r="K211" s="66" t="s">
        <v>41</v>
      </c>
      <c r="L211" s="68">
        <v>9210.7800000000007</v>
      </c>
      <c r="M211" s="140">
        <v>4.5</v>
      </c>
      <c r="N211" s="82">
        <v>40</v>
      </c>
      <c r="O211" s="67">
        <v>1</v>
      </c>
      <c r="P211" s="67">
        <v>52</v>
      </c>
      <c r="Q211" s="67">
        <v>0</v>
      </c>
      <c r="R211" s="67">
        <f t="shared" si="3"/>
        <v>53</v>
      </c>
      <c r="S211" s="66">
        <v>16</v>
      </c>
      <c r="T211" s="63" t="s">
        <v>438</v>
      </c>
    </row>
    <row r="212" spans="1:20" ht="23.25" customHeight="1">
      <c r="A212" s="62" t="s">
        <v>913</v>
      </c>
      <c r="B212" s="64">
        <v>2021</v>
      </c>
      <c r="C212" s="143" t="s">
        <v>52</v>
      </c>
      <c r="D212" s="64" t="s">
        <v>914</v>
      </c>
      <c r="E212" s="69" t="s">
        <v>915</v>
      </c>
      <c r="F212" s="71" t="s">
        <v>33</v>
      </c>
      <c r="G212" s="62" t="s">
        <v>25</v>
      </c>
      <c r="H212" s="78" t="s">
        <v>916</v>
      </c>
      <c r="I212" s="79">
        <v>44431</v>
      </c>
      <c r="J212" s="79">
        <v>44431</v>
      </c>
      <c r="K212" s="64" t="s">
        <v>45</v>
      </c>
      <c r="L212" s="70">
        <v>0</v>
      </c>
      <c r="M212" s="139">
        <v>4.8</v>
      </c>
      <c r="N212" s="83">
        <v>105</v>
      </c>
      <c r="O212" s="65">
        <v>105</v>
      </c>
      <c r="P212" s="65">
        <v>0</v>
      </c>
      <c r="Q212" s="65">
        <v>0</v>
      </c>
      <c r="R212" s="65">
        <f t="shared" si="3"/>
        <v>105</v>
      </c>
      <c r="S212" s="64">
        <v>1.5</v>
      </c>
      <c r="T212" s="62" t="s">
        <v>917</v>
      </c>
    </row>
    <row r="213" spans="1:20" ht="23.25" customHeight="1">
      <c r="A213" s="63" t="s">
        <v>918</v>
      </c>
      <c r="B213" s="66">
        <v>2021</v>
      </c>
      <c r="C213" s="143" t="s">
        <v>52</v>
      </c>
      <c r="D213" s="66" t="s">
        <v>919</v>
      </c>
      <c r="E213" s="72" t="s">
        <v>920</v>
      </c>
      <c r="F213" s="73" t="s">
        <v>44</v>
      </c>
      <c r="G213" s="63" t="s">
        <v>15</v>
      </c>
      <c r="H213" s="80" t="s">
        <v>921</v>
      </c>
      <c r="I213" s="81">
        <v>44438</v>
      </c>
      <c r="J213" s="81">
        <v>44439</v>
      </c>
      <c r="K213" s="66" t="s">
        <v>45</v>
      </c>
      <c r="L213" s="68">
        <v>0</v>
      </c>
      <c r="M213" s="140">
        <v>5</v>
      </c>
      <c r="N213" s="82">
        <v>635</v>
      </c>
      <c r="O213" s="67">
        <v>57</v>
      </c>
      <c r="P213" s="67">
        <v>431</v>
      </c>
      <c r="Q213" s="67">
        <v>147</v>
      </c>
      <c r="R213" s="67">
        <f t="shared" si="3"/>
        <v>635</v>
      </c>
      <c r="S213" s="66">
        <v>4</v>
      </c>
      <c r="T213" s="63" t="s">
        <v>3175</v>
      </c>
    </row>
    <row r="214" spans="1:20" ht="23.25" customHeight="1">
      <c r="A214" s="62" t="s">
        <v>922</v>
      </c>
      <c r="B214" s="64">
        <v>2021</v>
      </c>
      <c r="C214" s="143" t="s">
        <v>52</v>
      </c>
      <c r="D214" s="64" t="s">
        <v>923</v>
      </c>
      <c r="E214" s="69" t="s">
        <v>924</v>
      </c>
      <c r="F214" s="71" t="s">
        <v>44</v>
      </c>
      <c r="G214" s="62" t="s">
        <v>15</v>
      </c>
      <c r="H214" s="78" t="s">
        <v>925</v>
      </c>
      <c r="I214" s="79">
        <v>44440</v>
      </c>
      <c r="J214" s="79">
        <v>44440</v>
      </c>
      <c r="K214" s="64" t="s">
        <v>41</v>
      </c>
      <c r="L214" s="70">
        <v>1800</v>
      </c>
      <c r="M214" s="139">
        <v>5</v>
      </c>
      <c r="N214" s="83">
        <v>30</v>
      </c>
      <c r="O214" s="65">
        <v>6</v>
      </c>
      <c r="P214" s="65">
        <v>28</v>
      </c>
      <c r="Q214" s="65">
        <v>0</v>
      </c>
      <c r="R214" s="65">
        <f t="shared" si="3"/>
        <v>34</v>
      </c>
      <c r="S214" s="64">
        <v>2</v>
      </c>
      <c r="T214" s="62" t="s">
        <v>926</v>
      </c>
    </row>
    <row r="215" spans="1:20" ht="23.25" customHeight="1">
      <c r="A215" s="63" t="s">
        <v>927</v>
      </c>
      <c r="B215" s="66">
        <v>2021</v>
      </c>
      <c r="C215" s="143" t="s">
        <v>52</v>
      </c>
      <c r="D215" s="66" t="s">
        <v>928</v>
      </c>
      <c r="E215" s="72" t="s">
        <v>929</v>
      </c>
      <c r="F215" s="73" t="s">
        <v>44</v>
      </c>
      <c r="G215" s="63" t="s">
        <v>15</v>
      </c>
      <c r="H215" s="80" t="s">
        <v>925</v>
      </c>
      <c r="I215" s="81">
        <v>44440</v>
      </c>
      <c r="J215" s="81">
        <v>44440</v>
      </c>
      <c r="K215" s="66" t="s">
        <v>41</v>
      </c>
      <c r="L215" s="68">
        <v>1577.18</v>
      </c>
      <c r="M215" s="140">
        <v>5</v>
      </c>
      <c r="N215" s="82">
        <v>32</v>
      </c>
      <c r="O215" s="67">
        <v>5</v>
      </c>
      <c r="P215" s="67">
        <v>27</v>
      </c>
      <c r="Q215" s="67">
        <v>0</v>
      </c>
      <c r="R215" s="67">
        <f t="shared" si="3"/>
        <v>32</v>
      </c>
      <c r="S215" s="66">
        <v>4</v>
      </c>
      <c r="T215" s="63" t="s">
        <v>3032</v>
      </c>
    </row>
    <row r="216" spans="1:20" ht="23.25" customHeight="1">
      <c r="A216" s="62" t="s">
        <v>931</v>
      </c>
      <c r="B216" s="64">
        <v>2021</v>
      </c>
      <c r="C216" s="143" t="s">
        <v>52</v>
      </c>
      <c r="D216" s="64" t="s">
        <v>932</v>
      </c>
      <c r="E216" s="69" t="s">
        <v>933</v>
      </c>
      <c r="F216" s="71" t="s">
        <v>33</v>
      </c>
      <c r="G216" s="62" t="s">
        <v>35</v>
      </c>
      <c r="H216" s="78" t="s">
        <v>934</v>
      </c>
      <c r="I216" s="79">
        <v>44449</v>
      </c>
      <c r="J216" s="79">
        <v>44453</v>
      </c>
      <c r="K216" s="64" t="s">
        <v>41</v>
      </c>
      <c r="L216" s="70">
        <v>9000</v>
      </c>
      <c r="M216" s="139">
        <v>4.5999999999999996</v>
      </c>
      <c r="N216" s="83">
        <v>10</v>
      </c>
      <c r="O216" s="65">
        <v>10</v>
      </c>
      <c r="P216" s="65">
        <v>0</v>
      </c>
      <c r="Q216" s="65">
        <v>0</v>
      </c>
      <c r="R216" s="65">
        <f t="shared" si="3"/>
        <v>10</v>
      </c>
      <c r="S216" s="64">
        <v>10.5</v>
      </c>
      <c r="T216" s="62" t="s">
        <v>935</v>
      </c>
    </row>
    <row r="217" spans="1:20" ht="23.25" customHeight="1">
      <c r="A217" s="63" t="s">
        <v>936</v>
      </c>
      <c r="B217" s="66">
        <v>2021</v>
      </c>
      <c r="C217" s="143" t="s">
        <v>52</v>
      </c>
      <c r="D217" s="66" t="s">
        <v>901</v>
      </c>
      <c r="E217" s="72" t="s">
        <v>937</v>
      </c>
      <c r="F217" s="73" t="s">
        <v>33</v>
      </c>
      <c r="G217" s="63" t="s">
        <v>22</v>
      </c>
      <c r="H217" s="80" t="s">
        <v>938</v>
      </c>
      <c r="I217" s="81">
        <v>44459</v>
      </c>
      <c r="J217" s="81">
        <v>44463</v>
      </c>
      <c r="K217" s="66" t="s">
        <v>45</v>
      </c>
      <c r="L217" s="68">
        <v>2125.79</v>
      </c>
      <c r="M217" s="140">
        <v>4.5</v>
      </c>
      <c r="N217" s="82">
        <v>20</v>
      </c>
      <c r="O217" s="67">
        <v>16</v>
      </c>
      <c r="P217" s="67">
        <v>0</v>
      </c>
      <c r="Q217" s="67">
        <v>0</v>
      </c>
      <c r="R217" s="67">
        <f t="shared" si="3"/>
        <v>16</v>
      </c>
      <c r="S217" s="66">
        <v>20</v>
      </c>
      <c r="T217" s="63" t="s">
        <v>693</v>
      </c>
    </row>
    <row r="218" spans="1:20" ht="23.25" customHeight="1">
      <c r="A218" s="62" t="s">
        <v>939</v>
      </c>
      <c r="B218" s="64">
        <v>2021</v>
      </c>
      <c r="C218" s="143" t="s">
        <v>52</v>
      </c>
      <c r="D218" s="64" t="s">
        <v>940</v>
      </c>
      <c r="E218" s="69" t="s">
        <v>941</v>
      </c>
      <c r="F218" s="71" t="s">
        <v>33</v>
      </c>
      <c r="G218" s="62" t="s">
        <v>29</v>
      </c>
      <c r="H218" s="78" t="s">
        <v>942</v>
      </c>
      <c r="I218" s="79">
        <v>44460</v>
      </c>
      <c r="J218" s="79">
        <v>44473</v>
      </c>
      <c r="K218" s="64" t="s">
        <v>45</v>
      </c>
      <c r="L218" s="70">
        <v>6960</v>
      </c>
      <c r="M218" s="139">
        <v>4.5</v>
      </c>
      <c r="N218" s="83">
        <v>50</v>
      </c>
      <c r="O218" s="65">
        <v>20</v>
      </c>
      <c r="P218" s="65">
        <v>0</v>
      </c>
      <c r="Q218" s="65">
        <v>0</v>
      </c>
      <c r="R218" s="65">
        <f t="shared" si="3"/>
        <v>20</v>
      </c>
      <c r="S218" s="64">
        <v>8</v>
      </c>
      <c r="T218" s="62" t="s">
        <v>1047</v>
      </c>
    </row>
    <row r="219" spans="1:20" ht="23.25" customHeight="1">
      <c r="A219" s="63" t="s">
        <v>943</v>
      </c>
      <c r="B219" s="66">
        <v>2021</v>
      </c>
      <c r="C219" s="143" t="s">
        <v>52</v>
      </c>
      <c r="D219" s="66" t="s">
        <v>944</v>
      </c>
      <c r="E219" s="72" t="s">
        <v>945</v>
      </c>
      <c r="F219" s="73" t="s">
        <v>48</v>
      </c>
      <c r="G219" s="63" t="s">
        <v>15</v>
      </c>
      <c r="H219" s="80" t="s">
        <v>946</v>
      </c>
      <c r="I219" s="81">
        <v>44461</v>
      </c>
      <c r="J219" s="81">
        <v>44461</v>
      </c>
      <c r="K219" s="66" t="s">
        <v>41</v>
      </c>
      <c r="L219" s="68">
        <f>788.59/2</f>
        <v>394.29500000000002</v>
      </c>
      <c r="M219" s="140">
        <v>5</v>
      </c>
      <c r="N219" s="82">
        <v>59</v>
      </c>
      <c r="O219" s="67">
        <v>0</v>
      </c>
      <c r="P219" s="67">
        <v>0</v>
      </c>
      <c r="Q219" s="67">
        <v>59</v>
      </c>
      <c r="R219" s="67">
        <f t="shared" si="3"/>
        <v>59</v>
      </c>
      <c r="S219" s="66">
        <v>1</v>
      </c>
      <c r="T219" s="63" t="s">
        <v>947</v>
      </c>
    </row>
    <row r="220" spans="1:20" ht="23.25" customHeight="1">
      <c r="A220" s="62" t="s">
        <v>948</v>
      </c>
      <c r="B220" s="64">
        <v>2021</v>
      </c>
      <c r="C220" s="143" t="s">
        <v>52</v>
      </c>
      <c r="D220" s="64" t="s">
        <v>860</v>
      </c>
      <c r="E220" s="69" t="s">
        <v>949</v>
      </c>
      <c r="F220" s="71" t="s">
        <v>33</v>
      </c>
      <c r="G220" s="62" t="s">
        <v>32</v>
      </c>
      <c r="H220" s="78" t="s">
        <v>950</v>
      </c>
      <c r="I220" s="79">
        <v>44463</v>
      </c>
      <c r="J220" s="79">
        <v>44463</v>
      </c>
      <c r="K220" s="64" t="s">
        <v>41</v>
      </c>
      <c r="L220" s="70">
        <v>0</v>
      </c>
      <c r="M220" s="139">
        <v>5</v>
      </c>
      <c r="N220" s="64">
        <v>70</v>
      </c>
      <c r="O220" s="65">
        <v>70</v>
      </c>
      <c r="P220" s="65">
        <v>0</v>
      </c>
      <c r="Q220" s="65">
        <v>0</v>
      </c>
      <c r="R220" s="65">
        <f t="shared" si="3"/>
        <v>70</v>
      </c>
      <c r="S220" s="64">
        <v>2</v>
      </c>
      <c r="T220" s="62" t="s">
        <v>863</v>
      </c>
    </row>
    <row r="221" spans="1:20" ht="23.25" customHeight="1">
      <c r="A221" s="63" t="s">
        <v>951</v>
      </c>
      <c r="B221" s="66">
        <v>2021</v>
      </c>
      <c r="C221" s="143" t="s">
        <v>52</v>
      </c>
      <c r="D221" s="66" t="s">
        <v>944</v>
      </c>
      <c r="E221" s="72" t="s">
        <v>952</v>
      </c>
      <c r="F221" s="73" t="s">
        <v>48</v>
      </c>
      <c r="G221" s="63" t="s">
        <v>15</v>
      </c>
      <c r="H221" s="80" t="s">
        <v>953</v>
      </c>
      <c r="I221" s="81">
        <v>44473</v>
      </c>
      <c r="J221" s="81">
        <v>44473</v>
      </c>
      <c r="K221" s="66" t="s">
        <v>41</v>
      </c>
      <c r="L221" s="68">
        <v>394.29</v>
      </c>
      <c r="M221" s="140">
        <v>5</v>
      </c>
      <c r="N221" s="82">
        <v>30</v>
      </c>
      <c r="O221" s="67">
        <v>0</v>
      </c>
      <c r="P221" s="67">
        <v>0</v>
      </c>
      <c r="Q221" s="67">
        <v>30</v>
      </c>
      <c r="R221" s="67">
        <f t="shared" si="3"/>
        <v>30</v>
      </c>
      <c r="S221" s="66">
        <v>1</v>
      </c>
      <c r="T221" s="63" t="s">
        <v>947</v>
      </c>
    </row>
    <row r="222" spans="1:20" ht="23.25" customHeight="1">
      <c r="A222" s="62" t="s">
        <v>954</v>
      </c>
      <c r="B222" s="64">
        <v>2021</v>
      </c>
      <c r="C222" s="143" t="s">
        <v>52</v>
      </c>
      <c r="D222" s="64" t="s">
        <v>955</v>
      </c>
      <c r="E222" s="69" t="s">
        <v>956</v>
      </c>
      <c r="F222" s="71" t="s">
        <v>33</v>
      </c>
      <c r="G222" s="62" t="s">
        <v>25</v>
      </c>
      <c r="H222" s="78" t="s">
        <v>957</v>
      </c>
      <c r="I222" s="79">
        <v>44483</v>
      </c>
      <c r="J222" s="79">
        <v>44483</v>
      </c>
      <c r="K222" s="64" t="s">
        <v>45</v>
      </c>
      <c r="L222" s="70">
        <v>0</v>
      </c>
      <c r="M222" s="139">
        <v>5</v>
      </c>
      <c r="N222" s="83">
        <v>14</v>
      </c>
      <c r="O222" s="65">
        <v>14</v>
      </c>
      <c r="P222" s="65">
        <v>0</v>
      </c>
      <c r="Q222" s="65">
        <v>0</v>
      </c>
      <c r="R222" s="65">
        <f t="shared" si="3"/>
        <v>14</v>
      </c>
      <c r="S222" s="64">
        <v>2</v>
      </c>
      <c r="T222" s="62" t="s">
        <v>958</v>
      </c>
    </row>
    <row r="223" spans="1:20" ht="23.25" customHeight="1">
      <c r="A223" s="63" t="s">
        <v>959</v>
      </c>
      <c r="B223" s="66">
        <v>2021</v>
      </c>
      <c r="C223" s="143" t="s">
        <v>52</v>
      </c>
      <c r="D223" s="66" t="s">
        <v>960</v>
      </c>
      <c r="E223" s="72" t="s">
        <v>961</v>
      </c>
      <c r="F223" s="73" t="s">
        <v>51</v>
      </c>
      <c r="G223" s="63" t="s">
        <v>15</v>
      </c>
      <c r="H223" s="80" t="s">
        <v>962</v>
      </c>
      <c r="I223" s="81">
        <v>44487</v>
      </c>
      <c r="J223" s="81">
        <v>44491</v>
      </c>
      <c r="K223" s="66" t="s">
        <v>41</v>
      </c>
      <c r="L223" s="68">
        <v>10000</v>
      </c>
      <c r="M223" s="140">
        <v>4.5</v>
      </c>
      <c r="N223" s="82">
        <v>20</v>
      </c>
      <c r="O223" s="67">
        <v>4</v>
      </c>
      <c r="P223" s="67">
        <v>24</v>
      </c>
      <c r="Q223" s="67">
        <v>1</v>
      </c>
      <c r="R223" s="67">
        <f t="shared" si="3"/>
        <v>29</v>
      </c>
      <c r="S223" s="66">
        <v>12</v>
      </c>
      <c r="T223" s="63" t="s">
        <v>963</v>
      </c>
    </row>
    <row r="224" spans="1:20" ht="23.25" customHeight="1">
      <c r="A224" s="62" t="s">
        <v>964</v>
      </c>
      <c r="B224" s="64">
        <v>2021</v>
      </c>
      <c r="C224" s="143" t="s">
        <v>52</v>
      </c>
      <c r="D224" s="64" t="s">
        <v>965</v>
      </c>
      <c r="E224" s="69" t="s">
        <v>966</v>
      </c>
      <c r="F224" s="71" t="s">
        <v>33</v>
      </c>
      <c r="G224" s="62" t="s">
        <v>32</v>
      </c>
      <c r="H224" s="78" t="s">
        <v>967</v>
      </c>
      <c r="I224" s="79">
        <v>44491</v>
      </c>
      <c r="J224" s="79">
        <v>44491</v>
      </c>
      <c r="K224" s="64" t="s">
        <v>45</v>
      </c>
      <c r="L224" s="70">
        <v>0</v>
      </c>
      <c r="M224" s="139">
        <v>5</v>
      </c>
      <c r="N224" s="83">
        <v>37</v>
      </c>
      <c r="O224" s="65">
        <v>37</v>
      </c>
      <c r="P224" s="65">
        <v>0</v>
      </c>
      <c r="Q224" s="65">
        <v>0</v>
      </c>
      <c r="R224" s="65">
        <f t="shared" si="3"/>
        <v>37</v>
      </c>
      <c r="S224" s="64">
        <v>2</v>
      </c>
      <c r="T224" s="62" t="s">
        <v>930</v>
      </c>
    </row>
    <row r="225" spans="1:20" ht="23.25" customHeight="1">
      <c r="A225" s="63" t="s">
        <v>968</v>
      </c>
      <c r="B225" s="66">
        <v>2021</v>
      </c>
      <c r="C225" s="143" t="s">
        <v>52</v>
      </c>
      <c r="D225" s="66" t="s">
        <v>969</v>
      </c>
      <c r="E225" s="72" t="s">
        <v>970</v>
      </c>
      <c r="F225" s="73" t="s">
        <v>44</v>
      </c>
      <c r="G225" s="63" t="s">
        <v>15</v>
      </c>
      <c r="H225" s="80" t="s">
        <v>971</v>
      </c>
      <c r="I225" s="81">
        <v>44503</v>
      </c>
      <c r="J225" s="81">
        <v>44512</v>
      </c>
      <c r="K225" s="66" t="s">
        <v>41</v>
      </c>
      <c r="L225" s="68">
        <v>8539.24</v>
      </c>
      <c r="M225" s="140">
        <v>4</v>
      </c>
      <c r="N225" s="82">
        <v>20</v>
      </c>
      <c r="O225" s="67">
        <v>0</v>
      </c>
      <c r="P225" s="67">
        <v>24</v>
      </c>
      <c r="Q225" s="67">
        <v>0</v>
      </c>
      <c r="R225" s="67">
        <f t="shared" si="3"/>
        <v>24</v>
      </c>
      <c r="S225" s="66">
        <v>24</v>
      </c>
      <c r="T225" s="63" t="s">
        <v>972</v>
      </c>
    </row>
    <row r="226" spans="1:20" ht="23.25" customHeight="1">
      <c r="A226" s="62" t="s">
        <v>973</v>
      </c>
      <c r="B226" s="64">
        <v>2021</v>
      </c>
      <c r="C226" s="143" t="s">
        <v>52</v>
      </c>
      <c r="D226" s="64" t="s">
        <v>974</v>
      </c>
      <c r="E226" s="69" t="s">
        <v>975</v>
      </c>
      <c r="F226" s="71" t="s">
        <v>33</v>
      </c>
      <c r="G226" s="62" t="s">
        <v>29</v>
      </c>
      <c r="H226" s="78" t="s">
        <v>976</v>
      </c>
      <c r="I226" s="79">
        <v>44505</v>
      </c>
      <c r="J226" s="79">
        <v>44505</v>
      </c>
      <c r="K226" s="64" t="s">
        <v>45</v>
      </c>
      <c r="L226" s="70">
        <v>0</v>
      </c>
      <c r="M226" s="139">
        <v>5</v>
      </c>
      <c r="N226" s="83">
        <v>32</v>
      </c>
      <c r="O226" s="65">
        <v>32</v>
      </c>
      <c r="P226" s="65">
        <v>0</v>
      </c>
      <c r="Q226" s="65">
        <v>0</v>
      </c>
      <c r="R226" s="65">
        <f t="shared" si="3"/>
        <v>32</v>
      </c>
      <c r="S226" s="64">
        <v>1.5</v>
      </c>
      <c r="T226" s="62" t="s">
        <v>977</v>
      </c>
    </row>
    <row r="227" spans="1:20" ht="23.25" customHeight="1">
      <c r="A227" s="63" t="s">
        <v>978</v>
      </c>
      <c r="B227" s="66">
        <v>2021</v>
      </c>
      <c r="C227" s="143" t="s">
        <v>52</v>
      </c>
      <c r="D227" s="66" t="s">
        <v>955</v>
      </c>
      <c r="E227" s="72" t="s">
        <v>979</v>
      </c>
      <c r="F227" s="73" t="s">
        <v>33</v>
      </c>
      <c r="G227" s="63" t="s">
        <v>25</v>
      </c>
      <c r="H227" s="80" t="s">
        <v>980</v>
      </c>
      <c r="I227" s="81">
        <v>44508</v>
      </c>
      <c r="J227" s="81">
        <v>44508</v>
      </c>
      <c r="K227" s="66" t="s">
        <v>45</v>
      </c>
      <c r="L227" s="68">
        <v>0</v>
      </c>
      <c r="M227" s="140">
        <v>5</v>
      </c>
      <c r="N227" s="82">
        <v>14</v>
      </c>
      <c r="O227" s="67">
        <v>14</v>
      </c>
      <c r="P227" s="67">
        <v>0</v>
      </c>
      <c r="Q227" s="67">
        <v>0</v>
      </c>
      <c r="R227" s="67">
        <f t="shared" si="3"/>
        <v>14</v>
      </c>
      <c r="S227" s="66">
        <v>1</v>
      </c>
      <c r="T227" s="63" t="s">
        <v>3190</v>
      </c>
    </row>
    <row r="228" spans="1:20" ht="23.25" customHeight="1">
      <c r="A228" s="62" t="s">
        <v>982</v>
      </c>
      <c r="B228" s="64">
        <v>2021</v>
      </c>
      <c r="C228" s="143" t="s">
        <v>52</v>
      </c>
      <c r="D228" s="64" t="s">
        <v>974</v>
      </c>
      <c r="E228" s="69" t="s">
        <v>983</v>
      </c>
      <c r="F228" s="71" t="s">
        <v>33</v>
      </c>
      <c r="G228" s="62" t="s">
        <v>29</v>
      </c>
      <c r="H228" s="78" t="s">
        <v>984</v>
      </c>
      <c r="I228" s="79">
        <v>44516</v>
      </c>
      <c r="J228" s="79">
        <v>44525</v>
      </c>
      <c r="K228" s="64" t="s">
        <v>45</v>
      </c>
      <c r="L228" s="70">
        <v>9000</v>
      </c>
      <c r="M228" s="139">
        <v>4.2</v>
      </c>
      <c r="N228" s="83">
        <v>30</v>
      </c>
      <c r="O228" s="65">
        <v>31</v>
      </c>
      <c r="P228" s="65">
        <v>0</v>
      </c>
      <c r="Q228" s="65">
        <v>0</v>
      </c>
      <c r="R228" s="65">
        <f t="shared" si="3"/>
        <v>31</v>
      </c>
      <c r="S228" s="64">
        <v>10</v>
      </c>
      <c r="T228" s="62" t="s">
        <v>977</v>
      </c>
    </row>
    <row r="229" spans="1:20" ht="23.25" customHeight="1">
      <c r="A229" s="63" t="s">
        <v>985</v>
      </c>
      <c r="B229" s="66">
        <v>2021</v>
      </c>
      <c r="C229" s="143" t="s">
        <v>52</v>
      </c>
      <c r="D229" s="66" t="s">
        <v>986</v>
      </c>
      <c r="E229" s="72" t="s">
        <v>987</v>
      </c>
      <c r="F229" s="73" t="s">
        <v>44</v>
      </c>
      <c r="G229" s="63" t="s">
        <v>15</v>
      </c>
      <c r="H229" s="80" t="s">
        <v>988</v>
      </c>
      <c r="I229" s="81">
        <v>44518</v>
      </c>
      <c r="J229" s="81">
        <v>44518</v>
      </c>
      <c r="K229" s="66" t="s">
        <v>41</v>
      </c>
      <c r="L229" s="68">
        <v>1794.9</v>
      </c>
      <c r="M229" s="140">
        <v>4.5</v>
      </c>
      <c r="N229" s="82">
        <v>30</v>
      </c>
      <c r="O229" s="67">
        <v>4</v>
      </c>
      <c r="P229" s="67">
        <v>26</v>
      </c>
      <c r="Q229" s="67">
        <v>0</v>
      </c>
      <c r="R229" s="67">
        <f t="shared" si="3"/>
        <v>30</v>
      </c>
      <c r="S229" s="66">
        <v>4</v>
      </c>
      <c r="T229" s="63" t="s">
        <v>569</v>
      </c>
    </row>
    <row r="230" spans="1:20" ht="23.25" customHeight="1">
      <c r="A230" s="62" t="s">
        <v>989</v>
      </c>
      <c r="B230" s="64">
        <v>2021</v>
      </c>
      <c r="C230" s="143" t="s">
        <v>52</v>
      </c>
      <c r="D230" s="64" t="s">
        <v>910</v>
      </c>
      <c r="E230" s="69" t="s">
        <v>990</v>
      </c>
      <c r="F230" s="71" t="s">
        <v>44</v>
      </c>
      <c r="G230" s="62" t="s">
        <v>15</v>
      </c>
      <c r="H230" s="78" t="s">
        <v>991</v>
      </c>
      <c r="I230" s="79">
        <v>44522</v>
      </c>
      <c r="J230" s="79">
        <v>44525</v>
      </c>
      <c r="K230" s="64" t="s">
        <v>41</v>
      </c>
      <c r="L230" s="70">
        <v>9210.7800000000007</v>
      </c>
      <c r="M230" s="139">
        <v>4.4800000000000004</v>
      </c>
      <c r="N230" s="83">
        <v>40</v>
      </c>
      <c r="O230" s="65">
        <v>2</v>
      </c>
      <c r="P230" s="65">
        <v>45</v>
      </c>
      <c r="Q230" s="65">
        <v>5</v>
      </c>
      <c r="R230" s="65">
        <f t="shared" si="3"/>
        <v>52</v>
      </c>
      <c r="S230" s="64">
        <v>16</v>
      </c>
      <c r="T230" s="62" t="s">
        <v>438</v>
      </c>
    </row>
    <row r="231" spans="1:20" ht="23.25" customHeight="1">
      <c r="A231" s="63" t="s">
        <v>992</v>
      </c>
      <c r="B231" s="66">
        <v>2021</v>
      </c>
      <c r="C231" s="143" t="s">
        <v>52</v>
      </c>
      <c r="D231" s="66" t="s">
        <v>860</v>
      </c>
      <c r="E231" s="72" t="s">
        <v>993</v>
      </c>
      <c r="F231" s="73" t="s">
        <v>33</v>
      </c>
      <c r="G231" s="63" t="s">
        <v>32</v>
      </c>
      <c r="H231" s="80" t="s">
        <v>994</v>
      </c>
      <c r="I231" s="81">
        <v>44540</v>
      </c>
      <c r="J231" s="81">
        <v>44540</v>
      </c>
      <c r="K231" s="66" t="s">
        <v>41</v>
      </c>
      <c r="L231" s="68">
        <v>0</v>
      </c>
      <c r="M231" s="140">
        <v>5</v>
      </c>
      <c r="N231" s="82">
        <v>89</v>
      </c>
      <c r="O231" s="67">
        <v>89</v>
      </c>
      <c r="P231" s="67">
        <v>0</v>
      </c>
      <c r="Q231" s="67">
        <v>0</v>
      </c>
      <c r="R231" s="67">
        <f t="shared" si="3"/>
        <v>89</v>
      </c>
      <c r="S231" s="66">
        <v>2</v>
      </c>
      <c r="T231" s="63" t="s">
        <v>863</v>
      </c>
    </row>
    <row r="232" spans="1:20" ht="23.25" customHeight="1">
      <c r="A232" s="62" t="s">
        <v>995</v>
      </c>
      <c r="B232" s="64">
        <v>2022</v>
      </c>
      <c r="C232" s="143" t="s">
        <v>52</v>
      </c>
      <c r="D232" s="64" t="s">
        <v>996</v>
      </c>
      <c r="E232" s="69" t="s">
        <v>997</v>
      </c>
      <c r="F232" s="71" t="s">
        <v>33</v>
      </c>
      <c r="G232" s="62" t="s">
        <v>25</v>
      </c>
      <c r="H232" s="78" t="s">
        <v>998</v>
      </c>
      <c r="I232" s="79">
        <v>44592</v>
      </c>
      <c r="J232" s="79">
        <v>44594</v>
      </c>
      <c r="K232" s="64" t="s">
        <v>45</v>
      </c>
      <c r="L232" s="70">
        <v>0</v>
      </c>
      <c r="M232" s="139">
        <v>4.9000000000000004</v>
      </c>
      <c r="N232" s="83">
        <v>15</v>
      </c>
      <c r="O232" s="65">
        <v>13</v>
      </c>
      <c r="P232" s="65">
        <v>0</v>
      </c>
      <c r="Q232" s="65">
        <v>0</v>
      </c>
      <c r="R232" s="65">
        <f t="shared" si="3"/>
        <v>13</v>
      </c>
      <c r="S232" s="64">
        <v>24</v>
      </c>
      <c r="T232" s="62" t="s">
        <v>999</v>
      </c>
    </row>
    <row r="233" spans="1:20" ht="23.25" customHeight="1">
      <c r="A233" s="63" t="s">
        <v>1000</v>
      </c>
      <c r="B233" s="66">
        <v>2022</v>
      </c>
      <c r="C233" s="143" t="s">
        <v>52</v>
      </c>
      <c r="D233" s="66" t="s">
        <v>1001</v>
      </c>
      <c r="E233" s="72" t="s">
        <v>1002</v>
      </c>
      <c r="F233" s="73" t="s">
        <v>33</v>
      </c>
      <c r="G233" s="63" t="s">
        <v>10</v>
      </c>
      <c r="H233" s="80" t="s">
        <v>1003</v>
      </c>
      <c r="I233" s="81">
        <v>44600</v>
      </c>
      <c r="J233" s="81">
        <v>44600</v>
      </c>
      <c r="K233" s="66" t="s">
        <v>41</v>
      </c>
      <c r="L233" s="68">
        <v>500</v>
      </c>
      <c r="M233" s="140">
        <v>5</v>
      </c>
      <c r="N233" s="82">
        <v>38</v>
      </c>
      <c r="O233" s="67">
        <v>38</v>
      </c>
      <c r="P233" s="67">
        <v>0</v>
      </c>
      <c r="Q233" s="67">
        <v>0</v>
      </c>
      <c r="R233" s="67">
        <f t="shared" si="3"/>
        <v>38</v>
      </c>
      <c r="S233" s="66">
        <v>2</v>
      </c>
      <c r="T233" s="63" t="s">
        <v>604</v>
      </c>
    </row>
    <row r="234" spans="1:20" ht="23.25" customHeight="1">
      <c r="A234" s="62" t="s">
        <v>1004</v>
      </c>
      <c r="B234" s="64">
        <v>2022</v>
      </c>
      <c r="C234" s="143" t="s">
        <v>52</v>
      </c>
      <c r="D234" s="64" t="s">
        <v>1005</v>
      </c>
      <c r="E234" s="69" t="s">
        <v>1006</v>
      </c>
      <c r="F234" s="71" t="s">
        <v>33</v>
      </c>
      <c r="G234" s="62" t="s">
        <v>32</v>
      </c>
      <c r="H234" s="78" t="s">
        <v>1007</v>
      </c>
      <c r="I234" s="79">
        <v>44609</v>
      </c>
      <c r="J234" s="79">
        <v>44609</v>
      </c>
      <c r="K234" s="64" t="s">
        <v>45</v>
      </c>
      <c r="L234" s="70">
        <v>0</v>
      </c>
      <c r="M234" s="139">
        <v>5</v>
      </c>
      <c r="N234" s="83">
        <v>44</v>
      </c>
      <c r="O234" s="65">
        <v>44</v>
      </c>
      <c r="P234" s="65">
        <v>0</v>
      </c>
      <c r="Q234" s="65">
        <v>0</v>
      </c>
      <c r="R234" s="65">
        <f t="shared" si="3"/>
        <v>44</v>
      </c>
      <c r="S234" s="64">
        <v>2</v>
      </c>
      <c r="T234" s="62" t="s">
        <v>1008</v>
      </c>
    </row>
    <row r="235" spans="1:20" ht="23.25" customHeight="1">
      <c r="A235" s="63" t="s">
        <v>1009</v>
      </c>
      <c r="B235" s="66">
        <v>2022</v>
      </c>
      <c r="C235" s="143" t="s">
        <v>52</v>
      </c>
      <c r="D235" s="66" t="s">
        <v>1010</v>
      </c>
      <c r="E235" s="72" t="s">
        <v>987</v>
      </c>
      <c r="F235" s="73" t="s">
        <v>44</v>
      </c>
      <c r="G235" s="63" t="s">
        <v>15</v>
      </c>
      <c r="H235" s="80" t="s">
        <v>1011</v>
      </c>
      <c r="I235" s="81">
        <v>44614</v>
      </c>
      <c r="J235" s="81">
        <v>44614</v>
      </c>
      <c r="K235" s="66" t="s">
        <v>41</v>
      </c>
      <c r="L235" s="68">
        <v>1794.9</v>
      </c>
      <c r="M235" s="140">
        <v>4.34</v>
      </c>
      <c r="N235" s="82">
        <v>30</v>
      </c>
      <c r="O235" s="67">
        <v>6</v>
      </c>
      <c r="P235" s="67">
        <v>15</v>
      </c>
      <c r="Q235" s="67">
        <v>0</v>
      </c>
      <c r="R235" s="67">
        <f t="shared" si="3"/>
        <v>21</v>
      </c>
      <c r="S235" s="66">
        <v>4</v>
      </c>
      <c r="T235" s="63" t="s">
        <v>569</v>
      </c>
    </row>
    <row r="236" spans="1:20" ht="23.25" customHeight="1">
      <c r="A236" s="62" t="s">
        <v>1012</v>
      </c>
      <c r="B236" s="64">
        <v>2022</v>
      </c>
      <c r="C236" s="143" t="s">
        <v>52</v>
      </c>
      <c r="D236" s="64" t="s">
        <v>1013</v>
      </c>
      <c r="E236" s="69" t="s">
        <v>1014</v>
      </c>
      <c r="F236" s="71" t="s">
        <v>48</v>
      </c>
      <c r="G236" s="62" t="s">
        <v>15</v>
      </c>
      <c r="H236" s="78" t="s">
        <v>1015</v>
      </c>
      <c r="I236" s="79">
        <v>44615</v>
      </c>
      <c r="J236" s="79">
        <v>44615</v>
      </c>
      <c r="K236" s="64" t="s">
        <v>45</v>
      </c>
      <c r="L236" s="70">
        <v>0</v>
      </c>
      <c r="M236" s="139">
        <v>5</v>
      </c>
      <c r="N236" s="83">
        <v>45</v>
      </c>
      <c r="O236" s="65">
        <v>0</v>
      </c>
      <c r="P236" s="65">
        <v>45</v>
      </c>
      <c r="Q236" s="65">
        <v>0</v>
      </c>
      <c r="R236" s="65">
        <f t="shared" si="3"/>
        <v>45</v>
      </c>
      <c r="S236" s="64">
        <v>2</v>
      </c>
      <c r="T236" s="62" t="s">
        <v>981</v>
      </c>
    </row>
    <row r="237" spans="1:20" ht="23.25" customHeight="1">
      <c r="A237" s="63" t="s">
        <v>1016</v>
      </c>
      <c r="B237" s="66">
        <v>2022</v>
      </c>
      <c r="C237" s="143" t="s">
        <v>52</v>
      </c>
      <c r="D237" s="66" t="s">
        <v>860</v>
      </c>
      <c r="E237" s="72" t="s">
        <v>1017</v>
      </c>
      <c r="F237" s="73" t="s">
        <v>33</v>
      </c>
      <c r="G237" s="63" t="s">
        <v>32</v>
      </c>
      <c r="H237" s="80" t="s">
        <v>1018</v>
      </c>
      <c r="I237" s="81">
        <v>44631</v>
      </c>
      <c r="J237" s="81">
        <v>44631</v>
      </c>
      <c r="K237" s="66" t="s">
        <v>41</v>
      </c>
      <c r="L237" s="68">
        <v>0</v>
      </c>
      <c r="M237" s="140">
        <v>5</v>
      </c>
      <c r="N237" s="66">
        <v>70</v>
      </c>
      <c r="O237" s="67">
        <v>70</v>
      </c>
      <c r="P237" s="67">
        <v>0</v>
      </c>
      <c r="Q237" s="67">
        <v>0</v>
      </c>
      <c r="R237" s="67">
        <f t="shared" si="3"/>
        <v>70</v>
      </c>
      <c r="S237" s="66">
        <v>2</v>
      </c>
      <c r="T237" s="63" t="s">
        <v>726</v>
      </c>
    </row>
    <row r="238" spans="1:20" ht="23.25" customHeight="1">
      <c r="A238" s="62" t="s">
        <v>1019</v>
      </c>
      <c r="B238" s="64">
        <v>2022</v>
      </c>
      <c r="C238" s="143" t="s">
        <v>52</v>
      </c>
      <c r="D238" s="64" t="s">
        <v>1020</v>
      </c>
      <c r="E238" s="69" t="s">
        <v>1021</v>
      </c>
      <c r="F238" s="71" t="s">
        <v>33</v>
      </c>
      <c r="G238" s="62" t="s">
        <v>25</v>
      </c>
      <c r="H238" s="78" t="s">
        <v>1022</v>
      </c>
      <c r="I238" s="79">
        <v>44633</v>
      </c>
      <c r="J238" s="79">
        <v>44645</v>
      </c>
      <c r="K238" s="64" t="s">
        <v>45</v>
      </c>
      <c r="L238" s="70">
        <v>10500</v>
      </c>
      <c r="M238" s="139">
        <v>4.3</v>
      </c>
      <c r="N238" s="83">
        <v>15</v>
      </c>
      <c r="O238" s="65">
        <v>15</v>
      </c>
      <c r="P238" s="65">
        <v>0</v>
      </c>
      <c r="Q238" s="65">
        <v>0</v>
      </c>
      <c r="R238" s="65">
        <f t="shared" si="3"/>
        <v>15</v>
      </c>
      <c r="S238" s="64">
        <v>20</v>
      </c>
      <c r="T238" s="62" t="s">
        <v>1023</v>
      </c>
    </row>
    <row r="239" spans="1:20" ht="23.25" customHeight="1">
      <c r="A239" s="63" t="s">
        <v>1024</v>
      </c>
      <c r="B239" s="66">
        <v>2022</v>
      </c>
      <c r="C239" s="143" t="s">
        <v>52</v>
      </c>
      <c r="D239" s="66" t="s">
        <v>1025</v>
      </c>
      <c r="E239" s="72" t="s">
        <v>1026</v>
      </c>
      <c r="F239" s="73" t="s">
        <v>48</v>
      </c>
      <c r="G239" s="63" t="s">
        <v>15</v>
      </c>
      <c r="H239" s="80" t="s">
        <v>1027</v>
      </c>
      <c r="I239" s="81">
        <v>44642</v>
      </c>
      <c r="J239" s="81">
        <v>44642</v>
      </c>
      <c r="K239" s="66" t="s">
        <v>45</v>
      </c>
      <c r="L239" s="68">
        <v>0</v>
      </c>
      <c r="M239" s="140">
        <v>5</v>
      </c>
      <c r="N239" s="66">
        <v>51</v>
      </c>
      <c r="O239" s="67">
        <v>0</v>
      </c>
      <c r="P239" s="67">
        <v>0</v>
      </c>
      <c r="Q239" s="67">
        <v>51</v>
      </c>
      <c r="R239" s="67">
        <f t="shared" si="3"/>
        <v>51</v>
      </c>
      <c r="S239" s="66">
        <v>2</v>
      </c>
      <c r="T239" s="63" t="s">
        <v>1028</v>
      </c>
    </row>
    <row r="240" spans="1:20" ht="23.25" customHeight="1">
      <c r="A240" s="62" t="s">
        <v>1029</v>
      </c>
      <c r="B240" s="64">
        <v>2022</v>
      </c>
      <c r="C240" s="143" t="s">
        <v>52</v>
      </c>
      <c r="D240" s="64" t="s">
        <v>1030</v>
      </c>
      <c r="E240" s="69" t="s">
        <v>1031</v>
      </c>
      <c r="F240" s="71" t="s">
        <v>48</v>
      </c>
      <c r="G240" s="62" t="s">
        <v>15</v>
      </c>
      <c r="H240" s="78" t="s">
        <v>1032</v>
      </c>
      <c r="I240" s="79">
        <v>44655</v>
      </c>
      <c r="J240" s="79">
        <v>44655</v>
      </c>
      <c r="K240" s="64" t="s">
        <v>41</v>
      </c>
      <c r="L240" s="70">
        <f>1172.25/2</f>
        <v>586.125</v>
      </c>
      <c r="M240" s="139">
        <v>4.9000000000000004</v>
      </c>
      <c r="N240" s="64">
        <v>31</v>
      </c>
      <c r="O240" s="65">
        <v>0</v>
      </c>
      <c r="P240" s="65">
        <v>0</v>
      </c>
      <c r="Q240" s="65">
        <v>31</v>
      </c>
      <c r="R240" s="65">
        <f t="shared" si="3"/>
        <v>31</v>
      </c>
      <c r="S240" s="64">
        <v>1</v>
      </c>
      <c r="T240" s="62" t="s">
        <v>1033</v>
      </c>
    </row>
    <row r="241" spans="1:20" ht="23.25" customHeight="1">
      <c r="A241" s="63" t="s">
        <v>1034</v>
      </c>
      <c r="B241" s="66">
        <v>2022</v>
      </c>
      <c r="C241" s="143" t="s">
        <v>52</v>
      </c>
      <c r="D241" s="66" t="s">
        <v>1035</v>
      </c>
      <c r="E241" s="72" t="s">
        <v>1036</v>
      </c>
      <c r="F241" s="73" t="s">
        <v>33</v>
      </c>
      <c r="G241" s="63" t="s">
        <v>25</v>
      </c>
      <c r="H241" s="80" t="s">
        <v>1037</v>
      </c>
      <c r="I241" s="81">
        <v>44655</v>
      </c>
      <c r="J241" s="81">
        <v>44664</v>
      </c>
      <c r="K241" s="66" t="s">
        <v>45</v>
      </c>
      <c r="L241" s="68">
        <v>39460</v>
      </c>
      <c r="M241" s="140">
        <v>4.4000000000000004</v>
      </c>
      <c r="N241" s="82">
        <v>150</v>
      </c>
      <c r="O241" s="67">
        <v>40</v>
      </c>
      <c r="P241" s="67">
        <v>100</v>
      </c>
      <c r="Q241" s="67">
        <v>0</v>
      </c>
      <c r="R241" s="67">
        <f t="shared" si="3"/>
        <v>140</v>
      </c>
      <c r="S241" s="66">
        <v>20</v>
      </c>
      <c r="T241" s="63" t="s">
        <v>1038</v>
      </c>
    </row>
    <row r="242" spans="1:20" ht="23.25" customHeight="1">
      <c r="A242" s="62" t="s">
        <v>1039</v>
      </c>
      <c r="B242" s="64">
        <v>2022</v>
      </c>
      <c r="C242" s="143" t="s">
        <v>52</v>
      </c>
      <c r="D242" s="64" t="s">
        <v>1040</v>
      </c>
      <c r="E242" s="69" t="s">
        <v>1041</v>
      </c>
      <c r="F242" s="71" t="s">
        <v>33</v>
      </c>
      <c r="G242" s="62" t="s">
        <v>32</v>
      </c>
      <c r="H242" s="78" t="s">
        <v>1042</v>
      </c>
      <c r="I242" s="79">
        <v>44676</v>
      </c>
      <c r="J242" s="79">
        <v>44686</v>
      </c>
      <c r="K242" s="64" t="s">
        <v>45</v>
      </c>
      <c r="L242" s="70">
        <v>8400</v>
      </c>
      <c r="M242" s="139">
        <v>5</v>
      </c>
      <c r="N242" s="83">
        <v>30</v>
      </c>
      <c r="O242" s="65">
        <v>15</v>
      </c>
      <c r="P242" s="65">
        <v>0</v>
      </c>
      <c r="Q242" s="65">
        <v>0</v>
      </c>
      <c r="R242" s="65">
        <f t="shared" si="3"/>
        <v>15</v>
      </c>
      <c r="S242" s="64">
        <v>21</v>
      </c>
      <c r="T242" s="62" t="s">
        <v>880</v>
      </c>
    </row>
    <row r="243" spans="1:20" ht="23.25" customHeight="1">
      <c r="A243" s="63" t="s">
        <v>1043</v>
      </c>
      <c r="B243" s="66">
        <v>2022</v>
      </c>
      <c r="C243" s="143" t="s">
        <v>52</v>
      </c>
      <c r="D243" s="66" t="s">
        <v>1044</v>
      </c>
      <c r="E243" s="72" t="s">
        <v>1045</v>
      </c>
      <c r="F243" s="73" t="s">
        <v>33</v>
      </c>
      <c r="G243" s="63" t="s">
        <v>32</v>
      </c>
      <c r="H243" s="80" t="s">
        <v>1046</v>
      </c>
      <c r="I243" s="81">
        <v>44691</v>
      </c>
      <c r="J243" s="81">
        <v>44700</v>
      </c>
      <c r="K243" s="66" t="s">
        <v>45</v>
      </c>
      <c r="L243" s="68">
        <v>10000</v>
      </c>
      <c r="M243" s="140">
        <v>4.4000000000000004</v>
      </c>
      <c r="N243" s="82">
        <v>50</v>
      </c>
      <c r="O243" s="67">
        <v>18</v>
      </c>
      <c r="P243" s="67">
        <v>0</v>
      </c>
      <c r="Q243" s="67">
        <v>0</v>
      </c>
      <c r="R243" s="67">
        <f t="shared" si="3"/>
        <v>18</v>
      </c>
      <c r="S243" s="66">
        <v>12</v>
      </c>
      <c r="T243" s="63" t="s">
        <v>1047</v>
      </c>
    </row>
    <row r="244" spans="1:20" ht="23.25" customHeight="1">
      <c r="A244" s="62" t="s">
        <v>1048</v>
      </c>
      <c r="B244" s="64">
        <v>2022</v>
      </c>
      <c r="C244" s="143" t="s">
        <v>52</v>
      </c>
      <c r="D244" s="64" t="s">
        <v>860</v>
      </c>
      <c r="E244" s="69" t="s">
        <v>1017</v>
      </c>
      <c r="F244" s="71" t="s">
        <v>33</v>
      </c>
      <c r="G244" s="62" t="s">
        <v>32</v>
      </c>
      <c r="H244" s="78" t="s">
        <v>1049</v>
      </c>
      <c r="I244" s="79">
        <v>44694</v>
      </c>
      <c r="J244" s="79">
        <v>44694</v>
      </c>
      <c r="K244" s="64" t="s">
        <v>41</v>
      </c>
      <c r="L244" s="70">
        <v>0</v>
      </c>
      <c r="M244" s="139">
        <v>5</v>
      </c>
      <c r="N244" s="64">
        <v>55</v>
      </c>
      <c r="O244" s="65">
        <v>55</v>
      </c>
      <c r="P244" s="65">
        <v>0</v>
      </c>
      <c r="Q244" s="65">
        <v>0</v>
      </c>
      <c r="R244" s="65">
        <f t="shared" si="3"/>
        <v>55</v>
      </c>
      <c r="S244" s="64">
        <v>2</v>
      </c>
      <c r="T244" s="62" t="s">
        <v>726</v>
      </c>
    </row>
    <row r="245" spans="1:20" ht="23.25" customHeight="1">
      <c r="A245" s="63" t="s">
        <v>1050</v>
      </c>
      <c r="B245" s="66">
        <v>2022</v>
      </c>
      <c r="C245" s="143" t="s">
        <v>52</v>
      </c>
      <c r="D245" s="66" t="s">
        <v>1030</v>
      </c>
      <c r="E245" s="72" t="s">
        <v>1051</v>
      </c>
      <c r="F245" s="73" t="s">
        <v>48</v>
      </c>
      <c r="G245" s="63" t="s">
        <v>15</v>
      </c>
      <c r="H245" s="80" t="s">
        <v>1052</v>
      </c>
      <c r="I245" s="81">
        <v>44697</v>
      </c>
      <c r="J245" s="81">
        <v>44697</v>
      </c>
      <c r="K245" s="66" t="s">
        <v>41</v>
      </c>
      <c r="L245" s="68">
        <v>586.13</v>
      </c>
      <c r="M245" s="140">
        <v>5</v>
      </c>
      <c r="N245" s="82">
        <v>120</v>
      </c>
      <c r="O245" s="67">
        <v>0</v>
      </c>
      <c r="P245" s="67">
        <v>0</v>
      </c>
      <c r="Q245" s="67">
        <v>120</v>
      </c>
      <c r="R245" s="67">
        <f t="shared" si="3"/>
        <v>120</v>
      </c>
      <c r="S245" s="66">
        <v>1</v>
      </c>
      <c r="T245" s="63" t="s">
        <v>3214</v>
      </c>
    </row>
    <row r="246" spans="1:20" ht="23.25" customHeight="1">
      <c r="A246" s="62" t="s">
        <v>1053</v>
      </c>
      <c r="B246" s="64">
        <v>2022</v>
      </c>
      <c r="C246" s="143" t="s">
        <v>52</v>
      </c>
      <c r="D246" s="64" t="s">
        <v>1054</v>
      </c>
      <c r="E246" s="69" t="s">
        <v>970</v>
      </c>
      <c r="F246" s="71" t="s">
        <v>48</v>
      </c>
      <c r="G246" s="62" t="s">
        <v>15</v>
      </c>
      <c r="H246" s="78" t="s">
        <v>1055</v>
      </c>
      <c r="I246" s="79">
        <v>44697</v>
      </c>
      <c r="J246" s="79">
        <v>44713</v>
      </c>
      <c r="K246" s="64" t="s">
        <v>41</v>
      </c>
      <c r="L246" s="70">
        <v>10976.07</v>
      </c>
      <c r="M246" s="139">
        <v>4.5999999999999996</v>
      </c>
      <c r="N246" s="83">
        <v>34</v>
      </c>
      <c r="O246" s="65">
        <v>12</v>
      </c>
      <c r="P246" s="65">
        <v>0</v>
      </c>
      <c r="Q246" s="65">
        <v>22</v>
      </c>
      <c r="R246" s="65">
        <f t="shared" si="3"/>
        <v>34</v>
      </c>
      <c r="S246" s="64">
        <v>24</v>
      </c>
      <c r="T246" s="62" t="s">
        <v>3220</v>
      </c>
    </row>
    <row r="247" spans="1:20" ht="23.25" customHeight="1">
      <c r="A247" s="63" t="s">
        <v>1056</v>
      </c>
      <c r="B247" s="66">
        <v>2022</v>
      </c>
      <c r="C247" s="143" t="s">
        <v>52</v>
      </c>
      <c r="D247" s="66" t="s">
        <v>1057</v>
      </c>
      <c r="E247" s="72" t="s">
        <v>1058</v>
      </c>
      <c r="F247" s="73" t="s">
        <v>44</v>
      </c>
      <c r="G247" s="63" t="s">
        <v>15</v>
      </c>
      <c r="H247" s="80" t="s">
        <v>1059</v>
      </c>
      <c r="I247" s="81">
        <v>44698</v>
      </c>
      <c r="J247" s="81">
        <v>44698</v>
      </c>
      <c r="K247" s="66" t="s">
        <v>41</v>
      </c>
      <c r="L247" s="68">
        <v>1794.9</v>
      </c>
      <c r="M247" s="140">
        <v>4.5</v>
      </c>
      <c r="N247" s="82">
        <v>30</v>
      </c>
      <c r="O247" s="67">
        <v>0</v>
      </c>
      <c r="P247" s="67">
        <v>37</v>
      </c>
      <c r="Q247" s="67">
        <v>0</v>
      </c>
      <c r="R247" s="67">
        <f t="shared" si="3"/>
        <v>37</v>
      </c>
      <c r="S247" s="66">
        <v>4</v>
      </c>
      <c r="T247" s="63" t="s">
        <v>569</v>
      </c>
    </row>
    <row r="248" spans="1:20" ht="23.25" customHeight="1">
      <c r="A248" s="62" t="s">
        <v>1060</v>
      </c>
      <c r="B248" s="64">
        <v>2022</v>
      </c>
      <c r="C248" s="143" t="s">
        <v>52</v>
      </c>
      <c r="D248" s="64" t="s">
        <v>1061</v>
      </c>
      <c r="E248" s="69" t="s">
        <v>1062</v>
      </c>
      <c r="F248" s="71" t="s">
        <v>44</v>
      </c>
      <c r="G248" s="62" t="s">
        <v>15</v>
      </c>
      <c r="H248" s="78" t="s">
        <v>1063</v>
      </c>
      <c r="I248" s="79">
        <v>44700</v>
      </c>
      <c r="J248" s="79">
        <v>44700</v>
      </c>
      <c r="K248" s="64" t="s">
        <v>41</v>
      </c>
      <c r="L248" s="70">
        <v>0</v>
      </c>
      <c r="M248" s="139">
        <v>5</v>
      </c>
      <c r="N248" s="83">
        <v>6</v>
      </c>
      <c r="O248" s="65">
        <v>0</v>
      </c>
      <c r="P248" s="65">
        <v>6</v>
      </c>
      <c r="Q248" s="65">
        <v>0</v>
      </c>
      <c r="R248" s="65">
        <f t="shared" si="3"/>
        <v>6</v>
      </c>
      <c r="S248" s="64">
        <v>2</v>
      </c>
      <c r="T248" s="62" t="s">
        <v>1064</v>
      </c>
    </row>
    <row r="249" spans="1:20" ht="23.25" customHeight="1">
      <c r="A249" s="63" t="s">
        <v>1065</v>
      </c>
      <c r="B249" s="66">
        <v>2022</v>
      </c>
      <c r="C249" s="143" t="s">
        <v>52</v>
      </c>
      <c r="D249" s="66" t="s">
        <v>1066</v>
      </c>
      <c r="E249" s="72" t="s">
        <v>1067</v>
      </c>
      <c r="F249" s="73" t="s">
        <v>33</v>
      </c>
      <c r="G249" s="63" t="s">
        <v>32</v>
      </c>
      <c r="H249" s="80" t="s">
        <v>1068</v>
      </c>
      <c r="I249" s="81">
        <v>44707</v>
      </c>
      <c r="J249" s="81">
        <v>44721</v>
      </c>
      <c r="K249" s="66" t="s">
        <v>45</v>
      </c>
      <c r="L249" s="68">
        <v>6200</v>
      </c>
      <c r="M249" s="140">
        <v>4.5999999999999996</v>
      </c>
      <c r="N249" s="82">
        <v>30</v>
      </c>
      <c r="O249" s="67">
        <v>25</v>
      </c>
      <c r="P249" s="67">
        <v>0</v>
      </c>
      <c r="Q249" s="67">
        <v>0</v>
      </c>
      <c r="R249" s="67">
        <f t="shared" si="3"/>
        <v>25</v>
      </c>
      <c r="S249" s="66">
        <v>8</v>
      </c>
      <c r="T249" s="63" t="s">
        <v>1069</v>
      </c>
    </row>
    <row r="250" spans="1:20" ht="23.25" customHeight="1">
      <c r="A250" s="62" t="s">
        <v>1070</v>
      </c>
      <c r="B250" s="64">
        <v>2022</v>
      </c>
      <c r="C250" s="143" t="s">
        <v>52</v>
      </c>
      <c r="D250" s="64" t="s">
        <v>1071</v>
      </c>
      <c r="E250" s="69" t="s">
        <v>1072</v>
      </c>
      <c r="F250" s="71" t="s">
        <v>33</v>
      </c>
      <c r="G250" s="62" t="s">
        <v>35</v>
      </c>
      <c r="H250" s="78" t="s">
        <v>1073</v>
      </c>
      <c r="I250" s="79">
        <v>44708</v>
      </c>
      <c r="J250" s="79">
        <v>44714</v>
      </c>
      <c r="K250" s="64" t="s">
        <v>41</v>
      </c>
      <c r="L250" s="70">
        <v>0</v>
      </c>
      <c r="M250" s="139">
        <v>5</v>
      </c>
      <c r="N250" s="83">
        <v>26</v>
      </c>
      <c r="O250" s="65">
        <v>26</v>
      </c>
      <c r="P250" s="65">
        <v>0</v>
      </c>
      <c r="Q250" s="65">
        <v>0</v>
      </c>
      <c r="R250" s="65">
        <f t="shared" si="3"/>
        <v>26</v>
      </c>
      <c r="S250" s="64">
        <v>20</v>
      </c>
      <c r="T250" s="62" t="s">
        <v>1074</v>
      </c>
    </row>
    <row r="251" spans="1:20" ht="23.25" customHeight="1">
      <c r="A251" s="63" t="s">
        <v>1075</v>
      </c>
      <c r="B251" s="66">
        <v>2022</v>
      </c>
      <c r="C251" s="143" t="s">
        <v>52</v>
      </c>
      <c r="D251" s="66" t="s">
        <v>1076</v>
      </c>
      <c r="E251" s="72" t="s">
        <v>1077</v>
      </c>
      <c r="F251" s="73" t="s">
        <v>48</v>
      </c>
      <c r="G251" s="63" t="s">
        <v>15</v>
      </c>
      <c r="H251" s="80" t="s">
        <v>1078</v>
      </c>
      <c r="I251" s="81">
        <v>44712</v>
      </c>
      <c r="J251" s="81">
        <v>44712</v>
      </c>
      <c r="K251" s="66" t="s">
        <v>41</v>
      </c>
      <c r="L251" s="68">
        <v>987.21</v>
      </c>
      <c r="M251" s="140">
        <v>4.7</v>
      </c>
      <c r="N251" s="82">
        <v>56</v>
      </c>
      <c r="O251" s="67">
        <v>0</v>
      </c>
      <c r="P251" s="67">
        <v>0</v>
      </c>
      <c r="Q251" s="67">
        <v>56</v>
      </c>
      <c r="R251" s="67">
        <f t="shared" si="3"/>
        <v>56</v>
      </c>
      <c r="S251" s="66">
        <v>2</v>
      </c>
      <c r="T251" s="63" t="s">
        <v>569</v>
      </c>
    </row>
    <row r="252" spans="1:20" ht="23.25" customHeight="1">
      <c r="A252" s="62" t="s">
        <v>1079</v>
      </c>
      <c r="B252" s="64">
        <v>2022</v>
      </c>
      <c r="C252" s="143" t="s">
        <v>52</v>
      </c>
      <c r="D252" s="64" t="s">
        <v>1080</v>
      </c>
      <c r="E252" s="69" t="s">
        <v>1081</v>
      </c>
      <c r="F252" s="71" t="s">
        <v>33</v>
      </c>
      <c r="G252" s="62" t="s">
        <v>35</v>
      </c>
      <c r="H252" s="78" t="s">
        <v>1082</v>
      </c>
      <c r="I252" s="79">
        <v>44715</v>
      </c>
      <c r="J252" s="79">
        <v>44715</v>
      </c>
      <c r="K252" s="64" t="s">
        <v>41</v>
      </c>
      <c r="L252" s="70">
        <f>740.4+867.47</f>
        <v>1607.87</v>
      </c>
      <c r="M252" s="139">
        <v>4.5999999999999996</v>
      </c>
      <c r="N252" s="83">
        <v>26</v>
      </c>
      <c r="O252" s="65">
        <v>26</v>
      </c>
      <c r="P252" s="65">
        <v>0</v>
      </c>
      <c r="Q252" s="65">
        <v>0</v>
      </c>
      <c r="R252" s="65">
        <f t="shared" si="3"/>
        <v>26</v>
      </c>
      <c r="S252" s="64">
        <v>4.5</v>
      </c>
      <c r="T252" s="62" t="s">
        <v>1083</v>
      </c>
    </row>
    <row r="253" spans="1:20" ht="23.25" customHeight="1">
      <c r="A253" s="63" t="s">
        <v>1084</v>
      </c>
      <c r="B253" s="66">
        <v>2022</v>
      </c>
      <c r="C253" s="143" t="s">
        <v>52</v>
      </c>
      <c r="D253" s="66" t="s">
        <v>1085</v>
      </c>
      <c r="E253" s="72" t="s">
        <v>1086</v>
      </c>
      <c r="F253" s="73" t="s">
        <v>33</v>
      </c>
      <c r="G253" s="63" t="s">
        <v>10</v>
      </c>
      <c r="H253" s="80" t="s">
        <v>1087</v>
      </c>
      <c r="I253" s="81">
        <v>44718</v>
      </c>
      <c r="J253" s="81">
        <v>44718</v>
      </c>
      <c r="K253" s="66" t="s">
        <v>41</v>
      </c>
      <c r="L253" s="68">
        <v>440.15</v>
      </c>
      <c r="M253" s="140">
        <v>5</v>
      </c>
      <c r="N253" s="82">
        <v>0</v>
      </c>
      <c r="O253" s="67">
        <v>26</v>
      </c>
      <c r="P253" s="67">
        <v>0</v>
      </c>
      <c r="Q253" s="67">
        <v>0</v>
      </c>
      <c r="R253" s="67">
        <f t="shared" si="3"/>
        <v>26</v>
      </c>
      <c r="S253" s="66">
        <v>1</v>
      </c>
      <c r="T253" s="63" t="s">
        <v>604</v>
      </c>
    </row>
    <row r="254" spans="1:20" ht="23.25" customHeight="1">
      <c r="A254" s="62" t="s">
        <v>1088</v>
      </c>
      <c r="B254" s="64">
        <v>2022</v>
      </c>
      <c r="C254" s="143" t="s">
        <v>52</v>
      </c>
      <c r="D254" s="64" t="s">
        <v>1089</v>
      </c>
      <c r="E254" s="69" t="s">
        <v>1090</v>
      </c>
      <c r="F254" s="71" t="s">
        <v>33</v>
      </c>
      <c r="G254" s="62" t="s">
        <v>25</v>
      </c>
      <c r="H254" s="78" t="s">
        <v>1091</v>
      </c>
      <c r="I254" s="79">
        <v>44733</v>
      </c>
      <c r="J254" s="79">
        <v>44825</v>
      </c>
      <c r="K254" s="64" t="s">
        <v>45</v>
      </c>
      <c r="L254" s="70">
        <v>39600</v>
      </c>
      <c r="M254" s="139">
        <v>5</v>
      </c>
      <c r="N254" s="83">
        <v>20</v>
      </c>
      <c r="O254" s="65">
        <v>11</v>
      </c>
      <c r="P254" s="65">
        <v>0</v>
      </c>
      <c r="Q254" s="65">
        <v>0</v>
      </c>
      <c r="R254" s="65">
        <f t="shared" si="3"/>
        <v>11</v>
      </c>
      <c r="S254" s="64">
        <v>66</v>
      </c>
      <c r="T254" s="62" t="s">
        <v>1092</v>
      </c>
    </row>
    <row r="255" spans="1:20" ht="23.25" customHeight="1">
      <c r="A255" s="63" t="s">
        <v>1093</v>
      </c>
      <c r="B255" s="66">
        <v>2022</v>
      </c>
      <c r="C255" s="143" t="s">
        <v>52</v>
      </c>
      <c r="D255" s="66" t="s">
        <v>1094</v>
      </c>
      <c r="E255" s="72" t="s">
        <v>1095</v>
      </c>
      <c r="F255" s="73" t="s">
        <v>33</v>
      </c>
      <c r="G255" s="63" t="s">
        <v>25</v>
      </c>
      <c r="H255" s="80" t="s">
        <v>831</v>
      </c>
      <c r="I255" s="81">
        <v>44741</v>
      </c>
      <c r="J255" s="81"/>
      <c r="K255" s="66" t="s">
        <v>45</v>
      </c>
      <c r="L255" s="68">
        <v>0</v>
      </c>
      <c r="M255" s="140">
        <v>5</v>
      </c>
      <c r="N255" s="82">
        <v>14</v>
      </c>
      <c r="O255" s="67">
        <v>14</v>
      </c>
      <c r="P255" s="67">
        <v>0</v>
      </c>
      <c r="Q255" s="67">
        <v>0</v>
      </c>
      <c r="R255" s="67">
        <f t="shared" si="3"/>
        <v>14</v>
      </c>
      <c r="S255" s="66">
        <v>7</v>
      </c>
      <c r="T255" s="63" t="s">
        <v>1096</v>
      </c>
    </row>
    <row r="256" spans="1:20" ht="23.25" customHeight="1">
      <c r="A256" s="62" t="s">
        <v>1097</v>
      </c>
      <c r="B256" s="64">
        <v>2022</v>
      </c>
      <c r="C256" s="143" t="s">
        <v>52</v>
      </c>
      <c r="D256" s="64" t="s">
        <v>1098</v>
      </c>
      <c r="E256" s="69" t="s">
        <v>1099</v>
      </c>
      <c r="F256" s="71" t="s">
        <v>48</v>
      </c>
      <c r="G256" s="62" t="s">
        <v>15</v>
      </c>
      <c r="H256" s="78" t="s">
        <v>1100</v>
      </c>
      <c r="I256" s="79">
        <v>44753</v>
      </c>
      <c r="J256" s="79">
        <v>44757</v>
      </c>
      <c r="K256" s="64" t="s">
        <v>41</v>
      </c>
      <c r="L256" s="70">
        <v>5182.8900000000003</v>
      </c>
      <c r="M256" s="139">
        <v>4.5</v>
      </c>
      <c r="N256" s="83">
        <v>40</v>
      </c>
      <c r="O256" s="65">
        <v>0</v>
      </c>
      <c r="P256" s="65">
        <v>0</v>
      </c>
      <c r="Q256" s="65">
        <v>49</v>
      </c>
      <c r="R256" s="65">
        <f t="shared" si="3"/>
        <v>49</v>
      </c>
      <c r="S256" s="64">
        <v>10.5</v>
      </c>
      <c r="T256" s="62" t="s">
        <v>868</v>
      </c>
    </row>
    <row r="257" spans="1:20" ht="23.25" customHeight="1">
      <c r="A257" s="63" t="s">
        <v>1101</v>
      </c>
      <c r="B257" s="66">
        <v>2022</v>
      </c>
      <c r="C257" s="143" t="s">
        <v>52</v>
      </c>
      <c r="D257" s="66" t="s">
        <v>1102</v>
      </c>
      <c r="E257" s="72" t="s">
        <v>1103</v>
      </c>
      <c r="F257" s="73" t="s">
        <v>33</v>
      </c>
      <c r="G257" s="63" t="s">
        <v>10</v>
      </c>
      <c r="H257" s="80" t="s">
        <v>1104</v>
      </c>
      <c r="I257" s="81">
        <v>44762</v>
      </c>
      <c r="J257" s="81">
        <v>44764</v>
      </c>
      <c r="K257" s="66" t="s">
        <v>41</v>
      </c>
      <c r="L257" s="68">
        <v>2602.4</v>
      </c>
      <c r="M257" s="140">
        <v>4.5999999999999996</v>
      </c>
      <c r="N257" s="82">
        <v>20</v>
      </c>
      <c r="O257" s="67">
        <v>27</v>
      </c>
      <c r="P257" s="67">
        <v>0</v>
      </c>
      <c r="Q257" s="67">
        <v>0</v>
      </c>
      <c r="R257" s="67">
        <f t="shared" si="3"/>
        <v>27</v>
      </c>
      <c r="S257" s="66">
        <v>6</v>
      </c>
      <c r="T257" s="63" t="s">
        <v>1105</v>
      </c>
    </row>
    <row r="258" spans="1:20" ht="23.25" customHeight="1">
      <c r="A258" s="62" t="s">
        <v>1106</v>
      </c>
      <c r="B258" s="64">
        <v>2022</v>
      </c>
      <c r="C258" s="143" t="s">
        <v>52</v>
      </c>
      <c r="D258" s="64" t="s">
        <v>1107</v>
      </c>
      <c r="E258" s="69" t="s">
        <v>1108</v>
      </c>
      <c r="F258" s="71" t="s">
        <v>33</v>
      </c>
      <c r="G258" s="62" t="s">
        <v>22</v>
      </c>
      <c r="H258" s="78" t="s">
        <v>1109</v>
      </c>
      <c r="I258" s="79">
        <v>44771</v>
      </c>
      <c r="J258" s="79">
        <v>44771</v>
      </c>
      <c r="K258" s="64" t="s">
        <v>45</v>
      </c>
      <c r="L258" s="70">
        <v>0</v>
      </c>
      <c r="M258" s="139">
        <v>5</v>
      </c>
      <c r="N258" s="83">
        <v>20</v>
      </c>
      <c r="O258" s="65">
        <v>13</v>
      </c>
      <c r="P258" s="65">
        <v>2</v>
      </c>
      <c r="Q258" s="65">
        <v>7</v>
      </c>
      <c r="R258" s="65">
        <f t="shared" ref="R258:R321" si="4">SUM(O258:Q258)</f>
        <v>22</v>
      </c>
      <c r="S258" s="64">
        <v>2</v>
      </c>
      <c r="T258" s="62" t="s">
        <v>908</v>
      </c>
    </row>
    <row r="259" spans="1:20" ht="23.25" customHeight="1">
      <c r="A259" s="63" t="s">
        <v>1110</v>
      </c>
      <c r="B259" s="66">
        <v>2022</v>
      </c>
      <c r="C259" s="143" t="s">
        <v>52</v>
      </c>
      <c r="D259" s="66" t="s">
        <v>1111</v>
      </c>
      <c r="E259" s="72" t="s">
        <v>1112</v>
      </c>
      <c r="F259" s="73" t="s">
        <v>33</v>
      </c>
      <c r="G259" s="63" t="s">
        <v>10</v>
      </c>
      <c r="H259" s="80" t="s">
        <v>1113</v>
      </c>
      <c r="I259" s="81">
        <v>44775</v>
      </c>
      <c r="J259" s="81">
        <v>44777</v>
      </c>
      <c r="K259" s="66" t="s">
        <v>41</v>
      </c>
      <c r="L259" s="68">
        <v>4000</v>
      </c>
      <c r="M259" s="140">
        <v>4.9400000000000004</v>
      </c>
      <c r="N259" s="82">
        <v>20</v>
      </c>
      <c r="O259" s="67">
        <v>18</v>
      </c>
      <c r="P259" s="67">
        <v>0</v>
      </c>
      <c r="Q259" s="67">
        <v>0</v>
      </c>
      <c r="R259" s="67">
        <f t="shared" si="4"/>
        <v>18</v>
      </c>
      <c r="S259" s="66">
        <v>6</v>
      </c>
      <c r="T259" s="63" t="s">
        <v>1114</v>
      </c>
    </row>
    <row r="260" spans="1:20" ht="23.25" customHeight="1">
      <c r="A260" s="62" t="s">
        <v>1115</v>
      </c>
      <c r="B260" s="64">
        <v>2022</v>
      </c>
      <c r="C260" s="143" t="s">
        <v>52</v>
      </c>
      <c r="D260" s="64" t="s">
        <v>1116</v>
      </c>
      <c r="E260" s="69" t="s">
        <v>1117</v>
      </c>
      <c r="F260" s="71" t="s">
        <v>48</v>
      </c>
      <c r="G260" s="62" t="s">
        <v>15</v>
      </c>
      <c r="H260" s="78" t="s">
        <v>1118</v>
      </c>
      <c r="I260" s="79">
        <v>44778</v>
      </c>
      <c r="J260" s="79">
        <v>44778</v>
      </c>
      <c r="K260" s="64" t="s">
        <v>45</v>
      </c>
      <c r="L260" s="70">
        <v>0</v>
      </c>
      <c r="M260" s="139">
        <v>5</v>
      </c>
      <c r="N260" s="83">
        <v>0</v>
      </c>
      <c r="O260" s="65">
        <v>0</v>
      </c>
      <c r="P260" s="65">
        <v>0</v>
      </c>
      <c r="Q260" s="65">
        <v>31</v>
      </c>
      <c r="R260" s="65">
        <f t="shared" si="4"/>
        <v>31</v>
      </c>
      <c r="S260" s="64">
        <v>2</v>
      </c>
      <c r="T260" s="62" t="s">
        <v>1119</v>
      </c>
    </row>
    <row r="261" spans="1:20" ht="23.25" customHeight="1">
      <c r="A261" s="63" t="s">
        <v>1120</v>
      </c>
      <c r="B261" s="66">
        <v>2022</v>
      </c>
      <c r="C261" s="143" t="s">
        <v>52</v>
      </c>
      <c r="D261" s="66" t="s">
        <v>1121</v>
      </c>
      <c r="E261" s="72" t="s">
        <v>1122</v>
      </c>
      <c r="F261" s="73" t="s">
        <v>33</v>
      </c>
      <c r="G261" s="63" t="s">
        <v>13</v>
      </c>
      <c r="H261" s="80" t="s">
        <v>1123</v>
      </c>
      <c r="I261" s="81">
        <v>44781</v>
      </c>
      <c r="J261" s="81">
        <v>44785</v>
      </c>
      <c r="K261" s="66" t="s">
        <v>45</v>
      </c>
      <c r="L261" s="68">
        <v>11500</v>
      </c>
      <c r="M261" s="140">
        <v>4.7</v>
      </c>
      <c r="N261" s="82">
        <v>30</v>
      </c>
      <c r="O261" s="67">
        <v>18</v>
      </c>
      <c r="P261" s="67">
        <v>7</v>
      </c>
      <c r="Q261" s="67">
        <v>0</v>
      </c>
      <c r="R261" s="67">
        <f t="shared" si="4"/>
        <v>25</v>
      </c>
      <c r="S261" s="66">
        <v>20</v>
      </c>
      <c r="T261" s="63" t="s">
        <v>742</v>
      </c>
    </row>
    <row r="262" spans="1:20" ht="23.25" customHeight="1">
      <c r="A262" s="62" t="s">
        <v>1124</v>
      </c>
      <c r="B262" s="64">
        <v>2022</v>
      </c>
      <c r="C262" s="143" t="s">
        <v>52</v>
      </c>
      <c r="D262" s="64" t="s">
        <v>1125</v>
      </c>
      <c r="E262" s="69" t="s">
        <v>691</v>
      </c>
      <c r="F262" s="71" t="s">
        <v>33</v>
      </c>
      <c r="G262" s="62" t="s">
        <v>22</v>
      </c>
      <c r="H262" s="95">
        <v>44903.333333333299</v>
      </c>
      <c r="I262" s="79">
        <v>44781</v>
      </c>
      <c r="J262" s="79">
        <v>44785</v>
      </c>
      <c r="K262" s="64" t="s">
        <v>45</v>
      </c>
      <c r="L262" s="70">
        <v>4000</v>
      </c>
      <c r="M262" s="139">
        <v>4.7</v>
      </c>
      <c r="N262" s="83">
        <v>20</v>
      </c>
      <c r="O262" s="65">
        <v>9</v>
      </c>
      <c r="P262" s="65">
        <v>0</v>
      </c>
      <c r="Q262" s="65">
        <v>0</v>
      </c>
      <c r="R262" s="65">
        <f t="shared" si="4"/>
        <v>9</v>
      </c>
      <c r="S262" s="64">
        <v>20</v>
      </c>
      <c r="T262" s="62" t="s">
        <v>693</v>
      </c>
    </row>
    <row r="263" spans="1:20" ht="23.25" customHeight="1">
      <c r="A263" s="63" t="s">
        <v>1126</v>
      </c>
      <c r="B263" s="66">
        <v>2022</v>
      </c>
      <c r="C263" s="143" t="s">
        <v>52</v>
      </c>
      <c r="D263" s="66" t="s">
        <v>1111</v>
      </c>
      <c r="E263" s="72" t="s">
        <v>1127</v>
      </c>
      <c r="F263" s="73" t="s">
        <v>33</v>
      </c>
      <c r="G263" s="63" t="s">
        <v>10</v>
      </c>
      <c r="H263" s="80" t="s">
        <v>1128</v>
      </c>
      <c r="I263" s="81">
        <v>44789</v>
      </c>
      <c r="J263" s="81">
        <v>44791</v>
      </c>
      <c r="K263" s="66" t="s">
        <v>41</v>
      </c>
      <c r="L263" s="68">
        <v>4000</v>
      </c>
      <c r="M263" s="140">
        <v>4.9000000000000004</v>
      </c>
      <c r="N263" s="82">
        <v>20</v>
      </c>
      <c r="O263" s="67">
        <v>8</v>
      </c>
      <c r="P263" s="67">
        <v>0</v>
      </c>
      <c r="Q263" s="67">
        <v>0</v>
      </c>
      <c r="R263" s="67">
        <f t="shared" si="4"/>
        <v>8</v>
      </c>
      <c r="S263" s="66">
        <v>6</v>
      </c>
      <c r="T263" s="63" t="s">
        <v>3237</v>
      </c>
    </row>
    <row r="264" spans="1:20" ht="23.25" customHeight="1">
      <c r="A264" s="62" t="s">
        <v>1129</v>
      </c>
      <c r="B264" s="64">
        <v>2022</v>
      </c>
      <c r="C264" s="143" t="s">
        <v>52</v>
      </c>
      <c r="D264" s="64" t="s">
        <v>1130</v>
      </c>
      <c r="E264" s="69" t="s">
        <v>1131</v>
      </c>
      <c r="F264" s="71" t="s">
        <v>48</v>
      </c>
      <c r="G264" s="62" t="s">
        <v>15</v>
      </c>
      <c r="H264" s="78" t="s">
        <v>1132</v>
      </c>
      <c r="I264" s="79">
        <v>44795</v>
      </c>
      <c r="J264" s="79">
        <v>44795</v>
      </c>
      <c r="K264" s="64" t="s">
        <v>41</v>
      </c>
      <c r="L264" s="70">
        <v>800</v>
      </c>
      <c r="M264" s="139">
        <v>5</v>
      </c>
      <c r="N264" s="83">
        <v>0</v>
      </c>
      <c r="O264" s="65">
        <v>0</v>
      </c>
      <c r="P264" s="65">
        <v>0</v>
      </c>
      <c r="Q264" s="65">
        <v>29</v>
      </c>
      <c r="R264" s="65">
        <f t="shared" si="4"/>
        <v>29</v>
      </c>
      <c r="S264" s="64">
        <v>1</v>
      </c>
      <c r="T264" s="62" t="s">
        <v>1033</v>
      </c>
    </row>
    <row r="265" spans="1:20" ht="23.25" customHeight="1">
      <c r="A265" s="63" t="s">
        <v>1133</v>
      </c>
      <c r="B265" s="66">
        <v>2022</v>
      </c>
      <c r="C265" s="143" t="s">
        <v>52</v>
      </c>
      <c r="D265" s="66" t="s">
        <v>1134</v>
      </c>
      <c r="E265" s="72" t="s">
        <v>1135</v>
      </c>
      <c r="F265" s="73" t="s">
        <v>48</v>
      </c>
      <c r="G265" s="63" t="s">
        <v>15</v>
      </c>
      <c r="H265" s="80" t="s">
        <v>1136</v>
      </c>
      <c r="I265" s="81">
        <v>44799</v>
      </c>
      <c r="J265" s="81">
        <v>44799</v>
      </c>
      <c r="K265" s="66" t="s">
        <v>45</v>
      </c>
      <c r="L265" s="68">
        <v>0</v>
      </c>
      <c r="M265" s="140">
        <v>5</v>
      </c>
      <c r="N265" s="82">
        <v>24</v>
      </c>
      <c r="O265" s="67">
        <v>3</v>
      </c>
      <c r="P265" s="67">
        <v>0</v>
      </c>
      <c r="Q265" s="67">
        <v>21</v>
      </c>
      <c r="R265" s="67">
        <f t="shared" si="4"/>
        <v>24</v>
      </c>
      <c r="S265" s="66">
        <v>4</v>
      </c>
      <c r="T265" s="63" t="s">
        <v>492</v>
      </c>
    </row>
    <row r="266" spans="1:20" ht="23.25" customHeight="1">
      <c r="A266" s="62" t="s">
        <v>1138</v>
      </c>
      <c r="B266" s="64">
        <v>2022</v>
      </c>
      <c r="C266" s="143" t="s">
        <v>52</v>
      </c>
      <c r="D266" s="64" t="s">
        <v>1139</v>
      </c>
      <c r="E266" s="69" t="s">
        <v>1140</v>
      </c>
      <c r="F266" s="71" t="s">
        <v>33</v>
      </c>
      <c r="G266" s="62" t="s">
        <v>25</v>
      </c>
      <c r="H266" s="78" t="s">
        <v>1141</v>
      </c>
      <c r="I266" s="79">
        <v>44806</v>
      </c>
      <c r="J266" s="79">
        <v>44806</v>
      </c>
      <c r="K266" s="64" t="s">
        <v>41</v>
      </c>
      <c r="L266" s="70">
        <v>0</v>
      </c>
      <c r="M266" s="139">
        <v>5</v>
      </c>
      <c r="N266" s="83">
        <v>0</v>
      </c>
      <c r="O266" s="65">
        <v>66</v>
      </c>
      <c r="P266" s="65">
        <v>0</v>
      </c>
      <c r="Q266" s="65">
        <v>0</v>
      </c>
      <c r="R266" s="65">
        <f t="shared" si="4"/>
        <v>66</v>
      </c>
      <c r="S266" s="64">
        <v>1.5</v>
      </c>
      <c r="T266" s="75" t="s">
        <v>248</v>
      </c>
    </row>
    <row r="267" spans="1:20" ht="23.25" customHeight="1">
      <c r="A267" s="63" t="s">
        <v>1142</v>
      </c>
      <c r="B267" s="66">
        <v>2022</v>
      </c>
      <c r="C267" s="143" t="s">
        <v>52</v>
      </c>
      <c r="D267" s="66" t="s">
        <v>1143</v>
      </c>
      <c r="E267" s="72" t="s">
        <v>1144</v>
      </c>
      <c r="F267" s="73" t="s">
        <v>48</v>
      </c>
      <c r="G267" s="63" t="s">
        <v>15</v>
      </c>
      <c r="H267" s="80" t="s">
        <v>1145</v>
      </c>
      <c r="I267" s="81">
        <v>44813</v>
      </c>
      <c r="J267" s="81">
        <v>44813</v>
      </c>
      <c r="K267" s="66" t="s">
        <v>41</v>
      </c>
      <c r="L267" s="68">
        <v>1000</v>
      </c>
      <c r="M267" s="140">
        <v>5</v>
      </c>
      <c r="N267" s="82">
        <v>20</v>
      </c>
      <c r="O267" s="67">
        <v>0</v>
      </c>
      <c r="P267" s="67">
        <v>0</v>
      </c>
      <c r="Q267" s="67">
        <v>20</v>
      </c>
      <c r="R267" s="67">
        <f t="shared" si="4"/>
        <v>20</v>
      </c>
      <c r="S267" s="66">
        <v>3</v>
      </c>
      <c r="T267" s="63" t="s">
        <v>3214</v>
      </c>
    </row>
    <row r="268" spans="1:20" ht="23.25" customHeight="1">
      <c r="A268" s="62" t="s">
        <v>1146</v>
      </c>
      <c r="B268" s="64">
        <v>2022</v>
      </c>
      <c r="C268" s="143" t="s">
        <v>52</v>
      </c>
      <c r="D268" s="64" t="s">
        <v>1147</v>
      </c>
      <c r="E268" s="69" t="s">
        <v>704</v>
      </c>
      <c r="F268" s="71" t="s">
        <v>33</v>
      </c>
      <c r="G268" s="62" t="s">
        <v>22</v>
      </c>
      <c r="H268" s="78" t="s">
        <v>1148</v>
      </c>
      <c r="I268" s="79">
        <v>44816</v>
      </c>
      <c r="J268" s="79">
        <v>44820</v>
      </c>
      <c r="K268" s="64" t="s">
        <v>45</v>
      </c>
      <c r="L268" s="70">
        <v>2000</v>
      </c>
      <c r="M268" s="139">
        <v>5</v>
      </c>
      <c r="N268" s="83">
        <v>20</v>
      </c>
      <c r="O268" s="65">
        <v>13</v>
      </c>
      <c r="P268" s="65">
        <v>0</v>
      </c>
      <c r="Q268" s="65">
        <v>0</v>
      </c>
      <c r="R268" s="65">
        <f t="shared" si="4"/>
        <v>13</v>
      </c>
      <c r="S268" s="64">
        <v>20</v>
      </c>
      <c r="T268" s="62" t="s">
        <v>693</v>
      </c>
    </row>
    <row r="269" spans="1:20" ht="23.25" customHeight="1">
      <c r="A269" s="63" t="s">
        <v>1149</v>
      </c>
      <c r="B269" s="66">
        <v>2022</v>
      </c>
      <c r="C269" s="143" t="s">
        <v>52</v>
      </c>
      <c r="D269" s="66" t="s">
        <v>1150</v>
      </c>
      <c r="E269" s="72" t="s">
        <v>1151</v>
      </c>
      <c r="F269" s="73" t="s">
        <v>33</v>
      </c>
      <c r="G269" s="63" t="s">
        <v>32</v>
      </c>
      <c r="H269" s="80" t="s">
        <v>1152</v>
      </c>
      <c r="I269" s="81">
        <v>44817</v>
      </c>
      <c r="J269" s="81">
        <v>44826</v>
      </c>
      <c r="K269" s="66" t="s">
        <v>45</v>
      </c>
      <c r="L269" s="68">
        <v>6200</v>
      </c>
      <c r="M269" s="140">
        <v>4.7</v>
      </c>
      <c r="N269" s="82">
        <v>30</v>
      </c>
      <c r="O269" s="67">
        <v>15</v>
      </c>
      <c r="P269" s="67">
        <v>0</v>
      </c>
      <c r="Q269" s="67">
        <v>0</v>
      </c>
      <c r="R269" s="67">
        <f t="shared" si="4"/>
        <v>15</v>
      </c>
      <c r="S269" s="66">
        <v>8</v>
      </c>
      <c r="T269" s="63" t="s">
        <v>1069</v>
      </c>
    </row>
    <row r="270" spans="1:20" ht="23.25" customHeight="1">
      <c r="A270" s="62" t="s">
        <v>1154</v>
      </c>
      <c r="B270" s="64">
        <v>2022</v>
      </c>
      <c r="C270" s="143" t="s">
        <v>52</v>
      </c>
      <c r="D270" s="64" t="s">
        <v>1155</v>
      </c>
      <c r="E270" s="69" t="s">
        <v>1156</v>
      </c>
      <c r="F270" s="71" t="s">
        <v>33</v>
      </c>
      <c r="G270" s="62" t="s">
        <v>29</v>
      </c>
      <c r="H270" s="78" t="s">
        <v>1157</v>
      </c>
      <c r="I270" s="79">
        <v>44817</v>
      </c>
      <c r="J270" s="79">
        <v>44909</v>
      </c>
      <c r="K270" s="64" t="s">
        <v>45</v>
      </c>
      <c r="L270" s="70">
        <v>40000</v>
      </c>
      <c r="M270" s="139">
        <v>5</v>
      </c>
      <c r="N270" s="83">
        <v>20</v>
      </c>
      <c r="O270" s="65">
        <v>5</v>
      </c>
      <c r="P270" s="65">
        <v>0</v>
      </c>
      <c r="Q270" s="65">
        <v>0</v>
      </c>
      <c r="R270" s="65">
        <f t="shared" si="4"/>
        <v>5</v>
      </c>
      <c r="S270" s="64">
        <v>30</v>
      </c>
      <c r="T270" s="62" t="s">
        <v>977</v>
      </c>
    </row>
    <row r="271" spans="1:20" ht="23.25" customHeight="1">
      <c r="A271" s="63" t="s">
        <v>1158</v>
      </c>
      <c r="B271" s="66">
        <v>2022</v>
      </c>
      <c r="C271" s="143" t="s">
        <v>52</v>
      </c>
      <c r="D271" s="66" t="s">
        <v>1159</v>
      </c>
      <c r="E271" s="72" t="s">
        <v>1160</v>
      </c>
      <c r="F271" s="73" t="s">
        <v>33</v>
      </c>
      <c r="G271" s="63" t="s">
        <v>10</v>
      </c>
      <c r="H271" s="80" t="s">
        <v>1161</v>
      </c>
      <c r="I271" s="81">
        <v>44823</v>
      </c>
      <c r="J271" s="81">
        <v>44831</v>
      </c>
      <c r="K271" s="66" t="s">
        <v>41</v>
      </c>
      <c r="L271" s="68">
        <v>5000</v>
      </c>
      <c r="M271" s="140">
        <v>5</v>
      </c>
      <c r="N271" s="82">
        <v>20</v>
      </c>
      <c r="O271" s="67">
        <v>18</v>
      </c>
      <c r="P271" s="67">
        <v>0</v>
      </c>
      <c r="Q271" s="67">
        <v>0</v>
      </c>
      <c r="R271" s="67">
        <f t="shared" si="4"/>
        <v>18</v>
      </c>
      <c r="S271" s="66">
        <v>12</v>
      </c>
      <c r="T271" s="63" t="s">
        <v>564</v>
      </c>
    </row>
    <row r="272" spans="1:20" ht="23.25" customHeight="1">
      <c r="A272" s="62" t="s">
        <v>1162</v>
      </c>
      <c r="B272" s="64">
        <v>2022</v>
      </c>
      <c r="C272" s="143" t="s">
        <v>52</v>
      </c>
      <c r="D272" s="64" t="s">
        <v>1159</v>
      </c>
      <c r="E272" s="69" t="s">
        <v>1163</v>
      </c>
      <c r="F272" s="71" t="s">
        <v>33</v>
      </c>
      <c r="G272" s="62" t="s">
        <v>10</v>
      </c>
      <c r="H272" s="78" t="s">
        <v>1164</v>
      </c>
      <c r="I272" s="79">
        <v>44823</v>
      </c>
      <c r="J272" s="79">
        <v>44833</v>
      </c>
      <c r="K272" s="64" t="s">
        <v>41</v>
      </c>
      <c r="L272" s="70">
        <v>5000</v>
      </c>
      <c r="M272" s="139">
        <v>5</v>
      </c>
      <c r="N272" s="83">
        <v>20</v>
      </c>
      <c r="O272" s="65">
        <v>8</v>
      </c>
      <c r="P272" s="65">
        <v>0</v>
      </c>
      <c r="Q272" s="65">
        <v>0</v>
      </c>
      <c r="R272" s="65">
        <f t="shared" si="4"/>
        <v>8</v>
      </c>
      <c r="S272" s="64">
        <v>12</v>
      </c>
      <c r="T272" s="62" t="s">
        <v>564</v>
      </c>
    </row>
    <row r="273" spans="1:20" ht="23.25" customHeight="1">
      <c r="A273" s="63" t="s">
        <v>1165</v>
      </c>
      <c r="B273" s="66">
        <v>2022</v>
      </c>
      <c r="C273" s="143" t="s">
        <v>52</v>
      </c>
      <c r="D273" s="66" t="s">
        <v>1166</v>
      </c>
      <c r="E273" s="72" t="s">
        <v>1167</v>
      </c>
      <c r="F273" s="73" t="s">
        <v>51</v>
      </c>
      <c r="G273" s="63" t="s">
        <v>15</v>
      </c>
      <c r="H273" s="80" t="s">
        <v>1168</v>
      </c>
      <c r="I273" s="81">
        <v>44830</v>
      </c>
      <c r="J273" s="81">
        <v>44833</v>
      </c>
      <c r="K273" s="66" t="s">
        <v>45</v>
      </c>
      <c r="L273" s="68">
        <v>19800</v>
      </c>
      <c r="M273" s="140">
        <v>4.5999999999999996</v>
      </c>
      <c r="N273" s="82">
        <v>80</v>
      </c>
      <c r="O273" s="67">
        <v>3</v>
      </c>
      <c r="P273" s="67">
        <v>80</v>
      </c>
      <c r="Q273" s="67">
        <v>0</v>
      </c>
      <c r="R273" s="67">
        <f t="shared" si="4"/>
        <v>83</v>
      </c>
      <c r="S273" s="66">
        <v>16</v>
      </c>
      <c r="T273" s="63" t="s">
        <v>1169</v>
      </c>
    </row>
    <row r="274" spans="1:20" ht="23.25" customHeight="1">
      <c r="A274" s="62" t="s">
        <v>1170</v>
      </c>
      <c r="B274" s="64">
        <v>2022</v>
      </c>
      <c r="C274" s="143" t="s">
        <v>52</v>
      </c>
      <c r="D274" s="64" t="s">
        <v>1171</v>
      </c>
      <c r="E274" s="69" t="s">
        <v>1172</v>
      </c>
      <c r="F274" s="71" t="s">
        <v>33</v>
      </c>
      <c r="G274" s="62" t="s">
        <v>32</v>
      </c>
      <c r="H274" s="78" t="s">
        <v>1173</v>
      </c>
      <c r="I274" s="79">
        <v>44834</v>
      </c>
      <c r="J274" s="79">
        <v>44834</v>
      </c>
      <c r="K274" s="64" t="s">
        <v>45</v>
      </c>
      <c r="L274" s="70">
        <v>0</v>
      </c>
      <c r="M274" s="139">
        <v>5</v>
      </c>
      <c r="N274" s="83">
        <v>0</v>
      </c>
      <c r="O274" s="65">
        <v>24</v>
      </c>
      <c r="P274" s="65">
        <v>0</v>
      </c>
      <c r="Q274" s="65">
        <v>0</v>
      </c>
      <c r="R274" s="65">
        <f t="shared" si="4"/>
        <v>24</v>
      </c>
      <c r="S274" s="64">
        <v>2</v>
      </c>
      <c r="T274" s="62" t="s">
        <v>1137</v>
      </c>
    </row>
    <row r="275" spans="1:20" ht="23.25" customHeight="1">
      <c r="A275" s="63" t="s">
        <v>1174</v>
      </c>
      <c r="B275" s="66">
        <v>2022</v>
      </c>
      <c r="C275" s="143" t="s">
        <v>52</v>
      </c>
      <c r="D275" s="66" t="s">
        <v>1175</v>
      </c>
      <c r="E275" s="72" t="s">
        <v>736</v>
      </c>
      <c r="F275" s="73" t="s">
        <v>33</v>
      </c>
      <c r="G275" s="63" t="s">
        <v>22</v>
      </c>
      <c r="H275" s="80" t="s">
        <v>1176</v>
      </c>
      <c r="I275" s="81">
        <v>44837</v>
      </c>
      <c r="J275" s="81">
        <v>44841</v>
      </c>
      <c r="K275" s="66" t="s">
        <v>45</v>
      </c>
      <c r="L275" s="68">
        <v>2000</v>
      </c>
      <c r="M275" s="140">
        <v>4.2</v>
      </c>
      <c r="N275" s="82">
        <v>20</v>
      </c>
      <c r="O275" s="67">
        <v>20</v>
      </c>
      <c r="P275" s="67">
        <v>0</v>
      </c>
      <c r="Q275" s="67">
        <v>0</v>
      </c>
      <c r="R275" s="67">
        <f t="shared" si="4"/>
        <v>20</v>
      </c>
      <c r="S275" s="66">
        <v>20</v>
      </c>
      <c r="T275" s="63" t="s">
        <v>693</v>
      </c>
    </row>
    <row r="276" spans="1:20" ht="23.25" customHeight="1">
      <c r="A276" s="62" t="s">
        <v>1177</v>
      </c>
      <c r="B276" s="64">
        <v>2022</v>
      </c>
      <c r="C276" s="143" t="s">
        <v>52</v>
      </c>
      <c r="D276" s="64" t="s">
        <v>1178</v>
      </c>
      <c r="E276" s="69" t="s">
        <v>1179</v>
      </c>
      <c r="F276" s="71" t="s">
        <v>48</v>
      </c>
      <c r="G276" s="62" t="s">
        <v>15</v>
      </c>
      <c r="H276" s="78" t="s">
        <v>1180</v>
      </c>
      <c r="I276" s="79">
        <v>44837</v>
      </c>
      <c r="J276" s="79">
        <v>44841</v>
      </c>
      <c r="K276" s="64" t="s">
        <v>45</v>
      </c>
      <c r="L276" s="70">
        <v>4800</v>
      </c>
      <c r="M276" s="139">
        <v>4.8</v>
      </c>
      <c r="N276" s="83">
        <v>30</v>
      </c>
      <c r="O276" s="65">
        <v>0</v>
      </c>
      <c r="P276" s="65">
        <v>0</v>
      </c>
      <c r="Q276" s="65">
        <v>39</v>
      </c>
      <c r="R276" s="65">
        <f t="shared" si="4"/>
        <v>39</v>
      </c>
      <c r="S276" s="64">
        <v>12</v>
      </c>
      <c r="T276" s="62" t="s">
        <v>1181</v>
      </c>
    </row>
    <row r="277" spans="1:20" ht="23.25" customHeight="1">
      <c r="A277" s="63" t="s">
        <v>1182</v>
      </c>
      <c r="B277" s="66">
        <v>2022</v>
      </c>
      <c r="C277" s="143" t="s">
        <v>52</v>
      </c>
      <c r="D277" s="66" t="s">
        <v>1183</v>
      </c>
      <c r="E277" s="72" t="s">
        <v>1184</v>
      </c>
      <c r="F277" s="73" t="s">
        <v>33</v>
      </c>
      <c r="G277" s="63" t="s">
        <v>32</v>
      </c>
      <c r="H277" s="80" t="s">
        <v>1185</v>
      </c>
      <c r="I277" s="81">
        <v>44841</v>
      </c>
      <c r="J277" s="81">
        <v>44841</v>
      </c>
      <c r="K277" s="66" t="s">
        <v>45</v>
      </c>
      <c r="L277" s="68">
        <v>4000</v>
      </c>
      <c r="M277" s="140">
        <v>5</v>
      </c>
      <c r="N277" s="82">
        <v>0</v>
      </c>
      <c r="O277" s="67">
        <v>39</v>
      </c>
      <c r="P277" s="67">
        <v>0</v>
      </c>
      <c r="Q277" s="67">
        <v>0</v>
      </c>
      <c r="R277" s="67">
        <f t="shared" si="4"/>
        <v>39</v>
      </c>
      <c r="S277" s="66">
        <v>1</v>
      </c>
      <c r="T277" s="63" t="s">
        <v>3264</v>
      </c>
    </row>
    <row r="278" spans="1:20" ht="23.25" customHeight="1">
      <c r="A278" s="62" t="s">
        <v>1187</v>
      </c>
      <c r="B278" s="64">
        <v>2022</v>
      </c>
      <c r="C278" s="143" t="s">
        <v>52</v>
      </c>
      <c r="D278" s="64" t="s">
        <v>1188</v>
      </c>
      <c r="E278" s="69" t="s">
        <v>1189</v>
      </c>
      <c r="F278" s="71" t="s">
        <v>51</v>
      </c>
      <c r="G278" s="62" t="s">
        <v>15</v>
      </c>
      <c r="H278" s="78" t="s">
        <v>1190</v>
      </c>
      <c r="I278" s="79">
        <v>44844</v>
      </c>
      <c r="J278" s="79">
        <v>44845</v>
      </c>
      <c r="K278" s="64" t="s">
        <v>45</v>
      </c>
      <c r="L278" s="70">
        <v>0</v>
      </c>
      <c r="M278" s="139">
        <v>5</v>
      </c>
      <c r="N278" s="83">
        <v>0</v>
      </c>
      <c r="O278" s="65">
        <v>31</v>
      </c>
      <c r="P278" s="65">
        <v>246</v>
      </c>
      <c r="Q278" s="65">
        <v>0</v>
      </c>
      <c r="R278" s="65">
        <f t="shared" si="4"/>
        <v>277</v>
      </c>
      <c r="S278" s="64">
        <v>6</v>
      </c>
      <c r="T278" s="96" t="s">
        <v>1153</v>
      </c>
    </row>
    <row r="279" spans="1:20" ht="23.25" customHeight="1">
      <c r="A279" s="63" t="s">
        <v>1191</v>
      </c>
      <c r="B279" s="66">
        <v>2022</v>
      </c>
      <c r="C279" s="143" t="s">
        <v>52</v>
      </c>
      <c r="D279" s="66" t="s">
        <v>1192</v>
      </c>
      <c r="E279" s="72" t="s">
        <v>1193</v>
      </c>
      <c r="F279" s="73" t="s">
        <v>51</v>
      </c>
      <c r="G279" s="63" t="s">
        <v>15</v>
      </c>
      <c r="H279" s="80" t="s">
        <v>1194</v>
      </c>
      <c r="I279" s="81">
        <v>44847</v>
      </c>
      <c r="J279" s="81">
        <v>44848</v>
      </c>
      <c r="K279" s="66" t="s">
        <v>41</v>
      </c>
      <c r="L279" s="68">
        <v>3469.88</v>
      </c>
      <c r="M279" s="140">
        <v>4.7</v>
      </c>
      <c r="N279" s="82">
        <v>40</v>
      </c>
      <c r="O279" s="67">
        <v>0</v>
      </c>
      <c r="P279" s="67">
        <v>43</v>
      </c>
      <c r="Q279" s="67">
        <v>0</v>
      </c>
      <c r="R279" s="67">
        <f t="shared" si="4"/>
        <v>43</v>
      </c>
      <c r="S279" s="66">
        <v>8</v>
      </c>
      <c r="T279" s="63" t="s">
        <v>1195</v>
      </c>
    </row>
    <row r="280" spans="1:20" ht="23.25" customHeight="1">
      <c r="A280" s="62" t="s">
        <v>1196</v>
      </c>
      <c r="B280" s="64">
        <v>2022</v>
      </c>
      <c r="C280" s="143" t="s">
        <v>52</v>
      </c>
      <c r="D280" s="64" t="s">
        <v>1197</v>
      </c>
      <c r="E280" s="69" t="s">
        <v>1198</v>
      </c>
      <c r="F280" s="71" t="s">
        <v>51</v>
      </c>
      <c r="G280" s="62" t="s">
        <v>15</v>
      </c>
      <c r="H280" s="78" t="s">
        <v>1199</v>
      </c>
      <c r="I280" s="79">
        <v>44847</v>
      </c>
      <c r="J280" s="79">
        <v>44847</v>
      </c>
      <c r="K280" s="64" t="s">
        <v>41</v>
      </c>
      <c r="L280" s="70">
        <v>867.47</v>
      </c>
      <c r="M280" s="139">
        <v>4.5</v>
      </c>
      <c r="N280" s="83">
        <v>20</v>
      </c>
      <c r="O280" s="65">
        <v>0</v>
      </c>
      <c r="P280" s="65">
        <v>21</v>
      </c>
      <c r="Q280" s="65">
        <v>0</v>
      </c>
      <c r="R280" s="65">
        <f t="shared" si="4"/>
        <v>21</v>
      </c>
      <c r="S280" s="64">
        <v>2</v>
      </c>
      <c r="T280" s="62" t="s">
        <v>1064</v>
      </c>
    </row>
    <row r="281" spans="1:20" ht="23.25" customHeight="1">
      <c r="A281" s="63" t="s">
        <v>1200</v>
      </c>
      <c r="B281" s="66">
        <v>2022</v>
      </c>
      <c r="C281" s="143" t="s">
        <v>52</v>
      </c>
      <c r="D281" s="66" t="s">
        <v>1201</v>
      </c>
      <c r="E281" s="97" t="s">
        <v>1202</v>
      </c>
      <c r="F281" s="73" t="s">
        <v>33</v>
      </c>
      <c r="G281" s="63" t="s">
        <v>32</v>
      </c>
      <c r="H281" s="80" t="s">
        <v>1203</v>
      </c>
      <c r="I281" s="81">
        <v>44848</v>
      </c>
      <c r="J281" s="81">
        <v>44848</v>
      </c>
      <c r="K281" s="66" t="s">
        <v>41</v>
      </c>
      <c r="L281" s="68">
        <v>0</v>
      </c>
      <c r="M281" s="140">
        <v>5</v>
      </c>
      <c r="N281" s="82">
        <v>0</v>
      </c>
      <c r="O281" s="67">
        <v>60</v>
      </c>
      <c r="P281" s="67">
        <v>0</v>
      </c>
      <c r="Q281" s="67">
        <v>84</v>
      </c>
      <c r="R281" s="67">
        <f t="shared" si="4"/>
        <v>144</v>
      </c>
      <c r="S281" s="66">
        <v>2</v>
      </c>
      <c r="T281" s="63" t="s">
        <v>123</v>
      </c>
    </row>
    <row r="282" spans="1:20" ht="23.25" customHeight="1">
      <c r="A282" s="62" t="s">
        <v>1204</v>
      </c>
      <c r="B282" s="64">
        <v>2022</v>
      </c>
      <c r="C282" s="143" t="s">
        <v>52</v>
      </c>
      <c r="D282" s="64" t="s">
        <v>1155</v>
      </c>
      <c r="E282" s="69" t="s">
        <v>1205</v>
      </c>
      <c r="F282" s="71" t="s">
        <v>33</v>
      </c>
      <c r="G282" s="62" t="s">
        <v>29</v>
      </c>
      <c r="H282" s="78" t="s">
        <v>1206</v>
      </c>
      <c r="I282" s="79">
        <v>44851</v>
      </c>
      <c r="J282" s="79">
        <v>44876</v>
      </c>
      <c r="K282" s="64" t="s">
        <v>45</v>
      </c>
      <c r="L282" s="70">
        <v>27000</v>
      </c>
      <c r="M282" s="139">
        <v>4.5999999999999996</v>
      </c>
      <c r="N282" s="83">
        <v>20</v>
      </c>
      <c r="O282" s="65">
        <v>19</v>
      </c>
      <c r="P282" s="65">
        <v>0</v>
      </c>
      <c r="Q282" s="65">
        <v>0</v>
      </c>
      <c r="R282" s="65">
        <f t="shared" si="4"/>
        <v>19</v>
      </c>
      <c r="S282" s="64">
        <v>30</v>
      </c>
      <c r="T282" s="62" t="s">
        <v>977</v>
      </c>
    </row>
    <row r="283" spans="1:20" ht="23.25" customHeight="1">
      <c r="A283" s="63" t="s">
        <v>1207</v>
      </c>
      <c r="B283" s="66">
        <v>2022</v>
      </c>
      <c r="C283" s="143" t="s">
        <v>52</v>
      </c>
      <c r="D283" s="66" t="s">
        <v>1208</v>
      </c>
      <c r="E283" s="72" t="s">
        <v>1209</v>
      </c>
      <c r="F283" s="73" t="s">
        <v>48</v>
      </c>
      <c r="G283" s="63" t="s">
        <v>15</v>
      </c>
      <c r="H283" s="80" t="s">
        <v>1210</v>
      </c>
      <c r="I283" s="81">
        <v>44852</v>
      </c>
      <c r="J283" s="81">
        <v>44855</v>
      </c>
      <c r="K283" s="66" t="s">
        <v>41</v>
      </c>
      <c r="L283" s="68">
        <v>8000</v>
      </c>
      <c r="M283" s="140">
        <v>4.9000000000000004</v>
      </c>
      <c r="N283" s="82">
        <v>40</v>
      </c>
      <c r="O283" s="67">
        <v>1</v>
      </c>
      <c r="P283" s="67">
        <v>0</v>
      </c>
      <c r="Q283" s="67">
        <v>64</v>
      </c>
      <c r="R283" s="67">
        <f t="shared" si="4"/>
        <v>65</v>
      </c>
      <c r="S283" s="66">
        <v>16</v>
      </c>
      <c r="T283" s="63" t="s">
        <v>442</v>
      </c>
    </row>
    <row r="284" spans="1:20" ht="23.25" customHeight="1">
      <c r="A284" s="62" t="s">
        <v>1211</v>
      </c>
      <c r="B284" s="64">
        <v>2022</v>
      </c>
      <c r="C284" s="143" t="s">
        <v>52</v>
      </c>
      <c r="D284" s="64" t="s">
        <v>1212</v>
      </c>
      <c r="E284" s="69" t="s">
        <v>1213</v>
      </c>
      <c r="F284" s="71" t="s">
        <v>33</v>
      </c>
      <c r="G284" s="62" t="s">
        <v>10</v>
      </c>
      <c r="H284" s="78" t="s">
        <v>1214</v>
      </c>
      <c r="I284" s="79">
        <v>44854</v>
      </c>
      <c r="J284" s="79">
        <v>44854</v>
      </c>
      <c r="K284" s="64" t="s">
        <v>41</v>
      </c>
      <c r="L284" s="70">
        <v>1799.94</v>
      </c>
      <c r="M284" s="139">
        <v>5</v>
      </c>
      <c r="N284" s="83">
        <v>0</v>
      </c>
      <c r="O284" s="65">
        <v>72</v>
      </c>
      <c r="P284" s="65">
        <v>0</v>
      </c>
      <c r="Q284" s="65">
        <v>0</v>
      </c>
      <c r="R284" s="65">
        <f t="shared" si="4"/>
        <v>72</v>
      </c>
      <c r="S284" s="64">
        <v>2</v>
      </c>
      <c r="T284" s="62" t="s">
        <v>1215</v>
      </c>
    </row>
    <row r="285" spans="1:20" ht="23.25" customHeight="1">
      <c r="A285" s="63" t="s">
        <v>1216</v>
      </c>
      <c r="B285" s="66">
        <v>2022</v>
      </c>
      <c r="C285" s="143" t="s">
        <v>52</v>
      </c>
      <c r="D285" s="66" t="s">
        <v>1217</v>
      </c>
      <c r="E285" s="72" t="s">
        <v>1218</v>
      </c>
      <c r="F285" s="73" t="s">
        <v>48</v>
      </c>
      <c r="G285" s="63" t="s">
        <v>15</v>
      </c>
      <c r="H285" s="80" t="s">
        <v>1219</v>
      </c>
      <c r="I285" s="81">
        <v>44858</v>
      </c>
      <c r="J285" s="81">
        <v>44860</v>
      </c>
      <c r="K285" s="66" t="s">
        <v>45</v>
      </c>
      <c r="L285" s="68">
        <v>0</v>
      </c>
      <c r="M285" s="140">
        <v>5</v>
      </c>
      <c r="N285" s="82">
        <v>0</v>
      </c>
      <c r="O285" s="67">
        <v>0</v>
      </c>
      <c r="P285" s="67">
        <v>0</v>
      </c>
      <c r="Q285" s="67">
        <v>193</v>
      </c>
      <c r="R285" s="67">
        <f t="shared" si="4"/>
        <v>193</v>
      </c>
      <c r="S285" s="66">
        <v>20</v>
      </c>
      <c r="T285" s="63" t="s">
        <v>123</v>
      </c>
    </row>
    <row r="286" spans="1:20" ht="23.25" customHeight="1">
      <c r="A286" s="62" t="s">
        <v>1220</v>
      </c>
      <c r="B286" s="64">
        <v>2022</v>
      </c>
      <c r="C286" s="143" t="s">
        <v>52</v>
      </c>
      <c r="D286" s="64" t="s">
        <v>1221</v>
      </c>
      <c r="E286" s="69" t="s">
        <v>1222</v>
      </c>
      <c r="F286" s="71" t="s">
        <v>33</v>
      </c>
      <c r="G286" s="62" t="s">
        <v>25</v>
      </c>
      <c r="H286" s="78" t="s">
        <v>1223</v>
      </c>
      <c r="I286" s="79">
        <v>44861</v>
      </c>
      <c r="J286" s="79">
        <v>44861</v>
      </c>
      <c r="K286" s="64" t="s">
        <v>45</v>
      </c>
      <c r="L286" s="70">
        <v>0</v>
      </c>
      <c r="M286" s="139">
        <v>5</v>
      </c>
      <c r="N286" s="83">
        <v>80</v>
      </c>
      <c r="O286" s="65">
        <v>46</v>
      </c>
      <c r="P286" s="65">
        <v>0</v>
      </c>
      <c r="Q286" s="65">
        <v>0</v>
      </c>
      <c r="R286" s="65">
        <f t="shared" si="4"/>
        <v>46</v>
      </c>
      <c r="S286" s="64">
        <v>2</v>
      </c>
      <c r="T286" s="62" t="s">
        <v>3274</v>
      </c>
    </row>
    <row r="287" spans="1:20" ht="23.25" customHeight="1">
      <c r="A287" s="63" t="s">
        <v>1224</v>
      </c>
      <c r="B287" s="66">
        <v>2022</v>
      </c>
      <c r="C287" s="143" t="s">
        <v>52</v>
      </c>
      <c r="D287" s="66" t="s">
        <v>1225</v>
      </c>
      <c r="E287" s="72" t="s">
        <v>1226</v>
      </c>
      <c r="F287" s="73" t="s">
        <v>48</v>
      </c>
      <c r="G287" s="63" t="s">
        <v>15</v>
      </c>
      <c r="H287" s="80" t="s">
        <v>1227</v>
      </c>
      <c r="I287" s="81">
        <v>44869</v>
      </c>
      <c r="J287" s="81">
        <v>44869</v>
      </c>
      <c r="K287" s="66" t="s">
        <v>41</v>
      </c>
      <c r="L287" s="68">
        <v>2000</v>
      </c>
      <c r="M287" s="140">
        <v>5</v>
      </c>
      <c r="N287" s="82">
        <v>20</v>
      </c>
      <c r="O287" s="67">
        <v>0</v>
      </c>
      <c r="P287" s="67">
        <v>0</v>
      </c>
      <c r="Q287" s="67">
        <v>20</v>
      </c>
      <c r="R287" s="67">
        <f t="shared" si="4"/>
        <v>20</v>
      </c>
      <c r="S287" s="66">
        <v>4</v>
      </c>
      <c r="T287" s="63" t="s">
        <v>3214</v>
      </c>
    </row>
    <row r="288" spans="1:20" ht="23.25" customHeight="1">
      <c r="A288" s="62" t="s">
        <v>1229</v>
      </c>
      <c r="B288" s="64">
        <v>2022</v>
      </c>
      <c r="C288" s="143" t="s">
        <v>52</v>
      </c>
      <c r="D288" s="64"/>
      <c r="E288" s="69" t="s">
        <v>1230</v>
      </c>
      <c r="F288" s="71" t="s">
        <v>33</v>
      </c>
      <c r="G288" s="62" t="s">
        <v>32</v>
      </c>
      <c r="H288" s="78" t="s">
        <v>1227</v>
      </c>
      <c r="I288" s="79">
        <v>44869</v>
      </c>
      <c r="J288" s="79">
        <v>44869</v>
      </c>
      <c r="K288" s="64" t="s">
        <v>45</v>
      </c>
      <c r="L288" s="70">
        <v>0</v>
      </c>
      <c r="M288" s="139">
        <v>5</v>
      </c>
      <c r="N288" s="83">
        <v>0</v>
      </c>
      <c r="O288" s="65">
        <v>23</v>
      </c>
      <c r="P288" s="65">
        <v>0</v>
      </c>
      <c r="Q288" s="65">
        <v>0</v>
      </c>
      <c r="R288" s="65">
        <f t="shared" si="4"/>
        <v>23</v>
      </c>
      <c r="S288" s="64">
        <v>2</v>
      </c>
      <c r="T288" s="62"/>
    </row>
    <row r="289" spans="1:20" ht="23.25" customHeight="1">
      <c r="A289" s="63" t="s">
        <v>1231</v>
      </c>
      <c r="B289" s="66">
        <v>2022</v>
      </c>
      <c r="C289" s="143" t="s">
        <v>52</v>
      </c>
      <c r="D289" s="66" t="s">
        <v>1232</v>
      </c>
      <c r="E289" s="72" t="s">
        <v>1233</v>
      </c>
      <c r="F289" s="73" t="s">
        <v>51</v>
      </c>
      <c r="G289" s="63" t="s">
        <v>15</v>
      </c>
      <c r="H289" s="80" t="s">
        <v>1234</v>
      </c>
      <c r="I289" s="81">
        <v>44872</v>
      </c>
      <c r="J289" s="81">
        <v>44881</v>
      </c>
      <c r="K289" s="66" t="s">
        <v>45</v>
      </c>
      <c r="L289" s="68">
        <v>19800</v>
      </c>
      <c r="M289" s="140">
        <v>4.7</v>
      </c>
      <c r="N289" s="82">
        <v>80</v>
      </c>
      <c r="O289" s="67">
        <v>21</v>
      </c>
      <c r="P289" s="67">
        <v>59</v>
      </c>
      <c r="Q289" s="67">
        <v>0</v>
      </c>
      <c r="R289" s="67">
        <f t="shared" si="4"/>
        <v>80</v>
      </c>
      <c r="S289" s="66">
        <v>16</v>
      </c>
      <c r="T289" s="63" t="s">
        <v>3276</v>
      </c>
    </row>
    <row r="290" spans="1:20" ht="23.25" customHeight="1">
      <c r="A290" s="62" t="s">
        <v>1236</v>
      </c>
      <c r="B290" s="64">
        <v>2022</v>
      </c>
      <c r="C290" s="143" t="s">
        <v>52</v>
      </c>
      <c r="D290" s="64" t="s">
        <v>1237</v>
      </c>
      <c r="E290" s="69" t="s">
        <v>1238</v>
      </c>
      <c r="F290" s="71" t="s">
        <v>33</v>
      </c>
      <c r="G290" s="62" t="s">
        <v>32</v>
      </c>
      <c r="H290" s="78" t="s">
        <v>1239</v>
      </c>
      <c r="I290" s="79">
        <v>44873</v>
      </c>
      <c r="J290" s="79">
        <v>44901</v>
      </c>
      <c r="K290" s="64" t="s">
        <v>45</v>
      </c>
      <c r="L290" s="70">
        <v>10080</v>
      </c>
      <c r="M290" s="139">
        <v>4.5</v>
      </c>
      <c r="N290" s="83">
        <v>25</v>
      </c>
      <c r="O290" s="65">
        <v>21</v>
      </c>
      <c r="P290" s="65">
        <v>0</v>
      </c>
      <c r="Q290" s="65">
        <v>0</v>
      </c>
      <c r="R290" s="65">
        <f t="shared" si="4"/>
        <v>21</v>
      </c>
      <c r="S290" s="64">
        <v>21</v>
      </c>
      <c r="T290" s="62" t="s">
        <v>1240</v>
      </c>
    </row>
    <row r="291" spans="1:20" ht="23.25" customHeight="1">
      <c r="A291" s="63" t="s">
        <v>1241</v>
      </c>
      <c r="B291" s="66">
        <v>2022</v>
      </c>
      <c r="C291" s="143" t="s">
        <v>52</v>
      </c>
      <c r="D291" s="66" t="s">
        <v>1242</v>
      </c>
      <c r="E291" s="72" t="s">
        <v>1243</v>
      </c>
      <c r="F291" s="73" t="s">
        <v>51</v>
      </c>
      <c r="G291" s="63" t="s">
        <v>13</v>
      </c>
      <c r="H291" s="80" t="s">
        <v>1244</v>
      </c>
      <c r="I291" s="81">
        <v>44873</v>
      </c>
      <c r="J291" s="81">
        <v>44883</v>
      </c>
      <c r="K291" s="66" t="s">
        <v>41</v>
      </c>
      <c r="L291" s="68">
        <v>10000</v>
      </c>
      <c r="M291" s="140">
        <v>4.5999999999999996</v>
      </c>
      <c r="N291" s="82">
        <v>40</v>
      </c>
      <c r="O291" s="67">
        <v>18</v>
      </c>
      <c r="P291" s="67">
        <v>10</v>
      </c>
      <c r="Q291" s="67">
        <v>0</v>
      </c>
      <c r="R291" s="67">
        <f t="shared" si="4"/>
        <v>28</v>
      </c>
      <c r="S291" s="66">
        <v>20</v>
      </c>
      <c r="T291" s="63" t="s">
        <v>442</v>
      </c>
    </row>
    <row r="292" spans="1:20" ht="23.25" customHeight="1">
      <c r="A292" s="62" t="s">
        <v>1245</v>
      </c>
      <c r="B292" s="64">
        <v>2022</v>
      </c>
      <c r="C292" s="143" t="s">
        <v>52</v>
      </c>
      <c r="D292" s="64" t="s">
        <v>1098</v>
      </c>
      <c r="E292" s="69" t="s">
        <v>898</v>
      </c>
      <c r="F292" s="71" t="s">
        <v>48</v>
      </c>
      <c r="G292" s="62" t="s">
        <v>15</v>
      </c>
      <c r="H292" s="78" t="s">
        <v>1246</v>
      </c>
      <c r="I292" s="79">
        <v>44886</v>
      </c>
      <c r="J292" s="79">
        <v>44890</v>
      </c>
      <c r="K292" s="64" t="s">
        <v>41</v>
      </c>
      <c r="L292" s="70">
        <v>8000</v>
      </c>
      <c r="M292" s="139">
        <v>4.8</v>
      </c>
      <c r="N292" s="83">
        <v>40</v>
      </c>
      <c r="O292" s="65">
        <v>0</v>
      </c>
      <c r="P292" s="65">
        <v>0</v>
      </c>
      <c r="Q292" s="65">
        <v>35</v>
      </c>
      <c r="R292" s="65">
        <f t="shared" si="4"/>
        <v>35</v>
      </c>
      <c r="S292" s="64">
        <v>10.5</v>
      </c>
      <c r="T292" s="62" t="s">
        <v>3161</v>
      </c>
    </row>
    <row r="293" spans="1:20" ht="23.25" customHeight="1">
      <c r="A293" s="63" t="s">
        <v>1248</v>
      </c>
      <c r="B293" s="66">
        <v>2022</v>
      </c>
      <c r="C293" s="143" t="s">
        <v>52</v>
      </c>
      <c r="D293" s="66" t="s">
        <v>1249</v>
      </c>
      <c r="E293" s="72" t="s">
        <v>1250</v>
      </c>
      <c r="F293" s="73" t="s">
        <v>33</v>
      </c>
      <c r="G293" s="63" t="s">
        <v>13</v>
      </c>
      <c r="H293" s="80" t="s">
        <v>1251</v>
      </c>
      <c r="I293" s="81">
        <v>44887</v>
      </c>
      <c r="J293" s="81">
        <v>44890</v>
      </c>
      <c r="K293" s="66" t="s">
        <v>41</v>
      </c>
      <c r="L293" s="68">
        <v>8000</v>
      </c>
      <c r="M293" s="140">
        <v>5</v>
      </c>
      <c r="N293" s="82">
        <v>20</v>
      </c>
      <c r="O293" s="67">
        <v>20</v>
      </c>
      <c r="P293" s="67">
        <v>0</v>
      </c>
      <c r="Q293" s="67">
        <v>0</v>
      </c>
      <c r="R293" s="67">
        <f t="shared" si="4"/>
        <v>20</v>
      </c>
      <c r="S293" s="66">
        <v>12</v>
      </c>
      <c r="T293" s="63" t="s">
        <v>569</v>
      </c>
    </row>
    <row r="294" spans="1:20" ht="23.25" customHeight="1">
      <c r="A294" s="62" t="s">
        <v>1252</v>
      </c>
      <c r="B294" s="64">
        <v>2022</v>
      </c>
      <c r="C294" s="143" t="s">
        <v>52</v>
      </c>
      <c r="D294" s="64" t="s">
        <v>1253</v>
      </c>
      <c r="E294" s="69" t="s">
        <v>1254</v>
      </c>
      <c r="F294" s="71" t="s">
        <v>44</v>
      </c>
      <c r="G294" s="62" t="s">
        <v>15</v>
      </c>
      <c r="H294" s="78" t="s">
        <v>1255</v>
      </c>
      <c r="I294" s="79">
        <v>44909</v>
      </c>
      <c r="J294" s="79">
        <v>44909</v>
      </c>
      <c r="K294" s="64" t="s">
        <v>41</v>
      </c>
      <c r="L294" s="70">
        <v>0</v>
      </c>
      <c r="M294" s="139">
        <v>5</v>
      </c>
      <c r="N294" s="83">
        <v>0</v>
      </c>
      <c r="O294" s="65">
        <v>19</v>
      </c>
      <c r="P294" s="65">
        <v>169</v>
      </c>
      <c r="Q294" s="65">
        <v>0</v>
      </c>
      <c r="R294" s="65">
        <f t="shared" si="4"/>
        <v>188</v>
      </c>
      <c r="S294" s="64">
        <v>2</v>
      </c>
      <c r="T294" s="62" t="s">
        <v>1256</v>
      </c>
    </row>
    <row r="295" spans="1:20" ht="23.25" customHeight="1">
      <c r="A295" s="63" t="s">
        <v>1257</v>
      </c>
      <c r="B295" s="66">
        <v>2023</v>
      </c>
      <c r="C295" s="143" t="s">
        <v>52</v>
      </c>
      <c r="D295" s="66" t="s">
        <v>1258</v>
      </c>
      <c r="E295" s="72" t="s">
        <v>1259</v>
      </c>
      <c r="F295" s="73" t="s">
        <v>33</v>
      </c>
      <c r="G295" s="63" t="s">
        <v>25</v>
      </c>
      <c r="H295" s="80" t="s">
        <v>1260</v>
      </c>
      <c r="I295" s="81">
        <v>44952</v>
      </c>
      <c r="J295" s="81">
        <v>44952</v>
      </c>
      <c r="K295" s="66" t="s">
        <v>41</v>
      </c>
      <c r="L295" s="68">
        <v>0</v>
      </c>
      <c r="M295" s="140">
        <v>5</v>
      </c>
      <c r="N295" s="82">
        <v>80</v>
      </c>
      <c r="O295" s="67">
        <v>42</v>
      </c>
      <c r="P295" s="67">
        <v>0</v>
      </c>
      <c r="Q295" s="67">
        <v>0</v>
      </c>
      <c r="R295" s="67">
        <f t="shared" si="4"/>
        <v>42</v>
      </c>
      <c r="S295" s="66">
        <v>2</v>
      </c>
      <c r="T295" s="63" t="s">
        <v>3287</v>
      </c>
    </row>
    <row r="296" spans="1:20" ht="23.25" customHeight="1">
      <c r="A296" s="62" t="s">
        <v>1262</v>
      </c>
      <c r="B296" s="64">
        <v>2023</v>
      </c>
      <c r="C296" s="143" t="s">
        <v>52</v>
      </c>
      <c r="D296" s="64" t="s">
        <v>1263</v>
      </c>
      <c r="E296" s="69" t="s">
        <v>1264</v>
      </c>
      <c r="F296" s="71" t="s">
        <v>33</v>
      </c>
      <c r="G296" s="62" t="s">
        <v>32</v>
      </c>
      <c r="H296" s="78" t="s">
        <v>1265</v>
      </c>
      <c r="I296" s="79">
        <v>44964</v>
      </c>
      <c r="J296" s="79">
        <v>45013</v>
      </c>
      <c r="K296" s="64" t="s">
        <v>45</v>
      </c>
      <c r="L296" s="70">
        <v>14300</v>
      </c>
      <c r="M296" s="139">
        <v>5</v>
      </c>
      <c r="N296" s="83">
        <v>30</v>
      </c>
      <c r="O296" s="65">
        <v>31</v>
      </c>
      <c r="P296" s="65">
        <v>0</v>
      </c>
      <c r="Q296" s="65">
        <v>0</v>
      </c>
      <c r="R296" s="65">
        <f t="shared" si="4"/>
        <v>31</v>
      </c>
      <c r="S296" s="64">
        <v>26</v>
      </c>
      <c r="T296" s="62" t="s">
        <v>1228</v>
      </c>
    </row>
    <row r="297" spans="1:20" ht="23.25" customHeight="1">
      <c r="A297" s="63" t="s">
        <v>1266</v>
      </c>
      <c r="B297" s="66">
        <v>2023</v>
      </c>
      <c r="C297" s="143" t="s">
        <v>52</v>
      </c>
      <c r="D297" s="66" t="s">
        <v>1267</v>
      </c>
      <c r="E297" s="72" t="s">
        <v>1268</v>
      </c>
      <c r="F297" s="73" t="s">
        <v>44</v>
      </c>
      <c r="G297" s="63" t="s">
        <v>15</v>
      </c>
      <c r="H297" s="80" t="s">
        <v>1269</v>
      </c>
      <c r="I297" s="81">
        <v>44984</v>
      </c>
      <c r="J297" s="81">
        <v>44988</v>
      </c>
      <c r="K297" s="66" t="s">
        <v>41</v>
      </c>
      <c r="L297" s="68">
        <f>21417.24/2</f>
        <v>10708.62</v>
      </c>
      <c r="M297" s="140">
        <v>4.8</v>
      </c>
      <c r="N297" s="82">
        <v>20</v>
      </c>
      <c r="O297" s="67">
        <v>2</v>
      </c>
      <c r="P297" s="67">
        <v>18</v>
      </c>
      <c r="Q297" s="67">
        <v>0</v>
      </c>
      <c r="R297" s="67">
        <f t="shared" si="4"/>
        <v>20</v>
      </c>
      <c r="S297" s="66">
        <v>20</v>
      </c>
      <c r="T297" s="63" t="s">
        <v>116</v>
      </c>
    </row>
    <row r="298" spans="1:20" ht="23.25" customHeight="1">
      <c r="A298" s="62" t="s">
        <v>1270</v>
      </c>
      <c r="B298" s="64">
        <v>2023</v>
      </c>
      <c r="C298" s="143" t="s">
        <v>52</v>
      </c>
      <c r="D298" s="64"/>
      <c r="E298" s="69" t="s">
        <v>1271</v>
      </c>
      <c r="F298" s="71" t="s">
        <v>33</v>
      </c>
      <c r="G298" s="62" t="s">
        <v>32</v>
      </c>
      <c r="H298" s="78" t="s">
        <v>1272</v>
      </c>
      <c r="I298" s="79">
        <v>44985</v>
      </c>
      <c r="J298" s="79">
        <v>44985</v>
      </c>
      <c r="K298" s="64" t="s">
        <v>41</v>
      </c>
      <c r="L298" s="70">
        <v>0</v>
      </c>
      <c r="M298" s="139">
        <v>5</v>
      </c>
      <c r="N298" s="83">
        <v>0</v>
      </c>
      <c r="O298" s="65">
        <v>70</v>
      </c>
      <c r="P298" s="65">
        <v>0</v>
      </c>
      <c r="Q298" s="65">
        <v>0</v>
      </c>
      <c r="R298" s="65">
        <f t="shared" si="4"/>
        <v>70</v>
      </c>
      <c r="S298" s="64">
        <v>1.5</v>
      </c>
      <c r="T298" s="62" t="s">
        <v>1235</v>
      </c>
    </row>
    <row r="299" spans="1:20" ht="23.25" customHeight="1">
      <c r="A299" s="63" t="s">
        <v>1273</v>
      </c>
      <c r="B299" s="66">
        <v>2023</v>
      </c>
      <c r="C299" s="143" t="s">
        <v>52</v>
      </c>
      <c r="D299" s="66" t="s">
        <v>1274</v>
      </c>
      <c r="E299" s="72" t="s">
        <v>1275</v>
      </c>
      <c r="F299" s="73" t="s">
        <v>33</v>
      </c>
      <c r="G299" s="63" t="s">
        <v>13</v>
      </c>
      <c r="H299" s="80" t="s">
        <v>1272</v>
      </c>
      <c r="I299" s="81">
        <v>44985</v>
      </c>
      <c r="J299" s="81">
        <v>44985</v>
      </c>
      <c r="K299" s="66" t="s">
        <v>45</v>
      </c>
      <c r="L299" s="68">
        <v>0</v>
      </c>
      <c r="M299" s="140">
        <v>5</v>
      </c>
      <c r="N299" s="82">
        <v>70</v>
      </c>
      <c r="O299" s="67">
        <v>13</v>
      </c>
      <c r="P299" s="67">
        <v>20</v>
      </c>
      <c r="Q299" s="67">
        <v>52</v>
      </c>
      <c r="R299" s="67">
        <f t="shared" si="4"/>
        <v>85</v>
      </c>
      <c r="S299" s="66">
        <v>8</v>
      </c>
      <c r="T299" s="63" t="s">
        <v>1276</v>
      </c>
    </row>
    <row r="300" spans="1:20" ht="23.25" customHeight="1">
      <c r="A300" s="62" t="s">
        <v>1277</v>
      </c>
      <c r="B300" s="64">
        <v>2023</v>
      </c>
      <c r="C300" s="143" t="s">
        <v>52</v>
      </c>
      <c r="D300" s="64" t="s">
        <v>1278</v>
      </c>
      <c r="E300" s="69" t="s">
        <v>1279</v>
      </c>
      <c r="F300" s="71" t="s">
        <v>48</v>
      </c>
      <c r="G300" s="62" t="s">
        <v>15</v>
      </c>
      <c r="H300" s="78" t="s">
        <v>1280</v>
      </c>
      <c r="I300" s="79">
        <v>44988</v>
      </c>
      <c r="J300" s="79">
        <v>44988</v>
      </c>
      <c r="K300" s="64" t="s">
        <v>45</v>
      </c>
      <c r="L300" s="70">
        <v>0</v>
      </c>
      <c r="M300" s="139">
        <v>5</v>
      </c>
      <c r="N300" s="83">
        <v>0</v>
      </c>
      <c r="O300" s="65">
        <v>0</v>
      </c>
      <c r="P300" s="65">
        <v>0</v>
      </c>
      <c r="Q300" s="65">
        <v>54</v>
      </c>
      <c r="R300" s="65">
        <f t="shared" si="4"/>
        <v>54</v>
      </c>
      <c r="S300" s="64">
        <v>2</v>
      </c>
      <c r="T300" s="62" t="s">
        <v>1281</v>
      </c>
    </row>
    <row r="301" spans="1:20" ht="23.25" customHeight="1">
      <c r="A301" s="63" t="s">
        <v>1282</v>
      </c>
      <c r="B301" s="66">
        <v>2023</v>
      </c>
      <c r="C301" s="143" t="s">
        <v>52</v>
      </c>
      <c r="D301" s="66" t="s">
        <v>1283</v>
      </c>
      <c r="E301" s="72" t="s">
        <v>1284</v>
      </c>
      <c r="F301" s="73" t="s">
        <v>48</v>
      </c>
      <c r="G301" s="63" t="s">
        <v>32</v>
      </c>
      <c r="H301" s="80" t="s">
        <v>1285</v>
      </c>
      <c r="I301" s="81">
        <v>44991</v>
      </c>
      <c r="J301" s="81">
        <v>44991</v>
      </c>
      <c r="K301" s="66" t="s">
        <v>45</v>
      </c>
      <c r="L301" s="68">
        <v>0</v>
      </c>
      <c r="M301" s="140">
        <v>4.5999999999999996</v>
      </c>
      <c r="N301" s="82">
        <v>170</v>
      </c>
      <c r="O301" s="67">
        <v>23</v>
      </c>
      <c r="P301" s="67">
        <v>0</v>
      </c>
      <c r="Q301" s="67">
        <v>130</v>
      </c>
      <c r="R301" s="67">
        <f t="shared" si="4"/>
        <v>153</v>
      </c>
      <c r="S301" s="66">
        <v>2</v>
      </c>
      <c r="T301" s="63" t="s">
        <v>1247</v>
      </c>
    </row>
    <row r="302" spans="1:20" ht="23.25" customHeight="1">
      <c r="A302" s="62" t="s">
        <v>1286</v>
      </c>
      <c r="B302" s="64">
        <v>2023</v>
      </c>
      <c r="C302" s="143" t="s">
        <v>52</v>
      </c>
      <c r="D302" s="64" t="s">
        <v>1287</v>
      </c>
      <c r="E302" s="69" t="s">
        <v>1288</v>
      </c>
      <c r="F302" s="71" t="s">
        <v>33</v>
      </c>
      <c r="G302" s="62" t="s">
        <v>10</v>
      </c>
      <c r="H302" s="78" t="s">
        <v>1289</v>
      </c>
      <c r="I302" s="79">
        <v>44992</v>
      </c>
      <c r="J302" s="79">
        <v>45001</v>
      </c>
      <c r="K302" s="64" t="s">
        <v>41</v>
      </c>
      <c r="L302" s="70">
        <v>8566.89</v>
      </c>
      <c r="M302" s="139">
        <v>4.7</v>
      </c>
      <c r="N302" s="83">
        <v>20</v>
      </c>
      <c r="O302" s="65">
        <v>19</v>
      </c>
      <c r="P302" s="65">
        <v>0</v>
      </c>
      <c r="Q302" s="65">
        <v>0</v>
      </c>
      <c r="R302" s="65">
        <f t="shared" si="4"/>
        <v>19</v>
      </c>
      <c r="S302" s="64">
        <v>16</v>
      </c>
      <c r="T302" s="62" t="s">
        <v>569</v>
      </c>
    </row>
    <row r="303" spans="1:20" ht="23.25" customHeight="1">
      <c r="A303" s="63" t="s">
        <v>1290</v>
      </c>
      <c r="B303" s="66">
        <v>2023</v>
      </c>
      <c r="C303" s="143" t="s">
        <v>52</v>
      </c>
      <c r="D303" s="66" t="s">
        <v>1291</v>
      </c>
      <c r="E303" s="72" t="s">
        <v>1292</v>
      </c>
      <c r="F303" s="73" t="s">
        <v>33</v>
      </c>
      <c r="G303" s="63" t="s">
        <v>32</v>
      </c>
      <c r="H303" s="80" t="s">
        <v>1293</v>
      </c>
      <c r="I303" s="81">
        <v>44992</v>
      </c>
      <c r="J303" s="81">
        <v>44992</v>
      </c>
      <c r="K303" s="66" t="s">
        <v>45</v>
      </c>
      <c r="L303" s="68">
        <v>3200</v>
      </c>
      <c r="M303" s="140">
        <v>5</v>
      </c>
      <c r="N303" s="82">
        <v>80</v>
      </c>
      <c r="O303" s="67">
        <v>20</v>
      </c>
      <c r="P303" s="67">
        <v>0</v>
      </c>
      <c r="Q303" s="67">
        <v>0</v>
      </c>
      <c r="R303" s="67">
        <f t="shared" si="4"/>
        <v>20</v>
      </c>
      <c r="S303" s="66">
        <v>2</v>
      </c>
      <c r="T303" s="63" t="s">
        <v>1294</v>
      </c>
    </row>
    <row r="304" spans="1:20" ht="23.25" customHeight="1">
      <c r="A304" s="62" t="s">
        <v>1295</v>
      </c>
      <c r="B304" s="64">
        <v>2023</v>
      </c>
      <c r="C304" s="143" t="s">
        <v>52</v>
      </c>
      <c r="D304" s="64" t="s">
        <v>1283</v>
      </c>
      <c r="E304" s="69" t="s">
        <v>1296</v>
      </c>
      <c r="F304" s="71" t="s">
        <v>33</v>
      </c>
      <c r="G304" s="62" t="s">
        <v>32</v>
      </c>
      <c r="H304" s="78" t="s">
        <v>1297</v>
      </c>
      <c r="I304" s="79">
        <v>44994</v>
      </c>
      <c r="J304" s="79">
        <v>44994</v>
      </c>
      <c r="K304" s="64" t="s">
        <v>45</v>
      </c>
      <c r="L304" s="70">
        <v>0</v>
      </c>
      <c r="M304" s="139"/>
      <c r="N304" s="83">
        <v>80</v>
      </c>
      <c r="O304" s="65">
        <v>25</v>
      </c>
      <c r="P304" s="65"/>
      <c r="Q304" s="65"/>
      <c r="R304" s="65">
        <f t="shared" si="4"/>
        <v>25</v>
      </c>
      <c r="S304" s="64">
        <v>2</v>
      </c>
      <c r="T304" s="62" t="s">
        <v>1261</v>
      </c>
    </row>
    <row r="305" spans="1:20" ht="23.25" customHeight="1">
      <c r="A305" s="63" t="s">
        <v>1298</v>
      </c>
      <c r="B305" s="66">
        <v>2023</v>
      </c>
      <c r="C305" s="143" t="s">
        <v>52</v>
      </c>
      <c r="D305" s="66" t="s">
        <v>1299</v>
      </c>
      <c r="E305" s="72" t="s">
        <v>1300</v>
      </c>
      <c r="F305" s="73" t="s">
        <v>33</v>
      </c>
      <c r="G305" s="63" t="s">
        <v>32</v>
      </c>
      <c r="H305" s="80" t="s">
        <v>1301</v>
      </c>
      <c r="I305" s="81">
        <v>44995</v>
      </c>
      <c r="J305" s="81">
        <v>44995</v>
      </c>
      <c r="K305" s="66" t="s">
        <v>45</v>
      </c>
      <c r="L305" s="68">
        <v>770</v>
      </c>
      <c r="M305" s="140">
        <v>5</v>
      </c>
      <c r="N305" s="82">
        <v>170</v>
      </c>
      <c r="O305" s="67">
        <v>70</v>
      </c>
      <c r="P305" s="67">
        <v>0</v>
      </c>
      <c r="Q305" s="67">
        <v>0</v>
      </c>
      <c r="R305" s="67">
        <f t="shared" si="4"/>
        <v>70</v>
      </c>
      <c r="S305" s="66">
        <v>2</v>
      </c>
      <c r="T305" s="63" t="s">
        <v>1302</v>
      </c>
    </row>
    <row r="306" spans="1:20" ht="23.25" customHeight="1">
      <c r="A306" s="62" t="s">
        <v>1303</v>
      </c>
      <c r="B306" s="64">
        <v>2023</v>
      </c>
      <c r="C306" s="143" t="s">
        <v>52</v>
      </c>
      <c r="D306" s="64" t="s">
        <v>1304</v>
      </c>
      <c r="E306" s="69" t="s">
        <v>1305</v>
      </c>
      <c r="F306" s="71" t="s">
        <v>33</v>
      </c>
      <c r="G306" s="62" t="s">
        <v>35</v>
      </c>
      <c r="H306" s="78" t="s">
        <v>1306</v>
      </c>
      <c r="I306" s="79">
        <v>45000</v>
      </c>
      <c r="J306" s="79">
        <v>45006</v>
      </c>
      <c r="K306" s="64" t="s">
        <v>41</v>
      </c>
      <c r="L306" s="70">
        <v>0</v>
      </c>
      <c r="M306" s="139">
        <v>5</v>
      </c>
      <c r="N306" s="83">
        <v>29</v>
      </c>
      <c r="O306" s="65">
        <v>17</v>
      </c>
      <c r="P306" s="65">
        <v>0</v>
      </c>
      <c r="Q306" s="65">
        <v>0</v>
      </c>
      <c r="R306" s="65">
        <f t="shared" si="4"/>
        <v>17</v>
      </c>
      <c r="S306" s="64">
        <v>20</v>
      </c>
      <c r="T306" s="62"/>
    </row>
    <row r="307" spans="1:20" ht="23.25" customHeight="1">
      <c r="A307" s="63" t="s">
        <v>1307</v>
      </c>
      <c r="B307" s="66">
        <v>2023</v>
      </c>
      <c r="C307" s="143" t="s">
        <v>52</v>
      </c>
      <c r="D307" s="66" t="s">
        <v>1308</v>
      </c>
      <c r="E307" s="72" t="s">
        <v>1309</v>
      </c>
      <c r="F307" s="73" t="s">
        <v>33</v>
      </c>
      <c r="G307" s="63" t="s">
        <v>13</v>
      </c>
      <c r="H307" s="80" t="s">
        <v>1310</v>
      </c>
      <c r="I307" s="81">
        <v>45005</v>
      </c>
      <c r="J307" s="81">
        <v>45009</v>
      </c>
      <c r="K307" s="66" t="s">
        <v>45</v>
      </c>
      <c r="L307" s="68">
        <v>14950</v>
      </c>
      <c r="M307" s="140">
        <v>4.3</v>
      </c>
      <c r="N307" s="82">
        <v>40</v>
      </c>
      <c r="O307" s="67">
        <v>18</v>
      </c>
      <c r="P307" s="67">
        <v>5</v>
      </c>
      <c r="Q307" s="67">
        <v>1</v>
      </c>
      <c r="R307" s="67">
        <f t="shared" si="4"/>
        <v>24</v>
      </c>
      <c r="S307" s="66">
        <v>20</v>
      </c>
      <c r="T307" s="63" t="s">
        <v>742</v>
      </c>
    </row>
    <row r="308" spans="1:20" ht="23.25" customHeight="1">
      <c r="A308" s="62" t="s">
        <v>1311</v>
      </c>
      <c r="B308" s="64">
        <v>2023</v>
      </c>
      <c r="C308" s="143" t="s">
        <v>52</v>
      </c>
      <c r="D308" s="64" t="s">
        <v>1312</v>
      </c>
      <c r="E308" s="69" t="s">
        <v>1081</v>
      </c>
      <c r="F308" s="71" t="s">
        <v>33</v>
      </c>
      <c r="G308" s="62" t="s">
        <v>35</v>
      </c>
      <c r="H308" s="78" t="s">
        <v>1313</v>
      </c>
      <c r="I308" s="79">
        <v>45005</v>
      </c>
      <c r="J308" s="79">
        <v>45006</v>
      </c>
      <c r="K308" s="64" t="s">
        <v>41</v>
      </c>
      <c r="L308" s="70">
        <f>947.31+803.14</f>
        <v>1750.4499999999998</v>
      </c>
      <c r="M308" s="139">
        <v>4.7</v>
      </c>
      <c r="N308" s="83">
        <v>29</v>
      </c>
      <c r="O308" s="65">
        <v>17</v>
      </c>
      <c r="P308" s="65">
        <v>0</v>
      </c>
      <c r="Q308" s="65">
        <v>0</v>
      </c>
      <c r="R308" s="65">
        <f t="shared" si="4"/>
        <v>17</v>
      </c>
      <c r="S308" s="64">
        <v>6.5</v>
      </c>
      <c r="T308" s="62" t="s">
        <v>3743</v>
      </c>
    </row>
    <row r="309" spans="1:20" ht="23.25" customHeight="1">
      <c r="A309" s="63" t="s">
        <v>1315</v>
      </c>
      <c r="B309" s="66">
        <v>2023</v>
      </c>
      <c r="C309" s="143" t="s">
        <v>52</v>
      </c>
      <c r="D309" s="66" t="s">
        <v>1316</v>
      </c>
      <c r="E309" s="72" t="s">
        <v>1317</v>
      </c>
      <c r="F309" s="73" t="s">
        <v>33</v>
      </c>
      <c r="G309" s="63" t="s">
        <v>35</v>
      </c>
      <c r="H309" s="80" t="s">
        <v>1318</v>
      </c>
      <c r="I309" s="81">
        <v>45007</v>
      </c>
      <c r="J309" s="81">
        <v>45008</v>
      </c>
      <c r="K309" s="66" t="s">
        <v>41</v>
      </c>
      <c r="L309" s="68">
        <v>8566.89</v>
      </c>
      <c r="M309" s="140">
        <v>4.5999999999999996</v>
      </c>
      <c r="N309" s="82">
        <v>29</v>
      </c>
      <c r="O309" s="67">
        <v>17</v>
      </c>
      <c r="P309" s="67">
        <v>0</v>
      </c>
      <c r="Q309" s="67">
        <v>0</v>
      </c>
      <c r="R309" s="67">
        <f t="shared" si="4"/>
        <v>17</v>
      </c>
      <c r="S309" s="66">
        <v>16</v>
      </c>
      <c r="T309" s="63" t="s">
        <v>569</v>
      </c>
    </row>
    <row r="310" spans="1:20" ht="23.25" customHeight="1">
      <c r="A310" s="62" t="s">
        <v>1319</v>
      </c>
      <c r="B310" s="64">
        <v>2023</v>
      </c>
      <c r="C310" s="143" t="s">
        <v>52</v>
      </c>
      <c r="D310" s="64" t="s">
        <v>1320</v>
      </c>
      <c r="E310" s="77" t="s">
        <v>1321</v>
      </c>
      <c r="F310" s="71" t="s">
        <v>48</v>
      </c>
      <c r="G310" s="62" t="s">
        <v>15</v>
      </c>
      <c r="H310" s="78" t="s">
        <v>1322</v>
      </c>
      <c r="I310" s="79">
        <v>45008</v>
      </c>
      <c r="J310" s="79">
        <v>45008</v>
      </c>
      <c r="K310" s="64" t="s">
        <v>41</v>
      </c>
      <c r="L310" s="70">
        <v>300</v>
      </c>
      <c r="M310" s="139">
        <v>5</v>
      </c>
      <c r="N310" s="83">
        <v>170</v>
      </c>
      <c r="O310" s="65">
        <v>43</v>
      </c>
      <c r="P310" s="65">
        <v>1</v>
      </c>
      <c r="Q310" s="65">
        <v>1</v>
      </c>
      <c r="R310" s="65">
        <f t="shared" si="4"/>
        <v>45</v>
      </c>
      <c r="S310" s="64">
        <v>1</v>
      </c>
      <c r="T310" s="75" t="s">
        <v>2964</v>
      </c>
    </row>
    <row r="311" spans="1:20" ht="23.25" customHeight="1">
      <c r="A311" s="63" t="s">
        <v>1323</v>
      </c>
      <c r="B311" s="66">
        <v>2023</v>
      </c>
      <c r="C311" s="143" t="s">
        <v>52</v>
      </c>
      <c r="D311" s="66" t="s">
        <v>1324</v>
      </c>
      <c r="E311" s="76" t="s">
        <v>1325</v>
      </c>
      <c r="F311" s="73" t="s">
        <v>33</v>
      </c>
      <c r="G311" s="63" t="s">
        <v>32</v>
      </c>
      <c r="H311" s="80" t="s">
        <v>1326</v>
      </c>
      <c r="I311" s="81">
        <v>45009</v>
      </c>
      <c r="J311" s="81">
        <v>45009</v>
      </c>
      <c r="K311" s="66" t="s">
        <v>45</v>
      </c>
      <c r="L311" s="68">
        <v>0</v>
      </c>
      <c r="M311" s="140">
        <v>5</v>
      </c>
      <c r="N311" s="82">
        <v>170</v>
      </c>
      <c r="O311" s="67">
        <v>26</v>
      </c>
      <c r="P311" s="67">
        <v>0</v>
      </c>
      <c r="Q311" s="67">
        <v>0</v>
      </c>
      <c r="R311" s="67">
        <f t="shared" si="4"/>
        <v>26</v>
      </c>
      <c r="S311" s="66">
        <v>2</v>
      </c>
      <c r="T311" s="63" t="s">
        <v>3314</v>
      </c>
    </row>
    <row r="312" spans="1:20" ht="23.25" customHeight="1">
      <c r="A312" s="62" t="s">
        <v>1327</v>
      </c>
      <c r="B312" s="64">
        <v>2023</v>
      </c>
      <c r="C312" s="143" t="s">
        <v>52</v>
      </c>
      <c r="D312" s="64" t="s">
        <v>1328</v>
      </c>
      <c r="E312" s="69" t="s">
        <v>1329</v>
      </c>
      <c r="F312" s="71" t="s">
        <v>33</v>
      </c>
      <c r="G312" s="62" t="s">
        <v>13</v>
      </c>
      <c r="H312" s="78" t="s">
        <v>1326</v>
      </c>
      <c r="I312" s="79">
        <v>45009</v>
      </c>
      <c r="J312" s="79">
        <v>45009</v>
      </c>
      <c r="K312" s="64" t="s">
        <v>41</v>
      </c>
      <c r="L312" s="70">
        <f>21637.93+8527.01+1894.62</f>
        <v>32059.56</v>
      </c>
      <c r="M312" s="139">
        <v>5</v>
      </c>
      <c r="N312" s="83">
        <v>17</v>
      </c>
      <c r="O312" s="65">
        <v>17</v>
      </c>
      <c r="P312" s="65">
        <v>0</v>
      </c>
      <c r="Q312" s="65">
        <v>0</v>
      </c>
      <c r="R312" s="65">
        <f t="shared" si="4"/>
        <v>17</v>
      </c>
      <c r="S312" s="64">
        <v>75</v>
      </c>
      <c r="T312" s="62" t="s">
        <v>3317</v>
      </c>
    </row>
    <row r="313" spans="1:20" ht="23.25" customHeight="1">
      <c r="A313" s="63" t="s">
        <v>1330</v>
      </c>
      <c r="B313" s="66">
        <v>2023</v>
      </c>
      <c r="C313" s="143" t="s">
        <v>52</v>
      </c>
      <c r="D313" s="66" t="s">
        <v>1331</v>
      </c>
      <c r="E313" s="72" t="s">
        <v>1332</v>
      </c>
      <c r="F313" s="73" t="s">
        <v>33</v>
      </c>
      <c r="G313" s="63" t="s">
        <v>22</v>
      </c>
      <c r="H313" s="80" t="s">
        <v>1326</v>
      </c>
      <c r="I313" s="81">
        <v>45009</v>
      </c>
      <c r="J313" s="81">
        <v>45009</v>
      </c>
      <c r="K313" s="66" t="s">
        <v>45</v>
      </c>
      <c r="L313" s="68">
        <v>0</v>
      </c>
      <c r="M313" s="140">
        <v>5</v>
      </c>
      <c r="N313" s="82">
        <v>70</v>
      </c>
      <c r="O313" s="67">
        <v>30</v>
      </c>
      <c r="P313" s="67">
        <v>0</v>
      </c>
      <c r="Q313" s="67">
        <v>0</v>
      </c>
      <c r="R313" s="67">
        <f t="shared" si="4"/>
        <v>30</v>
      </c>
      <c r="S313" s="66">
        <v>2</v>
      </c>
      <c r="T313" s="63" t="s">
        <v>908</v>
      </c>
    </row>
    <row r="314" spans="1:20" ht="23.25" customHeight="1">
      <c r="A314" s="62" t="s">
        <v>1333</v>
      </c>
      <c r="B314" s="64">
        <v>2023</v>
      </c>
      <c r="C314" s="143" t="s">
        <v>52</v>
      </c>
      <c r="D314" s="64" t="s">
        <v>1267</v>
      </c>
      <c r="E314" s="69" t="s">
        <v>1334</v>
      </c>
      <c r="F314" s="71" t="s">
        <v>44</v>
      </c>
      <c r="G314" s="62" t="s">
        <v>15</v>
      </c>
      <c r="H314" s="78" t="s">
        <v>1335</v>
      </c>
      <c r="I314" s="79">
        <v>45012</v>
      </c>
      <c r="J314" s="79">
        <v>45016</v>
      </c>
      <c r="K314" s="64" t="s">
        <v>41</v>
      </c>
      <c r="L314" s="70">
        <f>21417.24/2</f>
        <v>10708.62</v>
      </c>
      <c r="M314" s="139">
        <v>4.8</v>
      </c>
      <c r="N314" s="83">
        <v>20</v>
      </c>
      <c r="O314" s="65">
        <v>2</v>
      </c>
      <c r="P314" s="65">
        <v>18</v>
      </c>
      <c r="Q314" s="65">
        <v>0</v>
      </c>
      <c r="R314" s="65">
        <f t="shared" si="4"/>
        <v>20</v>
      </c>
      <c r="S314" s="64">
        <v>20</v>
      </c>
      <c r="T314" s="62" t="s">
        <v>116</v>
      </c>
    </row>
    <row r="315" spans="1:20" ht="23.25" customHeight="1">
      <c r="A315" s="63" t="s">
        <v>1336</v>
      </c>
      <c r="B315" s="66">
        <v>2023</v>
      </c>
      <c r="C315" s="143" t="s">
        <v>52</v>
      </c>
      <c r="D315" s="66" t="s">
        <v>1337</v>
      </c>
      <c r="E315" s="72" t="s">
        <v>1338</v>
      </c>
      <c r="F315" s="73" t="s">
        <v>48</v>
      </c>
      <c r="G315" s="63" t="s">
        <v>15</v>
      </c>
      <c r="H315" s="80" t="s">
        <v>1339</v>
      </c>
      <c r="I315" s="81">
        <v>45015</v>
      </c>
      <c r="J315" s="81">
        <v>45015</v>
      </c>
      <c r="K315" s="66" t="s">
        <v>41</v>
      </c>
      <c r="L315" s="68">
        <v>0</v>
      </c>
      <c r="M315" s="140">
        <v>5</v>
      </c>
      <c r="N315" s="82">
        <v>60</v>
      </c>
      <c r="O315" s="67">
        <v>0</v>
      </c>
      <c r="P315" s="67">
        <v>0</v>
      </c>
      <c r="Q315" s="67">
        <v>33</v>
      </c>
      <c r="R315" s="67">
        <f t="shared" si="4"/>
        <v>33</v>
      </c>
      <c r="S315" s="66">
        <v>2</v>
      </c>
      <c r="T315" s="63" t="s">
        <v>1340</v>
      </c>
    </row>
    <row r="316" spans="1:20" ht="23.25" customHeight="1">
      <c r="A316" s="62" t="s">
        <v>1341</v>
      </c>
      <c r="B316" s="64">
        <v>2023</v>
      </c>
      <c r="C316" s="143" t="s">
        <v>52</v>
      </c>
      <c r="D316" s="64" t="s">
        <v>1342</v>
      </c>
      <c r="E316" s="69" t="s">
        <v>1343</v>
      </c>
      <c r="F316" s="71" t="s">
        <v>33</v>
      </c>
      <c r="G316" s="62" t="s">
        <v>10</v>
      </c>
      <c r="H316" s="78" t="s">
        <v>1344</v>
      </c>
      <c r="I316" s="79">
        <v>45026</v>
      </c>
      <c r="J316" s="79">
        <v>45026</v>
      </c>
      <c r="K316" s="64" t="s">
        <v>45</v>
      </c>
      <c r="L316" s="70">
        <v>2159.9</v>
      </c>
      <c r="M316" s="139">
        <v>5</v>
      </c>
      <c r="N316" s="83">
        <v>17</v>
      </c>
      <c r="O316" s="65">
        <v>17</v>
      </c>
      <c r="P316" s="65">
        <v>0</v>
      </c>
      <c r="Q316" s="65">
        <v>0</v>
      </c>
      <c r="R316" s="65">
        <f t="shared" si="4"/>
        <v>17</v>
      </c>
      <c r="S316" s="64">
        <v>5</v>
      </c>
      <c r="T316" s="75" t="s">
        <v>1345</v>
      </c>
    </row>
    <row r="317" spans="1:20" ht="23.25" customHeight="1">
      <c r="A317" s="63" t="s">
        <v>1346</v>
      </c>
      <c r="B317" s="66">
        <v>2023</v>
      </c>
      <c r="C317" s="143" t="s">
        <v>52</v>
      </c>
      <c r="D317" s="66" t="s">
        <v>1347</v>
      </c>
      <c r="E317" s="72" t="s">
        <v>1348</v>
      </c>
      <c r="F317" s="73" t="s">
        <v>33</v>
      </c>
      <c r="G317" s="63" t="s">
        <v>25</v>
      </c>
      <c r="H317" s="80" t="s">
        <v>1349</v>
      </c>
      <c r="I317" s="81">
        <v>45027</v>
      </c>
      <c r="J317" s="81">
        <v>45029</v>
      </c>
      <c r="K317" s="66" t="s">
        <v>45</v>
      </c>
      <c r="L317" s="68">
        <v>16253.1</v>
      </c>
      <c r="M317" s="140">
        <v>4.8</v>
      </c>
      <c r="N317" s="82">
        <v>20</v>
      </c>
      <c r="O317" s="67">
        <v>15</v>
      </c>
      <c r="P317" s="67">
        <v>0</v>
      </c>
      <c r="Q317" s="67">
        <v>0</v>
      </c>
      <c r="R317" s="67">
        <f t="shared" si="4"/>
        <v>15</v>
      </c>
      <c r="S317" s="66">
        <v>24</v>
      </c>
      <c r="T317" s="63" t="s">
        <v>1350</v>
      </c>
    </row>
    <row r="318" spans="1:20" ht="23.25" customHeight="1">
      <c r="A318" s="62" t="s">
        <v>1351</v>
      </c>
      <c r="B318" s="64">
        <v>2023</v>
      </c>
      <c r="C318" s="143" t="s">
        <v>52</v>
      </c>
      <c r="D318" s="64" t="s">
        <v>1352</v>
      </c>
      <c r="E318" s="69" t="s">
        <v>1353</v>
      </c>
      <c r="F318" s="71" t="s">
        <v>48</v>
      </c>
      <c r="G318" s="62" t="s">
        <v>15</v>
      </c>
      <c r="H318" s="78" t="s">
        <v>1354</v>
      </c>
      <c r="I318" s="79">
        <v>45030</v>
      </c>
      <c r="J318" s="79">
        <v>45030</v>
      </c>
      <c r="K318" s="64" t="s">
        <v>41</v>
      </c>
      <c r="L318" s="70">
        <v>1987.08</v>
      </c>
      <c r="M318" s="139">
        <v>5</v>
      </c>
      <c r="N318" s="83">
        <v>40</v>
      </c>
      <c r="O318" s="65">
        <v>0</v>
      </c>
      <c r="P318" s="65">
        <v>0</v>
      </c>
      <c r="Q318" s="65">
        <v>19</v>
      </c>
      <c r="R318" s="65">
        <f t="shared" si="4"/>
        <v>19</v>
      </c>
      <c r="S318" s="64">
        <v>4</v>
      </c>
      <c r="T318" s="62" t="s">
        <v>442</v>
      </c>
    </row>
    <row r="319" spans="1:20" ht="23.25" customHeight="1">
      <c r="A319" s="63" t="s">
        <v>1355</v>
      </c>
      <c r="B319" s="66">
        <v>2023</v>
      </c>
      <c r="C319" s="143" t="s">
        <v>52</v>
      </c>
      <c r="D319" s="66" t="s">
        <v>1356</v>
      </c>
      <c r="E319" s="72" t="s">
        <v>1357</v>
      </c>
      <c r="F319" s="73" t="s">
        <v>33</v>
      </c>
      <c r="G319" s="63" t="s">
        <v>1358</v>
      </c>
      <c r="H319" s="80" t="s">
        <v>1359</v>
      </c>
      <c r="I319" s="81">
        <v>45033</v>
      </c>
      <c r="J319" s="81">
        <v>45033</v>
      </c>
      <c r="K319" s="66" t="s">
        <v>45</v>
      </c>
      <c r="L319" s="68">
        <f>36546/2</f>
        <v>18273</v>
      </c>
      <c r="M319" s="140">
        <v>5</v>
      </c>
      <c r="N319" s="82">
        <v>0</v>
      </c>
      <c r="O319" s="67">
        <v>16</v>
      </c>
      <c r="P319" s="67">
        <v>0</v>
      </c>
      <c r="Q319" s="67">
        <v>0</v>
      </c>
      <c r="R319" s="67">
        <f t="shared" si="4"/>
        <v>16</v>
      </c>
      <c r="S319" s="66">
        <v>2</v>
      </c>
      <c r="T319" s="63" t="s">
        <v>1360</v>
      </c>
    </row>
    <row r="320" spans="1:20" ht="23.25" customHeight="1">
      <c r="A320" s="62" t="s">
        <v>1361</v>
      </c>
      <c r="B320" s="64">
        <v>2023</v>
      </c>
      <c r="C320" s="143" t="s">
        <v>52</v>
      </c>
      <c r="D320" s="64" t="s">
        <v>1356</v>
      </c>
      <c r="E320" s="69" t="s">
        <v>1362</v>
      </c>
      <c r="F320" s="71" t="s">
        <v>33</v>
      </c>
      <c r="G320" s="62" t="s">
        <v>1358</v>
      </c>
      <c r="H320" s="78" t="s">
        <v>1363</v>
      </c>
      <c r="I320" s="79">
        <v>45034</v>
      </c>
      <c r="J320" s="79">
        <v>45034</v>
      </c>
      <c r="K320" s="64" t="s">
        <v>45</v>
      </c>
      <c r="L320" s="70">
        <f>36546/2</f>
        <v>18273</v>
      </c>
      <c r="M320" s="139">
        <v>5</v>
      </c>
      <c r="N320" s="83">
        <v>0</v>
      </c>
      <c r="O320" s="65">
        <v>49</v>
      </c>
      <c r="P320" s="65">
        <v>0</v>
      </c>
      <c r="Q320" s="65">
        <v>0</v>
      </c>
      <c r="R320" s="65">
        <f t="shared" si="4"/>
        <v>49</v>
      </c>
      <c r="S320" s="64">
        <v>2</v>
      </c>
      <c r="T320" s="62" t="s">
        <v>1360</v>
      </c>
    </row>
    <row r="321" spans="1:20" ht="23.25" customHeight="1">
      <c r="A321" s="63" t="s">
        <v>1364</v>
      </c>
      <c r="B321" s="66">
        <v>2023</v>
      </c>
      <c r="C321" s="143" t="s">
        <v>52</v>
      </c>
      <c r="D321" s="66" t="s">
        <v>1356</v>
      </c>
      <c r="E321" s="72" t="s">
        <v>1365</v>
      </c>
      <c r="F321" s="73" t="s">
        <v>33</v>
      </c>
      <c r="G321" s="63" t="s">
        <v>1358</v>
      </c>
      <c r="H321" s="80" t="s">
        <v>1363</v>
      </c>
      <c r="I321" s="81">
        <v>45034</v>
      </c>
      <c r="J321" s="81">
        <v>45034</v>
      </c>
      <c r="K321" s="66" t="s">
        <v>45</v>
      </c>
      <c r="L321" s="68">
        <v>21104</v>
      </c>
      <c r="M321" s="140">
        <v>5</v>
      </c>
      <c r="N321" s="82">
        <v>0</v>
      </c>
      <c r="O321" s="67">
        <f>55+71</f>
        <v>126</v>
      </c>
      <c r="P321" s="67">
        <v>0</v>
      </c>
      <c r="Q321" s="67">
        <v>0</v>
      </c>
      <c r="R321" s="67">
        <f t="shared" si="4"/>
        <v>126</v>
      </c>
      <c r="S321" s="66">
        <v>2</v>
      </c>
      <c r="T321" s="63" t="s">
        <v>1360</v>
      </c>
    </row>
    <row r="322" spans="1:20" ht="23.25" customHeight="1">
      <c r="A322" s="62" t="s">
        <v>1366</v>
      </c>
      <c r="B322" s="64">
        <v>2023</v>
      </c>
      <c r="C322" s="143" t="s">
        <v>52</v>
      </c>
      <c r="D322" s="64" t="s">
        <v>1367</v>
      </c>
      <c r="E322" s="69" t="s">
        <v>1368</v>
      </c>
      <c r="F322" s="71" t="s">
        <v>48</v>
      </c>
      <c r="G322" s="62" t="s">
        <v>15</v>
      </c>
      <c r="H322" s="78" t="s">
        <v>1363</v>
      </c>
      <c r="I322" s="79">
        <v>45034</v>
      </c>
      <c r="J322" s="79">
        <v>45034</v>
      </c>
      <c r="K322" s="64" t="s">
        <v>41</v>
      </c>
      <c r="L322" s="70">
        <v>496.77</v>
      </c>
      <c r="M322" s="139">
        <v>5</v>
      </c>
      <c r="N322" s="83">
        <v>70</v>
      </c>
      <c r="O322" s="65">
        <v>0</v>
      </c>
      <c r="P322" s="65">
        <v>0</v>
      </c>
      <c r="Q322" s="65">
        <v>40</v>
      </c>
      <c r="R322" s="65">
        <f t="shared" ref="R322:R385" si="5">SUM(O322:Q322)</f>
        <v>40</v>
      </c>
      <c r="S322" s="64">
        <v>1</v>
      </c>
      <c r="T322" s="62" t="s">
        <v>1369</v>
      </c>
    </row>
    <row r="323" spans="1:20" ht="23.25" customHeight="1">
      <c r="A323" s="63" t="s">
        <v>1370</v>
      </c>
      <c r="B323" s="66">
        <v>2023</v>
      </c>
      <c r="C323" s="143" t="s">
        <v>52</v>
      </c>
      <c r="D323" s="66" t="s">
        <v>1367</v>
      </c>
      <c r="E323" s="72" t="s">
        <v>1371</v>
      </c>
      <c r="F323" s="73" t="s">
        <v>48</v>
      </c>
      <c r="G323" s="63" t="s">
        <v>15</v>
      </c>
      <c r="H323" s="80" t="s">
        <v>1363</v>
      </c>
      <c r="I323" s="81">
        <v>45034</v>
      </c>
      <c r="J323" s="81">
        <v>45034</v>
      </c>
      <c r="K323" s="66" t="s">
        <v>41</v>
      </c>
      <c r="L323" s="68">
        <v>496.77</v>
      </c>
      <c r="M323" s="140">
        <v>5</v>
      </c>
      <c r="N323" s="82">
        <v>70</v>
      </c>
      <c r="O323" s="67">
        <v>0</v>
      </c>
      <c r="P323" s="67">
        <v>0</v>
      </c>
      <c r="Q323" s="67">
        <v>40</v>
      </c>
      <c r="R323" s="67">
        <f t="shared" si="5"/>
        <v>40</v>
      </c>
      <c r="S323" s="66">
        <v>1</v>
      </c>
      <c r="T323" s="63" t="s">
        <v>1369</v>
      </c>
    </row>
    <row r="324" spans="1:20" ht="23.25" customHeight="1">
      <c r="A324" s="62" t="s">
        <v>1372</v>
      </c>
      <c r="B324" s="64">
        <v>2023</v>
      </c>
      <c r="C324" s="143" t="s">
        <v>52</v>
      </c>
      <c r="D324" s="64" t="s">
        <v>1367</v>
      </c>
      <c r="E324" s="69" t="s">
        <v>1373</v>
      </c>
      <c r="F324" s="71" t="s">
        <v>48</v>
      </c>
      <c r="G324" s="62" t="s">
        <v>15</v>
      </c>
      <c r="H324" s="78" t="s">
        <v>1374</v>
      </c>
      <c r="I324" s="79">
        <v>45035</v>
      </c>
      <c r="J324" s="79">
        <v>45035</v>
      </c>
      <c r="K324" s="64" t="s">
        <v>41</v>
      </c>
      <c r="L324" s="70">
        <v>496.77</v>
      </c>
      <c r="M324" s="139">
        <v>5</v>
      </c>
      <c r="N324" s="83">
        <v>70</v>
      </c>
      <c r="O324" s="65">
        <v>0</v>
      </c>
      <c r="P324" s="65">
        <v>0</v>
      </c>
      <c r="Q324" s="65">
        <v>60</v>
      </c>
      <c r="R324" s="65">
        <f t="shared" si="5"/>
        <v>60</v>
      </c>
      <c r="S324" s="64">
        <v>1</v>
      </c>
      <c r="T324" s="62" t="s">
        <v>1369</v>
      </c>
    </row>
    <row r="325" spans="1:20" ht="23.25" customHeight="1">
      <c r="A325" s="63" t="s">
        <v>1375</v>
      </c>
      <c r="B325" s="66">
        <v>2023</v>
      </c>
      <c r="C325" s="143" t="s">
        <v>52</v>
      </c>
      <c r="D325" s="66" t="s">
        <v>1367</v>
      </c>
      <c r="E325" s="72" t="s">
        <v>1376</v>
      </c>
      <c r="F325" s="73" t="s">
        <v>48</v>
      </c>
      <c r="G325" s="63" t="s">
        <v>15</v>
      </c>
      <c r="H325" s="80" t="s">
        <v>1374</v>
      </c>
      <c r="I325" s="81">
        <v>45035</v>
      </c>
      <c r="J325" s="81">
        <v>45035</v>
      </c>
      <c r="K325" s="66" t="s">
        <v>41</v>
      </c>
      <c r="L325" s="68">
        <v>496.77</v>
      </c>
      <c r="M325" s="140">
        <v>5</v>
      </c>
      <c r="N325" s="82">
        <v>70</v>
      </c>
      <c r="O325" s="67">
        <v>0</v>
      </c>
      <c r="P325" s="67">
        <v>0</v>
      </c>
      <c r="Q325" s="67">
        <v>30</v>
      </c>
      <c r="R325" s="67">
        <f t="shared" si="5"/>
        <v>30</v>
      </c>
      <c r="S325" s="66">
        <v>1</v>
      </c>
      <c r="T325" s="63" t="s">
        <v>1369</v>
      </c>
    </row>
    <row r="326" spans="1:20" ht="23.25" customHeight="1">
      <c r="A326" s="62" t="s">
        <v>1377</v>
      </c>
      <c r="B326" s="64">
        <v>2023</v>
      </c>
      <c r="C326" s="143" t="s">
        <v>52</v>
      </c>
      <c r="D326" s="64" t="s">
        <v>1378</v>
      </c>
      <c r="E326" s="69" t="s">
        <v>1379</v>
      </c>
      <c r="F326" s="71" t="s">
        <v>33</v>
      </c>
      <c r="G326" s="62" t="s">
        <v>29</v>
      </c>
      <c r="H326" s="78" t="s">
        <v>1380</v>
      </c>
      <c r="I326" s="79">
        <v>45036</v>
      </c>
      <c r="J326" s="79">
        <v>45058</v>
      </c>
      <c r="K326" s="64" t="s">
        <v>45</v>
      </c>
      <c r="L326" s="70">
        <v>27000</v>
      </c>
      <c r="M326" s="139">
        <v>4.46</v>
      </c>
      <c r="N326" s="83">
        <v>20</v>
      </c>
      <c r="O326" s="65">
        <v>21</v>
      </c>
      <c r="P326" s="65">
        <v>0</v>
      </c>
      <c r="Q326" s="65">
        <v>0</v>
      </c>
      <c r="R326" s="65">
        <f t="shared" si="5"/>
        <v>21</v>
      </c>
      <c r="S326" s="64">
        <v>30</v>
      </c>
      <c r="T326" s="62" t="s">
        <v>977</v>
      </c>
    </row>
    <row r="327" spans="1:20" ht="23.25" customHeight="1">
      <c r="A327" s="63" t="s">
        <v>1381</v>
      </c>
      <c r="B327" s="66">
        <v>2023</v>
      </c>
      <c r="C327" s="143" t="s">
        <v>52</v>
      </c>
      <c r="D327" s="66" t="s">
        <v>1267</v>
      </c>
      <c r="E327" s="72" t="s">
        <v>1382</v>
      </c>
      <c r="F327" s="73" t="s">
        <v>44</v>
      </c>
      <c r="G327" s="63" t="s">
        <v>15</v>
      </c>
      <c r="H327" s="80" t="s">
        <v>1383</v>
      </c>
      <c r="I327" s="81">
        <v>45040</v>
      </c>
      <c r="J327" s="81">
        <v>45044</v>
      </c>
      <c r="K327" s="66" t="s">
        <v>41</v>
      </c>
      <c r="L327" s="68">
        <v>11231.48</v>
      </c>
      <c r="M327" s="140">
        <v>4.7</v>
      </c>
      <c r="N327" s="82">
        <v>20</v>
      </c>
      <c r="O327" s="67">
        <v>0</v>
      </c>
      <c r="P327" s="67">
        <v>20</v>
      </c>
      <c r="Q327" s="67">
        <v>0</v>
      </c>
      <c r="R327" s="67">
        <f t="shared" si="5"/>
        <v>20</v>
      </c>
      <c r="S327" s="66">
        <v>20</v>
      </c>
      <c r="T327" s="63" t="s">
        <v>116</v>
      </c>
    </row>
    <row r="328" spans="1:20" ht="23.25" customHeight="1">
      <c r="A328" s="62" t="s">
        <v>1384</v>
      </c>
      <c r="B328" s="64">
        <v>2023</v>
      </c>
      <c r="C328" s="143" t="s">
        <v>52</v>
      </c>
      <c r="D328" s="64" t="s">
        <v>1385</v>
      </c>
      <c r="E328" s="69" t="s">
        <v>1386</v>
      </c>
      <c r="F328" s="71" t="s">
        <v>48</v>
      </c>
      <c r="G328" s="62" t="s">
        <v>15</v>
      </c>
      <c r="H328" s="78" t="s">
        <v>1387</v>
      </c>
      <c r="I328" s="79">
        <v>45041</v>
      </c>
      <c r="J328" s="79">
        <v>45043</v>
      </c>
      <c r="K328" s="64" t="s">
        <v>41</v>
      </c>
      <c r="L328" s="70">
        <v>3763.24</v>
      </c>
      <c r="M328" s="139">
        <v>5</v>
      </c>
      <c r="N328" s="83">
        <v>40</v>
      </c>
      <c r="O328" s="65">
        <v>1</v>
      </c>
      <c r="P328" s="65">
        <v>0</v>
      </c>
      <c r="Q328" s="65">
        <v>39</v>
      </c>
      <c r="R328" s="65">
        <f t="shared" si="5"/>
        <v>40</v>
      </c>
      <c r="S328" s="64">
        <v>9</v>
      </c>
      <c r="T328" s="96" t="s">
        <v>3744</v>
      </c>
    </row>
    <row r="329" spans="1:20" ht="23.25" customHeight="1">
      <c r="A329" s="63" t="s">
        <v>1389</v>
      </c>
      <c r="B329" s="66">
        <v>2023</v>
      </c>
      <c r="C329" s="143" t="s">
        <v>52</v>
      </c>
      <c r="D329" s="66" t="s">
        <v>1390</v>
      </c>
      <c r="E329" s="72" t="s">
        <v>1391</v>
      </c>
      <c r="F329" s="73" t="s">
        <v>44</v>
      </c>
      <c r="G329" s="63" t="s">
        <v>15</v>
      </c>
      <c r="H329" s="80" t="s">
        <v>1392</v>
      </c>
      <c r="I329" s="81">
        <v>45042</v>
      </c>
      <c r="J329" s="81">
        <v>45043</v>
      </c>
      <c r="K329" s="66" t="s">
        <v>45</v>
      </c>
      <c r="L329" s="68">
        <v>19800</v>
      </c>
      <c r="M329" s="140">
        <v>4.5</v>
      </c>
      <c r="N329" s="82">
        <v>80</v>
      </c>
      <c r="O329" s="67">
        <v>5</v>
      </c>
      <c r="P329" s="67">
        <v>75</v>
      </c>
      <c r="Q329" s="67">
        <v>0</v>
      </c>
      <c r="R329" s="67">
        <f t="shared" si="5"/>
        <v>80</v>
      </c>
      <c r="S329" s="66">
        <v>8</v>
      </c>
      <c r="T329" s="63" t="s">
        <v>1393</v>
      </c>
    </row>
    <row r="330" spans="1:20" ht="23.25" customHeight="1">
      <c r="A330" s="62" t="s">
        <v>1394</v>
      </c>
      <c r="B330" s="64">
        <v>2023</v>
      </c>
      <c r="C330" s="143" t="s">
        <v>52</v>
      </c>
      <c r="D330" s="64" t="s">
        <v>1395</v>
      </c>
      <c r="E330" s="69" t="s">
        <v>1396</v>
      </c>
      <c r="F330" s="71" t="s">
        <v>33</v>
      </c>
      <c r="G330" s="62" t="s">
        <v>10</v>
      </c>
      <c r="H330" s="78" t="s">
        <v>1397</v>
      </c>
      <c r="I330" s="79">
        <v>45048</v>
      </c>
      <c r="J330" s="79">
        <v>45057</v>
      </c>
      <c r="K330" s="64" t="s">
        <v>41</v>
      </c>
      <c r="L330" s="70">
        <v>8985.18</v>
      </c>
      <c r="M330" s="139">
        <v>4.5999999999999996</v>
      </c>
      <c r="N330" s="83">
        <v>20</v>
      </c>
      <c r="O330" s="65">
        <v>26</v>
      </c>
      <c r="P330" s="65">
        <v>0</v>
      </c>
      <c r="Q330" s="65">
        <v>0</v>
      </c>
      <c r="R330" s="65">
        <f t="shared" si="5"/>
        <v>26</v>
      </c>
      <c r="S330" s="64">
        <v>16</v>
      </c>
      <c r="T330" s="62" t="s">
        <v>569</v>
      </c>
    </row>
    <row r="331" spans="1:20" ht="23.25" customHeight="1">
      <c r="A331" s="63" t="s">
        <v>1398</v>
      </c>
      <c r="B331" s="66">
        <v>2023</v>
      </c>
      <c r="C331" s="143" t="s">
        <v>52</v>
      </c>
      <c r="D331" s="66" t="s">
        <v>1399</v>
      </c>
      <c r="E331" s="72" t="s">
        <v>1400</v>
      </c>
      <c r="F331" s="73" t="s">
        <v>33</v>
      </c>
      <c r="G331" s="63" t="s">
        <v>22</v>
      </c>
      <c r="H331" s="80" t="s">
        <v>1401</v>
      </c>
      <c r="I331" s="81">
        <v>45057</v>
      </c>
      <c r="J331" s="81">
        <v>45091</v>
      </c>
      <c r="K331" s="66" t="s">
        <v>45</v>
      </c>
      <c r="L331" s="68">
        <v>41328</v>
      </c>
      <c r="M331" s="140">
        <v>5</v>
      </c>
      <c r="N331" s="82">
        <v>14</v>
      </c>
      <c r="O331" s="67">
        <v>15</v>
      </c>
      <c r="P331" s="67">
        <v>0</v>
      </c>
      <c r="Q331" s="67">
        <v>0</v>
      </c>
      <c r="R331" s="67">
        <f t="shared" si="5"/>
        <v>15</v>
      </c>
      <c r="S331" s="66">
        <v>16</v>
      </c>
      <c r="T331" s="63" t="s">
        <v>1611</v>
      </c>
    </row>
    <row r="332" spans="1:20" ht="23.25" customHeight="1">
      <c r="A332" s="62" t="s">
        <v>1403</v>
      </c>
      <c r="B332" s="64">
        <v>2023</v>
      </c>
      <c r="C332" s="143" t="s">
        <v>52</v>
      </c>
      <c r="D332" s="64" t="s">
        <v>1356</v>
      </c>
      <c r="E332" s="69" t="s">
        <v>1404</v>
      </c>
      <c r="F332" s="71" t="s">
        <v>33</v>
      </c>
      <c r="G332" s="62" t="s">
        <v>1358</v>
      </c>
      <c r="H332" s="78" t="s">
        <v>1405</v>
      </c>
      <c r="I332" s="79">
        <v>45061</v>
      </c>
      <c r="J332" s="79">
        <v>45121</v>
      </c>
      <c r="K332" s="64" t="s">
        <v>45</v>
      </c>
      <c r="L332" s="70">
        <v>50440</v>
      </c>
      <c r="M332" s="139">
        <v>4.5</v>
      </c>
      <c r="N332" s="83">
        <v>20</v>
      </c>
      <c r="O332" s="65">
        <v>23</v>
      </c>
      <c r="P332" s="65">
        <v>0</v>
      </c>
      <c r="Q332" s="65">
        <v>0</v>
      </c>
      <c r="R332" s="65">
        <f t="shared" si="5"/>
        <v>23</v>
      </c>
      <c r="S332" s="64">
        <v>46</v>
      </c>
      <c r="T332" s="62" t="s">
        <v>1406</v>
      </c>
    </row>
    <row r="333" spans="1:20" ht="23.25" customHeight="1">
      <c r="A333" s="63" t="s">
        <v>1407</v>
      </c>
      <c r="B333" s="66">
        <v>2023</v>
      </c>
      <c r="C333" s="143" t="s">
        <v>52</v>
      </c>
      <c r="D333" s="66" t="s">
        <v>1408</v>
      </c>
      <c r="E333" s="72" t="s">
        <v>1409</v>
      </c>
      <c r="F333" s="73" t="s">
        <v>33</v>
      </c>
      <c r="G333" s="63" t="s">
        <v>25</v>
      </c>
      <c r="H333" s="80" t="s">
        <v>1410</v>
      </c>
      <c r="I333" s="81">
        <v>45071</v>
      </c>
      <c r="J333" s="81">
        <v>45071</v>
      </c>
      <c r="K333" s="66" t="s">
        <v>41</v>
      </c>
      <c r="L333" s="68">
        <v>0</v>
      </c>
      <c r="M333" s="140">
        <v>4.7699999999999996</v>
      </c>
      <c r="N333" s="82">
        <v>0</v>
      </c>
      <c r="O333" s="67">
        <v>207</v>
      </c>
      <c r="P333" s="67">
        <v>0</v>
      </c>
      <c r="Q333" s="67">
        <v>0</v>
      </c>
      <c r="R333" s="67">
        <f t="shared" si="5"/>
        <v>207</v>
      </c>
      <c r="S333" s="66">
        <v>1.5</v>
      </c>
      <c r="T333" s="63" t="s">
        <v>1411</v>
      </c>
    </row>
    <row r="334" spans="1:20" ht="23.25" customHeight="1">
      <c r="A334" s="62" t="s">
        <v>1412</v>
      </c>
      <c r="B334" s="64">
        <v>2023</v>
      </c>
      <c r="C334" s="143" t="s">
        <v>52</v>
      </c>
      <c r="D334" s="64" t="s">
        <v>1378</v>
      </c>
      <c r="E334" s="69" t="s">
        <v>1413</v>
      </c>
      <c r="F334" s="71" t="s">
        <v>33</v>
      </c>
      <c r="G334" s="62" t="s">
        <v>29</v>
      </c>
      <c r="H334" s="78" t="s">
        <v>1414</v>
      </c>
      <c r="I334" s="79">
        <v>45089</v>
      </c>
      <c r="J334" s="79">
        <v>45107</v>
      </c>
      <c r="K334" s="64" t="s">
        <v>45</v>
      </c>
      <c r="L334" s="70">
        <v>27000</v>
      </c>
      <c r="M334" s="139">
        <v>4.5</v>
      </c>
      <c r="N334" s="83">
        <v>20</v>
      </c>
      <c r="O334" s="65">
        <v>13</v>
      </c>
      <c r="P334" s="65">
        <v>0</v>
      </c>
      <c r="Q334" s="65">
        <v>0</v>
      </c>
      <c r="R334" s="65">
        <f t="shared" si="5"/>
        <v>13</v>
      </c>
      <c r="S334" s="64">
        <v>30</v>
      </c>
      <c r="T334" s="62" t="s">
        <v>977</v>
      </c>
    </row>
    <row r="335" spans="1:20" ht="23.25" customHeight="1">
      <c r="A335" s="63" t="s">
        <v>1415</v>
      </c>
      <c r="B335" s="66">
        <v>2023</v>
      </c>
      <c r="C335" s="143" t="s">
        <v>52</v>
      </c>
      <c r="D335" s="66" t="s">
        <v>1416</v>
      </c>
      <c r="E335" s="72" t="s">
        <v>1417</v>
      </c>
      <c r="F335" s="73" t="s">
        <v>33</v>
      </c>
      <c r="G335" s="63" t="s">
        <v>13</v>
      </c>
      <c r="H335" s="80" t="s">
        <v>1418</v>
      </c>
      <c r="I335" s="81">
        <v>45092</v>
      </c>
      <c r="J335" s="81">
        <v>45093</v>
      </c>
      <c r="K335" s="66" t="s">
        <v>45</v>
      </c>
      <c r="L335" s="68">
        <v>0</v>
      </c>
      <c r="M335" s="140">
        <v>4.8</v>
      </c>
      <c r="N335" s="82">
        <v>0</v>
      </c>
      <c r="O335" s="67">
        <v>38</v>
      </c>
      <c r="P335" s="67">
        <v>146</v>
      </c>
      <c r="Q335" s="67">
        <v>0</v>
      </c>
      <c r="R335" s="67">
        <f t="shared" si="5"/>
        <v>184</v>
      </c>
      <c r="S335" s="66">
        <v>10</v>
      </c>
      <c r="T335" s="63" t="s">
        <v>1419</v>
      </c>
    </row>
    <row r="336" spans="1:20" ht="23.25" customHeight="1">
      <c r="A336" s="62" t="s">
        <v>1420</v>
      </c>
      <c r="B336" s="64">
        <v>2023</v>
      </c>
      <c r="C336" s="143" t="s">
        <v>52</v>
      </c>
      <c r="D336" s="64" t="s">
        <v>1421</v>
      </c>
      <c r="E336" s="77" t="s">
        <v>1422</v>
      </c>
      <c r="F336" s="71" t="s">
        <v>44</v>
      </c>
      <c r="G336" s="62" t="s">
        <v>15</v>
      </c>
      <c r="H336" s="78" t="s">
        <v>1423</v>
      </c>
      <c r="I336" s="79">
        <v>45096</v>
      </c>
      <c r="J336" s="79">
        <v>45100</v>
      </c>
      <c r="K336" s="64" t="s">
        <v>41</v>
      </c>
      <c r="L336" s="70">
        <v>3700.17</v>
      </c>
      <c r="M336" s="139">
        <v>4.5</v>
      </c>
      <c r="N336" s="83">
        <v>30</v>
      </c>
      <c r="O336" s="65">
        <v>9</v>
      </c>
      <c r="P336" s="65">
        <v>37</v>
      </c>
      <c r="Q336" s="65">
        <v>0</v>
      </c>
      <c r="R336" s="65">
        <f t="shared" si="5"/>
        <v>46</v>
      </c>
      <c r="S336" s="64">
        <v>20</v>
      </c>
      <c r="T336" s="62" t="s">
        <v>1424</v>
      </c>
    </row>
    <row r="337" spans="1:20" ht="23.25" customHeight="1">
      <c r="A337" s="63" t="s">
        <v>1425</v>
      </c>
      <c r="B337" s="66">
        <v>2023</v>
      </c>
      <c r="C337" s="143" t="s">
        <v>52</v>
      </c>
      <c r="D337" s="66" t="s">
        <v>1416</v>
      </c>
      <c r="E337" s="72" t="s">
        <v>1426</v>
      </c>
      <c r="F337" s="73" t="s">
        <v>33</v>
      </c>
      <c r="G337" s="63" t="s">
        <v>13</v>
      </c>
      <c r="H337" s="80" t="s">
        <v>1427</v>
      </c>
      <c r="I337" s="81">
        <v>45097</v>
      </c>
      <c r="J337" s="81">
        <v>45097</v>
      </c>
      <c r="K337" s="66" t="s">
        <v>45</v>
      </c>
      <c r="L337" s="68">
        <v>0</v>
      </c>
      <c r="M337" s="140">
        <v>4.9000000000000004</v>
      </c>
      <c r="N337" s="82">
        <v>0</v>
      </c>
      <c r="O337" s="67">
        <v>44</v>
      </c>
      <c r="P337" s="67">
        <v>0</v>
      </c>
      <c r="Q337" s="67">
        <v>16</v>
      </c>
      <c r="R337" s="67">
        <f t="shared" si="5"/>
        <v>60</v>
      </c>
      <c r="S337" s="66">
        <v>2</v>
      </c>
      <c r="T337" s="63" t="s">
        <v>1388</v>
      </c>
    </row>
    <row r="338" spans="1:20" ht="23.25" customHeight="1">
      <c r="A338" s="62" t="s">
        <v>1428</v>
      </c>
      <c r="B338" s="64">
        <v>2023</v>
      </c>
      <c r="C338" s="143" t="s">
        <v>52</v>
      </c>
      <c r="D338" s="64" t="s">
        <v>1429</v>
      </c>
      <c r="E338" s="69" t="s">
        <v>1430</v>
      </c>
      <c r="F338" s="71" t="s">
        <v>48</v>
      </c>
      <c r="G338" s="62" t="s">
        <v>15</v>
      </c>
      <c r="H338" s="78" t="s">
        <v>1431</v>
      </c>
      <c r="I338" s="79">
        <v>45103</v>
      </c>
      <c r="J338" s="79">
        <v>45107</v>
      </c>
      <c r="K338" s="64" t="s">
        <v>41</v>
      </c>
      <c r="L338" s="70">
        <v>9935.3799999999992</v>
      </c>
      <c r="M338" s="139">
        <v>4.9000000000000004</v>
      </c>
      <c r="N338" s="83">
        <v>40</v>
      </c>
      <c r="O338" s="65">
        <v>3</v>
      </c>
      <c r="P338" s="65">
        <v>0</v>
      </c>
      <c r="Q338" s="65">
        <v>45</v>
      </c>
      <c r="R338" s="65">
        <f t="shared" si="5"/>
        <v>48</v>
      </c>
      <c r="S338" s="64">
        <v>20</v>
      </c>
      <c r="T338" s="62" t="s">
        <v>442</v>
      </c>
    </row>
    <row r="339" spans="1:20" ht="23.25" customHeight="1">
      <c r="A339" s="63" t="s">
        <v>1432</v>
      </c>
      <c r="B339" s="66">
        <v>2023</v>
      </c>
      <c r="C339" s="143" t="s">
        <v>52</v>
      </c>
      <c r="D339" s="66" t="s">
        <v>1433</v>
      </c>
      <c r="E339" s="72" t="s">
        <v>1434</v>
      </c>
      <c r="F339" s="73" t="s">
        <v>48</v>
      </c>
      <c r="G339" s="63" t="s">
        <v>15</v>
      </c>
      <c r="H339" s="80" t="s">
        <v>1435</v>
      </c>
      <c r="I339" s="81">
        <v>45103</v>
      </c>
      <c r="J339" s="81">
        <v>45103</v>
      </c>
      <c r="K339" s="66" t="s">
        <v>41</v>
      </c>
      <c r="L339" s="68">
        <v>0</v>
      </c>
      <c r="M339" s="140"/>
      <c r="N339" s="82"/>
      <c r="O339" s="67"/>
      <c r="P339" s="67"/>
      <c r="Q339" s="67">
        <v>40</v>
      </c>
      <c r="R339" s="67">
        <f t="shared" si="5"/>
        <v>40</v>
      </c>
      <c r="S339" s="66">
        <v>2</v>
      </c>
      <c r="T339" s="63" t="s">
        <v>1033</v>
      </c>
    </row>
    <row r="340" spans="1:20" ht="23.25" customHeight="1">
      <c r="A340" s="62" t="s">
        <v>1436</v>
      </c>
      <c r="B340" s="64">
        <v>2023</v>
      </c>
      <c r="C340" s="143" t="s">
        <v>52</v>
      </c>
      <c r="D340" s="64" t="s">
        <v>1437</v>
      </c>
      <c r="E340" s="69" t="s">
        <v>1438</v>
      </c>
      <c r="F340" s="71" t="s">
        <v>33</v>
      </c>
      <c r="G340" s="62" t="s">
        <v>25</v>
      </c>
      <c r="H340" s="78" t="s">
        <v>1439</v>
      </c>
      <c r="I340" s="79">
        <v>45104</v>
      </c>
      <c r="J340" s="79">
        <v>45104</v>
      </c>
      <c r="K340" s="64" t="s">
        <v>45</v>
      </c>
      <c r="L340" s="70">
        <v>0</v>
      </c>
      <c r="M340" s="139"/>
      <c r="N340" s="83"/>
      <c r="O340" s="65">
        <v>150</v>
      </c>
      <c r="P340" s="65">
        <v>0</v>
      </c>
      <c r="Q340" s="65">
        <v>0</v>
      </c>
      <c r="R340" s="65">
        <f t="shared" si="5"/>
        <v>150</v>
      </c>
      <c r="S340" s="64">
        <v>2</v>
      </c>
      <c r="T340" s="62" t="s">
        <v>1402</v>
      </c>
    </row>
    <row r="341" spans="1:20" ht="23.25" customHeight="1">
      <c r="A341" s="63" t="s">
        <v>1440</v>
      </c>
      <c r="B341" s="66">
        <v>2023</v>
      </c>
      <c r="C341" s="143" t="s">
        <v>52</v>
      </c>
      <c r="D341" s="66" t="s">
        <v>1441</v>
      </c>
      <c r="E341" s="76" t="s">
        <v>1442</v>
      </c>
      <c r="F341" s="73" t="s">
        <v>33</v>
      </c>
      <c r="G341" s="63" t="s">
        <v>25</v>
      </c>
      <c r="H341" s="66" t="s">
        <v>1443</v>
      </c>
      <c r="I341" s="81">
        <v>45110</v>
      </c>
      <c r="J341" s="81">
        <v>45111</v>
      </c>
      <c r="K341" s="66" t="s">
        <v>41</v>
      </c>
      <c r="L341" s="68">
        <v>3477.38</v>
      </c>
      <c r="M341" s="140">
        <v>4.5999999999999996</v>
      </c>
      <c r="N341" s="82">
        <v>20</v>
      </c>
      <c r="O341" s="67">
        <v>20</v>
      </c>
      <c r="P341" s="67">
        <v>0</v>
      </c>
      <c r="Q341" s="67">
        <v>0</v>
      </c>
      <c r="R341" s="67">
        <f t="shared" si="5"/>
        <v>20</v>
      </c>
      <c r="S341" s="66">
        <v>7</v>
      </c>
      <c r="T341" s="63" t="s">
        <v>1064</v>
      </c>
    </row>
    <row r="342" spans="1:20" ht="23.25" customHeight="1">
      <c r="A342" s="62" t="s">
        <v>1444</v>
      </c>
      <c r="B342" s="64">
        <v>2023</v>
      </c>
      <c r="C342" s="143" t="s">
        <v>52</v>
      </c>
      <c r="D342" s="64" t="s">
        <v>1445</v>
      </c>
      <c r="E342" s="69" t="s">
        <v>1446</v>
      </c>
      <c r="F342" s="71" t="s">
        <v>48</v>
      </c>
      <c r="G342" s="62" t="s">
        <v>15</v>
      </c>
      <c r="H342" s="78" t="s">
        <v>1447</v>
      </c>
      <c r="I342" s="79">
        <v>45114</v>
      </c>
      <c r="J342" s="79">
        <v>45114</v>
      </c>
      <c r="K342" s="64" t="s">
        <v>41</v>
      </c>
      <c r="L342" s="70">
        <v>0</v>
      </c>
      <c r="M342" s="139"/>
      <c r="N342" s="83"/>
      <c r="O342" s="65"/>
      <c r="P342" s="65"/>
      <c r="Q342" s="65">
        <v>30</v>
      </c>
      <c r="R342" s="65">
        <f t="shared" si="5"/>
        <v>30</v>
      </c>
      <c r="S342" s="64">
        <v>2</v>
      </c>
      <c r="T342" s="62" t="s">
        <v>1033</v>
      </c>
    </row>
    <row r="343" spans="1:20" ht="23.25" customHeight="1">
      <c r="A343" s="63" t="s">
        <v>1448</v>
      </c>
      <c r="B343" s="66">
        <v>2023</v>
      </c>
      <c r="C343" s="143" t="s">
        <v>52</v>
      </c>
      <c r="D343" s="66" t="s">
        <v>1449</v>
      </c>
      <c r="E343" s="72" t="s">
        <v>1450</v>
      </c>
      <c r="F343" s="73" t="s">
        <v>33</v>
      </c>
      <c r="G343" s="63" t="s">
        <v>35</v>
      </c>
      <c r="H343" s="80" t="s">
        <v>1451</v>
      </c>
      <c r="I343" s="81">
        <v>45131</v>
      </c>
      <c r="J343" s="81">
        <v>45135</v>
      </c>
      <c r="K343" s="66" t="s">
        <v>41</v>
      </c>
      <c r="L343" s="68">
        <f>6878.39+4650</f>
        <v>11528.39</v>
      </c>
      <c r="M343" s="140">
        <v>4.4000000000000004</v>
      </c>
      <c r="N343" s="82">
        <v>67</v>
      </c>
      <c r="O343" s="67">
        <v>67</v>
      </c>
      <c r="P343" s="67">
        <v>0</v>
      </c>
      <c r="Q343" s="67">
        <v>0</v>
      </c>
      <c r="R343" s="67">
        <f t="shared" si="5"/>
        <v>67</v>
      </c>
      <c r="S343" s="66">
        <v>18</v>
      </c>
      <c r="T343" s="63" t="s">
        <v>1452</v>
      </c>
    </row>
    <row r="344" spans="1:20" ht="23.25" customHeight="1">
      <c r="A344" s="62" t="s">
        <v>1453</v>
      </c>
      <c r="B344" s="64">
        <v>2023</v>
      </c>
      <c r="C344" s="143" t="s">
        <v>52</v>
      </c>
      <c r="D344" s="64" t="s">
        <v>1454</v>
      </c>
      <c r="E344" s="69" t="s">
        <v>1455</v>
      </c>
      <c r="F344" s="71" t="s">
        <v>33</v>
      </c>
      <c r="G344" s="62" t="s">
        <v>35</v>
      </c>
      <c r="H344" s="78" t="s">
        <v>1451</v>
      </c>
      <c r="I344" s="79">
        <v>45131</v>
      </c>
      <c r="J344" s="79">
        <v>45135</v>
      </c>
      <c r="K344" s="64" t="s">
        <v>41</v>
      </c>
      <c r="L344" s="70">
        <v>4650</v>
      </c>
      <c r="M344" s="139">
        <v>4.4000000000000004</v>
      </c>
      <c r="N344" s="83">
        <v>67</v>
      </c>
      <c r="O344" s="65">
        <v>67</v>
      </c>
      <c r="P344" s="65">
        <v>0</v>
      </c>
      <c r="Q344" s="65">
        <v>0</v>
      </c>
      <c r="R344" s="65">
        <f t="shared" si="5"/>
        <v>67</v>
      </c>
      <c r="S344" s="64">
        <v>2</v>
      </c>
      <c r="T344" s="62" t="s">
        <v>1456</v>
      </c>
    </row>
    <row r="345" spans="1:20" ht="23.25" customHeight="1">
      <c r="A345" s="63" t="s">
        <v>1457</v>
      </c>
      <c r="B345" s="66">
        <v>2023</v>
      </c>
      <c r="C345" s="143" t="s">
        <v>52</v>
      </c>
      <c r="D345" s="66" t="s">
        <v>1454</v>
      </c>
      <c r="E345" s="72" t="s">
        <v>1458</v>
      </c>
      <c r="F345" s="73" t="s">
        <v>33</v>
      </c>
      <c r="G345" s="63" t="s">
        <v>35</v>
      </c>
      <c r="H345" s="80" t="s">
        <v>1451</v>
      </c>
      <c r="I345" s="81">
        <v>45131</v>
      </c>
      <c r="J345" s="81">
        <v>45135</v>
      </c>
      <c r="K345" s="66" t="s">
        <v>41</v>
      </c>
      <c r="L345" s="68">
        <v>4650</v>
      </c>
      <c r="M345" s="140">
        <v>4.4000000000000004</v>
      </c>
      <c r="N345" s="82">
        <v>57</v>
      </c>
      <c r="O345" s="67">
        <v>57</v>
      </c>
      <c r="P345" s="67">
        <v>0</v>
      </c>
      <c r="Q345" s="67">
        <v>0</v>
      </c>
      <c r="R345" s="67">
        <f t="shared" si="5"/>
        <v>57</v>
      </c>
      <c r="S345" s="66">
        <v>2</v>
      </c>
      <c r="T345" s="63" t="s">
        <v>1456</v>
      </c>
    </row>
    <row r="346" spans="1:20" ht="23.25" customHeight="1">
      <c r="A346" s="62" t="s">
        <v>1459</v>
      </c>
      <c r="B346" s="64">
        <v>2023</v>
      </c>
      <c r="C346" s="143" t="s">
        <v>52</v>
      </c>
      <c r="D346" s="64" t="s">
        <v>1356</v>
      </c>
      <c r="E346" s="69" t="s">
        <v>1460</v>
      </c>
      <c r="F346" s="71" t="s">
        <v>33</v>
      </c>
      <c r="G346" s="62" t="s">
        <v>1358</v>
      </c>
      <c r="H346" s="78" t="s">
        <v>1461</v>
      </c>
      <c r="I346" s="79">
        <v>45138</v>
      </c>
      <c r="J346" s="79">
        <v>45166</v>
      </c>
      <c r="K346" s="64" t="s">
        <v>45</v>
      </c>
      <c r="L346" s="70">
        <v>30590</v>
      </c>
      <c r="M346" s="139">
        <v>4.3</v>
      </c>
      <c r="N346" s="83">
        <v>20</v>
      </c>
      <c r="O346" s="65">
        <v>20</v>
      </c>
      <c r="P346" s="65">
        <v>0</v>
      </c>
      <c r="Q346" s="65">
        <v>0</v>
      </c>
      <c r="R346" s="65">
        <f t="shared" si="5"/>
        <v>20</v>
      </c>
      <c r="S346" s="64">
        <v>26</v>
      </c>
      <c r="T346" s="62" t="s">
        <v>1462</v>
      </c>
    </row>
    <row r="347" spans="1:20" ht="23.25" customHeight="1">
      <c r="A347" s="63" t="s">
        <v>1463</v>
      </c>
      <c r="B347" s="66">
        <v>2023</v>
      </c>
      <c r="C347" s="143" t="s">
        <v>52</v>
      </c>
      <c r="D347" s="66" t="s">
        <v>1464</v>
      </c>
      <c r="E347" s="72" t="s">
        <v>1465</v>
      </c>
      <c r="F347" s="73" t="s">
        <v>44</v>
      </c>
      <c r="G347" s="63" t="s">
        <v>15</v>
      </c>
      <c r="H347" s="80" t="s">
        <v>1466</v>
      </c>
      <c r="I347" s="81">
        <v>45141</v>
      </c>
      <c r="J347" s="81">
        <v>45142</v>
      </c>
      <c r="K347" s="66" t="s">
        <v>41</v>
      </c>
      <c r="L347" s="68">
        <v>3427.55</v>
      </c>
      <c r="M347" s="140">
        <v>4.7</v>
      </c>
      <c r="N347" s="82">
        <v>400</v>
      </c>
      <c r="O347" s="67">
        <v>112</v>
      </c>
      <c r="P347" s="67">
        <v>203</v>
      </c>
      <c r="Q347" s="67">
        <v>0</v>
      </c>
      <c r="R347" s="67">
        <f t="shared" si="5"/>
        <v>315</v>
      </c>
      <c r="S347" s="66">
        <v>8</v>
      </c>
      <c r="T347" s="63" t="s">
        <v>1467</v>
      </c>
    </row>
    <row r="348" spans="1:20" ht="23.25" customHeight="1">
      <c r="A348" s="62" t="s">
        <v>1468</v>
      </c>
      <c r="B348" s="64">
        <v>2023</v>
      </c>
      <c r="C348" s="143" t="s">
        <v>52</v>
      </c>
      <c r="D348" s="64" t="s">
        <v>1469</v>
      </c>
      <c r="E348" s="69" t="s">
        <v>1470</v>
      </c>
      <c r="F348" s="71" t="s">
        <v>44</v>
      </c>
      <c r="G348" s="62" t="s">
        <v>15</v>
      </c>
      <c r="H348" s="78" t="s">
        <v>1471</v>
      </c>
      <c r="I348" s="79">
        <v>45145</v>
      </c>
      <c r="J348" s="79">
        <v>45146</v>
      </c>
      <c r="K348" s="64" t="s">
        <v>41</v>
      </c>
      <c r="L348" s="70">
        <v>3974.15</v>
      </c>
      <c r="M348" s="139">
        <v>4.7</v>
      </c>
      <c r="N348" s="83">
        <v>30</v>
      </c>
      <c r="O348" s="65">
        <v>1</v>
      </c>
      <c r="P348" s="65">
        <v>34</v>
      </c>
      <c r="Q348" s="65">
        <v>0</v>
      </c>
      <c r="R348" s="65">
        <f t="shared" si="5"/>
        <v>35</v>
      </c>
      <c r="S348" s="64">
        <v>8</v>
      </c>
      <c r="T348" s="62" t="s">
        <v>1472</v>
      </c>
    </row>
    <row r="349" spans="1:20" ht="23.25" customHeight="1">
      <c r="A349" s="63" t="s">
        <v>1473</v>
      </c>
      <c r="B349" s="66">
        <v>2023</v>
      </c>
      <c r="C349" s="143" t="s">
        <v>52</v>
      </c>
      <c r="D349" s="66" t="s">
        <v>1474</v>
      </c>
      <c r="E349" s="72" t="s">
        <v>1475</v>
      </c>
      <c r="F349" s="73" t="s">
        <v>33</v>
      </c>
      <c r="G349" s="63" t="s">
        <v>29</v>
      </c>
      <c r="H349" s="80" t="s">
        <v>1476</v>
      </c>
      <c r="I349" s="81">
        <v>45145</v>
      </c>
      <c r="J349" s="81">
        <v>45265</v>
      </c>
      <c r="K349" s="66" t="s">
        <v>45</v>
      </c>
      <c r="L349" s="68">
        <v>76500</v>
      </c>
      <c r="M349" s="140">
        <v>5</v>
      </c>
      <c r="N349" s="82">
        <v>17</v>
      </c>
      <c r="O349" s="67">
        <v>17</v>
      </c>
      <c r="P349" s="67">
        <v>0</v>
      </c>
      <c r="Q349" s="67">
        <v>0</v>
      </c>
      <c r="R349" s="67">
        <f t="shared" si="5"/>
        <v>17</v>
      </c>
      <c r="S349" s="66">
        <f>5*17</f>
        <v>85</v>
      </c>
      <c r="T349" s="63" t="s">
        <v>977</v>
      </c>
    </row>
    <row r="350" spans="1:20" ht="23.25" customHeight="1">
      <c r="A350" s="62" t="s">
        <v>1477</v>
      </c>
      <c r="B350" s="64">
        <v>2023</v>
      </c>
      <c r="C350" s="143" t="s">
        <v>52</v>
      </c>
      <c r="D350" s="64" t="s">
        <v>1478</v>
      </c>
      <c r="E350" s="69" t="s">
        <v>1479</v>
      </c>
      <c r="F350" s="71" t="s">
        <v>44</v>
      </c>
      <c r="G350" s="62" t="s">
        <v>15</v>
      </c>
      <c r="H350" s="78" t="s">
        <v>1480</v>
      </c>
      <c r="I350" s="79">
        <v>45145</v>
      </c>
      <c r="J350" s="79">
        <v>45146</v>
      </c>
      <c r="K350" s="64" t="s">
        <v>41</v>
      </c>
      <c r="L350" s="70">
        <v>5383.02</v>
      </c>
      <c r="M350" s="139">
        <v>4.7</v>
      </c>
      <c r="N350" s="83">
        <v>20</v>
      </c>
      <c r="O350" s="65">
        <v>3</v>
      </c>
      <c r="P350" s="65">
        <v>24</v>
      </c>
      <c r="Q350" s="65">
        <v>0</v>
      </c>
      <c r="R350" s="65">
        <f t="shared" si="5"/>
        <v>27</v>
      </c>
      <c r="S350" s="64">
        <v>8</v>
      </c>
      <c r="T350" s="62" t="s">
        <v>947</v>
      </c>
    </row>
    <row r="351" spans="1:20" ht="23.25" customHeight="1">
      <c r="A351" s="63" t="s">
        <v>1481</v>
      </c>
      <c r="B351" s="66">
        <v>2023</v>
      </c>
      <c r="C351" s="143" t="s">
        <v>52</v>
      </c>
      <c r="D351" s="66" t="s">
        <v>1482</v>
      </c>
      <c r="E351" s="72" t="s">
        <v>1483</v>
      </c>
      <c r="F351" s="73" t="s">
        <v>44</v>
      </c>
      <c r="G351" s="63" t="s">
        <v>15</v>
      </c>
      <c r="H351" s="80" t="s">
        <v>1484</v>
      </c>
      <c r="I351" s="81">
        <v>45145</v>
      </c>
      <c r="J351" s="81">
        <v>45145</v>
      </c>
      <c r="K351" s="66" t="s">
        <v>41</v>
      </c>
      <c r="L351" s="68">
        <v>0</v>
      </c>
      <c r="M351" s="140">
        <v>4.0999999999999996</v>
      </c>
      <c r="N351" s="82">
        <v>40</v>
      </c>
      <c r="O351" s="67">
        <v>8</v>
      </c>
      <c r="P351" s="67">
        <v>37</v>
      </c>
      <c r="Q351" s="67">
        <v>0</v>
      </c>
      <c r="R351" s="67">
        <f t="shared" si="5"/>
        <v>45</v>
      </c>
      <c r="S351" s="66">
        <v>4</v>
      </c>
      <c r="T351" s="63" t="s">
        <v>1485</v>
      </c>
    </row>
    <row r="352" spans="1:20" ht="23.25" customHeight="1">
      <c r="A352" s="62" t="s">
        <v>1486</v>
      </c>
      <c r="B352" s="64">
        <v>2023</v>
      </c>
      <c r="C352" s="143" t="s">
        <v>52</v>
      </c>
      <c r="D352" s="64" t="s">
        <v>1487</v>
      </c>
      <c r="E352" s="69" t="s">
        <v>1488</v>
      </c>
      <c r="F352" s="71" t="s">
        <v>44</v>
      </c>
      <c r="G352" s="62" t="s">
        <v>15</v>
      </c>
      <c r="H352" s="78" t="s">
        <v>1489</v>
      </c>
      <c r="I352" s="79">
        <v>45146</v>
      </c>
      <c r="J352" s="79">
        <v>45146</v>
      </c>
      <c r="K352" s="64" t="s">
        <v>41</v>
      </c>
      <c r="L352" s="70">
        <v>0</v>
      </c>
      <c r="M352" s="139">
        <v>4.5999999999999996</v>
      </c>
      <c r="N352" s="83">
        <v>40</v>
      </c>
      <c r="O352" s="65">
        <v>14</v>
      </c>
      <c r="P352" s="65">
        <v>37</v>
      </c>
      <c r="Q352" s="65">
        <v>0</v>
      </c>
      <c r="R352" s="65">
        <f t="shared" si="5"/>
        <v>51</v>
      </c>
      <c r="S352" s="64">
        <v>4</v>
      </c>
      <c r="T352" s="62" t="s">
        <v>1490</v>
      </c>
    </row>
    <row r="353" spans="1:20" ht="23.25" customHeight="1">
      <c r="A353" s="63" t="s">
        <v>1491</v>
      </c>
      <c r="B353" s="66">
        <v>2023</v>
      </c>
      <c r="C353" s="143" t="s">
        <v>52</v>
      </c>
      <c r="D353" s="66" t="s">
        <v>1356</v>
      </c>
      <c r="E353" s="72" t="s">
        <v>1492</v>
      </c>
      <c r="F353" s="73" t="s">
        <v>33</v>
      </c>
      <c r="G353" s="63" t="s">
        <v>1358</v>
      </c>
      <c r="H353" s="80" t="s">
        <v>1493</v>
      </c>
      <c r="I353" s="81">
        <v>45147</v>
      </c>
      <c r="J353" s="81">
        <v>45187</v>
      </c>
      <c r="K353" s="66" t="s">
        <v>45</v>
      </c>
      <c r="L353" s="68">
        <v>31502</v>
      </c>
      <c r="M353" s="140">
        <v>4.7</v>
      </c>
      <c r="N353" s="82">
        <v>20</v>
      </c>
      <c r="O353" s="67">
        <v>5</v>
      </c>
      <c r="P353" s="67">
        <v>0</v>
      </c>
      <c r="Q353" s="67">
        <v>0</v>
      </c>
      <c r="R353" s="67">
        <f t="shared" si="5"/>
        <v>5</v>
      </c>
      <c r="S353" s="66">
        <v>28</v>
      </c>
      <c r="T353" s="63" t="s">
        <v>1406</v>
      </c>
    </row>
    <row r="354" spans="1:20" ht="23.25" customHeight="1">
      <c r="A354" s="62" t="s">
        <v>1494</v>
      </c>
      <c r="B354" s="64">
        <v>2023</v>
      </c>
      <c r="C354" s="143" t="s">
        <v>52</v>
      </c>
      <c r="D354" s="64" t="s">
        <v>1347</v>
      </c>
      <c r="E354" s="69" t="s">
        <v>1495</v>
      </c>
      <c r="F354" s="71" t="s">
        <v>33</v>
      </c>
      <c r="G354" s="62" t="s">
        <v>25</v>
      </c>
      <c r="H354" s="78" t="s">
        <v>1496</v>
      </c>
      <c r="I354" s="79">
        <v>45147</v>
      </c>
      <c r="J354" s="79">
        <v>45149</v>
      </c>
      <c r="K354" s="64" t="s">
        <v>45</v>
      </c>
      <c r="L354" s="70">
        <v>16253.1</v>
      </c>
      <c r="M354" s="139">
        <v>4.95</v>
      </c>
      <c r="N354" s="83">
        <v>20</v>
      </c>
      <c r="O354" s="65">
        <v>16</v>
      </c>
      <c r="P354" s="65">
        <v>0</v>
      </c>
      <c r="Q354" s="65">
        <v>0</v>
      </c>
      <c r="R354" s="65">
        <f t="shared" si="5"/>
        <v>16</v>
      </c>
      <c r="S354" s="64">
        <v>24</v>
      </c>
      <c r="T354" s="62" t="s">
        <v>1350</v>
      </c>
    </row>
    <row r="355" spans="1:20" ht="23.25" customHeight="1">
      <c r="A355" s="63" t="s">
        <v>1497</v>
      </c>
      <c r="B355" s="66">
        <v>2023</v>
      </c>
      <c r="C355" s="143" t="s">
        <v>52</v>
      </c>
      <c r="D355" s="66" t="s">
        <v>1498</v>
      </c>
      <c r="E355" s="72" t="s">
        <v>1499</v>
      </c>
      <c r="F355" s="73" t="s">
        <v>33</v>
      </c>
      <c r="G355" s="63" t="s">
        <v>25</v>
      </c>
      <c r="H355" s="80" t="s">
        <v>1500</v>
      </c>
      <c r="I355" s="81">
        <v>45148</v>
      </c>
      <c r="J355" s="81">
        <v>45155</v>
      </c>
      <c r="K355" s="66" t="s">
        <v>45</v>
      </c>
      <c r="L355" s="68">
        <v>4500</v>
      </c>
      <c r="M355" s="140">
        <v>4.8</v>
      </c>
      <c r="N355" s="82">
        <v>30</v>
      </c>
      <c r="O355" s="67">
        <v>30</v>
      </c>
      <c r="P355" s="67">
        <v>0</v>
      </c>
      <c r="Q355" s="67">
        <v>0</v>
      </c>
      <c r="R355" s="67">
        <f t="shared" si="5"/>
        <v>30</v>
      </c>
      <c r="S355" s="66">
        <v>12</v>
      </c>
      <c r="T355" s="63" t="s">
        <v>3396</v>
      </c>
    </row>
    <row r="356" spans="1:20" ht="23.25" customHeight="1">
      <c r="A356" s="62" t="s">
        <v>1501</v>
      </c>
      <c r="B356" s="64">
        <v>2023</v>
      </c>
      <c r="C356" s="143" t="s">
        <v>52</v>
      </c>
      <c r="D356" s="64" t="s">
        <v>1502</v>
      </c>
      <c r="E356" s="69" t="s">
        <v>1503</v>
      </c>
      <c r="F356" s="71" t="s">
        <v>33</v>
      </c>
      <c r="G356" s="62" t="s">
        <v>13</v>
      </c>
      <c r="H356" s="78" t="s">
        <v>1504</v>
      </c>
      <c r="I356" s="79">
        <v>45154</v>
      </c>
      <c r="J356" s="79">
        <v>45156</v>
      </c>
      <c r="K356" s="64" t="s">
        <v>45</v>
      </c>
      <c r="L356" s="70">
        <v>0</v>
      </c>
      <c r="M356" s="139">
        <v>4.5999999999999996</v>
      </c>
      <c r="N356" s="83">
        <v>70</v>
      </c>
      <c r="O356" s="65">
        <v>30</v>
      </c>
      <c r="P356" s="65">
        <v>34</v>
      </c>
      <c r="Q356" s="65">
        <v>0</v>
      </c>
      <c r="R356" s="65">
        <f t="shared" si="5"/>
        <v>64</v>
      </c>
      <c r="S356" s="64">
        <v>12</v>
      </c>
      <c r="T356" s="62"/>
    </row>
    <row r="357" spans="1:20" ht="23.25" customHeight="1">
      <c r="A357" s="63" t="s">
        <v>1505</v>
      </c>
      <c r="B357" s="66">
        <v>2023</v>
      </c>
      <c r="C357" s="143" t="s">
        <v>52</v>
      </c>
      <c r="D357" s="66" t="s">
        <v>1449</v>
      </c>
      <c r="E357" s="72" t="s">
        <v>1506</v>
      </c>
      <c r="F357" s="73" t="s">
        <v>33</v>
      </c>
      <c r="G357" s="63" t="s">
        <v>35</v>
      </c>
      <c r="H357" s="80" t="s">
        <v>1507</v>
      </c>
      <c r="I357" s="81">
        <v>45159</v>
      </c>
      <c r="J357" s="81">
        <v>45163</v>
      </c>
      <c r="K357" s="66" t="s">
        <v>41</v>
      </c>
      <c r="L357" s="68">
        <f>6878.39+4650</f>
        <v>11528.39</v>
      </c>
      <c r="M357" s="140">
        <v>4.4000000000000004</v>
      </c>
      <c r="N357" s="82">
        <v>65</v>
      </c>
      <c r="O357" s="67">
        <v>57</v>
      </c>
      <c r="P357" s="67">
        <v>0</v>
      </c>
      <c r="Q357" s="67">
        <v>0</v>
      </c>
      <c r="R357" s="67">
        <f t="shared" si="5"/>
        <v>57</v>
      </c>
      <c r="S357" s="66">
        <v>20</v>
      </c>
      <c r="T357" s="63" t="s">
        <v>1452</v>
      </c>
    </row>
    <row r="358" spans="1:20" ht="23.25" customHeight="1">
      <c r="A358" s="62" t="s">
        <v>1508</v>
      </c>
      <c r="B358" s="64">
        <v>2023</v>
      </c>
      <c r="C358" s="143" t="s">
        <v>52</v>
      </c>
      <c r="D358" s="64" t="s">
        <v>1509</v>
      </c>
      <c r="E358" s="69" t="s">
        <v>1510</v>
      </c>
      <c r="F358" s="71" t="s">
        <v>33</v>
      </c>
      <c r="G358" s="62" t="s">
        <v>13</v>
      </c>
      <c r="H358" s="78" t="s">
        <v>1511</v>
      </c>
      <c r="I358" s="79">
        <v>45166</v>
      </c>
      <c r="J358" s="79">
        <v>45173</v>
      </c>
      <c r="K358" s="64" t="s">
        <v>45</v>
      </c>
      <c r="L358" s="70">
        <v>17000</v>
      </c>
      <c r="M358" s="139">
        <v>4.5</v>
      </c>
      <c r="N358" s="83">
        <v>40</v>
      </c>
      <c r="O358" s="65">
        <v>31</v>
      </c>
      <c r="P358" s="65">
        <v>8</v>
      </c>
      <c r="Q358" s="65">
        <v>0</v>
      </c>
      <c r="R358" s="65">
        <f t="shared" si="5"/>
        <v>39</v>
      </c>
      <c r="S358" s="64">
        <v>25</v>
      </c>
      <c r="T358" s="62" t="s">
        <v>1512</v>
      </c>
    </row>
    <row r="359" spans="1:20" ht="23.25" customHeight="1">
      <c r="A359" s="63" t="s">
        <v>1513</v>
      </c>
      <c r="B359" s="66">
        <v>2023</v>
      </c>
      <c r="C359" s="143" t="s">
        <v>52</v>
      </c>
      <c r="D359" s="66" t="s">
        <v>1514</v>
      </c>
      <c r="E359" s="72" t="s">
        <v>1515</v>
      </c>
      <c r="F359" s="73" t="s">
        <v>33</v>
      </c>
      <c r="G359" s="63" t="s">
        <v>10</v>
      </c>
      <c r="H359" s="80" t="s">
        <v>1516</v>
      </c>
      <c r="I359" s="81">
        <v>45174</v>
      </c>
      <c r="J359" s="81">
        <v>45196</v>
      </c>
      <c r="K359" s="66" t="s">
        <v>41</v>
      </c>
      <c r="L359" s="68">
        <v>13025.35</v>
      </c>
      <c r="M359" s="140">
        <v>4.9000000000000004</v>
      </c>
      <c r="N359" s="82">
        <v>20</v>
      </c>
      <c r="O359" s="67">
        <v>16</v>
      </c>
      <c r="P359" s="67">
        <v>0</v>
      </c>
      <c r="Q359" s="67">
        <v>0</v>
      </c>
      <c r="R359" s="67">
        <f t="shared" si="5"/>
        <v>16</v>
      </c>
      <c r="S359" s="66">
        <v>24</v>
      </c>
      <c r="T359" s="63" t="s">
        <v>591</v>
      </c>
    </row>
    <row r="360" spans="1:20" ht="23.25" customHeight="1">
      <c r="A360" s="62" t="s">
        <v>1517</v>
      </c>
      <c r="B360" s="64">
        <v>2023</v>
      </c>
      <c r="C360" s="143" t="s">
        <v>52</v>
      </c>
      <c r="D360" s="64" t="s">
        <v>1518</v>
      </c>
      <c r="E360" s="77" t="s">
        <v>1519</v>
      </c>
      <c r="F360" s="71" t="s">
        <v>44</v>
      </c>
      <c r="G360" s="62" t="s">
        <v>15</v>
      </c>
      <c r="H360" s="78" t="s">
        <v>1520</v>
      </c>
      <c r="I360" s="79">
        <v>45180</v>
      </c>
      <c r="J360" s="79">
        <v>45184</v>
      </c>
      <c r="K360" s="64" t="s">
        <v>41</v>
      </c>
      <c r="L360" s="70">
        <v>4670.12</v>
      </c>
      <c r="M360" s="139">
        <v>4.5999999999999996</v>
      </c>
      <c r="N360" s="83">
        <v>40</v>
      </c>
      <c r="O360" s="65">
        <v>6</v>
      </c>
      <c r="P360" s="65">
        <v>41</v>
      </c>
      <c r="Q360" s="65">
        <v>0</v>
      </c>
      <c r="R360" s="65">
        <f t="shared" si="5"/>
        <v>47</v>
      </c>
      <c r="S360" s="64">
        <v>20</v>
      </c>
      <c r="T360" s="62" t="s">
        <v>1424</v>
      </c>
    </row>
    <row r="361" spans="1:20" ht="23.25" customHeight="1">
      <c r="A361" s="63" t="s">
        <v>1521</v>
      </c>
      <c r="B361" s="66">
        <v>2023</v>
      </c>
      <c r="C361" s="143" t="s">
        <v>52</v>
      </c>
      <c r="D361" s="66" t="s">
        <v>1522</v>
      </c>
      <c r="E361" s="72" t="s">
        <v>1523</v>
      </c>
      <c r="F361" s="73" t="s">
        <v>44</v>
      </c>
      <c r="G361" s="63" t="s">
        <v>15</v>
      </c>
      <c r="H361" s="80" t="s">
        <v>1524</v>
      </c>
      <c r="I361" s="81">
        <v>45181</v>
      </c>
      <c r="J361" s="81">
        <v>45190</v>
      </c>
      <c r="K361" s="66" t="s">
        <v>41</v>
      </c>
      <c r="L361" s="68">
        <v>11523.98</v>
      </c>
      <c r="M361" s="140">
        <v>5</v>
      </c>
      <c r="N361" s="82">
        <v>20</v>
      </c>
      <c r="O361" s="67">
        <v>8</v>
      </c>
      <c r="P361" s="67">
        <v>3</v>
      </c>
      <c r="Q361" s="67">
        <v>2</v>
      </c>
      <c r="R361" s="67">
        <f t="shared" si="5"/>
        <v>13</v>
      </c>
      <c r="S361" s="66">
        <v>16</v>
      </c>
      <c r="T361" s="63" t="s">
        <v>3409</v>
      </c>
    </row>
    <row r="362" spans="1:20" ht="23.25" customHeight="1">
      <c r="A362" s="62" t="s">
        <v>1526</v>
      </c>
      <c r="B362" s="64">
        <v>2023</v>
      </c>
      <c r="C362" s="143" t="s">
        <v>52</v>
      </c>
      <c r="D362" s="64" t="s">
        <v>1378</v>
      </c>
      <c r="E362" s="69" t="s">
        <v>1527</v>
      </c>
      <c r="F362" s="71" t="s">
        <v>33</v>
      </c>
      <c r="G362" s="62" t="s">
        <v>29</v>
      </c>
      <c r="H362" s="78" t="s">
        <v>1528</v>
      </c>
      <c r="I362" s="79">
        <v>45182</v>
      </c>
      <c r="J362" s="79">
        <v>45201</v>
      </c>
      <c r="K362" s="64" t="s">
        <v>45</v>
      </c>
      <c r="L362" s="70">
        <v>27000</v>
      </c>
      <c r="M362" s="139">
        <v>4.5999999999999996</v>
      </c>
      <c r="N362" s="83">
        <v>20</v>
      </c>
      <c r="O362" s="65">
        <v>26</v>
      </c>
      <c r="P362" s="65">
        <v>0</v>
      </c>
      <c r="Q362" s="65">
        <v>0</v>
      </c>
      <c r="R362" s="65">
        <f t="shared" si="5"/>
        <v>26</v>
      </c>
      <c r="S362" s="64">
        <v>30</v>
      </c>
      <c r="T362" s="62" t="s">
        <v>977</v>
      </c>
    </row>
    <row r="363" spans="1:20" ht="23.25" customHeight="1">
      <c r="A363" s="63" t="s">
        <v>1529</v>
      </c>
      <c r="B363" s="66">
        <v>2023</v>
      </c>
      <c r="C363" s="143" t="s">
        <v>52</v>
      </c>
      <c r="D363" s="66" t="s">
        <v>1530</v>
      </c>
      <c r="E363" s="72" t="s">
        <v>1179</v>
      </c>
      <c r="F363" s="73" t="s">
        <v>48</v>
      </c>
      <c r="G363" s="63" t="s">
        <v>15</v>
      </c>
      <c r="H363" s="80" t="s">
        <v>1531</v>
      </c>
      <c r="I363" s="81">
        <v>45187</v>
      </c>
      <c r="J363" s="81">
        <v>45191</v>
      </c>
      <c r="K363" s="66" t="s">
        <v>45</v>
      </c>
      <c r="L363" s="68">
        <v>6000</v>
      </c>
      <c r="M363" s="140">
        <v>5</v>
      </c>
      <c r="N363" s="82">
        <v>40</v>
      </c>
      <c r="O363" s="67">
        <v>0</v>
      </c>
      <c r="P363" s="67">
        <v>0</v>
      </c>
      <c r="Q363" s="67">
        <v>43</v>
      </c>
      <c r="R363" s="67">
        <f t="shared" si="5"/>
        <v>43</v>
      </c>
      <c r="S363" s="66">
        <v>12</v>
      </c>
      <c r="T363" s="63" t="s">
        <v>1181</v>
      </c>
    </row>
    <row r="364" spans="1:20" ht="23.25" customHeight="1">
      <c r="A364" s="62" t="s">
        <v>1532</v>
      </c>
      <c r="B364" s="64">
        <v>2023</v>
      </c>
      <c r="C364" s="143" t="s">
        <v>52</v>
      </c>
      <c r="D364" s="64" t="s">
        <v>1533</v>
      </c>
      <c r="E364" s="77" t="s">
        <v>1534</v>
      </c>
      <c r="F364" s="71" t="s">
        <v>33</v>
      </c>
      <c r="G364" s="62" t="s">
        <v>25</v>
      </c>
      <c r="H364" s="78" t="s">
        <v>1535</v>
      </c>
      <c r="I364" s="79">
        <v>45195</v>
      </c>
      <c r="J364" s="79">
        <v>45197</v>
      </c>
      <c r="K364" s="64" t="s">
        <v>45</v>
      </c>
      <c r="L364" s="70">
        <v>18534.060000000001</v>
      </c>
      <c r="M364" s="139">
        <v>4.8</v>
      </c>
      <c r="N364" s="83">
        <v>20</v>
      </c>
      <c r="O364" s="65">
        <v>11</v>
      </c>
      <c r="P364" s="65">
        <v>0</v>
      </c>
      <c r="Q364" s="65">
        <v>0</v>
      </c>
      <c r="R364" s="65">
        <f t="shared" si="5"/>
        <v>11</v>
      </c>
      <c r="S364" s="64">
        <v>24</v>
      </c>
      <c r="T364" s="62" t="s">
        <v>1350</v>
      </c>
    </row>
    <row r="365" spans="1:20" ht="23.25" customHeight="1">
      <c r="A365" s="63" t="s">
        <v>1536</v>
      </c>
      <c r="B365" s="66">
        <v>2023</v>
      </c>
      <c r="C365" s="143" t="s">
        <v>52</v>
      </c>
      <c r="D365" s="66" t="s">
        <v>1347</v>
      </c>
      <c r="E365" s="72" t="s">
        <v>1537</v>
      </c>
      <c r="F365" s="73" t="s">
        <v>33</v>
      </c>
      <c r="G365" s="63" t="s">
        <v>25</v>
      </c>
      <c r="H365" s="80" t="s">
        <v>1538</v>
      </c>
      <c r="I365" s="81">
        <v>45201</v>
      </c>
      <c r="J365" s="81">
        <v>45203</v>
      </c>
      <c r="K365" s="66" t="s">
        <v>45</v>
      </c>
      <c r="L365" s="68">
        <v>18534.060000000001</v>
      </c>
      <c r="M365" s="140">
        <v>5</v>
      </c>
      <c r="N365" s="82">
        <v>20</v>
      </c>
      <c r="O365" s="67">
        <v>11</v>
      </c>
      <c r="P365" s="67">
        <v>0</v>
      </c>
      <c r="Q365" s="67">
        <v>0</v>
      </c>
      <c r="R365" s="67">
        <f t="shared" si="5"/>
        <v>11</v>
      </c>
      <c r="S365" s="66">
        <v>24</v>
      </c>
      <c r="T365" s="63" t="s">
        <v>1539</v>
      </c>
    </row>
    <row r="366" spans="1:20" ht="23.25" customHeight="1">
      <c r="A366" s="62" t="s">
        <v>1540</v>
      </c>
      <c r="B366" s="64">
        <v>2023</v>
      </c>
      <c r="C366" s="143" t="s">
        <v>52</v>
      </c>
      <c r="D366" s="64" t="s">
        <v>1541</v>
      </c>
      <c r="E366" s="69" t="s">
        <v>1542</v>
      </c>
      <c r="F366" s="71" t="s">
        <v>48</v>
      </c>
      <c r="G366" s="62" t="s">
        <v>15</v>
      </c>
      <c r="H366" s="78" t="s">
        <v>1543</v>
      </c>
      <c r="I366" s="79">
        <v>45202</v>
      </c>
      <c r="J366" s="79">
        <v>45203</v>
      </c>
      <c r="K366" s="64" t="s">
        <v>41</v>
      </c>
      <c r="L366" s="70">
        <f>21161.18/3</f>
        <v>7053.7266666666665</v>
      </c>
      <c r="M366" s="139">
        <v>4.9000000000000004</v>
      </c>
      <c r="N366" s="83">
        <v>0</v>
      </c>
      <c r="O366" s="65">
        <v>0</v>
      </c>
      <c r="P366" s="65">
        <v>0</v>
      </c>
      <c r="Q366" s="65">
        <v>57</v>
      </c>
      <c r="R366" s="65">
        <f t="shared" si="5"/>
        <v>57</v>
      </c>
      <c r="S366" s="64">
        <v>16</v>
      </c>
      <c r="T366" s="75" t="s">
        <v>442</v>
      </c>
    </row>
    <row r="367" spans="1:20" ht="23.25" customHeight="1">
      <c r="A367" s="63" t="s">
        <v>1544</v>
      </c>
      <c r="B367" s="66">
        <v>2023</v>
      </c>
      <c r="C367" s="143" t="s">
        <v>52</v>
      </c>
      <c r="D367" s="66" t="s">
        <v>1356</v>
      </c>
      <c r="E367" s="72" t="s">
        <v>1545</v>
      </c>
      <c r="F367" s="73" t="s">
        <v>33</v>
      </c>
      <c r="G367" s="63" t="s">
        <v>1358</v>
      </c>
      <c r="H367" s="80" t="s">
        <v>1546</v>
      </c>
      <c r="I367" s="81">
        <v>45204</v>
      </c>
      <c r="J367" s="81">
        <v>45204</v>
      </c>
      <c r="K367" s="66" t="s">
        <v>45</v>
      </c>
      <c r="L367" s="68">
        <f>28645/5</f>
        <v>5729</v>
      </c>
      <c r="M367" s="140">
        <v>5</v>
      </c>
      <c r="N367" s="82">
        <v>22</v>
      </c>
      <c r="O367" s="67">
        <v>22</v>
      </c>
      <c r="P367" s="67">
        <v>0</v>
      </c>
      <c r="Q367" s="67">
        <v>0</v>
      </c>
      <c r="R367" s="67">
        <f t="shared" si="5"/>
        <v>22</v>
      </c>
      <c r="S367" s="66">
        <v>20</v>
      </c>
      <c r="T367" s="63" t="s">
        <v>1547</v>
      </c>
    </row>
    <row r="368" spans="1:20" ht="23.25" customHeight="1">
      <c r="A368" s="62" t="s">
        <v>1548</v>
      </c>
      <c r="B368" s="64">
        <v>2023</v>
      </c>
      <c r="C368" s="143" t="s">
        <v>52</v>
      </c>
      <c r="D368" s="64" t="s">
        <v>1549</v>
      </c>
      <c r="E368" s="69" t="s">
        <v>1550</v>
      </c>
      <c r="F368" s="71" t="s">
        <v>33</v>
      </c>
      <c r="G368" s="62" t="s">
        <v>32</v>
      </c>
      <c r="H368" s="78" t="s">
        <v>1546</v>
      </c>
      <c r="I368" s="79">
        <v>45204</v>
      </c>
      <c r="J368" s="79">
        <v>45204</v>
      </c>
      <c r="K368" s="64" t="s">
        <v>45</v>
      </c>
      <c r="L368" s="70">
        <v>0</v>
      </c>
      <c r="M368" s="139">
        <v>4.9000000000000004</v>
      </c>
      <c r="N368" s="83">
        <v>0</v>
      </c>
      <c r="O368" s="65">
        <v>176</v>
      </c>
      <c r="P368" s="65">
        <v>0</v>
      </c>
      <c r="Q368" s="65">
        <v>0</v>
      </c>
      <c r="R368" s="65">
        <f t="shared" si="5"/>
        <v>176</v>
      </c>
      <c r="S368" s="64">
        <v>2</v>
      </c>
      <c r="T368" s="62"/>
    </row>
    <row r="369" spans="1:20" ht="23.25" customHeight="1">
      <c r="A369" s="63" t="s">
        <v>1551</v>
      </c>
      <c r="B369" s="66">
        <v>2023</v>
      </c>
      <c r="C369" s="143" t="s">
        <v>52</v>
      </c>
      <c r="D369" s="63" t="s">
        <v>1552</v>
      </c>
      <c r="E369" s="72" t="s">
        <v>1553</v>
      </c>
      <c r="F369" s="73" t="s">
        <v>33</v>
      </c>
      <c r="G369" s="63" t="s">
        <v>32</v>
      </c>
      <c r="H369" s="80" t="s">
        <v>1554</v>
      </c>
      <c r="I369" s="81">
        <v>45205</v>
      </c>
      <c r="J369" s="81">
        <v>45205</v>
      </c>
      <c r="K369" s="66" t="s">
        <v>45</v>
      </c>
      <c r="L369" s="68">
        <v>3200</v>
      </c>
      <c r="M369" s="140">
        <v>4.42</v>
      </c>
      <c r="N369" s="82">
        <v>80</v>
      </c>
      <c r="O369" s="67">
        <v>56</v>
      </c>
      <c r="P369" s="67">
        <v>0</v>
      </c>
      <c r="Q369" s="67">
        <v>0</v>
      </c>
      <c r="R369" s="67">
        <f t="shared" si="5"/>
        <v>56</v>
      </c>
      <c r="S369" s="66">
        <v>4</v>
      </c>
      <c r="T369" s="63" t="s">
        <v>1555</v>
      </c>
    </row>
    <row r="370" spans="1:20" ht="23.25" customHeight="1">
      <c r="A370" s="62" t="s">
        <v>1556</v>
      </c>
      <c r="B370" s="64">
        <v>2023</v>
      </c>
      <c r="C370" s="143" t="s">
        <v>52</v>
      </c>
      <c r="D370" s="64" t="s">
        <v>1557</v>
      </c>
      <c r="E370" s="84" t="s">
        <v>1558</v>
      </c>
      <c r="F370" s="71" t="s">
        <v>44</v>
      </c>
      <c r="G370" s="62" t="s">
        <v>15</v>
      </c>
      <c r="H370" s="78" t="s">
        <v>1559</v>
      </c>
      <c r="I370" s="79">
        <v>45207</v>
      </c>
      <c r="J370" s="79">
        <v>45208</v>
      </c>
      <c r="K370" s="64" t="s">
        <v>41</v>
      </c>
      <c r="L370" s="70">
        <f>2760.19+2885.66</f>
        <v>5645.85</v>
      </c>
      <c r="M370" s="139">
        <v>4.8</v>
      </c>
      <c r="N370" s="83">
        <v>0</v>
      </c>
      <c r="O370" s="65">
        <v>0</v>
      </c>
      <c r="P370" s="65">
        <v>23</v>
      </c>
      <c r="Q370" s="65">
        <v>0</v>
      </c>
      <c r="R370" s="65">
        <f t="shared" si="5"/>
        <v>23</v>
      </c>
      <c r="S370" s="64">
        <v>8</v>
      </c>
      <c r="T370" s="62" t="s">
        <v>1525</v>
      </c>
    </row>
    <row r="371" spans="1:20" ht="23.25" customHeight="1">
      <c r="A371" s="63" t="s">
        <v>1560</v>
      </c>
      <c r="B371" s="66">
        <v>2023</v>
      </c>
      <c r="C371" s="143" t="s">
        <v>52</v>
      </c>
      <c r="D371" s="66" t="s">
        <v>1561</v>
      </c>
      <c r="E371" s="72" t="s">
        <v>1562</v>
      </c>
      <c r="F371" s="73" t="s">
        <v>48</v>
      </c>
      <c r="G371" s="63" t="s">
        <v>15</v>
      </c>
      <c r="H371" s="80" t="s">
        <v>1563</v>
      </c>
      <c r="I371" s="81">
        <v>45209</v>
      </c>
      <c r="J371" s="81">
        <v>45209</v>
      </c>
      <c r="K371" s="66" t="s">
        <v>41</v>
      </c>
      <c r="L371" s="68">
        <v>500</v>
      </c>
      <c r="M371" s="140">
        <v>5</v>
      </c>
      <c r="N371" s="82">
        <v>0</v>
      </c>
      <c r="O371" s="67">
        <v>0</v>
      </c>
      <c r="P371" s="67">
        <v>0</v>
      </c>
      <c r="Q371" s="67">
        <v>39</v>
      </c>
      <c r="R371" s="67">
        <f t="shared" si="5"/>
        <v>39</v>
      </c>
      <c r="S371" s="66">
        <v>1</v>
      </c>
      <c r="T371" s="63" t="s">
        <v>680</v>
      </c>
    </row>
    <row r="372" spans="1:20" ht="23.25" customHeight="1">
      <c r="A372" s="62" t="s">
        <v>1564</v>
      </c>
      <c r="B372" s="64">
        <v>2023</v>
      </c>
      <c r="C372" s="143" t="s">
        <v>52</v>
      </c>
      <c r="D372" s="64" t="s">
        <v>1565</v>
      </c>
      <c r="E372" s="69" t="s">
        <v>1566</v>
      </c>
      <c r="F372" s="71" t="s">
        <v>33</v>
      </c>
      <c r="G372" s="62" t="s">
        <v>22</v>
      </c>
      <c r="H372" s="92">
        <v>45209</v>
      </c>
      <c r="I372" s="79">
        <v>45209</v>
      </c>
      <c r="J372" s="79">
        <v>45209</v>
      </c>
      <c r="K372" s="64" t="s">
        <v>41</v>
      </c>
      <c r="L372" s="70">
        <v>0</v>
      </c>
      <c r="M372" s="139">
        <v>4.9000000000000004</v>
      </c>
      <c r="N372" s="83">
        <v>0</v>
      </c>
      <c r="O372" s="65">
        <v>47</v>
      </c>
      <c r="P372" s="65">
        <v>0</v>
      </c>
      <c r="Q372" s="65">
        <v>0</v>
      </c>
      <c r="R372" s="65">
        <f t="shared" si="5"/>
        <v>47</v>
      </c>
      <c r="S372" s="64">
        <v>2</v>
      </c>
      <c r="T372" s="62"/>
    </row>
    <row r="373" spans="1:20" ht="23.25" customHeight="1">
      <c r="A373" s="63" t="s">
        <v>1567</v>
      </c>
      <c r="B373" s="66">
        <v>2023</v>
      </c>
      <c r="C373" s="143" t="s">
        <v>52</v>
      </c>
      <c r="D373" s="66" t="s">
        <v>1541</v>
      </c>
      <c r="E373" s="72" t="s">
        <v>1568</v>
      </c>
      <c r="F373" s="73" t="s">
        <v>48</v>
      </c>
      <c r="G373" s="63" t="s">
        <v>15</v>
      </c>
      <c r="H373" s="80" t="s">
        <v>1569</v>
      </c>
      <c r="I373" s="81">
        <v>45216</v>
      </c>
      <c r="J373" s="81">
        <v>45217</v>
      </c>
      <c r="K373" s="66" t="s">
        <v>41</v>
      </c>
      <c r="L373" s="68">
        <f>21161.18/3</f>
        <v>7053.7266666666665</v>
      </c>
      <c r="M373" s="140">
        <v>4.9000000000000004</v>
      </c>
      <c r="N373" s="82">
        <v>0</v>
      </c>
      <c r="O373" s="67">
        <v>0</v>
      </c>
      <c r="P373" s="67">
        <v>0</v>
      </c>
      <c r="Q373" s="67">
        <v>53</v>
      </c>
      <c r="R373" s="67">
        <f t="shared" si="5"/>
        <v>53</v>
      </c>
      <c r="S373" s="66">
        <v>16</v>
      </c>
      <c r="T373" s="74" t="s">
        <v>442</v>
      </c>
    </row>
    <row r="374" spans="1:20" ht="23.25" customHeight="1">
      <c r="A374" s="62" t="s">
        <v>1570</v>
      </c>
      <c r="B374" s="64">
        <v>2023</v>
      </c>
      <c r="C374" s="143" t="s">
        <v>52</v>
      </c>
      <c r="D374" s="64" t="s">
        <v>1565</v>
      </c>
      <c r="E374" s="69" t="s">
        <v>1571</v>
      </c>
      <c r="F374" s="71" t="s">
        <v>33</v>
      </c>
      <c r="G374" s="62" t="s">
        <v>22</v>
      </c>
      <c r="H374" s="92" t="s">
        <v>1572</v>
      </c>
      <c r="I374" s="79">
        <v>45216</v>
      </c>
      <c r="J374" s="79">
        <v>45216</v>
      </c>
      <c r="K374" s="64" t="s">
        <v>41</v>
      </c>
      <c r="L374" s="70">
        <v>0</v>
      </c>
      <c r="M374" s="139">
        <v>5</v>
      </c>
      <c r="N374" s="83">
        <v>0</v>
      </c>
      <c r="O374" s="65">
        <v>28</v>
      </c>
      <c r="P374" s="65">
        <v>0</v>
      </c>
      <c r="Q374" s="65">
        <v>0</v>
      </c>
      <c r="R374" s="65">
        <f t="shared" si="5"/>
        <v>28</v>
      </c>
      <c r="S374" s="64">
        <v>2</v>
      </c>
      <c r="T374" s="62" t="s">
        <v>1539</v>
      </c>
    </row>
    <row r="375" spans="1:20" ht="23.25" customHeight="1">
      <c r="A375" s="63" t="s">
        <v>1573</v>
      </c>
      <c r="B375" s="66">
        <v>2023</v>
      </c>
      <c r="C375" s="143" t="s">
        <v>52</v>
      </c>
      <c r="D375" s="66" t="s">
        <v>1356</v>
      </c>
      <c r="E375" s="72" t="s">
        <v>1574</v>
      </c>
      <c r="F375" s="73" t="s">
        <v>33</v>
      </c>
      <c r="G375" s="63" t="s">
        <v>1358</v>
      </c>
      <c r="H375" s="80" t="s">
        <v>1575</v>
      </c>
      <c r="I375" s="81">
        <v>45217</v>
      </c>
      <c r="J375" s="81">
        <v>45217</v>
      </c>
      <c r="K375" s="66" t="s">
        <v>45</v>
      </c>
      <c r="L375" s="68">
        <f>28645/5</f>
        <v>5729</v>
      </c>
      <c r="M375" s="140">
        <v>4.4000000000000004</v>
      </c>
      <c r="N375" s="82">
        <v>18</v>
      </c>
      <c r="O375" s="67">
        <v>18</v>
      </c>
      <c r="P375" s="67">
        <v>0</v>
      </c>
      <c r="Q375" s="67">
        <v>0</v>
      </c>
      <c r="R375" s="67">
        <f t="shared" si="5"/>
        <v>18</v>
      </c>
      <c r="S375" s="66">
        <v>3</v>
      </c>
      <c r="T375" s="63" t="s">
        <v>1547</v>
      </c>
    </row>
    <row r="376" spans="1:20" ht="23.25" customHeight="1">
      <c r="A376" s="62" t="s">
        <v>1576</v>
      </c>
      <c r="B376" s="64">
        <v>2023</v>
      </c>
      <c r="C376" s="143" t="s">
        <v>52</v>
      </c>
      <c r="D376" s="64" t="s">
        <v>1541</v>
      </c>
      <c r="E376" s="69" t="s">
        <v>1577</v>
      </c>
      <c r="F376" s="71" t="s">
        <v>48</v>
      </c>
      <c r="G376" s="62" t="s">
        <v>15</v>
      </c>
      <c r="H376" s="78" t="s">
        <v>1578</v>
      </c>
      <c r="I376" s="79">
        <v>45218</v>
      </c>
      <c r="J376" s="79">
        <v>45219</v>
      </c>
      <c r="K376" s="64" t="s">
        <v>41</v>
      </c>
      <c r="L376" s="70">
        <f>21161.18/3</f>
        <v>7053.7266666666665</v>
      </c>
      <c r="M376" s="139">
        <v>4.9000000000000004</v>
      </c>
      <c r="N376" s="83">
        <v>0</v>
      </c>
      <c r="O376" s="65">
        <v>0</v>
      </c>
      <c r="P376" s="65">
        <v>0</v>
      </c>
      <c r="Q376" s="65">
        <v>53</v>
      </c>
      <c r="R376" s="65">
        <f t="shared" si="5"/>
        <v>53</v>
      </c>
      <c r="S376" s="64">
        <v>16</v>
      </c>
      <c r="T376" s="75" t="s">
        <v>442</v>
      </c>
    </row>
    <row r="377" spans="1:20" ht="23.25" customHeight="1">
      <c r="A377" s="63" t="s">
        <v>1579</v>
      </c>
      <c r="B377" s="66">
        <v>2023</v>
      </c>
      <c r="C377" s="143" t="s">
        <v>52</v>
      </c>
      <c r="D377" s="66" t="s">
        <v>1356</v>
      </c>
      <c r="E377" s="72" t="s">
        <v>1580</v>
      </c>
      <c r="F377" s="73" t="s">
        <v>33</v>
      </c>
      <c r="G377" s="63" t="s">
        <v>1358</v>
      </c>
      <c r="H377" s="80" t="s">
        <v>1581</v>
      </c>
      <c r="I377" s="81">
        <v>45218</v>
      </c>
      <c r="J377" s="81">
        <v>45218</v>
      </c>
      <c r="K377" s="66" t="s">
        <v>45</v>
      </c>
      <c r="L377" s="68">
        <f>28645/5</f>
        <v>5729</v>
      </c>
      <c r="M377" s="140">
        <v>4.4000000000000004</v>
      </c>
      <c r="N377" s="82">
        <v>10</v>
      </c>
      <c r="O377" s="67">
        <v>10</v>
      </c>
      <c r="P377" s="67">
        <v>0</v>
      </c>
      <c r="Q377" s="67">
        <v>0</v>
      </c>
      <c r="R377" s="67">
        <f t="shared" si="5"/>
        <v>10</v>
      </c>
      <c r="S377" s="66">
        <v>3</v>
      </c>
      <c r="T377" s="63" t="s">
        <v>1547</v>
      </c>
    </row>
    <row r="378" spans="1:20" ht="23.25" customHeight="1">
      <c r="A378" s="62" t="s">
        <v>1583</v>
      </c>
      <c r="B378" s="64">
        <v>2023</v>
      </c>
      <c r="C378" s="143" t="s">
        <v>52</v>
      </c>
      <c r="D378" s="64" t="s">
        <v>1356</v>
      </c>
      <c r="E378" s="69" t="s">
        <v>1584</v>
      </c>
      <c r="F378" s="71" t="s">
        <v>33</v>
      </c>
      <c r="G378" s="62" t="s">
        <v>1358</v>
      </c>
      <c r="H378" s="78" t="s">
        <v>1585</v>
      </c>
      <c r="I378" s="79">
        <v>45219</v>
      </c>
      <c r="J378" s="79">
        <v>45219</v>
      </c>
      <c r="K378" s="64" t="s">
        <v>45</v>
      </c>
      <c r="L378" s="70">
        <f>28645/5</f>
        <v>5729</v>
      </c>
      <c r="M378" s="139">
        <v>4.4000000000000004</v>
      </c>
      <c r="N378" s="83">
        <v>34</v>
      </c>
      <c r="O378" s="65">
        <v>34</v>
      </c>
      <c r="P378" s="65">
        <v>0</v>
      </c>
      <c r="Q378" s="65">
        <v>0</v>
      </c>
      <c r="R378" s="65">
        <f t="shared" si="5"/>
        <v>34</v>
      </c>
      <c r="S378" s="64">
        <v>3</v>
      </c>
      <c r="T378" s="62" t="s">
        <v>1547</v>
      </c>
    </row>
    <row r="379" spans="1:20" ht="23.25" customHeight="1">
      <c r="A379" s="63" t="s">
        <v>1586</v>
      </c>
      <c r="B379" s="66">
        <v>2023</v>
      </c>
      <c r="C379" s="143" t="s">
        <v>52</v>
      </c>
      <c r="D379" s="66" t="s">
        <v>1587</v>
      </c>
      <c r="E379" s="72" t="s">
        <v>1588</v>
      </c>
      <c r="F379" s="73" t="s">
        <v>33</v>
      </c>
      <c r="G379" s="63" t="s">
        <v>32</v>
      </c>
      <c r="H379" s="80" t="s">
        <v>1589</v>
      </c>
      <c r="I379" s="81">
        <v>45222</v>
      </c>
      <c r="J379" s="81">
        <v>45226</v>
      </c>
      <c r="K379" s="66"/>
      <c r="L379" s="68"/>
      <c r="M379" s="140"/>
      <c r="N379" s="82"/>
      <c r="O379" s="67">
        <v>0</v>
      </c>
      <c r="P379" s="67">
        <v>0</v>
      </c>
      <c r="Q379" s="67">
        <v>0</v>
      </c>
      <c r="R379" s="67">
        <f t="shared" si="5"/>
        <v>0</v>
      </c>
      <c r="S379" s="66"/>
      <c r="T379" s="63"/>
    </row>
    <row r="380" spans="1:20" ht="23.25" customHeight="1">
      <c r="A380" s="62" t="s">
        <v>1590</v>
      </c>
      <c r="B380" s="64">
        <v>2023</v>
      </c>
      <c r="C380" s="143" t="s">
        <v>52</v>
      </c>
      <c r="D380" s="64" t="s">
        <v>1591</v>
      </c>
      <c r="E380" s="69" t="s">
        <v>1592</v>
      </c>
      <c r="F380" s="71" t="s">
        <v>33</v>
      </c>
      <c r="G380" s="62" t="s">
        <v>10</v>
      </c>
      <c r="H380" s="78" t="s">
        <v>1593</v>
      </c>
      <c r="I380" s="79">
        <v>45223</v>
      </c>
      <c r="J380" s="79">
        <v>45223</v>
      </c>
      <c r="K380" s="64" t="s">
        <v>45</v>
      </c>
      <c r="L380" s="70">
        <v>0</v>
      </c>
      <c r="M380" s="139">
        <v>5</v>
      </c>
      <c r="N380" s="83">
        <v>0</v>
      </c>
      <c r="O380" s="65">
        <v>15</v>
      </c>
      <c r="P380" s="65">
        <v>0</v>
      </c>
      <c r="Q380" s="65">
        <v>0</v>
      </c>
      <c r="R380" s="65">
        <f t="shared" si="5"/>
        <v>15</v>
      </c>
      <c r="S380" s="64">
        <v>2</v>
      </c>
      <c r="T380" s="62" t="s">
        <v>1594</v>
      </c>
    </row>
    <row r="381" spans="1:20" ht="23.25" customHeight="1">
      <c r="A381" s="63" t="s">
        <v>1595</v>
      </c>
      <c r="B381" s="66">
        <v>2023</v>
      </c>
      <c r="C381" s="143" t="s">
        <v>52</v>
      </c>
      <c r="D381" s="66" t="s">
        <v>1596</v>
      </c>
      <c r="E381" s="72" t="s">
        <v>1597</v>
      </c>
      <c r="F381" s="73" t="s">
        <v>33</v>
      </c>
      <c r="G381" s="63" t="s">
        <v>32</v>
      </c>
      <c r="H381" s="80" t="s">
        <v>1598</v>
      </c>
      <c r="I381" s="81">
        <v>45224</v>
      </c>
      <c r="J381" s="81">
        <v>45224</v>
      </c>
      <c r="K381" s="66" t="s">
        <v>41</v>
      </c>
      <c r="L381" s="68"/>
      <c r="M381" s="140">
        <v>4.9000000000000004</v>
      </c>
      <c r="N381" s="82"/>
      <c r="O381" s="67">
        <v>21</v>
      </c>
      <c r="P381" s="67"/>
      <c r="Q381" s="67"/>
      <c r="R381" s="67">
        <f t="shared" si="5"/>
        <v>21</v>
      </c>
      <c r="S381" s="66">
        <v>3</v>
      </c>
      <c r="T381" s="63"/>
    </row>
    <row r="382" spans="1:20" ht="23.25" customHeight="1">
      <c r="A382" s="62" t="s">
        <v>1599</v>
      </c>
      <c r="B382" s="64">
        <v>2023</v>
      </c>
      <c r="C382" s="143" t="s">
        <v>52</v>
      </c>
      <c r="D382" s="64" t="s">
        <v>1541</v>
      </c>
      <c r="E382" s="69" t="s">
        <v>1600</v>
      </c>
      <c r="F382" s="71" t="s">
        <v>48</v>
      </c>
      <c r="G382" s="62" t="s">
        <v>15</v>
      </c>
      <c r="H382" s="78" t="s">
        <v>1601</v>
      </c>
      <c r="I382" s="79">
        <v>45225</v>
      </c>
      <c r="J382" s="79">
        <v>45226</v>
      </c>
      <c r="K382" s="64" t="s">
        <v>41</v>
      </c>
      <c r="L382" s="70">
        <f>25649.92/4</f>
        <v>6412.48</v>
      </c>
      <c r="M382" s="139">
        <v>4.7</v>
      </c>
      <c r="N382" s="83">
        <v>0</v>
      </c>
      <c r="O382" s="65">
        <v>0</v>
      </c>
      <c r="P382" s="65">
        <v>0</v>
      </c>
      <c r="Q382" s="65">
        <v>17</v>
      </c>
      <c r="R382" s="65">
        <f t="shared" si="5"/>
        <v>17</v>
      </c>
      <c r="S382" s="64">
        <v>16</v>
      </c>
      <c r="T382" s="75" t="s">
        <v>442</v>
      </c>
    </row>
    <row r="383" spans="1:20" ht="23.25" customHeight="1">
      <c r="A383" s="63" t="s">
        <v>1602</v>
      </c>
      <c r="B383" s="66">
        <v>2023</v>
      </c>
      <c r="C383" s="143" t="s">
        <v>52</v>
      </c>
      <c r="D383" s="66" t="s">
        <v>1356</v>
      </c>
      <c r="E383" s="72" t="s">
        <v>1603</v>
      </c>
      <c r="F383" s="73" t="s">
        <v>33</v>
      </c>
      <c r="G383" s="63" t="s">
        <v>1358</v>
      </c>
      <c r="H383" s="80" t="s">
        <v>1601</v>
      </c>
      <c r="I383" s="81">
        <v>45225</v>
      </c>
      <c r="J383" s="81">
        <v>45226</v>
      </c>
      <c r="K383" s="66" t="s">
        <v>45</v>
      </c>
      <c r="L383" s="68">
        <f>28645/5</f>
        <v>5729</v>
      </c>
      <c r="M383" s="140">
        <v>5</v>
      </c>
      <c r="N383" s="82">
        <v>13</v>
      </c>
      <c r="O383" s="67">
        <v>13</v>
      </c>
      <c r="P383" s="67">
        <v>0</v>
      </c>
      <c r="Q383" s="67">
        <v>0</v>
      </c>
      <c r="R383" s="67">
        <f t="shared" si="5"/>
        <v>13</v>
      </c>
      <c r="S383" s="66">
        <v>3</v>
      </c>
      <c r="T383" s="63" t="s">
        <v>1547</v>
      </c>
    </row>
    <row r="384" spans="1:20" ht="23.25" customHeight="1">
      <c r="A384" s="62" t="s">
        <v>1604</v>
      </c>
      <c r="B384" s="64">
        <v>2023</v>
      </c>
      <c r="C384" s="143" t="s">
        <v>52</v>
      </c>
      <c r="D384" s="64" t="s">
        <v>1605</v>
      </c>
      <c r="E384" s="69" t="s">
        <v>1606</v>
      </c>
      <c r="F384" s="71" t="s">
        <v>33</v>
      </c>
      <c r="G384" s="62" t="s">
        <v>32</v>
      </c>
      <c r="H384" s="78" t="s">
        <v>1607</v>
      </c>
      <c r="I384" s="79">
        <v>45226</v>
      </c>
      <c r="J384" s="79">
        <v>45226</v>
      </c>
      <c r="K384" s="64" t="s">
        <v>41</v>
      </c>
      <c r="L384" s="70">
        <v>5000</v>
      </c>
      <c r="M384" s="139">
        <v>5</v>
      </c>
      <c r="N384" s="83">
        <v>150</v>
      </c>
      <c r="O384" s="65">
        <v>114</v>
      </c>
      <c r="P384" s="65">
        <v>0</v>
      </c>
      <c r="Q384" s="65">
        <v>0</v>
      </c>
      <c r="R384" s="65">
        <f t="shared" si="5"/>
        <v>114</v>
      </c>
      <c r="S384" s="64">
        <v>2</v>
      </c>
      <c r="T384" s="62"/>
    </row>
    <row r="385" spans="1:20" ht="23.25" customHeight="1">
      <c r="A385" s="63" t="s">
        <v>1608</v>
      </c>
      <c r="B385" s="66">
        <v>2023</v>
      </c>
      <c r="C385" s="143" t="s">
        <v>52</v>
      </c>
      <c r="D385" s="66" t="s">
        <v>1399</v>
      </c>
      <c r="E385" s="72" t="s">
        <v>1609</v>
      </c>
      <c r="F385" s="73" t="s">
        <v>33</v>
      </c>
      <c r="G385" s="63" t="s">
        <v>22</v>
      </c>
      <c r="H385" s="80" t="s">
        <v>1610</v>
      </c>
      <c r="I385" s="81">
        <v>45230</v>
      </c>
      <c r="J385" s="81">
        <v>45247</v>
      </c>
      <c r="K385" s="66" t="s">
        <v>45</v>
      </c>
      <c r="L385" s="68">
        <v>16400</v>
      </c>
      <c r="M385" s="140">
        <v>5</v>
      </c>
      <c r="N385" s="82">
        <v>5</v>
      </c>
      <c r="O385" s="67">
        <v>5</v>
      </c>
      <c r="P385" s="67">
        <v>0</v>
      </c>
      <c r="Q385" s="67">
        <v>0</v>
      </c>
      <c r="R385" s="67">
        <f t="shared" si="5"/>
        <v>5</v>
      </c>
      <c r="S385" s="66">
        <v>16</v>
      </c>
      <c r="T385" s="63" t="s">
        <v>1611</v>
      </c>
    </row>
    <row r="386" spans="1:20" ht="23.25" customHeight="1">
      <c r="A386" s="62" t="s">
        <v>1612</v>
      </c>
      <c r="B386" s="64">
        <v>2023</v>
      </c>
      <c r="C386" s="143" t="s">
        <v>52</v>
      </c>
      <c r="D386" s="64" t="s">
        <v>1565</v>
      </c>
      <c r="E386" s="69" t="s">
        <v>1613</v>
      </c>
      <c r="F386" s="71" t="s">
        <v>33</v>
      </c>
      <c r="G386" s="62" t="s">
        <v>22</v>
      </c>
      <c r="H386" s="92" t="s">
        <v>1614</v>
      </c>
      <c r="I386" s="79">
        <v>45230</v>
      </c>
      <c r="J386" s="79">
        <v>45230</v>
      </c>
      <c r="K386" s="64" t="s">
        <v>41</v>
      </c>
      <c r="L386" s="70">
        <v>0</v>
      </c>
      <c r="M386" s="139">
        <v>4.9000000000000004</v>
      </c>
      <c r="N386" s="83">
        <v>0</v>
      </c>
      <c r="O386" s="65">
        <v>49</v>
      </c>
      <c r="P386" s="65">
        <v>0</v>
      </c>
      <c r="Q386" s="65">
        <v>0</v>
      </c>
      <c r="R386" s="65">
        <f t="shared" ref="R386:R409" si="6">SUM(O386:Q386)</f>
        <v>49</v>
      </c>
      <c r="S386" s="64">
        <v>2</v>
      </c>
      <c r="T386" s="62" t="s">
        <v>1582</v>
      </c>
    </row>
    <row r="387" spans="1:20" ht="23.25" customHeight="1">
      <c r="A387" s="63" t="s">
        <v>1615</v>
      </c>
      <c r="B387" s="66">
        <v>2023</v>
      </c>
      <c r="C387" s="143" t="s">
        <v>52</v>
      </c>
      <c r="D387" s="66" t="s">
        <v>1565</v>
      </c>
      <c r="E387" s="72" t="s">
        <v>1616</v>
      </c>
      <c r="F387" s="73" t="s">
        <v>33</v>
      </c>
      <c r="G387" s="63" t="s">
        <v>22</v>
      </c>
      <c r="H387" s="80" t="s">
        <v>1617</v>
      </c>
      <c r="I387" s="81">
        <v>45237</v>
      </c>
      <c r="J387" s="81">
        <v>45237</v>
      </c>
      <c r="K387" s="66" t="s">
        <v>41</v>
      </c>
      <c r="L387" s="68">
        <v>0</v>
      </c>
      <c r="M387" s="140">
        <v>4.8</v>
      </c>
      <c r="N387" s="82">
        <v>0</v>
      </c>
      <c r="O387" s="67">
        <v>22</v>
      </c>
      <c r="P387" s="67">
        <v>0</v>
      </c>
      <c r="Q387" s="67">
        <v>0</v>
      </c>
      <c r="R387" s="67">
        <f t="shared" si="6"/>
        <v>22</v>
      </c>
      <c r="S387" s="66">
        <v>2</v>
      </c>
      <c r="T387" s="63" t="s">
        <v>492</v>
      </c>
    </row>
    <row r="388" spans="1:20" ht="23.25" customHeight="1">
      <c r="A388" s="62" t="s">
        <v>1618</v>
      </c>
      <c r="B388" s="64">
        <v>2023</v>
      </c>
      <c r="C388" s="143" t="s">
        <v>52</v>
      </c>
      <c r="D388" s="64" t="s">
        <v>1619</v>
      </c>
      <c r="E388" s="69" t="s">
        <v>1620</v>
      </c>
      <c r="F388" s="71" t="s">
        <v>48</v>
      </c>
      <c r="G388" s="62" t="s">
        <v>13</v>
      </c>
      <c r="H388" s="78" t="s">
        <v>1621</v>
      </c>
      <c r="I388" s="79">
        <v>45239</v>
      </c>
      <c r="J388" s="79">
        <v>45240</v>
      </c>
      <c r="K388" s="64" t="s">
        <v>45</v>
      </c>
      <c r="L388" s="70">
        <v>0</v>
      </c>
      <c r="M388" s="139">
        <v>4.9000000000000004</v>
      </c>
      <c r="N388" s="83">
        <v>170</v>
      </c>
      <c r="O388" s="65">
        <v>39</v>
      </c>
      <c r="P388" s="65">
        <v>26</v>
      </c>
      <c r="Q388" s="65">
        <v>26</v>
      </c>
      <c r="R388" s="65">
        <f t="shared" si="6"/>
        <v>91</v>
      </c>
      <c r="S388" s="64">
        <v>8</v>
      </c>
      <c r="T388" s="62" t="s">
        <v>492</v>
      </c>
    </row>
    <row r="389" spans="1:20" ht="23.25" customHeight="1">
      <c r="A389" s="63" t="s">
        <v>1622</v>
      </c>
      <c r="B389" s="66">
        <v>2023</v>
      </c>
      <c r="C389" s="143" t="s">
        <v>52</v>
      </c>
      <c r="D389" s="66" t="s">
        <v>1541</v>
      </c>
      <c r="E389" s="72" t="s">
        <v>1623</v>
      </c>
      <c r="F389" s="73" t="s">
        <v>48</v>
      </c>
      <c r="G389" s="63" t="s">
        <v>15</v>
      </c>
      <c r="H389" s="80" t="s">
        <v>1624</v>
      </c>
      <c r="I389" s="81">
        <v>45243</v>
      </c>
      <c r="J389" s="81">
        <v>45244</v>
      </c>
      <c r="K389" s="66" t="s">
        <v>41</v>
      </c>
      <c r="L389" s="68">
        <f>25649.92/4</f>
        <v>6412.48</v>
      </c>
      <c r="M389" s="140">
        <v>4.9000000000000004</v>
      </c>
      <c r="N389" s="82">
        <v>0</v>
      </c>
      <c r="O389" s="67">
        <v>0</v>
      </c>
      <c r="P389" s="67">
        <v>0</v>
      </c>
      <c r="Q389" s="67">
        <v>5</v>
      </c>
      <c r="R389" s="67">
        <f t="shared" si="6"/>
        <v>5</v>
      </c>
      <c r="S389" s="66">
        <v>16</v>
      </c>
      <c r="T389" s="74" t="s">
        <v>442</v>
      </c>
    </row>
    <row r="390" spans="1:20" ht="23.25" customHeight="1">
      <c r="A390" s="62" t="s">
        <v>1625</v>
      </c>
      <c r="B390" s="64">
        <v>2023</v>
      </c>
      <c r="C390" s="143" t="s">
        <v>52</v>
      </c>
      <c r="D390" s="64" t="s">
        <v>1626</v>
      </c>
      <c r="E390" s="69" t="s">
        <v>1627</v>
      </c>
      <c r="F390" s="71" t="s">
        <v>44</v>
      </c>
      <c r="G390" s="62" t="s">
        <v>15</v>
      </c>
      <c r="H390" s="78" t="s">
        <v>1628</v>
      </c>
      <c r="I390" s="79">
        <v>45243</v>
      </c>
      <c r="J390" s="79">
        <v>45243</v>
      </c>
      <c r="K390" s="64" t="s">
        <v>41</v>
      </c>
      <c r="L390" s="70">
        <v>588.97</v>
      </c>
      <c r="M390" s="139">
        <v>4.9000000000000004</v>
      </c>
      <c r="N390" s="83">
        <v>170</v>
      </c>
      <c r="O390" s="65">
        <v>24</v>
      </c>
      <c r="P390" s="65">
        <v>157</v>
      </c>
      <c r="Q390" s="65">
        <v>0</v>
      </c>
      <c r="R390" s="65">
        <f t="shared" si="6"/>
        <v>181</v>
      </c>
      <c r="S390" s="64">
        <v>1</v>
      </c>
      <c r="T390" s="62" t="s">
        <v>116</v>
      </c>
    </row>
    <row r="391" spans="1:20" ht="23.25" customHeight="1">
      <c r="A391" s="63" t="s">
        <v>1629</v>
      </c>
      <c r="B391" s="66">
        <v>2023</v>
      </c>
      <c r="C391" s="143" t="s">
        <v>52</v>
      </c>
      <c r="D391" s="66" t="s">
        <v>1541</v>
      </c>
      <c r="E391" s="72" t="s">
        <v>1630</v>
      </c>
      <c r="F391" s="73" t="s">
        <v>48</v>
      </c>
      <c r="G391" s="63" t="s">
        <v>15</v>
      </c>
      <c r="H391" s="80" t="s">
        <v>1631</v>
      </c>
      <c r="I391" s="81">
        <v>45246</v>
      </c>
      <c r="J391" s="81">
        <v>45247</v>
      </c>
      <c r="K391" s="66" t="s">
        <v>41</v>
      </c>
      <c r="L391" s="68">
        <f>25649.92/4</f>
        <v>6412.48</v>
      </c>
      <c r="M391" s="140">
        <v>4.7</v>
      </c>
      <c r="N391" s="82">
        <v>0</v>
      </c>
      <c r="O391" s="67">
        <v>0</v>
      </c>
      <c r="P391" s="67">
        <v>0</v>
      </c>
      <c r="Q391" s="67">
        <v>7</v>
      </c>
      <c r="R391" s="67">
        <f t="shared" si="6"/>
        <v>7</v>
      </c>
      <c r="S391" s="66">
        <v>16</v>
      </c>
      <c r="T391" s="74" t="s">
        <v>442</v>
      </c>
    </row>
    <row r="392" spans="1:20" ht="23.25" customHeight="1">
      <c r="A392" s="62" t="s">
        <v>1632</v>
      </c>
      <c r="B392" s="64">
        <v>2023</v>
      </c>
      <c r="C392" s="143" t="s">
        <v>52</v>
      </c>
      <c r="D392" s="64" t="s">
        <v>1633</v>
      </c>
      <c r="E392" s="69" t="s">
        <v>1634</v>
      </c>
      <c r="F392" s="71" t="s">
        <v>33</v>
      </c>
      <c r="G392" s="62" t="s">
        <v>25</v>
      </c>
      <c r="H392" s="78" t="s">
        <v>1635</v>
      </c>
      <c r="I392" s="79">
        <v>45247</v>
      </c>
      <c r="J392" s="79">
        <v>45268</v>
      </c>
      <c r="K392" s="64" t="s">
        <v>41</v>
      </c>
      <c r="L392" s="70">
        <v>6412.48</v>
      </c>
      <c r="M392" s="139">
        <v>5</v>
      </c>
      <c r="N392" s="83">
        <v>9</v>
      </c>
      <c r="O392" s="65">
        <v>9</v>
      </c>
      <c r="P392" s="65">
        <v>0</v>
      </c>
      <c r="Q392" s="65">
        <v>0</v>
      </c>
      <c r="R392" s="65">
        <f t="shared" si="6"/>
        <v>9</v>
      </c>
      <c r="S392" s="64">
        <v>16</v>
      </c>
      <c r="T392" s="62" t="s">
        <v>1636</v>
      </c>
    </row>
    <row r="393" spans="1:20" ht="23.25" customHeight="1">
      <c r="A393" s="63" t="s">
        <v>1637</v>
      </c>
      <c r="B393" s="66">
        <v>2023</v>
      </c>
      <c r="C393" s="143" t="s">
        <v>52</v>
      </c>
      <c r="D393" s="66" t="s">
        <v>1638</v>
      </c>
      <c r="E393" s="72" t="s">
        <v>1634</v>
      </c>
      <c r="F393" s="73" t="s">
        <v>33</v>
      </c>
      <c r="G393" s="63" t="s">
        <v>25</v>
      </c>
      <c r="H393" s="80" t="s">
        <v>1635</v>
      </c>
      <c r="I393" s="81">
        <v>45247</v>
      </c>
      <c r="J393" s="81">
        <v>45268</v>
      </c>
      <c r="K393" s="66" t="s">
        <v>41</v>
      </c>
      <c r="L393" s="68">
        <v>6412.48</v>
      </c>
      <c r="M393" s="140">
        <v>5</v>
      </c>
      <c r="N393" s="82">
        <v>9</v>
      </c>
      <c r="O393" s="67">
        <v>9</v>
      </c>
      <c r="P393" s="67">
        <v>0</v>
      </c>
      <c r="Q393" s="67">
        <v>0</v>
      </c>
      <c r="R393" s="67">
        <v>9</v>
      </c>
      <c r="S393" s="66">
        <v>16</v>
      </c>
      <c r="T393" s="63" t="s">
        <v>1636</v>
      </c>
    </row>
    <row r="394" spans="1:20" ht="23.25" customHeight="1">
      <c r="A394" s="62" t="s">
        <v>1640</v>
      </c>
      <c r="B394" s="64">
        <v>2023</v>
      </c>
      <c r="C394" s="143" t="s">
        <v>52</v>
      </c>
      <c r="D394" s="64" t="s">
        <v>1541</v>
      </c>
      <c r="E394" s="69" t="s">
        <v>1641</v>
      </c>
      <c r="F394" s="71" t="s">
        <v>48</v>
      </c>
      <c r="G394" s="62" t="s">
        <v>15</v>
      </c>
      <c r="H394" s="78" t="s">
        <v>1642</v>
      </c>
      <c r="I394" s="79">
        <v>45251</v>
      </c>
      <c r="J394" s="79">
        <v>45252</v>
      </c>
      <c r="K394" s="64" t="s">
        <v>41</v>
      </c>
      <c r="L394" s="70">
        <f>25649.92/4</f>
        <v>6412.48</v>
      </c>
      <c r="M394" s="139">
        <v>4.9000000000000004</v>
      </c>
      <c r="N394" s="83">
        <v>0</v>
      </c>
      <c r="O394" s="65">
        <v>0</v>
      </c>
      <c r="P394" s="65">
        <v>0</v>
      </c>
      <c r="Q394" s="65">
        <v>31</v>
      </c>
      <c r="R394" s="65">
        <f t="shared" si="6"/>
        <v>31</v>
      </c>
      <c r="S394" s="64">
        <v>16</v>
      </c>
      <c r="T394" s="75" t="s">
        <v>442</v>
      </c>
    </row>
    <row r="395" spans="1:20" ht="23.25" customHeight="1">
      <c r="A395" s="63" t="s">
        <v>1643</v>
      </c>
      <c r="B395" s="66">
        <v>2023</v>
      </c>
      <c r="C395" s="143" t="s">
        <v>52</v>
      </c>
      <c r="D395" s="66" t="s">
        <v>1644</v>
      </c>
      <c r="E395" s="72" t="s">
        <v>1645</v>
      </c>
      <c r="F395" s="73" t="s">
        <v>33</v>
      </c>
      <c r="G395" s="63" t="s">
        <v>29</v>
      </c>
      <c r="H395" s="80" t="s">
        <v>1646</v>
      </c>
      <c r="I395" s="81">
        <v>45254</v>
      </c>
      <c r="J395" s="81">
        <v>45254</v>
      </c>
      <c r="K395" s="66" t="s">
        <v>45</v>
      </c>
      <c r="L395" s="68">
        <v>0</v>
      </c>
      <c r="M395" s="140">
        <v>5</v>
      </c>
      <c r="N395" s="82">
        <v>19</v>
      </c>
      <c r="O395" s="67">
        <v>19</v>
      </c>
      <c r="P395" s="67">
        <v>0</v>
      </c>
      <c r="Q395" s="67">
        <v>0</v>
      </c>
      <c r="R395" s="67">
        <f t="shared" si="6"/>
        <v>19</v>
      </c>
      <c r="S395" s="66">
        <v>2</v>
      </c>
      <c r="T395" s="63" t="s">
        <v>977</v>
      </c>
    </row>
    <row r="396" spans="1:20" ht="23.25" customHeight="1">
      <c r="A396" s="62" t="s">
        <v>1647</v>
      </c>
      <c r="B396" s="64">
        <v>2023</v>
      </c>
      <c r="C396" s="143" t="s">
        <v>52</v>
      </c>
      <c r="D396" s="64" t="s">
        <v>1648</v>
      </c>
      <c r="E396" s="69" t="s">
        <v>1649</v>
      </c>
      <c r="F396" s="71" t="s">
        <v>44</v>
      </c>
      <c r="G396" s="62" t="s">
        <v>15</v>
      </c>
      <c r="H396" s="78" t="s">
        <v>1650</v>
      </c>
      <c r="I396" s="79">
        <v>45257</v>
      </c>
      <c r="J396" s="79">
        <v>45258</v>
      </c>
      <c r="K396" s="64" t="s">
        <v>41</v>
      </c>
      <c r="L396" s="70">
        <v>3000</v>
      </c>
      <c r="M396" s="139">
        <v>4.4000000000000004</v>
      </c>
      <c r="N396" s="83">
        <v>40</v>
      </c>
      <c r="O396" s="65">
        <v>3</v>
      </c>
      <c r="P396" s="65">
        <v>42</v>
      </c>
      <c r="Q396" s="65">
        <v>0</v>
      </c>
      <c r="R396" s="65">
        <f t="shared" si="6"/>
        <v>45</v>
      </c>
      <c r="S396" s="64">
        <v>8</v>
      </c>
      <c r="T396" s="62" t="s">
        <v>1472</v>
      </c>
    </row>
    <row r="397" spans="1:20" ht="23.25" customHeight="1">
      <c r="A397" s="63" t="s">
        <v>1651</v>
      </c>
      <c r="B397" s="66">
        <v>2023</v>
      </c>
      <c r="C397" s="143" t="s">
        <v>52</v>
      </c>
      <c r="D397" s="66" t="s">
        <v>1652</v>
      </c>
      <c r="E397" s="72" t="s">
        <v>1653</v>
      </c>
      <c r="F397" s="73" t="s">
        <v>33</v>
      </c>
      <c r="G397" s="63" t="s">
        <v>32</v>
      </c>
      <c r="H397" s="80" t="s">
        <v>1654</v>
      </c>
      <c r="I397" s="81">
        <v>45257</v>
      </c>
      <c r="J397" s="81">
        <v>45257</v>
      </c>
      <c r="K397" s="66" t="s">
        <v>45</v>
      </c>
      <c r="L397" s="68">
        <v>5000</v>
      </c>
      <c r="M397" s="140">
        <v>5</v>
      </c>
      <c r="N397" s="82">
        <v>80</v>
      </c>
      <c r="O397" s="67">
        <v>0</v>
      </c>
      <c r="P397" s="67">
        <v>0</v>
      </c>
      <c r="Q397" s="67">
        <v>0</v>
      </c>
      <c r="R397" s="67">
        <f t="shared" si="6"/>
        <v>0</v>
      </c>
      <c r="S397" s="66">
        <v>2</v>
      </c>
      <c r="T397" s="63" t="s">
        <v>492</v>
      </c>
    </row>
    <row r="398" spans="1:20" ht="23.25" customHeight="1">
      <c r="A398" s="62" t="s">
        <v>1656</v>
      </c>
      <c r="B398" s="64">
        <v>2023</v>
      </c>
      <c r="C398" s="143" t="s">
        <v>52</v>
      </c>
      <c r="D398" s="64" t="s">
        <v>1657</v>
      </c>
      <c r="E398" s="69" t="s">
        <v>1658</v>
      </c>
      <c r="F398" s="71" t="s">
        <v>33</v>
      </c>
      <c r="G398" s="62" t="s">
        <v>15</v>
      </c>
      <c r="H398" s="78" t="s">
        <v>1659</v>
      </c>
      <c r="I398" s="79">
        <v>45264</v>
      </c>
      <c r="J398" s="79">
        <v>45265</v>
      </c>
      <c r="K398" s="64" t="s">
        <v>45</v>
      </c>
      <c r="L398" s="70">
        <v>0</v>
      </c>
      <c r="M398" s="139">
        <v>4.8</v>
      </c>
      <c r="N398" s="83">
        <v>170</v>
      </c>
      <c r="O398" s="65">
        <v>22</v>
      </c>
      <c r="P398" s="65">
        <v>46</v>
      </c>
      <c r="Q398" s="65">
        <v>17</v>
      </c>
      <c r="R398" s="65">
        <f t="shared" si="6"/>
        <v>85</v>
      </c>
      <c r="S398" s="64">
        <v>8</v>
      </c>
      <c r="T398" s="62" t="s">
        <v>492</v>
      </c>
    </row>
    <row r="399" spans="1:20" ht="23.25" customHeight="1">
      <c r="A399" s="63" t="s">
        <v>1660</v>
      </c>
      <c r="B399" s="66">
        <v>2023</v>
      </c>
      <c r="C399" s="143" t="s">
        <v>52</v>
      </c>
      <c r="D399" s="66" t="s">
        <v>1661</v>
      </c>
      <c r="E399" s="72" t="s">
        <v>1662</v>
      </c>
      <c r="F399" s="73" t="s">
        <v>33</v>
      </c>
      <c r="G399" s="63" t="s">
        <v>10</v>
      </c>
      <c r="H399" s="80" t="s">
        <v>1663</v>
      </c>
      <c r="I399" s="81">
        <v>45264</v>
      </c>
      <c r="J399" s="81">
        <v>45264</v>
      </c>
      <c r="K399" s="66" t="s">
        <v>45</v>
      </c>
      <c r="L399" s="68">
        <v>0</v>
      </c>
      <c r="M399" s="140">
        <v>5</v>
      </c>
      <c r="N399" s="82">
        <v>40</v>
      </c>
      <c r="O399" s="67">
        <v>7</v>
      </c>
      <c r="P399" s="67">
        <v>0</v>
      </c>
      <c r="Q399" s="67">
        <v>0</v>
      </c>
      <c r="R399" s="67">
        <f t="shared" si="6"/>
        <v>7</v>
      </c>
      <c r="S399" s="66">
        <v>1</v>
      </c>
      <c r="T399" s="63" t="s">
        <v>1664</v>
      </c>
    </row>
    <row r="400" spans="1:20" ht="23.25" customHeight="1">
      <c r="A400" s="62" t="s">
        <v>1665</v>
      </c>
      <c r="B400" s="64">
        <v>2023</v>
      </c>
      <c r="C400" s="143" t="s">
        <v>52</v>
      </c>
      <c r="D400" s="64" t="s">
        <v>1666</v>
      </c>
      <c r="E400" s="69" t="s">
        <v>1667</v>
      </c>
      <c r="F400" s="71" t="s">
        <v>33</v>
      </c>
      <c r="G400" s="62"/>
      <c r="H400" s="92">
        <v>45089</v>
      </c>
      <c r="I400" s="79">
        <v>45266</v>
      </c>
      <c r="J400" s="79">
        <v>45266</v>
      </c>
      <c r="K400" s="64" t="s">
        <v>41</v>
      </c>
      <c r="L400" s="70">
        <v>0</v>
      </c>
      <c r="M400" s="139">
        <v>5</v>
      </c>
      <c r="N400" s="83">
        <v>20</v>
      </c>
      <c r="O400" s="65">
        <v>30</v>
      </c>
      <c r="P400" s="65"/>
      <c r="Q400" s="65"/>
      <c r="R400" s="65">
        <f t="shared" si="6"/>
        <v>30</v>
      </c>
      <c r="S400" s="64">
        <v>4</v>
      </c>
      <c r="T400" s="62"/>
    </row>
    <row r="401" spans="1:20" ht="23.25" customHeight="1">
      <c r="A401" s="63" t="s">
        <v>1668</v>
      </c>
      <c r="B401" s="66">
        <v>2023</v>
      </c>
      <c r="C401" s="143" t="s">
        <v>52</v>
      </c>
      <c r="D401" s="66" t="s">
        <v>1669</v>
      </c>
      <c r="E401" s="72" t="s">
        <v>1670</v>
      </c>
      <c r="F401" s="73" t="s">
        <v>33</v>
      </c>
      <c r="G401" s="63" t="s">
        <v>25</v>
      </c>
      <c r="H401" s="80" t="s">
        <v>1671</v>
      </c>
      <c r="I401" s="81">
        <v>45267</v>
      </c>
      <c r="J401" s="81">
        <v>45267</v>
      </c>
      <c r="K401" s="66" t="s">
        <v>45</v>
      </c>
      <c r="L401" s="68">
        <v>0</v>
      </c>
      <c r="M401" s="140">
        <v>5</v>
      </c>
      <c r="N401" s="82">
        <v>0</v>
      </c>
      <c r="O401" s="67">
        <v>62</v>
      </c>
      <c r="P401" s="67">
        <v>0</v>
      </c>
      <c r="Q401" s="67">
        <v>0</v>
      </c>
      <c r="R401" s="67">
        <f t="shared" si="6"/>
        <v>62</v>
      </c>
      <c r="S401" s="66">
        <v>1.5</v>
      </c>
      <c r="T401" s="63" t="s">
        <v>1672</v>
      </c>
    </row>
    <row r="402" spans="1:20" ht="23.25" customHeight="1">
      <c r="A402" s="62" t="s">
        <v>1673</v>
      </c>
      <c r="B402" s="64">
        <v>2023</v>
      </c>
      <c r="C402" s="143" t="s">
        <v>52</v>
      </c>
      <c r="D402" s="64" t="s">
        <v>1674</v>
      </c>
      <c r="E402" s="69" t="s">
        <v>1675</v>
      </c>
      <c r="F402" s="71" t="s">
        <v>48</v>
      </c>
      <c r="G402" s="62" t="s">
        <v>15</v>
      </c>
      <c r="H402" s="78" t="s">
        <v>1676</v>
      </c>
      <c r="I402" s="79">
        <v>45268</v>
      </c>
      <c r="J402" s="79">
        <v>45268</v>
      </c>
      <c r="K402" s="64" t="s">
        <v>41</v>
      </c>
      <c r="L402" s="70">
        <v>1603.12</v>
      </c>
      <c r="M402" s="139">
        <v>5</v>
      </c>
      <c r="N402" s="83">
        <v>170</v>
      </c>
      <c r="O402" s="65">
        <v>0</v>
      </c>
      <c r="P402" s="65">
        <v>0</v>
      </c>
      <c r="Q402" s="65">
        <v>68</v>
      </c>
      <c r="R402" s="65">
        <f t="shared" si="6"/>
        <v>68</v>
      </c>
      <c r="S402" s="64">
        <v>4</v>
      </c>
      <c r="T402" s="62" t="s">
        <v>3462</v>
      </c>
    </row>
    <row r="403" spans="1:20" ht="23.25" customHeight="1">
      <c r="A403" s="63" t="s">
        <v>1677</v>
      </c>
      <c r="B403" s="66">
        <v>2023</v>
      </c>
      <c r="C403" s="143" t="s">
        <v>52</v>
      </c>
      <c r="D403" s="66" t="s">
        <v>1678</v>
      </c>
      <c r="E403" s="76" t="s">
        <v>1679</v>
      </c>
      <c r="F403" s="73" t="s">
        <v>33</v>
      </c>
      <c r="G403" s="63" t="s">
        <v>22</v>
      </c>
      <c r="H403" s="80" t="s">
        <v>1680</v>
      </c>
      <c r="I403" s="81">
        <v>45275</v>
      </c>
      <c r="J403" s="81">
        <v>45275</v>
      </c>
      <c r="K403" s="66" t="s">
        <v>41</v>
      </c>
      <c r="L403" s="68"/>
      <c r="M403" s="140"/>
      <c r="N403" s="82">
        <v>2</v>
      </c>
      <c r="O403" s="67">
        <v>2</v>
      </c>
      <c r="P403" s="67">
        <v>0</v>
      </c>
      <c r="Q403" s="67">
        <v>0</v>
      </c>
      <c r="R403" s="67">
        <f t="shared" si="6"/>
        <v>2</v>
      </c>
      <c r="S403" s="66">
        <v>48</v>
      </c>
      <c r="T403" s="63" t="s">
        <v>248</v>
      </c>
    </row>
    <row r="404" spans="1:20" ht="23.25" customHeight="1">
      <c r="A404" s="62" t="s">
        <v>1681</v>
      </c>
      <c r="B404" s="64">
        <v>2024</v>
      </c>
      <c r="C404" s="143" t="s">
        <v>52</v>
      </c>
      <c r="D404" s="64" t="s">
        <v>1682</v>
      </c>
      <c r="E404" s="69" t="s">
        <v>1683</v>
      </c>
      <c r="F404" s="71" t="s">
        <v>44</v>
      </c>
      <c r="G404" s="62" t="s">
        <v>15</v>
      </c>
      <c r="H404" s="78" t="s">
        <v>1684</v>
      </c>
      <c r="I404" s="79">
        <v>45342</v>
      </c>
      <c r="J404" s="79">
        <v>45351</v>
      </c>
      <c r="K404" s="64" t="s">
        <v>41</v>
      </c>
      <c r="L404" s="70">
        <v>12295.13</v>
      </c>
      <c r="M404" s="139">
        <v>4.4800000000000004</v>
      </c>
      <c r="N404" s="83">
        <v>40</v>
      </c>
      <c r="O404" s="65">
        <v>6</v>
      </c>
      <c r="P404" s="65">
        <v>30</v>
      </c>
      <c r="Q404" s="65">
        <v>0</v>
      </c>
      <c r="R404" s="65">
        <f t="shared" si="6"/>
        <v>36</v>
      </c>
      <c r="S404" s="64">
        <v>16</v>
      </c>
      <c r="T404" s="62" t="s">
        <v>3464</v>
      </c>
    </row>
    <row r="405" spans="1:20" ht="23.25" customHeight="1">
      <c r="A405" s="63" t="s">
        <v>1686</v>
      </c>
      <c r="B405" s="66">
        <v>2024</v>
      </c>
      <c r="C405" s="143" t="s">
        <v>52</v>
      </c>
      <c r="D405" s="66" t="s">
        <v>1687</v>
      </c>
      <c r="E405" s="72" t="s">
        <v>1688</v>
      </c>
      <c r="F405" s="73" t="s">
        <v>33</v>
      </c>
      <c r="G405" s="63" t="s">
        <v>25</v>
      </c>
      <c r="H405" s="80" t="s">
        <v>1689</v>
      </c>
      <c r="I405" s="81">
        <v>45344</v>
      </c>
      <c r="J405" s="81">
        <v>45359</v>
      </c>
      <c r="K405" s="66" t="s">
        <v>45</v>
      </c>
      <c r="L405" s="68">
        <v>24800</v>
      </c>
      <c r="M405" s="140">
        <v>4.5999999999999996</v>
      </c>
      <c r="N405" s="82">
        <v>30</v>
      </c>
      <c r="O405" s="67">
        <v>14</v>
      </c>
      <c r="P405" s="67">
        <v>0</v>
      </c>
      <c r="Q405" s="67">
        <v>0</v>
      </c>
      <c r="R405" s="67">
        <f t="shared" si="6"/>
        <v>14</v>
      </c>
      <c r="S405" s="66">
        <v>16</v>
      </c>
      <c r="T405" s="63" t="s">
        <v>1456</v>
      </c>
    </row>
    <row r="406" spans="1:20" ht="23.25" customHeight="1">
      <c r="A406" s="62" t="s">
        <v>1690</v>
      </c>
      <c r="B406" s="64">
        <v>2024</v>
      </c>
      <c r="C406" s="143" t="s">
        <v>52</v>
      </c>
      <c r="D406" s="64" t="s">
        <v>1691</v>
      </c>
      <c r="E406" s="69" t="s">
        <v>1692</v>
      </c>
      <c r="F406" s="71" t="s">
        <v>48</v>
      </c>
      <c r="G406" s="62" t="s">
        <v>15</v>
      </c>
      <c r="H406" s="78" t="s">
        <v>1693</v>
      </c>
      <c r="I406" s="79">
        <v>45352</v>
      </c>
      <c r="J406" s="79">
        <v>45629</v>
      </c>
      <c r="K406" s="64" t="s">
        <v>41</v>
      </c>
      <c r="L406" s="70">
        <v>0</v>
      </c>
      <c r="M406" s="139"/>
      <c r="N406" s="83">
        <v>44</v>
      </c>
      <c r="O406" s="65">
        <v>0</v>
      </c>
      <c r="P406" s="65">
        <v>0</v>
      </c>
      <c r="Q406" s="65">
        <v>44</v>
      </c>
      <c r="R406" s="65">
        <f t="shared" si="6"/>
        <v>44</v>
      </c>
      <c r="S406" s="64">
        <v>5</v>
      </c>
      <c r="T406" s="96" t="s">
        <v>1186</v>
      </c>
    </row>
    <row r="407" spans="1:20" ht="23.25" customHeight="1">
      <c r="A407" s="63" t="s">
        <v>1694</v>
      </c>
      <c r="B407" s="66">
        <v>2024</v>
      </c>
      <c r="C407" s="143" t="s">
        <v>52</v>
      </c>
      <c r="D407" s="66" t="s">
        <v>1695</v>
      </c>
      <c r="E407" s="72" t="s">
        <v>1696</v>
      </c>
      <c r="F407" s="73" t="s">
        <v>44</v>
      </c>
      <c r="G407" s="63" t="s">
        <v>15</v>
      </c>
      <c r="H407" s="80" t="s">
        <v>1697</v>
      </c>
      <c r="I407" s="81">
        <v>45355</v>
      </c>
      <c r="J407" s="81">
        <v>45359</v>
      </c>
      <c r="K407" s="66" t="s">
        <v>41</v>
      </c>
      <c r="L407" s="68">
        <v>11779.56</v>
      </c>
      <c r="M407" s="140">
        <v>4.8600000000000003</v>
      </c>
      <c r="N407" s="82">
        <v>20</v>
      </c>
      <c r="O407" s="67">
        <v>6</v>
      </c>
      <c r="P407" s="67">
        <v>20</v>
      </c>
      <c r="Q407" s="67">
        <v>0</v>
      </c>
      <c r="R407" s="67">
        <f t="shared" si="6"/>
        <v>26</v>
      </c>
      <c r="S407" s="66">
        <v>20</v>
      </c>
      <c r="T407" s="63" t="s">
        <v>116</v>
      </c>
    </row>
    <row r="408" spans="1:20" ht="23.25" customHeight="1">
      <c r="A408" s="62" t="s">
        <v>1698</v>
      </c>
      <c r="B408" s="64">
        <v>2024</v>
      </c>
      <c r="C408" s="143" t="s">
        <v>52</v>
      </c>
      <c r="D408" s="64" t="s">
        <v>1699</v>
      </c>
      <c r="E408" s="69" t="s">
        <v>1700</v>
      </c>
      <c r="F408" s="71" t="s">
        <v>33</v>
      </c>
      <c r="G408" s="62" t="s">
        <v>25</v>
      </c>
      <c r="H408" s="78" t="s">
        <v>1701</v>
      </c>
      <c r="I408" s="79">
        <v>45356</v>
      </c>
      <c r="J408" s="79">
        <v>45365</v>
      </c>
      <c r="K408" s="64" t="s">
        <v>41</v>
      </c>
      <c r="L408" s="70">
        <v>11542.3</v>
      </c>
      <c r="M408" s="139">
        <v>4.92</v>
      </c>
      <c r="N408" s="83">
        <v>20</v>
      </c>
      <c r="O408" s="65">
        <v>23</v>
      </c>
      <c r="P408" s="65">
        <v>0</v>
      </c>
      <c r="Q408" s="65">
        <v>0</v>
      </c>
      <c r="R408" s="65">
        <f t="shared" si="6"/>
        <v>23</v>
      </c>
      <c r="S408" s="64">
        <v>16</v>
      </c>
      <c r="T408" s="62" t="s">
        <v>1702</v>
      </c>
    </row>
    <row r="409" spans="1:20" ht="23.25" customHeight="1">
      <c r="A409" s="63" t="s">
        <v>1703</v>
      </c>
      <c r="B409" s="66">
        <v>2024</v>
      </c>
      <c r="C409" s="143" t="s">
        <v>52</v>
      </c>
      <c r="D409" s="66" t="s">
        <v>1704</v>
      </c>
      <c r="E409" s="72" t="s">
        <v>1705</v>
      </c>
      <c r="F409" s="73" t="s">
        <v>33</v>
      </c>
      <c r="G409" s="63" t="s">
        <v>32</v>
      </c>
      <c r="H409" s="80" t="s">
        <v>1706</v>
      </c>
      <c r="I409" s="81">
        <v>45359</v>
      </c>
      <c r="J409" s="81">
        <v>45359</v>
      </c>
      <c r="K409" s="66" t="s">
        <v>45</v>
      </c>
      <c r="L409" s="68">
        <v>18000</v>
      </c>
      <c r="M409" s="140"/>
      <c r="N409" s="82"/>
      <c r="O409" s="67"/>
      <c r="P409" s="67"/>
      <c r="Q409" s="67">
        <v>20</v>
      </c>
      <c r="R409" s="67">
        <f t="shared" si="6"/>
        <v>20</v>
      </c>
      <c r="S409" s="66">
        <v>2</v>
      </c>
      <c r="T409" s="63" t="s">
        <v>1707</v>
      </c>
    </row>
    <row r="410" spans="1:20" ht="23.25" customHeight="1">
      <c r="A410" s="62" t="s">
        <v>1708</v>
      </c>
      <c r="B410" s="64">
        <v>2024</v>
      </c>
      <c r="C410" s="143" t="s">
        <v>52</v>
      </c>
      <c r="D410" s="64" t="s">
        <v>1709</v>
      </c>
      <c r="E410" s="69" t="s">
        <v>1710</v>
      </c>
      <c r="F410" s="71" t="s">
        <v>33</v>
      </c>
      <c r="G410" s="62" t="s">
        <v>32</v>
      </c>
      <c r="H410" s="78" t="s">
        <v>1706</v>
      </c>
      <c r="I410" s="79">
        <v>45359</v>
      </c>
      <c r="J410" s="79">
        <v>45359</v>
      </c>
      <c r="K410" s="64"/>
      <c r="L410" s="70"/>
      <c r="M410" s="139"/>
      <c r="N410" s="83"/>
      <c r="O410" s="65">
        <v>0</v>
      </c>
      <c r="P410" s="65">
        <v>0</v>
      </c>
      <c r="Q410" s="65">
        <v>0</v>
      </c>
      <c r="R410" s="65">
        <f>SUM(O410:Q410)</f>
        <v>0</v>
      </c>
      <c r="S410" s="64"/>
      <c r="T410" s="62"/>
    </row>
    <row r="411" spans="1:20" ht="23.25" customHeight="1">
      <c r="A411" s="63" t="s">
        <v>1711</v>
      </c>
      <c r="B411" s="66">
        <v>2024</v>
      </c>
      <c r="C411" s="143" t="s">
        <v>52</v>
      </c>
      <c r="D411" s="66" t="s">
        <v>1712</v>
      </c>
      <c r="E411" s="72" t="s">
        <v>1713</v>
      </c>
      <c r="F411" s="73" t="s">
        <v>33</v>
      </c>
      <c r="G411" s="63" t="s">
        <v>32</v>
      </c>
      <c r="H411" s="80" t="s">
        <v>1714</v>
      </c>
      <c r="I411" s="81">
        <v>45363</v>
      </c>
      <c r="J411" s="81">
        <v>45372</v>
      </c>
      <c r="K411" s="66" t="s">
        <v>41</v>
      </c>
      <c r="L411" s="68">
        <v>8336.2199999999993</v>
      </c>
      <c r="M411" s="140">
        <v>4.8600000000000003</v>
      </c>
      <c r="N411" s="82">
        <v>20</v>
      </c>
      <c r="O411" s="67">
        <v>16</v>
      </c>
      <c r="P411" s="67">
        <v>0</v>
      </c>
      <c r="Q411" s="67">
        <v>0</v>
      </c>
      <c r="R411" s="67">
        <f t="shared" ref="R411:R433" si="7">SUM(O411:Q411)</f>
        <v>16</v>
      </c>
      <c r="S411" s="66">
        <v>16</v>
      </c>
      <c r="T411" s="63" t="s">
        <v>3474</v>
      </c>
    </row>
    <row r="412" spans="1:20" ht="23.25" customHeight="1">
      <c r="A412" s="62" t="s">
        <v>1716</v>
      </c>
      <c r="B412" s="64">
        <v>2024</v>
      </c>
      <c r="C412" s="143" t="s">
        <v>52</v>
      </c>
      <c r="D412" s="64" t="s">
        <v>1717</v>
      </c>
      <c r="E412" s="69" t="s">
        <v>1718</v>
      </c>
      <c r="F412" s="71" t="s">
        <v>48</v>
      </c>
      <c r="G412" s="62" t="s">
        <v>15</v>
      </c>
      <c r="H412" s="78" t="s">
        <v>1719</v>
      </c>
      <c r="I412" s="79">
        <v>45369</v>
      </c>
      <c r="J412" s="79">
        <v>45373</v>
      </c>
      <c r="K412" s="64" t="s">
        <v>41</v>
      </c>
      <c r="L412" s="70">
        <v>10420.280000000001</v>
      </c>
      <c r="M412" s="139">
        <v>4.8</v>
      </c>
      <c r="N412" s="83">
        <v>40</v>
      </c>
      <c r="O412" s="65">
        <v>0</v>
      </c>
      <c r="P412" s="65">
        <v>0</v>
      </c>
      <c r="Q412" s="65">
        <v>44</v>
      </c>
      <c r="R412" s="65">
        <f t="shared" si="7"/>
        <v>44</v>
      </c>
      <c r="S412" s="64">
        <v>20</v>
      </c>
      <c r="T412" s="62" t="s">
        <v>442</v>
      </c>
    </row>
    <row r="413" spans="1:20" ht="23.25" customHeight="1">
      <c r="A413" s="63" t="s">
        <v>1720</v>
      </c>
      <c r="B413" s="66">
        <v>2024</v>
      </c>
      <c r="C413" s="143" t="s">
        <v>52</v>
      </c>
      <c r="D413" s="66" t="s">
        <v>1721</v>
      </c>
      <c r="E413" s="72" t="s">
        <v>1722</v>
      </c>
      <c r="F413" s="73" t="s">
        <v>44</v>
      </c>
      <c r="G413" s="63" t="s">
        <v>15</v>
      </c>
      <c r="H413" s="80" t="s">
        <v>1723</v>
      </c>
      <c r="I413" s="81">
        <v>45370</v>
      </c>
      <c r="J413" s="81">
        <v>45370</v>
      </c>
      <c r="K413" s="66" t="s">
        <v>41</v>
      </c>
      <c r="L413" s="68">
        <v>0</v>
      </c>
      <c r="M413" s="140">
        <v>4.92</v>
      </c>
      <c r="N413" s="82">
        <v>160</v>
      </c>
      <c r="O413" s="67">
        <v>40</v>
      </c>
      <c r="P413" s="67">
        <v>65</v>
      </c>
      <c r="Q413" s="67">
        <v>0</v>
      </c>
      <c r="R413" s="67">
        <f t="shared" si="7"/>
        <v>105</v>
      </c>
      <c r="S413" s="66">
        <v>4</v>
      </c>
      <c r="T413" s="63" t="s">
        <v>1685</v>
      </c>
    </row>
    <row r="414" spans="1:20" ht="23.25" customHeight="1">
      <c r="A414" s="62" t="s">
        <v>1724</v>
      </c>
      <c r="B414" s="64">
        <v>2024</v>
      </c>
      <c r="C414" s="143" t="s">
        <v>52</v>
      </c>
      <c r="D414" s="64" t="s">
        <v>1725</v>
      </c>
      <c r="E414" s="69" t="s">
        <v>1726</v>
      </c>
      <c r="F414" s="71" t="s">
        <v>33</v>
      </c>
      <c r="G414" s="62" t="s">
        <v>7</v>
      </c>
      <c r="H414" s="92" t="s">
        <v>1727</v>
      </c>
      <c r="I414" s="79">
        <v>45373</v>
      </c>
      <c r="J414" s="79">
        <v>45373</v>
      </c>
      <c r="K414" s="64" t="s">
        <v>45</v>
      </c>
      <c r="L414" s="70">
        <v>1199.1600000000001</v>
      </c>
      <c r="M414" s="139">
        <v>4.8600000000000003</v>
      </c>
      <c r="N414" s="83">
        <v>50</v>
      </c>
      <c r="O414" s="65">
        <v>50</v>
      </c>
      <c r="P414" s="65">
        <v>0</v>
      </c>
      <c r="Q414" s="65">
        <v>0</v>
      </c>
      <c r="R414" s="65">
        <f t="shared" si="7"/>
        <v>50</v>
      </c>
      <c r="S414" s="64">
        <v>4</v>
      </c>
      <c r="T414" s="62" t="s">
        <v>3479</v>
      </c>
    </row>
    <row r="415" spans="1:20" ht="23.25" customHeight="1">
      <c r="A415" s="63" t="s">
        <v>1728</v>
      </c>
      <c r="B415" s="66">
        <v>2024</v>
      </c>
      <c r="C415" s="143" t="s">
        <v>52</v>
      </c>
      <c r="D415" s="66" t="s">
        <v>1729</v>
      </c>
      <c r="E415" s="72" t="s">
        <v>1730</v>
      </c>
      <c r="F415" s="73" t="s">
        <v>33</v>
      </c>
      <c r="G415" s="63" t="s">
        <v>25</v>
      </c>
      <c r="H415" s="80" t="s">
        <v>1731</v>
      </c>
      <c r="I415" s="81">
        <v>45383</v>
      </c>
      <c r="J415" s="81">
        <v>45387</v>
      </c>
      <c r="K415" s="66" t="s">
        <v>45</v>
      </c>
      <c r="L415" s="68">
        <v>15444.87</v>
      </c>
      <c r="M415" s="140">
        <v>4.7</v>
      </c>
      <c r="N415" s="82">
        <v>30</v>
      </c>
      <c r="O415" s="67">
        <v>25</v>
      </c>
      <c r="P415" s="67">
        <v>0</v>
      </c>
      <c r="Q415" s="67">
        <v>0</v>
      </c>
      <c r="R415" s="67">
        <f t="shared" si="7"/>
        <v>25</v>
      </c>
      <c r="S415" s="66">
        <v>20</v>
      </c>
      <c r="T415" s="63" t="s">
        <v>3274</v>
      </c>
    </row>
    <row r="416" spans="1:20" ht="23.25" customHeight="1">
      <c r="A416" s="62" t="s">
        <v>1732</v>
      </c>
      <c r="B416" s="64">
        <v>2024</v>
      </c>
      <c r="C416" s="143" t="s">
        <v>52</v>
      </c>
      <c r="D416" s="64" t="s">
        <v>1733</v>
      </c>
      <c r="E416" s="69" t="s">
        <v>1734</v>
      </c>
      <c r="F416" s="71" t="s">
        <v>33</v>
      </c>
      <c r="G416" s="62" t="s">
        <v>32</v>
      </c>
      <c r="H416" s="78" t="s">
        <v>1735</v>
      </c>
      <c r="I416" s="79">
        <v>45383</v>
      </c>
      <c r="J416" s="79">
        <v>45392</v>
      </c>
      <c r="K416" s="64" t="s">
        <v>41</v>
      </c>
      <c r="L416" s="70">
        <v>10420.280000000001</v>
      </c>
      <c r="M416" s="139">
        <v>5</v>
      </c>
      <c r="N416" s="83">
        <v>20</v>
      </c>
      <c r="O416" s="65">
        <v>9</v>
      </c>
      <c r="P416" s="65">
        <v>0</v>
      </c>
      <c r="Q416" s="65">
        <v>0</v>
      </c>
      <c r="R416" s="65">
        <f t="shared" si="7"/>
        <v>9</v>
      </c>
      <c r="S416" s="64">
        <v>20</v>
      </c>
      <c r="T416" s="62" t="s">
        <v>3474</v>
      </c>
    </row>
    <row r="417" spans="1:20" ht="23.25" customHeight="1">
      <c r="A417" s="63" t="s">
        <v>1736</v>
      </c>
      <c r="B417" s="66">
        <v>2024</v>
      </c>
      <c r="C417" s="143" t="s">
        <v>52</v>
      </c>
      <c r="D417" s="66" t="s">
        <v>1737</v>
      </c>
      <c r="E417" s="72" t="s">
        <v>1738</v>
      </c>
      <c r="F417" s="73" t="s">
        <v>48</v>
      </c>
      <c r="G417" s="63" t="s">
        <v>15</v>
      </c>
      <c r="H417" s="80" t="s">
        <v>1731</v>
      </c>
      <c r="I417" s="81">
        <v>45383</v>
      </c>
      <c r="J417" s="81">
        <v>45387</v>
      </c>
      <c r="K417" s="66" t="s">
        <v>41</v>
      </c>
      <c r="L417" s="68">
        <v>8464.48</v>
      </c>
      <c r="M417" s="140">
        <v>4.5</v>
      </c>
      <c r="N417" s="82">
        <v>30</v>
      </c>
      <c r="O417" s="67">
        <v>1</v>
      </c>
      <c r="P417" s="67">
        <v>0</v>
      </c>
      <c r="Q417" s="67">
        <v>24</v>
      </c>
      <c r="R417" s="67">
        <f t="shared" si="7"/>
        <v>25</v>
      </c>
      <c r="S417" s="66">
        <v>16</v>
      </c>
      <c r="T417" s="63" t="s">
        <v>3481</v>
      </c>
    </row>
    <row r="418" spans="1:20" ht="23.25" customHeight="1">
      <c r="A418" s="62" t="s">
        <v>1739</v>
      </c>
      <c r="B418" s="64">
        <v>2024</v>
      </c>
      <c r="C418" s="143" t="s">
        <v>52</v>
      </c>
      <c r="D418" s="64" t="s">
        <v>1740</v>
      </c>
      <c r="E418" s="69" t="s">
        <v>1741</v>
      </c>
      <c r="F418" s="71" t="s">
        <v>33</v>
      </c>
      <c r="G418" s="62" t="s">
        <v>10</v>
      </c>
      <c r="H418" s="78" t="s">
        <v>1742</v>
      </c>
      <c r="I418" s="79">
        <v>45384</v>
      </c>
      <c r="J418" s="79">
        <v>45435</v>
      </c>
      <c r="K418" s="64" t="s">
        <v>45</v>
      </c>
      <c r="L418" s="70">
        <v>17000</v>
      </c>
      <c r="M418" s="139">
        <v>4.5999999999999996</v>
      </c>
      <c r="N418" s="83">
        <v>4</v>
      </c>
      <c r="O418" s="65">
        <v>13</v>
      </c>
      <c r="P418" s="65">
        <v>0</v>
      </c>
      <c r="Q418" s="65">
        <v>0</v>
      </c>
      <c r="R418" s="65">
        <f t="shared" si="7"/>
        <v>13</v>
      </c>
      <c r="S418" s="64">
        <v>19</v>
      </c>
      <c r="T418" s="62" t="s">
        <v>1743</v>
      </c>
    </row>
    <row r="419" spans="1:20" ht="23.25" customHeight="1">
      <c r="A419" s="63" t="s">
        <v>1744</v>
      </c>
      <c r="B419" s="66">
        <v>2024</v>
      </c>
      <c r="C419" s="143" t="s">
        <v>52</v>
      </c>
      <c r="D419" s="66" t="s">
        <v>1725</v>
      </c>
      <c r="E419" s="72" t="s">
        <v>1745</v>
      </c>
      <c r="F419" s="73" t="s">
        <v>33</v>
      </c>
      <c r="G419" s="63" t="s">
        <v>7</v>
      </c>
      <c r="H419" s="80" t="s">
        <v>1746</v>
      </c>
      <c r="I419" s="81">
        <v>45387</v>
      </c>
      <c r="J419" s="81">
        <v>45408</v>
      </c>
      <c r="K419" s="66" t="s">
        <v>45</v>
      </c>
      <c r="L419" s="68">
        <f>1199.16*4</f>
        <v>4796.6400000000003</v>
      </c>
      <c r="M419" s="140">
        <v>4.9000000000000004</v>
      </c>
      <c r="N419" s="82">
        <v>40</v>
      </c>
      <c r="O419" s="67">
        <v>49</v>
      </c>
      <c r="P419" s="67">
        <v>0</v>
      </c>
      <c r="Q419" s="67">
        <v>0</v>
      </c>
      <c r="R419" s="67">
        <f t="shared" si="7"/>
        <v>49</v>
      </c>
      <c r="S419" s="66">
        <v>16</v>
      </c>
      <c r="T419" s="63" t="s">
        <v>1747</v>
      </c>
    </row>
    <row r="420" spans="1:20" ht="23.25" customHeight="1">
      <c r="A420" s="62" t="s">
        <v>1748</v>
      </c>
      <c r="B420" s="64">
        <v>2024</v>
      </c>
      <c r="C420" s="143" t="s">
        <v>52</v>
      </c>
      <c r="D420" s="64" t="s">
        <v>1749</v>
      </c>
      <c r="E420" s="69" t="s">
        <v>1750</v>
      </c>
      <c r="F420" s="71" t="s">
        <v>33</v>
      </c>
      <c r="G420" s="62" t="s">
        <v>32</v>
      </c>
      <c r="H420" s="78" t="s">
        <v>1751</v>
      </c>
      <c r="I420" s="79">
        <v>45387</v>
      </c>
      <c r="J420" s="79">
        <v>45387</v>
      </c>
      <c r="K420" s="64" t="s">
        <v>41</v>
      </c>
      <c r="L420" s="70">
        <v>1042.02</v>
      </c>
      <c r="M420" s="139">
        <v>5</v>
      </c>
      <c r="N420" s="83">
        <v>170</v>
      </c>
      <c r="O420" s="65">
        <v>0</v>
      </c>
      <c r="P420" s="65">
        <v>0</v>
      </c>
      <c r="Q420" s="65">
        <v>128</v>
      </c>
      <c r="R420" s="65">
        <f t="shared" si="7"/>
        <v>128</v>
      </c>
      <c r="S420" s="64">
        <v>4</v>
      </c>
      <c r="T420" s="62" t="s">
        <v>1715</v>
      </c>
    </row>
    <row r="421" spans="1:20" ht="23.25" customHeight="1">
      <c r="A421" s="63" t="s">
        <v>1752</v>
      </c>
      <c r="B421" s="66">
        <v>2024</v>
      </c>
      <c r="C421" s="143" t="s">
        <v>52</v>
      </c>
      <c r="D421" s="66" t="s">
        <v>1695</v>
      </c>
      <c r="E421" s="72" t="s">
        <v>1753</v>
      </c>
      <c r="F421" s="73" t="s">
        <v>44</v>
      </c>
      <c r="G421" s="63" t="s">
        <v>15</v>
      </c>
      <c r="H421" s="80" t="s">
        <v>1754</v>
      </c>
      <c r="I421" s="81">
        <v>45390</v>
      </c>
      <c r="J421" s="81">
        <v>45394</v>
      </c>
      <c r="K421" s="66" t="s">
        <v>41</v>
      </c>
      <c r="L421" s="68">
        <v>11779.56</v>
      </c>
      <c r="M421" s="140">
        <v>4.8</v>
      </c>
      <c r="N421" s="82">
        <v>21</v>
      </c>
      <c r="O421" s="67">
        <v>5</v>
      </c>
      <c r="P421" s="67">
        <v>16</v>
      </c>
      <c r="Q421" s="67">
        <v>0</v>
      </c>
      <c r="R421" s="67">
        <f t="shared" si="7"/>
        <v>21</v>
      </c>
      <c r="S421" s="66">
        <v>20</v>
      </c>
      <c r="T421" s="63" t="s">
        <v>116</v>
      </c>
    </row>
    <row r="422" spans="1:20" ht="23.25" customHeight="1">
      <c r="A422" s="62" t="s">
        <v>1755</v>
      </c>
      <c r="B422" s="64">
        <v>2024</v>
      </c>
      <c r="C422" s="143" t="s">
        <v>52</v>
      </c>
      <c r="D422" s="64" t="s">
        <v>1756</v>
      </c>
      <c r="E422" s="69" t="s">
        <v>1757</v>
      </c>
      <c r="F422" s="71" t="s">
        <v>33</v>
      </c>
      <c r="G422" s="62" t="s">
        <v>25</v>
      </c>
      <c r="H422" s="78" t="s">
        <v>1758</v>
      </c>
      <c r="I422" s="79">
        <v>45390</v>
      </c>
      <c r="J422" s="79">
        <v>45415</v>
      </c>
      <c r="K422" s="64" t="s">
        <v>41</v>
      </c>
      <c r="L422" s="70">
        <v>8000</v>
      </c>
      <c r="M422" s="139">
        <v>5</v>
      </c>
      <c r="N422" s="83">
        <v>8</v>
      </c>
      <c r="O422" s="65">
        <v>8</v>
      </c>
      <c r="P422" s="65">
        <v>0</v>
      </c>
      <c r="Q422" s="65">
        <v>0</v>
      </c>
      <c r="R422" s="65">
        <f t="shared" si="7"/>
        <v>8</v>
      </c>
      <c r="S422" s="64">
        <v>16</v>
      </c>
      <c r="T422" s="62" t="s">
        <v>3490</v>
      </c>
    </row>
    <row r="423" spans="1:20" ht="23.25" customHeight="1">
      <c r="A423" s="63" t="s">
        <v>1759</v>
      </c>
      <c r="B423" s="66">
        <v>2024</v>
      </c>
      <c r="C423" s="143" t="s">
        <v>52</v>
      </c>
      <c r="D423" s="66" t="s">
        <v>1749</v>
      </c>
      <c r="E423" s="72" t="s">
        <v>1760</v>
      </c>
      <c r="F423" s="73" t="s">
        <v>33</v>
      </c>
      <c r="G423" s="63" t="s">
        <v>32</v>
      </c>
      <c r="H423" s="80" t="s">
        <v>1761</v>
      </c>
      <c r="I423" s="81">
        <v>45394</v>
      </c>
      <c r="J423" s="81">
        <v>45394</v>
      </c>
      <c r="K423" s="66" t="s">
        <v>41</v>
      </c>
      <c r="L423" s="68">
        <v>1042.02</v>
      </c>
      <c r="M423" s="140">
        <v>4.9000000000000004</v>
      </c>
      <c r="N423" s="82">
        <v>170</v>
      </c>
      <c r="O423" s="67">
        <v>93</v>
      </c>
      <c r="P423" s="67">
        <v>0</v>
      </c>
      <c r="Q423" s="67">
        <v>0</v>
      </c>
      <c r="R423" s="67">
        <f t="shared" si="7"/>
        <v>93</v>
      </c>
      <c r="S423" s="66">
        <v>4</v>
      </c>
      <c r="T423" s="63" t="s">
        <v>1715</v>
      </c>
    </row>
    <row r="424" spans="1:20" ht="23.25" customHeight="1">
      <c r="A424" s="62" t="s">
        <v>1762</v>
      </c>
      <c r="B424" s="64">
        <v>2024</v>
      </c>
      <c r="C424" s="143" t="s">
        <v>52</v>
      </c>
      <c r="D424" s="64" t="s">
        <v>1763</v>
      </c>
      <c r="E424" s="69" t="s">
        <v>1764</v>
      </c>
      <c r="F424" s="71" t="s">
        <v>33</v>
      </c>
      <c r="G424" s="62" t="s">
        <v>32</v>
      </c>
      <c r="H424" s="78" t="s">
        <v>1765</v>
      </c>
      <c r="I424" s="79">
        <v>45397</v>
      </c>
      <c r="J424" s="79">
        <v>45411</v>
      </c>
      <c r="K424" s="64" t="s">
        <v>45</v>
      </c>
      <c r="L424" s="70">
        <v>19900</v>
      </c>
      <c r="M424" s="139">
        <v>4.9000000000000004</v>
      </c>
      <c r="N424" s="83">
        <v>20</v>
      </c>
      <c r="O424" s="65">
        <v>6</v>
      </c>
      <c r="P424" s="65">
        <v>0</v>
      </c>
      <c r="Q424" s="65">
        <v>0</v>
      </c>
      <c r="R424" s="65">
        <f t="shared" si="7"/>
        <v>6</v>
      </c>
      <c r="S424" s="64">
        <v>24</v>
      </c>
      <c r="T424" s="62" t="s">
        <v>1228</v>
      </c>
    </row>
    <row r="425" spans="1:20" ht="23.25" customHeight="1">
      <c r="A425" s="63" t="s">
        <v>1766</v>
      </c>
      <c r="B425" s="66">
        <v>2024</v>
      </c>
      <c r="C425" s="143" t="s">
        <v>52</v>
      </c>
      <c r="D425" s="66"/>
      <c r="E425" s="72" t="s">
        <v>1767</v>
      </c>
      <c r="F425" s="73" t="s">
        <v>44</v>
      </c>
      <c r="G425" s="63" t="s">
        <v>15</v>
      </c>
      <c r="H425" s="80" t="s">
        <v>1768</v>
      </c>
      <c r="I425" s="81">
        <v>45414</v>
      </c>
      <c r="J425" s="81">
        <v>45414</v>
      </c>
      <c r="K425" s="66" t="s">
        <v>49</v>
      </c>
      <c r="L425" s="68">
        <v>0</v>
      </c>
      <c r="M425" s="140">
        <v>5</v>
      </c>
      <c r="N425" s="82">
        <v>170</v>
      </c>
      <c r="O425" s="67">
        <v>40</v>
      </c>
      <c r="P425" s="67">
        <v>40</v>
      </c>
      <c r="Q425" s="67">
        <v>0</v>
      </c>
      <c r="R425" s="67">
        <f t="shared" si="7"/>
        <v>80</v>
      </c>
      <c r="S425" s="66">
        <v>4</v>
      </c>
      <c r="T425" s="63" t="s">
        <v>492</v>
      </c>
    </row>
    <row r="426" spans="1:20" ht="23.25" customHeight="1">
      <c r="A426" s="62" t="s">
        <v>1769</v>
      </c>
      <c r="B426" s="64">
        <v>2024</v>
      </c>
      <c r="C426" s="143" t="s">
        <v>52</v>
      </c>
      <c r="D426" s="64" t="s">
        <v>1770</v>
      </c>
      <c r="E426" s="69" t="s">
        <v>1771</v>
      </c>
      <c r="F426" s="71" t="s">
        <v>33</v>
      </c>
      <c r="G426" s="62" t="s">
        <v>29</v>
      </c>
      <c r="H426" s="78" t="s">
        <v>1772</v>
      </c>
      <c r="I426" s="79">
        <v>45415</v>
      </c>
      <c r="J426" s="79">
        <v>45415</v>
      </c>
      <c r="K426" s="64" t="s">
        <v>45</v>
      </c>
      <c r="L426" s="70">
        <f>49600/8</f>
        <v>6200</v>
      </c>
      <c r="M426" s="139">
        <v>5</v>
      </c>
      <c r="N426" s="65">
        <v>23</v>
      </c>
      <c r="O426" s="65">
        <v>8</v>
      </c>
      <c r="P426" s="65">
        <v>0</v>
      </c>
      <c r="Q426" s="65">
        <v>0</v>
      </c>
      <c r="R426" s="65">
        <f t="shared" si="7"/>
        <v>8</v>
      </c>
      <c r="S426" s="64">
        <v>4</v>
      </c>
      <c r="T426" s="62" t="s">
        <v>1773</v>
      </c>
    </row>
    <row r="427" spans="1:20" ht="23.25" customHeight="1">
      <c r="A427" s="63" t="s">
        <v>1774</v>
      </c>
      <c r="B427" s="66">
        <v>2024</v>
      </c>
      <c r="C427" s="143" t="s">
        <v>52</v>
      </c>
      <c r="D427" s="66" t="s">
        <v>1775</v>
      </c>
      <c r="E427" s="72" t="s">
        <v>1776</v>
      </c>
      <c r="F427" s="73" t="s">
        <v>33</v>
      </c>
      <c r="G427" s="63" t="s">
        <v>25</v>
      </c>
      <c r="H427" s="80" t="s">
        <v>1777</v>
      </c>
      <c r="I427" s="81">
        <v>45418</v>
      </c>
      <c r="J427" s="81">
        <v>45421</v>
      </c>
      <c r="K427" s="66" t="s">
        <v>41</v>
      </c>
      <c r="L427" s="68">
        <v>9423.64</v>
      </c>
      <c r="M427" s="140">
        <v>5</v>
      </c>
      <c r="N427" s="82">
        <v>20</v>
      </c>
      <c r="O427" s="67">
        <v>10</v>
      </c>
      <c r="P427" s="67">
        <v>0</v>
      </c>
      <c r="Q427" s="67">
        <v>0</v>
      </c>
      <c r="R427" s="67">
        <f t="shared" si="7"/>
        <v>10</v>
      </c>
      <c r="S427" s="66">
        <v>16</v>
      </c>
      <c r="T427" s="63" t="s">
        <v>1778</v>
      </c>
    </row>
    <row r="428" spans="1:20" ht="23.25" customHeight="1">
      <c r="A428" s="62" t="s">
        <v>1779</v>
      </c>
      <c r="B428" s="64">
        <v>2024</v>
      </c>
      <c r="C428" s="143" t="s">
        <v>52</v>
      </c>
      <c r="D428" s="64" t="s">
        <v>1780</v>
      </c>
      <c r="E428" s="69" t="s">
        <v>1781</v>
      </c>
      <c r="F428" s="71" t="s">
        <v>48</v>
      </c>
      <c r="G428" s="62" t="s">
        <v>15</v>
      </c>
      <c r="H428" s="78" t="s">
        <v>1782</v>
      </c>
      <c r="I428" s="79">
        <v>45420</v>
      </c>
      <c r="J428" s="79">
        <v>45422</v>
      </c>
      <c r="K428" s="64" t="s">
        <v>45</v>
      </c>
      <c r="L428" s="70">
        <v>2146.96</v>
      </c>
      <c r="M428" s="139"/>
      <c r="N428" s="65">
        <v>80</v>
      </c>
      <c r="O428" s="65">
        <v>0</v>
      </c>
      <c r="P428" s="65">
        <v>0</v>
      </c>
      <c r="Q428" s="64">
        <v>80</v>
      </c>
      <c r="R428" s="65">
        <f t="shared" si="7"/>
        <v>80</v>
      </c>
      <c r="S428" s="64">
        <v>4</v>
      </c>
      <c r="T428" s="62" t="s">
        <v>1369</v>
      </c>
    </row>
    <row r="429" spans="1:20" ht="23.25" customHeight="1">
      <c r="A429" s="63" t="s">
        <v>1783</v>
      </c>
      <c r="B429" s="66">
        <v>2024</v>
      </c>
      <c r="C429" s="143" t="s">
        <v>52</v>
      </c>
      <c r="D429" s="66" t="s">
        <v>1780</v>
      </c>
      <c r="E429" s="72" t="s">
        <v>1784</v>
      </c>
      <c r="F429" s="73" t="s">
        <v>48</v>
      </c>
      <c r="G429" s="63" t="s">
        <v>15</v>
      </c>
      <c r="H429" s="80" t="s">
        <v>1782</v>
      </c>
      <c r="I429" s="81">
        <v>45420</v>
      </c>
      <c r="J429" s="81">
        <v>45422</v>
      </c>
      <c r="K429" s="66" t="s">
        <v>45</v>
      </c>
      <c r="L429" s="68">
        <v>2146.96</v>
      </c>
      <c r="M429" s="140"/>
      <c r="N429" s="67">
        <v>80</v>
      </c>
      <c r="O429" s="67">
        <v>0</v>
      </c>
      <c r="P429" s="67">
        <v>0</v>
      </c>
      <c r="Q429" s="66">
        <v>80</v>
      </c>
      <c r="R429" s="67">
        <f t="shared" si="7"/>
        <v>80</v>
      </c>
      <c r="S429" s="66">
        <v>4</v>
      </c>
      <c r="T429" s="63" t="s">
        <v>1369</v>
      </c>
    </row>
    <row r="430" spans="1:20" ht="23.25" customHeight="1">
      <c r="A430" s="62" t="s">
        <v>1785</v>
      </c>
      <c r="B430" s="64">
        <v>2024</v>
      </c>
      <c r="C430" s="143" t="s">
        <v>52</v>
      </c>
      <c r="D430" s="64" t="s">
        <v>1780</v>
      </c>
      <c r="E430" s="69" t="s">
        <v>1786</v>
      </c>
      <c r="F430" s="71" t="s">
        <v>48</v>
      </c>
      <c r="G430" s="62" t="s">
        <v>15</v>
      </c>
      <c r="H430" s="78" t="s">
        <v>1782</v>
      </c>
      <c r="I430" s="79">
        <v>45420</v>
      </c>
      <c r="J430" s="79">
        <v>45422</v>
      </c>
      <c r="K430" s="64" t="s">
        <v>45</v>
      </c>
      <c r="L430" s="70">
        <v>2146.96</v>
      </c>
      <c r="M430" s="139"/>
      <c r="N430" s="65">
        <v>80</v>
      </c>
      <c r="O430" s="65">
        <v>0</v>
      </c>
      <c r="P430" s="65">
        <v>0</v>
      </c>
      <c r="Q430" s="64">
        <v>80</v>
      </c>
      <c r="R430" s="65">
        <f t="shared" si="7"/>
        <v>80</v>
      </c>
      <c r="S430" s="64">
        <v>4</v>
      </c>
      <c r="T430" s="62" t="s">
        <v>1369</v>
      </c>
    </row>
    <row r="431" spans="1:20" ht="23.25" customHeight="1">
      <c r="A431" s="63" t="s">
        <v>1787</v>
      </c>
      <c r="B431" s="66">
        <v>2024</v>
      </c>
      <c r="C431" s="143" t="s">
        <v>52</v>
      </c>
      <c r="D431" s="66" t="s">
        <v>1780</v>
      </c>
      <c r="E431" s="72" t="s">
        <v>1788</v>
      </c>
      <c r="F431" s="73" t="s">
        <v>48</v>
      </c>
      <c r="G431" s="63" t="s">
        <v>15</v>
      </c>
      <c r="H431" s="80" t="s">
        <v>1782</v>
      </c>
      <c r="I431" s="81">
        <v>45420</v>
      </c>
      <c r="J431" s="81">
        <v>45422</v>
      </c>
      <c r="K431" s="66" t="s">
        <v>45</v>
      </c>
      <c r="L431" s="68">
        <v>2146.96</v>
      </c>
      <c r="M431" s="140"/>
      <c r="N431" s="67">
        <v>80</v>
      </c>
      <c r="O431" s="67">
        <v>0</v>
      </c>
      <c r="P431" s="67">
        <v>0</v>
      </c>
      <c r="Q431" s="66">
        <v>80</v>
      </c>
      <c r="R431" s="67">
        <f t="shared" si="7"/>
        <v>80</v>
      </c>
      <c r="S431" s="66">
        <v>4</v>
      </c>
      <c r="T431" s="63" t="s">
        <v>1369</v>
      </c>
    </row>
    <row r="432" spans="1:20" ht="23.25" customHeight="1">
      <c r="A432" s="62" t="s">
        <v>1789</v>
      </c>
      <c r="B432" s="64">
        <v>2024</v>
      </c>
      <c r="C432" s="143" t="s">
        <v>52</v>
      </c>
      <c r="D432" s="64" t="s">
        <v>1780</v>
      </c>
      <c r="E432" s="69" t="s">
        <v>1790</v>
      </c>
      <c r="F432" s="71" t="s">
        <v>48</v>
      </c>
      <c r="G432" s="62" t="s">
        <v>15</v>
      </c>
      <c r="H432" s="78" t="s">
        <v>1782</v>
      </c>
      <c r="I432" s="79">
        <v>45420</v>
      </c>
      <c r="J432" s="79">
        <v>45422</v>
      </c>
      <c r="K432" s="64" t="s">
        <v>45</v>
      </c>
      <c r="L432" s="70">
        <v>2146.96</v>
      </c>
      <c r="M432" s="139"/>
      <c r="N432" s="65">
        <v>80</v>
      </c>
      <c r="O432" s="65">
        <v>0</v>
      </c>
      <c r="P432" s="65">
        <v>0</v>
      </c>
      <c r="Q432" s="64">
        <v>80</v>
      </c>
      <c r="R432" s="65">
        <f t="shared" si="7"/>
        <v>80</v>
      </c>
      <c r="S432" s="64">
        <v>4</v>
      </c>
      <c r="T432" s="62" t="s">
        <v>1369</v>
      </c>
    </row>
    <row r="433" spans="1:20" ht="23.25" customHeight="1">
      <c r="A433" s="63" t="s">
        <v>1791</v>
      </c>
      <c r="B433" s="66">
        <v>2024</v>
      </c>
      <c r="C433" s="143" t="s">
        <v>52</v>
      </c>
      <c r="D433" s="66" t="s">
        <v>1770</v>
      </c>
      <c r="E433" s="72" t="s">
        <v>1792</v>
      </c>
      <c r="F433" s="73" t="s">
        <v>33</v>
      </c>
      <c r="G433" s="63" t="s">
        <v>29</v>
      </c>
      <c r="H433" s="80" t="s">
        <v>1793</v>
      </c>
      <c r="I433" s="81">
        <v>45422</v>
      </c>
      <c r="J433" s="81">
        <v>45422</v>
      </c>
      <c r="K433" s="66" t="s">
        <v>45</v>
      </c>
      <c r="L433" s="68">
        <f>49600/8</f>
        <v>6200</v>
      </c>
      <c r="M433" s="140">
        <v>4.9000000000000004</v>
      </c>
      <c r="N433" s="67">
        <v>50</v>
      </c>
      <c r="O433" s="67">
        <v>33</v>
      </c>
      <c r="P433" s="67">
        <v>0</v>
      </c>
      <c r="Q433" s="67">
        <v>0</v>
      </c>
      <c r="R433" s="67">
        <f t="shared" si="7"/>
        <v>33</v>
      </c>
      <c r="S433" s="66">
        <v>4</v>
      </c>
      <c r="T433" s="63" t="s">
        <v>1773</v>
      </c>
    </row>
    <row r="434" spans="1:20" ht="23.25" customHeight="1">
      <c r="A434" s="62" t="s">
        <v>1794</v>
      </c>
      <c r="B434" s="64">
        <v>2024</v>
      </c>
      <c r="C434" s="143" t="s">
        <v>52</v>
      </c>
      <c r="D434" s="64" t="s">
        <v>1709</v>
      </c>
      <c r="E434" s="69" t="s">
        <v>1795</v>
      </c>
      <c r="F434" s="71" t="s">
        <v>33</v>
      </c>
      <c r="G434" s="62" t="s">
        <v>32</v>
      </c>
      <c r="H434" s="98">
        <v>45570</v>
      </c>
      <c r="I434" s="79">
        <v>45422</v>
      </c>
      <c r="J434" s="79">
        <v>45422</v>
      </c>
      <c r="K434" s="64"/>
      <c r="L434" s="70"/>
      <c r="M434" s="139"/>
      <c r="N434" s="83"/>
      <c r="O434" s="65">
        <v>0</v>
      </c>
      <c r="P434" s="65">
        <v>0</v>
      </c>
      <c r="Q434" s="65">
        <v>0</v>
      </c>
      <c r="R434" s="65">
        <f>SUM(O434:Q434)</f>
        <v>0</v>
      </c>
      <c r="S434" s="64"/>
      <c r="T434" s="62"/>
    </row>
    <row r="435" spans="1:20" ht="23.25" customHeight="1">
      <c r="A435" s="63" t="s">
        <v>1796</v>
      </c>
      <c r="B435" s="66">
        <v>2024</v>
      </c>
      <c r="C435" s="143" t="s">
        <v>52</v>
      </c>
      <c r="D435" s="66" t="s">
        <v>1717</v>
      </c>
      <c r="E435" s="72" t="s">
        <v>1797</v>
      </c>
      <c r="F435" s="73" t="s">
        <v>48</v>
      </c>
      <c r="G435" s="63" t="s">
        <v>15</v>
      </c>
      <c r="H435" s="80" t="s">
        <v>1798</v>
      </c>
      <c r="I435" s="81">
        <v>45425</v>
      </c>
      <c r="J435" s="81">
        <v>45429</v>
      </c>
      <c r="K435" s="66" t="s">
        <v>41</v>
      </c>
      <c r="L435" s="68">
        <v>10420.280000000001</v>
      </c>
      <c r="M435" s="140">
        <v>4.8</v>
      </c>
      <c r="N435" s="82">
        <v>40</v>
      </c>
      <c r="O435" s="67">
        <v>0</v>
      </c>
      <c r="P435" s="67">
        <v>0</v>
      </c>
      <c r="Q435" s="67">
        <v>62</v>
      </c>
      <c r="R435" s="67">
        <f t="shared" ref="R435:R455" si="8">SUM(O435:Q435)</f>
        <v>62</v>
      </c>
      <c r="S435" s="66">
        <v>20</v>
      </c>
      <c r="T435" s="63" t="s">
        <v>442</v>
      </c>
    </row>
    <row r="436" spans="1:20" ht="23.25" customHeight="1">
      <c r="A436" s="62" t="s">
        <v>1799</v>
      </c>
      <c r="B436" s="64">
        <v>2024</v>
      </c>
      <c r="C436" s="143" t="s">
        <v>52</v>
      </c>
      <c r="D436" s="64" t="s">
        <v>1800</v>
      </c>
      <c r="E436" s="69" t="s">
        <v>1801</v>
      </c>
      <c r="F436" s="71" t="s">
        <v>33</v>
      </c>
      <c r="G436" s="62" t="s">
        <v>25</v>
      </c>
      <c r="H436" s="78" t="s">
        <v>1802</v>
      </c>
      <c r="I436" s="79">
        <v>45426</v>
      </c>
      <c r="J436" s="79">
        <v>45426</v>
      </c>
      <c r="K436" s="64" t="s">
        <v>49</v>
      </c>
      <c r="L436" s="70">
        <v>2500</v>
      </c>
      <c r="M436" s="139">
        <v>4.5999999999999996</v>
      </c>
      <c r="N436" s="83">
        <v>170</v>
      </c>
      <c r="O436" s="65">
        <v>42</v>
      </c>
      <c r="P436" s="65">
        <v>0</v>
      </c>
      <c r="Q436" s="65">
        <v>0</v>
      </c>
      <c r="R436" s="65">
        <f t="shared" si="8"/>
        <v>42</v>
      </c>
      <c r="S436" s="64">
        <v>4</v>
      </c>
      <c r="T436" s="62" t="s">
        <v>1803</v>
      </c>
    </row>
    <row r="437" spans="1:20" ht="23.25" customHeight="1">
      <c r="A437" s="63" t="s">
        <v>1804</v>
      </c>
      <c r="B437" s="66">
        <v>2024</v>
      </c>
      <c r="C437" s="143" t="s">
        <v>52</v>
      </c>
      <c r="D437" s="66" t="s">
        <v>1800</v>
      </c>
      <c r="E437" s="72" t="s">
        <v>1805</v>
      </c>
      <c r="F437" s="73" t="s">
        <v>33</v>
      </c>
      <c r="G437" s="63" t="s">
        <v>25</v>
      </c>
      <c r="H437" s="80" t="s">
        <v>1806</v>
      </c>
      <c r="I437" s="81">
        <v>45427</v>
      </c>
      <c r="J437" s="81">
        <v>45427</v>
      </c>
      <c r="K437" s="66" t="s">
        <v>49</v>
      </c>
      <c r="L437" s="68">
        <v>2500</v>
      </c>
      <c r="M437" s="140">
        <v>5</v>
      </c>
      <c r="N437" s="82">
        <v>20</v>
      </c>
      <c r="O437" s="67">
        <v>6</v>
      </c>
      <c r="P437" s="67">
        <v>0</v>
      </c>
      <c r="Q437" s="67">
        <v>0</v>
      </c>
      <c r="R437" s="67">
        <f t="shared" si="8"/>
        <v>6</v>
      </c>
      <c r="S437" s="66">
        <v>4</v>
      </c>
      <c r="T437" s="63" t="s">
        <v>1803</v>
      </c>
    </row>
    <row r="438" spans="1:20" ht="23.25" customHeight="1">
      <c r="A438" s="62" t="s">
        <v>1807</v>
      </c>
      <c r="B438" s="64">
        <v>2024</v>
      </c>
      <c r="C438" s="143" t="s">
        <v>52</v>
      </c>
      <c r="D438" s="64" t="s">
        <v>1800</v>
      </c>
      <c r="E438" s="69" t="s">
        <v>1808</v>
      </c>
      <c r="F438" s="71" t="s">
        <v>33</v>
      </c>
      <c r="G438" s="62" t="s">
        <v>25</v>
      </c>
      <c r="H438" s="78" t="s">
        <v>1809</v>
      </c>
      <c r="I438" s="79">
        <v>45428</v>
      </c>
      <c r="J438" s="79">
        <v>45428</v>
      </c>
      <c r="K438" s="64" t="s">
        <v>49</v>
      </c>
      <c r="L438" s="70">
        <v>2500</v>
      </c>
      <c r="M438" s="139">
        <v>4.9000000000000004</v>
      </c>
      <c r="N438" s="83">
        <v>170</v>
      </c>
      <c r="O438" s="65">
        <v>49</v>
      </c>
      <c r="P438" s="65">
        <v>0</v>
      </c>
      <c r="Q438" s="65">
        <v>0</v>
      </c>
      <c r="R438" s="65">
        <f t="shared" si="8"/>
        <v>49</v>
      </c>
      <c r="S438" s="64">
        <v>4</v>
      </c>
      <c r="T438" s="62" t="s">
        <v>1803</v>
      </c>
    </row>
    <row r="439" spans="1:20" ht="23.25" customHeight="1">
      <c r="A439" s="63" t="s">
        <v>1810</v>
      </c>
      <c r="B439" s="66">
        <v>2024</v>
      </c>
      <c r="C439" s="143" t="s">
        <v>52</v>
      </c>
      <c r="D439" s="66" t="s">
        <v>1800</v>
      </c>
      <c r="E439" s="72" t="s">
        <v>1808</v>
      </c>
      <c r="F439" s="73" t="s">
        <v>33</v>
      </c>
      <c r="G439" s="63" t="s">
        <v>25</v>
      </c>
      <c r="H439" s="80" t="s">
        <v>1811</v>
      </c>
      <c r="I439" s="81">
        <v>45429</v>
      </c>
      <c r="J439" s="81">
        <v>45429</v>
      </c>
      <c r="K439" s="66" t="s">
        <v>49</v>
      </c>
      <c r="L439" s="68">
        <v>1842.2</v>
      </c>
      <c r="M439" s="140">
        <v>5</v>
      </c>
      <c r="N439" s="82">
        <v>170</v>
      </c>
      <c r="O439" s="67">
        <v>20</v>
      </c>
      <c r="P439" s="67">
        <v>0</v>
      </c>
      <c r="Q439" s="67">
        <v>0</v>
      </c>
      <c r="R439" s="67">
        <f t="shared" si="8"/>
        <v>20</v>
      </c>
      <c r="S439" s="66">
        <v>4</v>
      </c>
      <c r="T439" s="63" t="s">
        <v>1803</v>
      </c>
    </row>
    <row r="440" spans="1:20" ht="23.25" customHeight="1">
      <c r="A440" s="62" t="s">
        <v>1812</v>
      </c>
      <c r="B440" s="64">
        <v>2024</v>
      </c>
      <c r="C440" s="143" t="s">
        <v>52</v>
      </c>
      <c r="D440" s="64" t="s">
        <v>1813</v>
      </c>
      <c r="E440" s="69" t="s">
        <v>1814</v>
      </c>
      <c r="F440" s="71" t="s">
        <v>48</v>
      </c>
      <c r="G440" s="62" t="s">
        <v>15</v>
      </c>
      <c r="H440" s="78" t="s">
        <v>1815</v>
      </c>
      <c r="I440" s="79">
        <v>45432</v>
      </c>
      <c r="J440" s="79">
        <v>45436</v>
      </c>
      <c r="K440" s="64" t="s">
        <v>41</v>
      </c>
      <c r="L440" s="70">
        <v>7067.73</v>
      </c>
      <c r="M440" s="139">
        <v>4.8</v>
      </c>
      <c r="N440" s="83">
        <v>30</v>
      </c>
      <c r="O440" s="65">
        <v>0</v>
      </c>
      <c r="P440" s="65">
        <v>0</v>
      </c>
      <c r="Q440" s="65">
        <v>28</v>
      </c>
      <c r="R440" s="65">
        <f t="shared" si="8"/>
        <v>28</v>
      </c>
      <c r="S440" s="64">
        <v>12</v>
      </c>
      <c r="T440" s="62" t="s">
        <v>569</v>
      </c>
    </row>
    <row r="441" spans="1:20" ht="23.25" customHeight="1">
      <c r="A441" s="63" t="s">
        <v>1816</v>
      </c>
      <c r="B441" s="66">
        <v>2024</v>
      </c>
      <c r="C441" s="143" t="s">
        <v>52</v>
      </c>
      <c r="D441" s="66" t="s">
        <v>1817</v>
      </c>
      <c r="E441" s="72" t="s">
        <v>1818</v>
      </c>
      <c r="F441" s="73" t="s">
        <v>33</v>
      </c>
      <c r="G441" s="63" t="s">
        <v>32</v>
      </c>
      <c r="H441" s="80" t="s">
        <v>1819</v>
      </c>
      <c r="I441" s="81">
        <v>45439</v>
      </c>
      <c r="J441" s="81">
        <v>45446</v>
      </c>
      <c r="K441" s="66" t="s">
        <v>45</v>
      </c>
      <c r="L441" s="68">
        <v>10990</v>
      </c>
      <c r="M441" s="140">
        <v>5</v>
      </c>
      <c r="N441" s="82">
        <v>20</v>
      </c>
      <c r="O441" s="67">
        <v>17</v>
      </c>
      <c r="P441" s="67">
        <v>0</v>
      </c>
      <c r="Q441" s="67">
        <v>0</v>
      </c>
      <c r="R441" s="67">
        <f t="shared" si="8"/>
        <v>17</v>
      </c>
      <c r="S441" s="66">
        <v>20</v>
      </c>
      <c r="T441" s="63" t="s">
        <v>810</v>
      </c>
    </row>
    <row r="442" spans="1:20" ht="23.25" customHeight="1">
      <c r="A442" s="62" t="s">
        <v>1820</v>
      </c>
      <c r="B442" s="64">
        <v>2024</v>
      </c>
      <c r="C442" s="143" t="s">
        <v>52</v>
      </c>
      <c r="D442" s="64" t="s">
        <v>1821</v>
      </c>
      <c r="E442" s="69" t="s">
        <v>1822</v>
      </c>
      <c r="F442" s="71" t="s">
        <v>33</v>
      </c>
      <c r="G442" s="62" t="s">
        <v>22</v>
      </c>
      <c r="H442" s="78" t="s">
        <v>1823</v>
      </c>
      <c r="I442" s="79">
        <v>45440</v>
      </c>
      <c r="J442" s="79">
        <v>45456</v>
      </c>
      <c r="K442" s="64" t="s">
        <v>41</v>
      </c>
      <c r="L442" s="70">
        <f>8015.5+7248.86</f>
        <v>15264.36</v>
      </c>
      <c r="M442" s="139">
        <v>4.8</v>
      </c>
      <c r="N442" s="83">
        <v>20</v>
      </c>
      <c r="O442" s="65">
        <v>17</v>
      </c>
      <c r="P442" s="65">
        <v>0</v>
      </c>
      <c r="Q442" s="65">
        <v>0</v>
      </c>
      <c r="R442" s="65">
        <f t="shared" si="8"/>
        <v>17</v>
      </c>
      <c r="S442" s="64">
        <v>20</v>
      </c>
      <c r="T442" s="62" t="s">
        <v>1824</v>
      </c>
    </row>
    <row r="443" spans="1:20" ht="23.25" customHeight="1">
      <c r="A443" s="63" t="s">
        <v>1825</v>
      </c>
      <c r="B443" s="66">
        <v>2024</v>
      </c>
      <c r="C443" s="143" t="s">
        <v>52</v>
      </c>
      <c r="D443" s="66" t="s">
        <v>1826</v>
      </c>
      <c r="E443" s="72" t="s">
        <v>1827</v>
      </c>
      <c r="F443" s="73" t="s">
        <v>44</v>
      </c>
      <c r="G443" s="63" t="s">
        <v>15</v>
      </c>
      <c r="H443" s="80" t="s">
        <v>1828</v>
      </c>
      <c r="I443" s="81">
        <v>45446</v>
      </c>
      <c r="J443" s="81">
        <v>45456</v>
      </c>
      <c r="K443" s="66" t="s">
        <v>41</v>
      </c>
      <c r="L443" s="68">
        <f>7213.94+8154.98</f>
        <v>15368.919999999998</v>
      </c>
      <c r="M443" s="140">
        <v>4.8</v>
      </c>
      <c r="N443" s="82">
        <v>40</v>
      </c>
      <c r="O443" s="67">
        <v>0</v>
      </c>
      <c r="P443" s="67">
        <v>24</v>
      </c>
      <c r="Q443" s="67">
        <v>0</v>
      </c>
      <c r="R443" s="67">
        <f t="shared" si="8"/>
        <v>24</v>
      </c>
      <c r="S443" s="66">
        <v>20</v>
      </c>
      <c r="T443" s="63" t="s">
        <v>963</v>
      </c>
    </row>
    <row r="444" spans="1:20" ht="23.25" customHeight="1">
      <c r="A444" s="62" t="s">
        <v>1829</v>
      </c>
      <c r="B444" s="64">
        <v>2024</v>
      </c>
      <c r="C444" s="143" t="s">
        <v>52</v>
      </c>
      <c r="D444" s="64" t="s">
        <v>1830</v>
      </c>
      <c r="E444" s="69" t="s">
        <v>1831</v>
      </c>
      <c r="F444" s="71" t="s">
        <v>33</v>
      </c>
      <c r="G444" s="62" t="s">
        <v>32</v>
      </c>
      <c r="H444" s="78" t="s">
        <v>1832</v>
      </c>
      <c r="I444" s="79">
        <v>45447</v>
      </c>
      <c r="J444" s="79">
        <v>45456</v>
      </c>
      <c r="K444" s="64" t="s">
        <v>45</v>
      </c>
      <c r="L444" s="70">
        <v>6700</v>
      </c>
      <c r="M444" s="139">
        <v>4.5999999999999996</v>
      </c>
      <c r="N444" s="83">
        <v>30</v>
      </c>
      <c r="O444" s="65">
        <v>16</v>
      </c>
      <c r="P444" s="65">
        <v>0</v>
      </c>
      <c r="Q444" s="65">
        <v>0</v>
      </c>
      <c r="R444" s="65">
        <f t="shared" si="8"/>
        <v>16</v>
      </c>
      <c r="S444" s="64">
        <v>8</v>
      </c>
      <c r="T444" s="62" t="s">
        <v>1069</v>
      </c>
    </row>
    <row r="445" spans="1:20" ht="23.25" customHeight="1">
      <c r="A445" s="63" t="s">
        <v>1833</v>
      </c>
      <c r="B445" s="66">
        <v>2024</v>
      </c>
      <c r="C445" s="143" t="s">
        <v>52</v>
      </c>
      <c r="D445" s="66" t="s">
        <v>1834</v>
      </c>
      <c r="E445" s="72" t="s">
        <v>1835</v>
      </c>
      <c r="F445" s="73" t="s">
        <v>48</v>
      </c>
      <c r="G445" s="63" t="s">
        <v>15</v>
      </c>
      <c r="H445" s="80" t="s">
        <v>1836</v>
      </c>
      <c r="I445" s="81">
        <v>45456</v>
      </c>
      <c r="J445" s="81">
        <v>45457</v>
      </c>
      <c r="K445" s="66" t="s">
        <v>49</v>
      </c>
      <c r="L445" s="68">
        <v>0</v>
      </c>
      <c r="M445" s="140">
        <v>4.9000000000000004</v>
      </c>
      <c r="N445" s="82">
        <v>170</v>
      </c>
      <c r="O445" s="67">
        <v>33</v>
      </c>
      <c r="P445" s="67">
        <v>115</v>
      </c>
      <c r="Q445" s="67">
        <v>7</v>
      </c>
      <c r="R445" s="67">
        <f t="shared" si="8"/>
        <v>155</v>
      </c>
      <c r="S445" s="66">
        <v>8</v>
      </c>
      <c r="T445" s="63" t="s">
        <v>492</v>
      </c>
    </row>
    <row r="446" spans="1:20" ht="23.25" customHeight="1">
      <c r="A446" s="62" t="s">
        <v>1837</v>
      </c>
      <c r="B446" s="64">
        <v>2024</v>
      </c>
      <c r="C446" s="143" t="s">
        <v>52</v>
      </c>
      <c r="D446" s="64" t="s">
        <v>1770</v>
      </c>
      <c r="E446" s="69" t="s">
        <v>1838</v>
      </c>
      <c r="F446" s="71" t="s">
        <v>33</v>
      </c>
      <c r="G446" s="62" t="s">
        <v>29</v>
      </c>
      <c r="H446" s="78" t="s">
        <v>1839</v>
      </c>
      <c r="I446" s="79">
        <v>45457</v>
      </c>
      <c r="J446" s="79">
        <v>45457</v>
      </c>
      <c r="K446" s="64" t="s">
        <v>45</v>
      </c>
      <c r="L446" s="70">
        <f>49600/8</f>
        <v>6200</v>
      </c>
      <c r="M446" s="139">
        <v>5</v>
      </c>
      <c r="N446" s="65">
        <v>20</v>
      </c>
      <c r="O446" s="65">
        <v>8</v>
      </c>
      <c r="P446" s="65">
        <v>0</v>
      </c>
      <c r="Q446" s="65">
        <v>0</v>
      </c>
      <c r="R446" s="65">
        <f t="shared" si="8"/>
        <v>8</v>
      </c>
      <c r="S446" s="64">
        <v>4</v>
      </c>
      <c r="T446" s="62" t="s">
        <v>1773</v>
      </c>
    </row>
    <row r="447" spans="1:20" ht="23.25" customHeight="1">
      <c r="A447" s="63" t="s">
        <v>1840</v>
      </c>
      <c r="B447" s="66">
        <v>2024</v>
      </c>
      <c r="C447" s="143" t="s">
        <v>52</v>
      </c>
      <c r="D447" s="66" t="s">
        <v>1841</v>
      </c>
      <c r="E447" s="72" t="s">
        <v>1842</v>
      </c>
      <c r="F447" s="73" t="s">
        <v>44</v>
      </c>
      <c r="G447" s="63" t="s">
        <v>10</v>
      </c>
      <c r="H447" s="80" t="s">
        <v>1843</v>
      </c>
      <c r="I447" s="81">
        <v>45460</v>
      </c>
      <c r="J447" s="81">
        <v>45463</v>
      </c>
      <c r="K447" s="66" t="s">
        <v>41</v>
      </c>
      <c r="L447" s="68">
        <v>7934.1</v>
      </c>
      <c r="M447" s="140">
        <v>4.7</v>
      </c>
      <c r="N447" s="82">
        <v>20</v>
      </c>
      <c r="O447" s="67">
        <v>10</v>
      </c>
      <c r="P447" s="67">
        <v>0</v>
      </c>
      <c r="Q447" s="67">
        <v>0</v>
      </c>
      <c r="R447" s="67">
        <f t="shared" si="8"/>
        <v>10</v>
      </c>
      <c r="S447" s="66">
        <v>16</v>
      </c>
      <c r="T447" s="63" t="s">
        <v>3481</v>
      </c>
    </row>
    <row r="448" spans="1:20" ht="23.25" customHeight="1">
      <c r="A448" s="62" t="s">
        <v>1844</v>
      </c>
      <c r="B448" s="64">
        <v>2024</v>
      </c>
      <c r="C448" s="143" t="s">
        <v>52</v>
      </c>
      <c r="D448" s="64" t="s">
        <v>1775</v>
      </c>
      <c r="E448" s="69" t="s">
        <v>1845</v>
      </c>
      <c r="F448" s="71" t="s">
        <v>33</v>
      </c>
      <c r="G448" s="62" t="s">
        <v>25</v>
      </c>
      <c r="H448" s="78" t="s">
        <v>1843</v>
      </c>
      <c r="I448" s="79">
        <v>45460</v>
      </c>
      <c r="J448" s="79">
        <v>45463</v>
      </c>
      <c r="K448" s="64" t="s">
        <v>41</v>
      </c>
      <c r="L448" s="70">
        <v>10250.44</v>
      </c>
      <c r="M448" s="139">
        <v>4.9000000000000004</v>
      </c>
      <c r="N448" s="83">
        <v>20</v>
      </c>
      <c r="O448" s="65">
        <v>15</v>
      </c>
      <c r="P448" s="65">
        <v>0</v>
      </c>
      <c r="Q448" s="65">
        <v>0</v>
      </c>
      <c r="R448" s="65">
        <f t="shared" si="8"/>
        <v>15</v>
      </c>
      <c r="S448" s="64">
        <v>16</v>
      </c>
      <c r="T448" s="62" t="s">
        <v>1778</v>
      </c>
    </row>
    <row r="449" spans="1:20" ht="23.25" customHeight="1">
      <c r="A449" s="63" t="s">
        <v>1846</v>
      </c>
      <c r="B449" s="66">
        <v>2024</v>
      </c>
      <c r="C449" s="143" t="s">
        <v>52</v>
      </c>
      <c r="D449" s="66" t="s">
        <v>1847</v>
      </c>
      <c r="E449" s="72" t="s">
        <v>1848</v>
      </c>
      <c r="F449" s="73" t="s">
        <v>33</v>
      </c>
      <c r="G449" s="63" t="s">
        <v>35</v>
      </c>
      <c r="H449" s="80" t="s">
        <v>1849</v>
      </c>
      <c r="I449" s="81">
        <v>45461</v>
      </c>
      <c r="J449" s="81">
        <v>45464</v>
      </c>
      <c r="K449" s="66" t="s">
        <v>41</v>
      </c>
      <c r="L449" s="68">
        <v>0</v>
      </c>
      <c r="M449" s="140">
        <v>5</v>
      </c>
      <c r="N449" s="82">
        <v>51</v>
      </c>
      <c r="O449" s="67">
        <v>51</v>
      </c>
      <c r="P449" s="67">
        <v>0</v>
      </c>
      <c r="Q449" s="67">
        <v>0</v>
      </c>
      <c r="R449" s="67">
        <f t="shared" si="8"/>
        <v>51</v>
      </c>
      <c r="S449" s="66">
        <v>16</v>
      </c>
      <c r="T449" s="63" t="s">
        <v>492</v>
      </c>
    </row>
    <row r="450" spans="1:20" ht="23.25" customHeight="1">
      <c r="A450" s="62" t="s">
        <v>1850</v>
      </c>
      <c r="B450" s="64">
        <v>2024</v>
      </c>
      <c r="C450" s="143" t="s">
        <v>52</v>
      </c>
      <c r="D450" s="64" t="s">
        <v>1740</v>
      </c>
      <c r="E450" s="69" t="s">
        <v>1851</v>
      </c>
      <c r="F450" s="71" t="s">
        <v>33</v>
      </c>
      <c r="G450" s="62" t="s">
        <v>10</v>
      </c>
      <c r="H450" s="78" t="s">
        <v>1852</v>
      </c>
      <c r="I450" s="79">
        <v>45461</v>
      </c>
      <c r="J450" s="79">
        <v>45469</v>
      </c>
      <c r="K450" s="64" t="s">
        <v>45</v>
      </c>
      <c r="L450" s="70">
        <v>17000</v>
      </c>
      <c r="M450" s="139">
        <v>4.7</v>
      </c>
      <c r="N450" s="83">
        <v>25</v>
      </c>
      <c r="O450" s="65">
        <v>52</v>
      </c>
      <c r="P450" s="65">
        <v>0</v>
      </c>
      <c r="Q450" s="65">
        <v>0</v>
      </c>
      <c r="R450" s="65">
        <f t="shared" si="8"/>
        <v>52</v>
      </c>
      <c r="S450" s="64">
        <v>16</v>
      </c>
      <c r="T450" s="62" t="s">
        <v>1743</v>
      </c>
    </row>
    <row r="451" spans="1:20" ht="23.25" customHeight="1">
      <c r="A451" s="63" t="s">
        <v>1853</v>
      </c>
      <c r="B451" s="66">
        <v>2024</v>
      </c>
      <c r="C451" s="143" t="s">
        <v>52</v>
      </c>
      <c r="D451" s="66" t="s">
        <v>1770</v>
      </c>
      <c r="E451" s="72" t="s">
        <v>1854</v>
      </c>
      <c r="F451" s="73" t="s">
        <v>33</v>
      </c>
      <c r="G451" s="63" t="s">
        <v>29</v>
      </c>
      <c r="H451" s="80" t="s">
        <v>1855</v>
      </c>
      <c r="I451" s="81">
        <v>45464</v>
      </c>
      <c r="J451" s="81">
        <v>45464</v>
      </c>
      <c r="K451" s="66" t="s">
        <v>45</v>
      </c>
      <c r="L451" s="68">
        <f>49600/8</f>
        <v>6200</v>
      </c>
      <c r="M451" s="140">
        <v>4.8</v>
      </c>
      <c r="N451" s="67">
        <v>20</v>
      </c>
      <c r="O451" s="67">
        <v>13</v>
      </c>
      <c r="P451" s="67">
        <v>0</v>
      </c>
      <c r="Q451" s="67">
        <v>0</v>
      </c>
      <c r="R451" s="67">
        <f t="shared" si="8"/>
        <v>13</v>
      </c>
      <c r="S451" s="66">
        <v>4</v>
      </c>
      <c r="T451" s="63" t="s">
        <v>1773</v>
      </c>
    </row>
    <row r="452" spans="1:20" ht="23.25" customHeight="1">
      <c r="A452" s="62" t="s">
        <v>1856</v>
      </c>
      <c r="B452" s="64">
        <v>2024</v>
      </c>
      <c r="C452" s="143" t="s">
        <v>52</v>
      </c>
      <c r="D452" s="64" t="s">
        <v>1857</v>
      </c>
      <c r="E452" s="69" t="s">
        <v>1858</v>
      </c>
      <c r="F452" s="71" t="s">
        <v>33</v>
      </c>
      <c r="G452" s="62" t="s">
        <v>29</v>
      </c>
      <c r="H452" s="78" t="s">
        <v>1859</v>
      </c>
      <c r="I452" s="79">
        <v>45467</v>
      </c>
      <c r="J452" s="79">
        <v>45467</v>
      </c>
      <c r="K452" s="64" t="s">
        <v>41</v>
      </c>
      <c r="L452" s="70">
        <v>2500</v>
      </c>
      <c r="M452" s="139">
        <v>4.8</v>
      </c>
      <c r="N452" s="83">
        <v>170</v>
      </c>
      <c r="O452" s="65">
        <v>90</v>
      </c>
      <c r="P452" s="65">
        <v>0</v>
      </c>
      <c r="Q452" s="65">
        <v>0</v>
      </c>
      <c r="R452" s="65">
        <f t="shared" si="8"/>
        <v>90</v>
      </c>
      <c r="S452" s="64">
        <v>3</v>
      </c>
      <c r="T452" s="62" t="s">
        <v>3474</v>
      </c>
    </row>
    <row r="453" spans="1:20" ht="23.25" customHeight="1">
      <c r="A453" s="63" t="s">
        <v>1860</v>
      </c>
      <c r="B453" s="66">
        <v>2024</v>
      </c>
      <c r="C453" s="143" t="s">
        <v>52</v>
      </c>
      <c r="D453" s="66" t="s">
        <v>1740</v>
      </c>
      <c r="E453" s="72" t="s">
        <v>1861</v>
      </c>
      <c r="F453" s="73" t="s">
        <v>33</v>
      </c>
      <c r="G453" s="63" t="s">
        <v>10</v>
      </c>
      <c r="H453" s="80" t="s">
        <v>1862</v>
      </c>
      <c r="I453" s="81">
        <v>45470</v>
      </c>
      <c r="J453" s="81">
        <v>45470</v>
      </c>
      <c r="K453" s="66" t="s">
        <v>41</v>
      </c>
      <c r="L453" s="68">
        <v>1281.3</v>
      </c>
      <c r="M453" s="140">
        <v>4.7</v>
      </c>
      <c r="N453" s="82">
        <v>20</v>
      </c>
      <c r="O453" s="67">
        <v>11</v>
      </c>
      <c r="P453" s="67">
        <v>0</v>
      </c>
      <c r="Q453" s="67">
        <v>0</v>
      </c>
      <c r="R453" s="67">
        <f t="shared" si="8"/>
        <v>11</v>
      </c>
      <c r="S453" s="66">
        <v>2</v>
      </c>
      <c r="T453" s="63" t="s">
        <v>248</v>
      </c>
    </row>
    <row r="454" spans="1:20" ht="23.25" customHeight="1">
      <c r="A454" s="62" t="s">
        <v>1863</v>
      </c>
      <c r="B454" s="64">
        <v>2024</v>
      </c>
      <c r="C454" s="143" t="s">
        <v>52</v>
      </c>
      <c r="D454" s="64" t="s">
        <v>1847</v>
      </c>
      <c r="E454" s="69" t="s">
        <v>1864</v>
      </c>
      <c r="F454" s="71" t="s">
        <v>33</v>
      </c>
      <c r="G454" s="62" t="s">
        <v>35</v>
      </c>
      <c r="H454" s="78" t="s">
        <v>1865</v>
      </c>
      <c r="I454" s="79">
        <v>45471</v>
      </c>
      <c r="J454" s="79">
        <v>45471</v>
      </c>
      <c r="K454" s="64" t="s">
        <v>41</v>
      </c>
      <c r="L454" s="70">
        <v>1520.37</v>
      </c>
      <c r="M454" s="139">
        <v>5</v>
      </c>
      <c r="N454" s="83">
        <v>51</v>
      </c>
      <c r="O454" s="65">
        <v>50</v>
      </c>
      <c r="P454" s="65">
        <v>0</v>
      </c>
      <c r="Q454" s="65">
        <v>0</v>
      </c>
      <c r="R454" s="65">
        <f t="shared" si="8"/>
        <v>50</v>
      </c>
      <c r="S454" s="64">
        <v>2</v>
      </c>
      <c r="T454" s="100" t="s">
        <v>1866</v>
      </c>
    </row>
    <row r="455" spans="1:20" ht="23.25" customHeight="1">
      <c r="A455" s="63" t="s">
        <v>1867</v>
      </c>
      <c r="B455" s="66">
        <v>2024</v>
      </c>
      <c r="C455" s="143" t="s">
        <v>52</v>
      </c>
      <c r="D455" s="66" t="s">
        <v>1770</v>
      </c>
      <c r="E455" s="72" t="s">
        <v>1868</v>
      </c>
      <c r="F455" s="73" t="s">
        <v>33</v>
      </c>
      <c r="G455" s="63" t="s">
        <v>29</v>
      </c>
      <c r="H455" s="80" t="s">
        <v>1865</v>
      </c>
      <c r="I455" s="81">
        <v>45471</v>
      </c>
      <c r="J455" s="81">
        <v>45471</v>
      </c>
      <c r="K455" s="66" t="s">
        <v>45</v>
      </c>
      <c r="L455" s="68">
        <f>49600/8</f>
        <v>6200</v>
      </c>
      <c r="M455" s="140">
        <v>5</v>
      </c>
      <c r="N455" s="67">
        <v>20</v>
      </c>
      <c r="O455" s="67">
        <v>8</v>
      </c>
      <c r="P455" s="67">
        <v>0</v>
      </c>
      <c r="Q455" s="67">
        <v>0</v>
      </c>
      <c r="R455" s="67">
        <f t="shared" si="8"/>
        <v>8</v>
      </c>
      <c r="S455" s="66">
        <v>4</v>
      </c>
      <c r="T455" s="63" t="s">
        <v>1773</v>
      </c>
    </row>
    <row r="456" spans="1:20" ht="23.25" customHeight="1">
      <c r="A456" s="62" t="s">
        <v>1869</v>
      </c>
      <c r="B456" s="64">
        <v>2024</v>
      </c>
      <c r="C456" s="143" t="s">
        <v>52</v>
      </c>
      <c r="D456" s="64"/>
      <c r="E456" s="69" t="s">
        <v>1870</v>
      </c>
      <c r="F456" s="71" t="s">
        <v>33</v>
      </c>
      <c r="G456" s="62" t="s">
        <v>32</v>
      </c>
      <c r="H456" s="101" t="s">
        <v>1865</v>
      </c>
      <c r="I456" s="79">
        <v>45471</v>
      </c>
      <c r="J456" s="79">
        <v>45471</v>
      </c>
      <c r="K456" s="64"/>
      <c r="L456" s="70"/>
      <c r="M456" s="139"/>
      <c r="N456" s="83"/>
      <c r="O456" s="65">
        <v>0</v>
      </c>
      <c r="P456" s="65">
        <v>0</v>
      </c>
      <c r="Q456" s="65">
        <v>0</v>
      </c>
      <c r="R456" s="65">
        <f>SUM(O456:Q456)</f>
        <v>0</v>
      </c>
      <c r="S456" s="64"/>
      <c r="T456" s="62"/>
    </row>
    <row r="457" spans="1:20" ht="23.25" customHeight="1">
      <c r="A457" s="63" t="s">
        <v>1871</v>
      </c>
      <c r="B457" s="66">
        <v>2024</v>
      </c>
      <c r="C457" s="143" t="s">
        <v>52</v>
      </c>
      <c r="D457" s="66" t="s">
        <v>1872</v>
      </c>
      <c r="E457" s="72" t="s">
        <v>1873</v>
      </c>
      <c r="F457" s="73" t="s">
        <v>33</v>
      </c>
      <c r="G457" s="63" t="s">
        <v>25</v>
      </c>
      <c r="H457" s="80" t="s">
        <v>1874</v>
      </c>
      <c r="I457" s="81">
        <v>45474</v>
      </c>
      <c r="J457" s="81">
        <v>45478</v>
      </c>
      <c r="K457" s="66" t="s">
        <v>41</v>
      </c>
      <c r="L457" s="68">
        <v>12813.06</v>
      </c>
      <c r="M457" s="140">
        <v>4.9000000000000004</v>
      </c>
      <c r="N457" s="82">
        <v>20</v>
      </c>
      <c r="O457" s="67">
        <v>23</v>
      </c>
      <c r="P457" s="67">
        <v>0</v>
      </c>
      <c r="Q457" s="67">
        <v>0</v>
      </c>
      <c r="R457" s="67">
        <f t="shared" ref="R457:R488" si="9">SUM(O457:Q457)</f>
        <v>23</v>
      </c>
      <c r="S457" s="66">
        <v>20</v>
      </c>
      <c r="T457" s="63" t="s">
        <v>1778</v>
      </c>
    </row>
    <row r="458" spans="1:20" ht="23.25" customHeight="1">
      <c r="A458" s="62" t="s">
        <v>1875</v>
      </c>
      <c r="B458" s="64">
        <v>2024</v>
      </c>
      <c r="C458" s="143" t="s">
        <v>52</v>
      </c>
      <c r="D458" s="64" t="s">
        <v>1876</v>
      </c>
      <c r="E458" s="69" t="s">
        <v>1877</v>
      </c>
      <c r="F458" s="71" t="s">
        <v>33</v>
      </c>
      <c r="G458" s="62" t="s">
        <v>35</v>
      </c>
      <c r="H458" s="78" t="s">
        <v>1878</v>
      </c>
      <c r="I458" s="79">
        <v>45474</v>
      </c>
      <c r="J458" s="79">
        <v>45492</v>
      </c>
      <c r="K458" s="64" t="s">
        <v>41</v>
      </c>
      <c r="L458" s="70">
        <v>53208.480000000003</v>
      </c>
      <c r="M458" s="139">
        <v>4.9000000000000004</v>
      </c>
      <c r="N458" s="83">
        <v>23</v>
      </c>
      <c r="O458" s="65">
        <v>23</v>
      </c>
      <c r="P458" s="65">
        <v>0</v>
      </c>
      <c r="Q458" s="65">
        <v>0</v>
      </c>
      <c r="R458" s="65">
        <f t="shared" si="9"/>
        <v>23</v>
      </c>
      <c r="S458" s="64">
        <v>76</v>
      </c>
      <c r="T458" s="62" t="s">
        <v>492</v>
      </c>
    </row>
    <row r="459" spans="1:20" ht="23.25" customHeight="1">
      <c r="A459" s="63" t="s">
        <v>1879</v>
      </c>
      <c r="B459" s="66">
        <v>2024</v>
      </c>
      <c r="C459" s="143" t="s">
        <v>52</v>
      </c>
      <c r="D459" s="66" t="s">
        <v>1880</v>
      </c>
      <c r="E459" s="72" t="s">
        <v>1881</v>
      </c>
      <c r="F459" s="73" t="s">
        <v>44</v>
      </c>
      <c r="G459" s="63" t="s">
        <v>15</v>
      </c>
      <c r="H459" s="80" t="s">
        <v>1882</v>
      </c>
      <c r="I459" s="81">
        <v>45475</v>
      </c>
      <c r="J459" s="81">
        <v>45477</v>
      </c>
      <c r="K459" s="66" t="s">
        <v>41</v>
      </c>
      <c r="L459" s="68">
        <v>9416.2800000000007</v>
      </c>
      <c r="M459" s="140">
        <v>4.5999999999999996</v>
      </c>
      <c r="N459" s="82">
        <v>80</v>
      </c>
      <c r="O459" s="67">
        <v>0</v>
      </c>
      <c r="P459" s="67">
        <v>89</v>
      </c>
      <c r="Q459" s="67">
        <v>0</v>
      </c>
      <c r="R459" s="67">
        <f t="shared" si="9"/>
        <v>89</v>
      </c>
      <c r="S459" s="66">
        <v>12</v>
      </c>
      <c r="T459" s="103" t="s">
        <v>1883</v>
      </c>
    </row>
    <row r="460" spans="1:20" ht="23.25" customHeight="1">
      <c r="A460" s="62" t="s">
        <v>1884</v>
      </c>
      <c r="B460" s="64">
        <v>2024</v>
      </c>
      <c r="C460" s="143" t="s">
        <v>52</v>
      </c>
      <c r="D460" s="64" t="s">
        <v>1885</v>
      </c>
      <c r="E460" s="69" t="s">
        <v>1886</v>
      </c>
      <c r="F460" s="71" t="s">
        <v>33</v>
      </c>
      <c r="G460" s="62" t="s">
        <v>13</v>
      </c>
      <c r="H460" s="78" t="s">
        <v>1887</v>
      </c>
      <c r="I460" s="79">
        <v>45476</v>
      </c>
      <c r="J460" s="79">
        <v>45476</v>
      </c>
      <c r="K460" s="64" t="s">
        <v>45</v>
      </c>
      <c r="L460" s="70">
        <v>23750</v>
      </c>
      <c r="M460" s="139">
        <v>4.8</v>
      </c>
      <c r="N460" s="83">
        <v>40</v>
      </c>
      <c r="O460" s="65">
        <v>22</v>
      </c>
      <c r="P460" s="65">
        <v>0</v>
      </c>
      <c r="Q460" s="65">
        <v>0</v>
      </c>
      <c r="R460" s="65">
        <f t="shared" si="9"/>
        <v>22</v>
      </c>
      <c r="S460" s="64">
        <v>19</v>
      </c>
      <c r="T460" s="62" t="s">
        <v>762</v>
      </c>
    </row>
    <row r="461" spans="1:20" ht="23.25" customHeight="1">
      <c r="A461" s="63" t="s">
        <v>1888</v>
      </c>
      <c r="B461" s="66">
        <v>2024</v>
      </c>
      <c r="C461" s="143" t="s">
        <v>52</v>
      </c>
      <c r="D461" s="66" t="s">
        <v>1770</v>
      </c>
      <c r="E461" s="72" t="s">
        <v>1889</v>
      </c>
      <c r="F461" s="73" t="s">
        <v>33</v>
      </c>
      <c r="G461" s="63" t="s">
        <v>29</v>
      </c>
      <c r="H461" s="104" t="s">
        <v>1890</v>
      </c>
      <c r="I461" s="81">
        <v>45478</v>
      </c>
      <c r="J461" s="81">
        <v>45478</v>
      </c>
      <c r="K461" s="66" t="s">
        <v>45</v>
      </c>
      <c r="L461" s="68">
        <f>49600/8</f>
        <v>6200</v>
      </c>
      <c r="M461" s="140">
        <v>5</v>
      </c>
      <c r="N461" s="82">
        <v>20</v>
      </c>
      <c r="O461" s="67">
        <v>11</v>
      </c>
      <c r="P461" s="67">
        <v>0</v>
      </c>
      <c r="Q461" s="67">
        <v>0</v>
      </c>
      <c r="R461" s="67">
        <f t="shared" si="9"/>
        <v>11</v>
      </c>
      <c r="S461" s="66">
        <v>4</v>
      </c>
      <c r="T461" s="63" t="s">
        <v>1773</v>
      </c>
    </row>
    <row r="462" spans="1:20" ht="23.25" customHeight="1">
      <c r="A462" s="62" t="s">
        <v>1891</v>
      </c>
      <c r="B462" s="64">
        <v>2024</v>
      </c>
      <c r="C462" s="143" t="s">
        <v>52</v>
      </c>
      <c r="D462" s="64" t="s">
        <v>1892</v>
      </c>
      <c r="E462" s="69" t="s">
        <v>1893</v>
      </c>
      <c r="F462" s="71" t="s">
        <v>33</v>
      </c>
      <c r="G462" s="62" t="s">
        <v>25</v>
      </c>
      <c r="H462" s="105" t="s">
        <v>1894</v>
      </c>
      <c r="I462" s="79">
        <v>45495</v>
      </c>
      <c r="J462" s="79">
        <v>45498</v>
      </c>
      <c r="K462" s="64" t="s">
        <v>41</v>
      </c>
      <c r="L462" s="70">
        <v>6800.66</v>
      </c>
      <c r="M462" s="139">
        <v>4.9000000000000004</v>
      </c>
      <c r="N462" s="83">
        <v>20</v>
      </c>
      <c r="O462" s="65">
        <v>21</v>
      </c>
      <c r="P462" s="65">
        <v>0</v>
      </c>
      <c r="Q462" s="65">
        <v>0</v>
      </c>
      <c r="R462" s="65">
        <f t="shared" si="9"/>
        <v>21</v>
      </c>
      <c r="S462" s="64">
        <v>12</v>
      </c>
      <c r="T462" s="62" t="s">
        <v>1895</v>
      </c>
    </row>
    <row r="463" spans="1:20" ht="23.25" customHeight="1">
      <c r="A463" s="63" t="s">
        <v>1896</v>
      </c>
      <c r="B463" s="66">
        <v>2024</v>
      </c>
      <c r="C463" s="143" t="s">
        <v>52</v>
      </c>
      <c r="D463" s="66" t="s">
        <v>1897</v>
      </c>
      <c r="E463" s="72" t="s">
        <v>1898</v>
      </c>
      <c r="F463" s="73" t="s">
        <v>33</v>
      </c>
      <c r="G463" s="63" t="s">
        <v>10</v>
      </c>
      <c r="H463" s="80" t="s">
        <v>1899</v>
      </c>
      <c r="I463" s="81">
        <v>45497</v>
      </c>
      <c r="J463" s="81">
        <v>45501</v>
      </c>
      <c r="K463" s="66" t="s">
        <v>41</v>
      </c>
      <c r="L463" s="68">
        <v>10250.44</v>
      </c>
      <c r="M463" s="140">
        <v>4.8</v>
      </c>
      <c r="N463" s="82">
        <v>51</v>
      </c>
      <c r="O463" s="67">
        <v>51</v>
      </c>
      <c r="P463" s="67">
        <v>0</v>
      </c>
      <c r="Q463" s="67">
        <v>0</v>
      </c>
      <c r="R463" s="67">
        <f t="shared" si="9"/>
        <v>51</v>
      </c>
      <c r="S463" s="66">
        <v>16</v>
      </c>
      <c r="T463" s="103" t="s">
        <v>569</v>
      </c>
    </row>
    <row r="464" spans="1:20" ht="23.25" customHeight="1">
      <c r="A464" s="62" t="s">
        <v>1900</v>
      </c>
      <c r="B464" s="64">
        <v>2024</v>
      </c>
      <c r="C464" s="143" t="s">
        <v>52</v>
      </c>
      <c r="D464" s="64" t="s">
        <v>1770</v>
      </c>
      <c r="E464" s="69" t="s">
        <v>1901</v>
      </c>
      <c r="F464" s="71" t="s">
        <v>33</v>
      </c>
      <c r="G464" s="62" t="s">
        <v>29</v>
      </c>
      <c r="H464" s="78" t="s">
        <v>1902</v>
      </c>
      <c r="I464" s="79">
        <v>45499</v>
      </c>
      <c r="J464" s="79">
        <v>45499</v>
      </c>
      <c r="K464" s="64" t="s">
        <v>45</v>
      </c>
      <c r="L464" s="70">
        <f>49600/8</f>
        <v>6200</v>
      </c>
      <c r="M464" s="139">
        <v>5</v>
      </c>
      <c r="N464" s="83">
        <v>20</v>
      </c>
      <c r="O464" s="65">
        <v>7</v>
      </c>
      <c r="P464" s="65">
        <v>0</v>
      </c>
      <c r="Q464" s="65">
        <v>0</v>
      </c>
      <c r="R464" s="65">
        <f t="shared" si="9"/>
        <v>7</v>
      </c>
      <c r="S464" s="64">
        <v>4</v>
      </c>
      <c r="T464" s="62" t="s">
        <v>1773</v>
      </c>
    </row>
    <row r="465" spans="1:20" ht="23.25" customHeight="1">
      <c r="A465" s="63" t="s">
        <v>1903</v>
      </c>
      <c r="B465" s="66">
        <v>2024</v>
      </c>
      <c r="C465" s="143" t="s">
        <v>52</v>
      </c>
      <c r="D465" s="66" t="s">
        <v>1904</v>
      </c>
      <c r="E465" s="72" t="s">
        <v>1905</v>
      </c>
      <c r="F465" s="73" t="s">
        <v>33</v>
      </c>
      <c r="G465" s="63" t="s">
        <v>10</v>
      </c>
      <c r="H465" s="80" t="s">
        <v>1906</v>
      </c>
      <c r="I465" s="81">
        <v>45502</v>
      </c>
      <c r="J465" s="81">
        <v>45506</v>
      </c>
      <c r="K465" s="66" t="s">
        <v>41</v>
      </c>
      <c r="L465" s="68">
        <v>9416.4599999999991</v>
      </c>
      <c r="M465" s="140">
        <v>4.9000000000000004</v>
      </c>
      <c r="N465" s="82">
        <v>20</v>
      </c>
      <c r="O465" s="67">
        <v>22</v>
      </c>
      <c r="P465" s="67">
        <v>0</v>
      </c>
      <c r="Q465" s="67">
        <v>0</v>
      </c>
      <c r="R465" s="67">
        <f t="shared" si="9"/>
        <v>22</v>
      </c>
      <c r="S465" s="66">
        <v>12</v>
      </c>
      <c r="T465" s="63" t="s">
        <v>1907</v>
      </c>
    </row>
    <row r="466" spans="1:20" ht="23.25" customHeight="1">
      <c r="A466" s="62" t="s">
        <v>1908</v>
      </c>
      <c r="B466" s="64">
        <v>2024</v>
      </c>
      <c r="C466" s="143" t="s">
        <v>52</v>
      </c>
      <c r="D466" s="64" t="s">
        <v>1909</v>
      </c>
      <c r="E466" s="69" t="s">
        <v>1910</v>
      </c>
      <c r="F466" s="71" t="s">
        <v>48</v>
      </c>
      <c r="G466" s="62" t="s">
        <v>13</v>
      </c>
      <c r="H466" s="78" t="s">
        <v>1911</v>
      </c>
      <c r="I466" s="79">
        <v>45502</v>
      </c>
      <c r="J466" s="79">
        <v>45504</v>
      </c>
      <c r="K466" s="64" t="s">
        <v>49</v>
      </c>
      <c r="L466" s="70">
        <v>0</v>
      </c>
      <c r="M466" s="139">
        <v>4.9000000000000004</v>
      </c>
      <c r="N466" s="83">
        <v>170</v>
      </c>
      <c r="O466" s="65">
        <v>23</v>
      </c>
      <c r="P466" s="65">
        <v>34</v>
      </c>
      <c r="Q466" s="65">
        <v>156</v>
      </c>
      <c r="R466" s="65">
        <f t="shared" si="9"/>
        <v>213</v>
      </c>
      <c r="S466" s="64">
        <v>24</v>
      </c>
      <c r="T466" s="62" t="s">
        <v>492</v>
      </c>
    </row>
    <row r="467" spans="1:20" ht="23.25" customHeight="1">
      <c r="A467" s="63" t="s">
        <v>1912</v>
      </c>
      <c r="B467" s="66">
        <v>2024</v>
      </c>
      <c r="C467" s="143" t="s">
        <v>52</v>
      </c>
      <c r="D467" s="66" t="s">
        <v>1909</v>
      </c>
      <c r="E467" s="72" t="s">
        <v>1913</v>
      </c>
      <c r="F467" s="136" t="s">
        <v>33</v>
      </c>
      <c r="G467" s="63" t="s">
        <v>13</v>
      </c>
      <c r="H467" s="80" t="s">
        <v>1914</v>
      </c>
      <c r="I467" s="81">
        <v>45504</v>
      </c>
      <c r="J467" s="81">
        <v>45505</v>
      </c>
      <c r="K467" s="66" t="s">
        <v>45</v>
      </c>
      <c r="L467" s="68">
        <v>0</v>
      </c>
      <c r="M467" s="140">
        <v>4.9000000000000004</v>
      </c>
      <c r="N467" s="82">
        <v>80</v>
      </c>
      <c r="O467" s="67">
        <v>22</v>
      </c>
      <c r="P467" s="67">
        <v>0</v>
      </c>
      <c r="Q467" s="67">
        <v>70</v>
      </c>
      <c r="R467" s="67">
        <f t="shared" si="9"/>
        <v>92</v>
      </c>
      <c r="S467" s="66">
        <v>8</v>
      </c>
      <c r="T467" s="63" t="s">
        <v>492</v>
      </c>
    </row>
    <row r="468" spans="1:20" ht="23.25" customHeight="1">
      <c r="A468" s="62" t="s">
        <v>1915</v>
      </c>
      <c r="B468" s="64">
        <v>2024</v>
      </c>
      <c r="C468" s="143" t="s">
        <v>52</v>
      </c>
      <c r="D468" s="64" t="s">
        <v>1916</v>
      </c>
      <c r="E468" s="69" t="s">
        <v>1917</v>
      </c>
      <c r="F468" s="71" t="s">
        <v>33</v>
      </c>
      <c r="G468" s="62" t="s">
        <v>25</v>
      </c>
      <c r="H468" s="78" t="s">
        <v>1918</v>
      </c>
      <c r="I468" s="79">
        <v>45510</v>
      </c>
      <c r="J468" s="79">
        <v>45512</v>
      </c>
      <c r="K468" s="64" t="s">
        <v>41</v>
      </c>
      <c r="L468" s="70">
        <v>2043.6</v>
      </c>
      <c r="M468" s="139">
        <v>4.7</v>
      </c>
      <c r="N468" s="83">
        <v>20</v>
      </c>
      <c r="O468" s="65">
        <v>18</v>
      </c>
      <c r="P468" s="65">
        <v>0</v>
      </c>
      <c r="Q468" s="65">
        <v>0</v>
      </c>
      <c r="R468" s="65">
        <f t="shared" si="9"/>
        <v>18</v>
      </c>
      <c r="S468" s="64">
        <v>4</v>
      </c>
      <c r="T468" s="62" t="s">
        <v>1919</v>
      </c>
    </row>
    <row r="469" spans="1:20" ht="23.25" customHeight="1">
      <c r="A469" s="63" t="s">
        <v>1920</v>
      </c>
      <c r="B469" s="66">
        <v>2024</v>
      </c>
      <c r="C469" s="143" t="s">
        <v>52</v>
      </c>
      <c r="D469" s="66" t="s">
        <v>1770</v>
      </c>
      <c r="E469" s="72" t="s">
        <v>1921</v>
      </c>
      <c r="F469" s="73" t="s">
        <v>33</v>
      </c>
      <c r="G469" s="63" t="s">
        <v>29</v>
      </c>
      <c r="H469" s="80" t="s">
        <v>1922</v>
      </c>
      <c r="I469" s="81">
        <v>45513</v>
      </c>
      <c r="J469" s="81">
        <v>45513</v>
      </c>
      <c r="K469" s="66" t="s">
        <v>45</v>
      </c>
      <c r="L469" s="68">
        <f>49600/8</f>
        <v>6200</v>
      </c>
      <c r="M469" s="140">
        <v>4.8</v>
      </c>
      <c r="N469" s="82">
        <v>20</v>
      </c>
      <c r="O469" s="67">
        <v>8</v>
      </c>
      <c r="P469" s="67">
        <v>0</v>
      </c>
      <c r="Q469" s="67">
        <v>0</v>
      </c>
      <c r="R469" s="67">
        <f t="shared" si="9"/>
        <v>8</v>
      </c>
      <c r="S469" s="66">
        <v>4</v>
      </c>
      <c r="T469" s="63" t="s">
        <v>1773</v>
      </c>
    </row>
    <row r="470" spans="1:20" ht="23.25" customHeight="1">
      <c r="A470" s="62" t="s">
        <v>1923</v>
      </c>
      <c r="B470" s="64">
        <v>2024</v>
      </c>
      <c r="C470" s="143" t="s">
        <v>52</v>
      </c>
      <c r="D470" s="64" t="s">
        <v>1770</v>
      </c>
      <c r="E470" s="69" t="s">
        <v>1924</v>
      </c>
      <c r="F470" s="71" t="s">
        <v>33</v>
      </c>
      <c r="G470" s="62" t="s">
        <v>29</v>
      </c>
      <c r="H470" s="78" t="s">
        <v>1925</v>
      </c>
      <c r="I470" s="79">
        <v>45513</v>
      </c>
      <c r="J470" s="79">
        <v>45513</v>
      </c>
      <c r="K470" s="64" t="s">
        <v>45</v>
      </c>
      <c r="L470" s="70">
        <f>49600/8</f>
        <v>6200</v>
      </c>
      <c r="M470" s="139">
        <v>4.8</v>
      </c>
      <c r="N470" s="83">
        <v>20</v>
      </c>
      <c r="O470" s="65">
        <v>8</v>
      </c>
      <c r="P470" s="65">
        <v>0</v>
      </c>
      <c r="Q470" s="65">
        <v>0</v>
      </c>
      <c r="R470" s="65">
        <f t="shared" si="9"/>
        <v>8</v>
      </c>
      <c r="S470" s="64">
        <v>4</v>
      </c>
      <c r="T470" s="62" t="s">
        <v>1773</v>
      </c>
    </row>
    <row r="471" spans="1:20" ht="23.25" customHeight="1">
      <c r="A471" s="63" t="s">
        <v>1927</v>
      </c>
      <c r="B471" s="66">
        <v>2024</v>
      </c>
      <c r="C471" s="143" t="s">
        <v>52</v>
      </c>
      <c r="D471" s="66" t="s">
        <v>1928</v>
      </c>
      <c r="E471" s="72" t="s">
        <v>1929</v>
      </c>
      <c r="F471" s="73" t="s">
        <v>44</v>
      </c>
      <c r="G471" s="63" t="s">
        <v>15</v>
      </c>
      <c r="H471" s="80" t="s">
        <v>1930</v>
      </c>
      <c r="I471" s="81">
        <v>45519</v>
      </c>
      <c r="J471" s="81">
        <v>45520</v>
      </c>
      <c r="K471" s="66" t="s">
        <v>41</v>
      </c>
      <c r="L471" s="68">
        <f>566.73+2864.85</f>
        <v>3431.58</v>
      </c>
      <c r="M471" s="140">
        <v>4.9000000000000004</v>
      </c>
      <c r="N471" s="82">
        <v>400</v>
      </c>
      <c r="O471" s="67">
        <v>116</v>
      </c>
      <c r="P471" s="67">
        <v>268</v>
      </c>
      <c r="Q471" s="67">
        <v>0</v>
      </c>
      <c r="R471" s="67">
        <f t="shared" si="9"/>
        <v>384</v>
      </c>
      <c r="S471" s="66">
        <v>8</v>
      </c>
      <c r="T471" s="63" t="s">
        <v>492</v>
      </c>
    </row>
    <row r="472" spans="1:20" ht="23.25" customHeight="1">
      <c r="A472" s="62" t="s">
        <v>1931</v>
      </c>
      <c r="B472" s="64">
        <v>2024</v>
      </c>
      <c r="C472" s="143" t="s">
        <v>52</v>
      </c>
      <c r="D472" s="64" t="s">
        <v>1932</v>
      </c>
      <c r="E472" s="69" t="s">
        <v>1933</v>
      </c>
      <c r="F472" s="71" t="s">
        <v>44</v>
      </c>
      <c r="G472" s="62" t="s">
        <v>15</v>
      </c>
      <c r="H472" s="78" t="s">
        <v>1934</v>
      </c>
      <c r="I472" s="79">
        <v>45523</v>
      </c>
      <c r="J472" s="79">
        <v>45525</v>
      </c>
      <c r="K472" s="64" t="s">
        <v>41</v>
      </c>
      <c r="L472" s="70">
        <v>9211.69</v>
      </c>
      <c r="M472" s="139">
        <v>4.8</v>
      </c>
      <c r="N472" s="83">
        <v>30</v>
      </c>
      <c r="O472" s="65">
        <v>0</v>
      </c>
      <c r="P472" s="65">
        <v>24</v>
      </c>
      <c r="Q472" s="65">
        <v>0</v>
      </c>
      <c r="R472" s="65">
        <f t="shared" si="9"/>
        <v>24</v>
      </c>
      <c r="S472" s="64">
        <v>12</v>
      </c>
      <c r="T472" s="62" t="s">
        <v>1935</v>
      </c>
    </row>
    <row r="473" spans="1:20" ht="23.25" customHeight="1">
      <c r="A473" s="63" t="s">
        <v>1936</v>
      </c>
      <c r="B473" s="66">
        <v>2024</v>
      </c>
      <c r="C473" s="143" t="s">
        <v>52</v>
      </c>
      <c r="D473" s="66" t="s">
        <v>1937</v>
      </c>
      <c r="E473" s="72" t="s">
        <v>1938</v>
      </c>
      <c r="F473" s="73" t="s">
        <v>44</v>
      </c>
      <c r="G473" s="63" t="s">
        <v>15</v>
      </c>
      <c r="H473" s="80" t="s">
        <v>1939</v>
      </c>
      <c r="I473" s="81">
        <v>45524</v>
      </c>
      <c r="J473" s="81">
        <v>45534</v>
      </c>
      <c r="K473" s="66" t="s">
        <v>49</v>
      </c>
      <c r="L473" s="68">
        <v>18349.060000000001</v>
      </c>
      <c r="M473" s="140">
        <v>4.8</v>
      </c>
      <c r="N473" s="82">
        <v>30</v>
      </c>
      <c r="O473" s="67">
        <v>23</v>
      </c>
      <c r="P473" s="67">
        <v>12</v>
      </c>
      <c r="Q473" s="67">
        <v>0</v>
      </c>
      <c r="R473" s="67">
        <f t="shared" si="9"/>
        <v>35</v>
      </c>
      <c r="S473" s="66">
        <v>20</v>
      </c>
      <c r="T473" s="63" t="s">
        <v>3532</v>
      </c>
    </row>
    <row r="474" spans="1:20" ht="23.25" customHeight="1">
      <c r="A474" s="62" t="s">
        <v>1940</v>
      </c>
      <c r="B474" s="64">
        <v>2024</v>
      </c>
      <c r="C474" s="143" t="s">
        <v>52</v>
      </c>
      <c r="D474" s="64" t="s">
        <v>1941</v>
      </c>
      <c r="E474" s="69" t="s">
        <v>1942</v>
      </c>
      <c r="F474" s="71" t="s">
        <v>44</v>
      </c>
      <c r="G474" s="62" t="s">
        <v>15</v>
      </c>
      <c r="H474" s="78" t="s">
        <v>1943</v>
      </c>
      <c r="I474" s="79">
        <v>45524</v>
      </c>
      <c r="J474" s="79">
        <v>45524</v>
      </c>
      <c r="K474" s="64" t="s">
        <v>41</v>
      </c>
      <c r="L474" s="70">
        <v>2266.94</v>
      </c>
      <c r="M474" s="139">
        <v>5</v>
      </c>
      <c r="N474" s="83">
        <v>80</v>
      </c>
      <c r="O474" s="65">
        <v>0</v>
      </c>
      <c r="P474" s="65">
        <v>53</v>
      </c>
      <c r="Q474" s="65">
        <v>0</v>
      </c>
      <c r="R474" s="65">
        <f t="shared" si="9"/>
        <v>53</v>
      </c>
      <c r="S474" s="64">
        <v>4</v>
      </c>
      <c r="T474" s="62" t="s">
        <v>1944</v>
      </c>
    </row>
    <row r="475" spans="1:20" ht="23.25" customHeight="1">
      <c r="A475" s="63" t="s">
        <v>1945</v>
      </c>
      <c r="B475" s="66">
        <v>2024</v>
      </c>
      <c r="C475" s="143" t="s">
        <v>52</v>
      </c>
      <c r="D475" s="66" t="s">
        <v>1946</v>
      </c>
      <c r="E475" s="72" t="s">
        <v>1947</v>
      </c>
      <c r="F475" s="73" t="s">
        <v>33</v>
      </c>
      <c r="G475" s="63" t="s">
        <v>25</v>
      </c>
      <c r="H475" s="80" t="s">
        <v>1948</v>
      </c>
      <c r="I475" s="81">
        <v>45524</v>
      </c>
      <c r="J475" s="81">
        <v>45525</v>
      </c>
      <c r="K475" s="66" t="s">
        <v>41</v>
      </c>
      <c r="L475" s="68">
        <v>2349.29</v>
      </c>
      <c r="M475" s="140">
        <v>4.7</v>
      </c>
      <c r="N475" s="82">
        <v>20</v>
      </c>
      <c r="O475" s="67">
        <v>12</v>
      </c>
      <c r="P475" s="67">
        <v>0</v>
      </c>
      <c r="Q475" s="67">
        <v>0</v>
      </c>
      <c r="R475" s="67">
        <f t="shared" si="9"/>
        <v>12</v>
      </c>
      <c r="S475" s="66">
        <v>8</v>
      </c>
      <c r="T475" s="63" t="s">
        <v>1949</v>
      </c>
    </row>
    <row r="476" spans="1:20" ht="23.25" customHeight="1">
      <c r="A476" s="62" t="s">
        <v>1950</v>
      </c>
      <c r="B476" s="64">
        <v>2024</v>
      </c>
      <c r="C476" s="143" t="s">
        <v>52</v>
      </c>
      <c r="D476" s="64" t="s">
        <v>1951</v>
      </c>
      <c r="E476" s="69" t="s">
        <v>1952</v>
      </c>
      <c r="F476" s="71" t="s">
        <v>44</v>
      </c>
      <c r="G476" s="62" t="s">
        <v>15</v>
      </c>
      <c r="H476" s="78" t="s">
        <v>1953</v>
      </c>
      <c r="I476" s="79">
        <v>45525</v>
      </c>
      <c r="J476" s="79">
        <v>45525</v>
      </c>
      <c r="K476" s="64" t="s">
        <v>41</v>
      </c>
      <c r="L476" s="70">
        <v>1830.98</v>
      </c>
      <c r="M476" s="139">
        <v>4.5999999999999996</v>
      </c>
      <c r="N476" s="83">
        <v>80</v>
      </c>
      <c r="O476" s="65">
        <v>0</v>
      </c>
      <c r="P476" s="65">
        <v>60</v>
      </c>
      <c r="Q476" s="65">
        <v>0</v>
      </c>
      <c r="R476" s="65">
        <f t="shared" si="9"/>
        <v>60</v>
      </c>
      <c r="S476" s="64">
        <v>4</v>
      </c>
      <c r="T476" s="62" t="s">
        <v>1954</v>
      </c>
    </row>
    <row r="477" spans="1:20" ht="23.25" customHeight="1">
      <c r="A477" s="63" t="s">
        <v>1955</v>
      </c>
      <c r="B477" s="66">
        <v>2024</v>
      </c>
      <c r="C477" s="143" t="s">
        <v>52</v>
      </c>
      <c r="D477" s="66" t="s">
        <v>1956</v>
      </c>
      <c r="E477" s="72" t="s">
        <v>1957</v>
      </c>
      <c r="F477" s="73" t="s">
        <v>44</v>
      </c>
      <c r="G477" s="63" t="s">
        <v>15</v>
      </c>
      <c r="H477" s="80" t="s">
        <v>1958</v>
      </c>
      <c r="I477" s="81">
        <v>45526</v>
      </c>
      <c r="J477" s="81">
        <v>45526</v>
      </c>
      <c r="K477" s="66" t="s">
        <v>41</v>
      </c>
      <c r="L477" s="68">
        <v>2266.94</v>
      </c>
      <c r="M477" s="140">
        <v>4.7</v>
      </c>
      <c r="N477" s="82">
        <v>20</v>
      </c>
      <c r="O477" s="67">
        <v>0</v>
      </c>
      <c r="P477" s="67">
        <v>14</v>
      </c>
      <c r="Q477" s="67">
        <v>0</v>
      </c>
      <c r="R477" s="67">
        <f t="shared" si="9"/>
        <v>14</v>
      </c>
      <c r="S477" s="66">
        <v>4</v>
      </c>
      <c r="T477" s="63" t="s">
        <v>1064</v>
      </c>
    </row>
    <row r="478" spans="1:20" ht="23.25" customHeight="1">
      <c r="A478" s="62" t="s">
        <v>1959</v>
      </c>
      <c r="B478" s="64">
        <v>2024</v>
      </c>
      <c r="C478" s="143" t="s">
        <v>52</v>
      </c>
      <c r="D478" s="64" t="s">
        <v>1960</v>
      </c>
      <c r="E478" s="69" t="s">
        <v>1961</v>
      </c>
      <c r="F478" s="71" t="s">
        <v>33</v>
      </c>
      <c r="G478" s="62" t="s">
        <v>10</v>
      </c>
      <c r="H478" s="78" t="s">
        <v>1962</v>
      </c>
      <c r="I478" s="79">
        <v>45530</v>
      </c>
      <c r="J478" s="79">
        <v>45533</v>
      </c>
      <c r="K478" s="64" t="s">
        <v>41</v>
      </c>
      <c r="L478" s="70">
        <v>9416.4599999999991</v>
      </c>
      <c r="M478" s="139">
        <v>4.8</v>
      </c>
      <c r="N478" s="83">
        <v>20</v>
      </c>
      <c r="O478" s="65">
        <v>20</v>
      </c>
      <c r="P478" s="65">
        <v>0</v>
      </c>
      <c r="Q478" s="65">
        <v>0</v>
      </c>
      <c r="R478" s="65">
        <f t="shared" si="9"/>
        <v>20</v>
      </c>
      <c r="S478" s="64">
        <v>12</v>
      </c>
      <c r="T478" s="62" t="s">
        <v>1907</v>
      </c>
    </row>
    <row r="479" spans="1:20" ht="23.25" customHeight="1">
      <c r="A479" s="63" t="s">
        <v>1963</v>
      </c>
      <c r="B479" s="66">
        <v>2024</v>
      </c>
      <c r="C479" s="143" t="s">
        <v>52</v>
      </c>
      <c r="D479" s="66" t="s">
        <v>1964</v>
      </c>
      <c r="E479" s="72" t="s">
        <v>1965</v>
      </c>
      <c r="F479" s="73" t="s">
        <v>48</v>
      </c>
      <c r="G479" s="63" t="s">
        <v>15</v>
      </c>
      <c r="H479" s="80" t="s">
        <v>1966</v>
      </c>
      <c r="I479" s="81">
        <v>45530</v>
      </c>
      <c r="J479" s="81">
        <v>45534</v>
      </c>
      <c r="K479" s="66" t="s">
        <v>41</v>
      </c>
      <c r="L479" s="68">
        <v>10181.9</v>
      </c>
      <c r="M479" s="140">
        <v>4.8</v>
      </c>
      <c r="N479" s="82">
        <v>30</v>
      </c>
      <c r="O479" s="67">
        <v>0</v>
      </c>
      <c r="P479" s="67">
        <v>0</v>
      </c>
      <c r="Q479" s="67">
        <v>56</v>
      </c>
      <c r="R479" s="67">
        <f t="shared" si="9"/>
        <v>56</v>
      </c>
      <c r="S479" s="66">
        <v>20</v>
      </c>
      <c r="T479" s="63" t="s">
        <v>3537</v>
      </c>
    </row>
    <row r="480" spans="1:20" ht="23.25" customHeight="1">
      <c r="A480" s="62" t="s">
        <v>1967</v>
      </c>
      <c r="B480" s="64">
        <v>2024</v>
      </c>
      <c r="C480" s="143" t="s">
        <v>52</v>
      </c>
      <c r="D480" s="64" t="s">
        <v>1968</v>
      </c>
      <c r="E480" s="69" t="s">
        <v>1969</v>
      </c>
      <c r="F480" s="71" t="s">
        <v>44</v>
      </c>
      <c r="G480" s="62" t="s">
        <v>15</v>
      </c>
      <c r="H480" s="78" t="s">
        <v>1970</v>
      </c>
      <c r="I480" s="79">
        <v>45537</v>
      </c>
      <c r="J480" s="79">
        <v>45539</v>
      </c>
      <c r="K480" s="64" t="s">
        <v>41</v>
      </c>
      <c r="L480" s="70">
        <v>6800.82</v>
      </c>
      <c r="M480" s="139">
        <v>4.7</v>
      </c>
      <c r="N480" s="83">
        <v>40</v>
      </c>
      <c r="O480" s="65">
        <v>0</v>
      </c>
      <c r="P480" s="65">
        <v>38</v>
      </c>
      <c r="Q480" s="65">
        <v>0</v>
      </c>
      <c r="R480" s="65">
        <f t="shared" si="9"/>
        <v>38</v>
      </c>
      <c r="S480" s="64">
        <v>12</v>
      </c>
      <c r="T480" s="62" t="s">
        <v>1064</v>
      </c>
    </row>
    <row r="481" spans="1:20" ht="23.25" customHeight="1">
      <c r="A481" s="63" t="s">
        <v>1971</v>
      </c>
      <c r="B481" s="66">
        <v>2024</v>
      </c>
      <c r="C481" s="143" t="s">
        <v>52</v>
      </c>
      <c r="D481" s="66" t="s">
        <v>1775</v>
      </c>
      <c r="E481" s="72" t="s">
        <v>1972</v>
      </c>
      <c r="F481" s="73" t="s">
        <v>33</v>
      </c>
      <c r="G481" s="63" t="s">
        <v>25</v>
      </c>
      <c r="H481" s="80" t="s">
        <v>1973</v>
      </c>
      <c r="I481" s="81">
        <v>45537</v>
      </c>
      <c r="J481" s="81">
        <v>45540</v>
      </c>
      <c r="K481" s="66" t="s">
        <v>41</v>
      </c>
      <c r="L481" s="68">
        <v>12221.66</v>
      </c>
      <c r="M481" s="140">
        <v>4.9000000000000004</v>
      </c>
      <c r="N481" s="82">
        <v>20</v>
      </c>
      <c r="O481" s="67">
        <v>13</v>
      </c>
      <c r="P481" s="67">
        <v>0</v>
      </c>
      <c r="Q481" s="67">
        <v>0</v>
      </c>
      <c r="R481" s="67">
        <f t="shared" si="9"/>
        <v>13</v>
      </c>
      <c r="S481" s="66">
        <v>16</v>
      </c>
      <c r="T481" s="63" t="s">
        <v>3496</v>
      </c>
    </row>
    <row r="482" spans="1:20" ht="23.25" customHeight="1">
      <c r="A482" s="62" t="s">
        <v>1974</v>
      </c>
      <c r="B482" s="64">
        <v>2024</v>
      </c>
      <c r="C482" s="143" t="s">
        <v>52</v>
      </c>
      <c r="D482" s="64" t="s">
        <v>1975</v>
      </c>
      <c r="E482" s="69" t="s">
        <v>1976</v>
      </c>
      <c r="F482" s="71" t="s">
        <v>33</v>
      </c>
      <c r="G482" s="62" t="s">
        <v>25</v>
      </c>
      <c r="H482" s="78" t="s">
        <v>1977</v>
      </c>
      <c r="I482" s="79">
        <v>45545</v>
      </c>
      <c r="J482" s="79">
        <v>45547</v>
      </c>
      <c r="K482" s="64" t="s">
        <v>45</v>
      </c>
      <c r="L482" s="70">
        <v>18534.060000000001</v>
      </c>
      <c r="M482" s="139">
        <v>4.8</v>
      </c>
      <c r="N482" s="83">
        <v>20</v>
      </c>
      <c r="O482" s="65">
        <v>24</v>
      </c>
      <c r="P482" s="65">
        <v>0</v>
      </c>
      <c r="Q482" s="65">
        <v>0</v>
      </c>
      <c r="R482" s="65">
        <f t="shared" si="9"/>
        <v>24</v>
      </c>
      <c r="S482" s="64">
        <v>18</v>
      </c>
      <c r="T482" s="62" t="s">
        <v>1314</v>
      </c>
    </row>
    <row r="483" spans="1:20" ht="23.25" customHeight="1">
      <c r="A483" s="63" t="s">
        <v>1978</v>
      </c>
      <c r="B483" s="66">
        <v>2024</v>
      </c>
      <c r="C483" s="143" t="s">
        <v>52</v>
      </c>
      <c r="D483" s="66" t="s">
        <v>1712</v>
      </c>
      <c r="E483" s="72" t="s">
        <v>1713</v>
      </c>
      <c r="F483" s="73" t="s">
        <v>33</v>
      </c>
      <c r="G483" s="63" t="s">
        <v>32</v>
      </c>
      <c r="H483" s="80" t="s">
        <v>1979</v>
      </c>
      <c r="I483" s="81">
        <v>45545</v>
      </c>
      <c r="J483" s="81">
        <v>45554</v>
      </c>
      <c r="K483" s="66" t="s">
        <v>41</v>
      </c>
      <c r="L483" s="68">
        <v>9067.76</v>
      </c>
      <c r="M483" s="140">
        <v>4.9000000000000004</v>
      </c>
      <c r="N483" s="82">
        <v>20</v>
      </c>
      <c r="O483" s="67">
        <v>19</v>
      </c>
      <c r="P483" s="67">
        <v>0</v>
      </c>
      <c r="Q483" s="67">
        <v>0</v>
      </c>
      <c r="R483" s="67">
        <f t="shared" si="9"/>
        <v>19</v>
      </c>
      <c r="S483" s="66">
        <v>16</v>
      </c>
      <c r="T483" s="63" t="s">
        <v>3474</v>
      </c>
    </row>
    <row r="484" spans="1:20" ht="23.25" customHeight="1">
      <c r="A484" s="62" t="s">
        <v>1980</v>
      </c>
      <c r="B484" s="64">
        <v>2024</v>
      </c>
      <c r="C484" s="143" t="s">
        <v>52</v>
      </c>
      <c r="D484" s="64" t="s">
        <v>1956</v>
      </c>
      <c r="E484" s="69" t="s">
        <v>1981</v>
      </c>
      <c r="F484" s="71" t="s">
        <v>44</v>
      </c>
      <c r="G484" s="62" t="s">
        <v>15</v>
      </c>
      <c r="H484" s="78" t="s">
        <v>1982</v>
      </c>
      <c r="I484" s="79">
        <v>45547</v>
      </c>
      <c r="J484" s="79">
        <v>45547</v>
      </c>
      <c r="K484" s="64" t="s">
        <v>41</v>
      </c>
      <c r="L484" s="70">
        <v>2266.94</v>
      </c>
      <c r="M484" s="139">
        <v>5</v>
      </c>
      <c r="N484" s="83">
        <v>20</v>
      </c>
      <c r="O484" s="65">
        <v>0</v>
      </c>
      <c r="P484" s="65">
        <v>10</v>
      </c>
      <c r="Q484" s="65">
        <v>0</v>
      </c>
      <c r="R484" s="65">
        <f t="shared" si="9"/>
        <v>10</v>
      </c>
      <c r="S484" s="64">
        <v>4</v>
      </c>
      <c r="T484" s="62" t="s">
        <v>1064</v>
      </c>
    </row>
    <row r="485" spans="1:20" ht="23.25" customHeight="1">
      <c r="A485" s="63" t="s">
        <v>1983</v>
      </c>
      <c r="B485" s="66">
        <v>2024</v>
      </c>
      <c r="C485" s="143" t="s">
        <v>52</v>
      </c>
      <c r="D485" s="66" t="s">
        <v>1770</v>
      </c>
      <c r="E485" s="72" t="s">
        <v>3746</v>
      </c>
      <c r="F485" s="73" t="s">
        <v>33</v>
      </c>
      <c r="G485" s="63" t="s">
        <v>29</v>
      </c>
      <c r="H485" s="80" t="s">
        <v>1985</v>
      </c>
      <c r="I485" s="81">
        <v>45548</v>
      </c>
      <c r="J485" s="81">
        <v>45548</v>
      </c>
      <c r="K485" s="66" t="s">
        <v>45</v>
      </c>
      <c r="L485" s="68">
        <f>49600/8</f>
        <v>6200</v>
      </c>
      <c r="M485" s="140">
        <v>5</v>
      </c>
      <c r="N485" s="67">
        <v>20</v>
      </c>
      <c r="O485" s="67">
        <v>5</v>
      </c>
      <c r="P485" s="67">
        <v>0</v>
      </c>
      <c r="Q485" s="67">
        <v>0</v>
      </c>
      <c r="R485" s="67">
        <f t="shared" si="9"/>
        <v>5</v>
      </c>
      <c r="S485" s="66">
        <v>4</v>
      </c>
      <c r="T485" s="63" t="s">
        <v>1773</v>
      </c>
    </row>
    <row r="486" spans="1:20" ht="23.25" customHeight="1">
      <c r="A486" s="62" t="s">
        <v>1986</v>
      </c>
      <c r="B486" s="64">
        <v>2024</v>
      </c>
      <c r="C486" s="143" t="s">
        <v>52</v>
      </c>
      <c r="D486" s="64" t="s">
        <v>1763</v>
      </c>
      <c r="E486" s="69" t="s">
        <v>1764</v>
      </c>
      <c r="F486" s="71" t="s">
        <v>33</v>
      </c>
      <c r="G486" s="62" t="s">
        <v>32</v>
      </c>
      <c r="H486" s="78" t="s">
        <v>1987</v>
      </c>
      <c r="I486" s="79">
        <v>45551</v>
      </c>
      <c r="J486" s="79">
        <v>45562</v>
      </c>
      <c r="K486" s="64" t="s">
        <v>45</v>
      </c>
      <c r="L486" s="70">
        <v>19900</v>
      </c>
      <c r="M486" s="139">
        <v>4.8</v>
      </c>
      <c r="N486" s="83">
        <v>20</v>
      </c>
      <c r="O486" s="65">
        <v>21</v>
      </c>
      <c r="P486" s="65">
        <v>0</v>
      </c>
      <c r="Q486" s="65">
        <v>0</v>
      </c>
      <c r="R486" s="65">
        <f t="shared" si="9"/>
        <v>21</v>
      </c>
      <c r="S486" s="64">
        <v>24</v>
      </c>
      <c r="T486" s="62" t="s">
        <v>1228</v>
      </c>
    </row>
    <row r="487" spans="1:20" ht="23.25" customHeight="1">
      <c r="A487" s="63" t="s">
        <v>1988</v>
      </c>
      <c r="B487" s="66">
        <v>2024</v>
      </c>
      <c r="C487" s="143" t="s">
        <v>52</v>
      </c>
      <c r="D487" s="66" t="s">
        <v>1989</v>
      </c>
      <c r="E487" s="72" t="s">
        <v>1990</v>
      </c>
      <c r="F487" s="73" t="s">
        <v>33</v>
      </c>
      <c r="G487" s="63" t="s">
        <v>22</v>
      </c>
      <c r="H487" s="80" t="s">
        <v>1991</v>
      </c>
      <c r="I487" s="81">
        <v>45551</v>
      </c>
      <c r="J487" s="81">
        <v>45555</v>
      </c>
      <c r="K487" s="66" t="s">
        <v>41</v>
      </c>
      <c r="L487" s="68">
        <v>12813.06</v>
      </c>
      <c r="M487" s="140">
        <v>4.7</v>
      </c>
      <c r="N487" s="82">
        <v>20</v>
      </c>
      <c r="O487" s="67">
        <v>19</v>
      </c>
      <c r="P487" s="67">
        <v>0</v>
      </c>
      <c r="Q487" s="67">
        <v>0</v>
      </c>
      <c r="R487" s="67">
        <f t="shared" si="9"/>
        <v>19</v>
      </c>
      <c r="S487" s="66">
        <v>20</v>
      </c>
      <c r="T487" s="63" t="s">
        <v>248</v>
      </c>
    </row>
    <row r="488" spans="1:20" ht="23.25" customHeight="1">
      <c r="A488" s="62" t="s">
        <v>1992</v>
      </c>
      <c r="B488" s="64">
        <v>2024</v>
      </c>
      <c r="C488" s="143" t="s">
        <v>52</v>
      </c>
      <c r="D488" s="64" t="s">
        <v>1770</v>
      </c>
      <c r="E488" s="69" t="s">
        <v>1993</v>
      </c>
      <c r="F488" s="71" t="s">
        <v>33</v>
      </c>
      <c r="G488" s="62" t="s">
        <v>29</v>
      </c>
      <c r="H488" s="78" t="s">
        <v>1994</v>
      </c>
      <c r="I488" s="79">
        <v>45555</v>
      </c>
      <c r="J488" s="79">
        <v>45555</v>
      </c>
      <c r="K488" s="64" t="s">
        <v>45</v>
      </c>
      <c r="L488" s="70">
        <f>49600/8</f>
        <v>6200</v>
      </c>
      <c r="M488" s="139">
        <v>5</v>
      </c>
      <c r="N488" s="65">
        <v>20</v>
      </c>
      <c r="O488" s="65">
        <v>7</v>
      </c>
      <c r="P488" s="65">
        <v>0</v>
      </c>
      <c r="Q488" s="65">
        <v>0</v>
      </c>
      <c r="R488" s="65">
        <f t="shared" si="9"/>
        <v>7</v>
      </c>
      <c r="S488" s="64">
        <v>4</v>
      </c>
      <c r="T488" s="62" t="s">
        <v>1773</v>
      </c>
    </row>
    <row r="489" spans="1:20" ht="23.25" customHeight="1">
      <c r="A489" s="63" t="s">
        <v>1995</v>
      </c>
      <c r="B489" s="102">
        <v>2024</v>
      </c>
      <c r="C489" s="144" t="s">
        <v>52</v>
      </c>
      <c r="D489" s="112" t="s">
        <v>1695</v>
      </c>
      <c r="E489" s="106" t="s">
        <v>1996</v>
      </c>
      <c r="F489" s="73" t="s">
        <v>44</v>
      </c>
      <c r="G489" s="87" t="s">
        <v>15</v>
      </c>
      <c r="H489" s="107" t="s">
        <v>1997</v>
      </c>
      <c r="I489" s="108">
        <v>45558</v>
      </c>
      <c r="J489" s="108">
        <v>45562</v>
      </c>
      <c r="K489" s="66" t="s">
        <v>41</v>
      </c>
      <c r="L489" s="109">
        <v>12813.06</v>
      </c>
      <c r="M489" s="141">
        <v>4.8</v>
      </c>
      <c r="N489" s="110">
        <v>20</v>
      </c>
      <c r="O489" s="111">
        <v>4</v>
      </c>
      <c r="P489" s="111">
        <v>15</v>
      </c>
      <c r="Q489" s="111">
        <v>0</v>
      </c>
      <c r="R489" s="67">
        <f t="shared" ref="R489:R507" si="10">SUM(O489:Q489)</f>
        <v>19</v>
      </c>
      <c r="S489" s="112">
        <v>20</v>
      </c>
      <c r="T489" s="87" t="s">
        <v>116</v>
      </c>
    </row>
    <row r="490" spans="1:20" ht="23.25" customHeight="1">
      <c r="A490" s="62" t="s">
        <v>1998</v>
      </c>
      <c r="B490" s="64">
        <v>2024</v>
      </c>
      <c r="C490" s="144" t="s">
        <v>52</v>
      </c>
      <c r="D490" s="118" t="s">
        <v>1964</v>
      </c>
      <c r="E490" s="113" t="s">
        <v>1999</v>
      </c>
      <c r="F490" s="114" t="s">
        <v>48</v>
      </c>
      <c r="G490" s="115" t="s">
        <v>15</v>
      </c>
      <c r="H490" s="116" t="s">
        <v>1997</v>
      </c>
      <c r="I490" s="117">
        <v>45558</v>
      </c>
      <c r="J490" s="117">
        <v>45562</v>
      </c>
      <c r="K490" s="118" t="s">
        <v>41</v>
      </c>
      <c r="L490" s="119">
        <f>9154.9+1027</f>
        <v>10181.9</v>
      </c>
      <c r="M490" s="142">
        <v>4.7</v>
      </c>
      <c r="N490" s="120">
        <v>30</v>
      </c>
      <c r="O490" s="121">
        <v>0</v>
      </c>
      <c r="P490" s="121">
        <v>0</v>
      </c>
      <c r="Q490" s="121">
        <v>61</v>
      </c>
      <c r="R490" s="65">
        <f t="shared" si="10"/>
        <v>61</v>
      </c>
      <c r="S490" s="118">
        <v>20</v>
      </c>
      <c r="T490" s="115" t="s">
        <v>3537</v>
      </c>
    </row>
    <row r="491" spans="1:20" ht="23.25" customHeight="1">
      <c r="A491" s="63" t="s">
        <v>2000</v>
      </c>
      <c r="B491" s="66">
        <v>2024</v>
      </c>
      <c r="C491" s="144" t="s">
        <v>52</v>
      </c>
      <c r="D491" s="112" t="s">
        <v>2001</v>
      </c>
      <c r="E491" s="106" t="s">
        <v>2002</v>
      </c>
      <c r="F491" s="122" t="s">
        <v>33</v>
      </c>
      <c r="G491" s="87" t="s">
        <v>13</v>
      </c>
      <c r="H491" s="107" t="s">
        <v>2003</v>
      </c>
      <c r="I491" s="108">
        <v>45559</v>
      </c>
      <c r="J491" s="108">
        <v>45559</v>
      </c>
      <c r="K491" s="112" t="s">
        <v>41</v>
      </c>
      <c r="L491" s="109">
        <v>4533.88</v>
      </c>
      <c r="M491" s="141">
        <v>4.7</v>
      </c>
      <c r="N491" s="110">
        <v>25</v>
      </c>
      <c r="O491" s="111">
        <v>32</v>
      </c>
      <c r="P491" s="111">
        <v>0</v>
      </c>
      <c r="Q491" s="111">
        <v>0</v>
      </c>
      <c r="R491" s="67">
        <f t="shared" si="10"/>
        <v>32</v>
      </c>
      <c r="S491" s="112">
        <v>8</v>
      </c>
      <c r="T491" s="87" t="s">
        <v>2004</v>
      </c>
    </row>
    <row r="492" spans="1:20" ht="23.25" customHeight="1">
      <c r="A492" s="62" t="s">
        <v>2005</v>
      </c>
      <c r="B492" s="64">
        <v>2024</v>
      </c>
      <c r="C492" s="144" t="s">
        <v>52</v>
      </c>
      <c r="D492" s="118" t="s">
        <v>2006</v>
      </c>
      <c r="E492" s="113" t="s">
        <v>2007</v>
      </c>
      <c r="F492" s="114" t="s">
        <v>44</v>
      </c>
      <c r="G492" s="115" t="s">
        <v>15</v>
      </c>
      <c r="H492" s="116" t="s">
        <v>2008</v>
      </c>
      <c r="I492" s="117">
        <v>45566</v>
      </c>
      <c r="J492" s="117">
        <v>45575</v>
      </c>
      <c r="K492" s="118" t="s">
        <v>41</v>
      </c>
      <c r="L492" s="119">
        <v>16717.68</v>
      </c>
      <c r="M492" s="142">
        <v>4.7</v>
      </c>
      <c r="N492" s="120">
        <v>40</v>
      </c>
      <c r="O492" s="121">
        <v>0</v>
      </c>
      <c r="P492" s="121">
        <v>43</v>
      </c>
      <c r="Q492" s="121">
        <v>0</v>
      </c>
      <c r="R492" s="65">
        <f t="shared" si="10"/>
        <v>43</v>
      </c>
      <c r="S492" s="118">
        <v>20</v>
      </c>
      <c r="T492" s="115" t="s">
        <v>2009</v>
      </c>
    </row>
    <row r="493" spans="1:20" ht="23.25" customHeight="1">
      <c r="A493" s="63" t="s">
        <v>2010</v>
      </c>
      <c r="B493" s="66">
        <v>2024</v>
      </c>
      <c r="C493" s="144" t="s">
        <v>52</v>
      </c>
      <c r="D493" s="112" t="s">
        <v>2011</v>
      </c>
      <c r="E493" s="106" t="s">
        <v>2012</v>
      </c>
      <c r="F493" s="122" t="s">
        <v>33</v>
      </c>
      <c r="G493" s="87" t="s">
        <v>35</v>
      </c>
      <c r="H493" s="107" t="s">
        <v>2013</v>
      </c>
      <c r="I493" s="108">
        <v>45569</v>
      </c>
      <c r="J493" s="108">
        <v>45572</v>
      </c>
      <c r="K493" s="112" t="s">
        <v>41</v>
      </c>
      <c r="L493" s="109">
        <v>0</v>
      </c>
      <c r="M493" s="141">
        <v>5</v>
      </c>
      <c r="N493" s="110">
        <v>10</v>
      </c>
      <c r="O493" s="111">
        <v>8</v>
      </c>
      <c r="P493" s="111">
        <v>0</v>
      </c>
      <c r="Q493" s="111">
        <v>0</v>
      </c>
      <c r="R493" s="67">
        <f t="shared" si="10"/>
        <v>8</v>
      </c>
      <c r="S493" s="112">
        <v>8</v>
      </c>
      <c r="T493" s="87" t="s">
        <v>492</v>
      </c>
    </row>
    <row r="494" spans="1:20" ht="23.25" customHeight="1">
      <c r="A494" s="62" t="s">
        <v>2014</v>
      </c>
      <c r="B494" s="64">
        <v>2024</v>
      </c>
      <c r="C494" s="144" t="s">
        <v>52</v>
      </c>
      <c r="D494" s="118" t="s">
        <v>2015</v>
      </c>
      <c r="E494" s="113" t="s">
        <v>2016</v>
      </c>
      <c r="F494" s="114" t="s">
        <v>33</v>
      </c>
      <c r="G494" s="115" t="s">
        <v>32</v>
      </c>
      <c r="H494" s="116" t="s">
        <v>2017</v>
      </c>
      <c r="I494" s="117">
        <v>45569</v>
      </c>
      <c r="J494" s="117">
        <v>45569</v>
      </c>
      <c r="K494" s="118" t="s">
        <v>45</v>
      </c>
      <c r="L494" s="119">
        <v>2500</v>
      </c>
      <c r="M494" s="142"/>
      <c r="N494" s="120">
        <v>80</v>
      </c>
      <c r="O494" s="121">
        <v>80</v>
      </c>
      <c r="P494" s="121">
        <v>0</v>
      </c>
      <c r="Q494" s="121">
        <v>0</v>
      </c>
      <c r="R494" s="65">
        <f t="shared" si="10"/>
        <v>80</v>
      </c>
      <c r="S494" s="118">
        <v>2</v>
      </c>
      <c r="T494" s="115" t="s">
        <v>3551</v>
      </c>
    </row>
    <row r="495" spans="1:20" ht="23.25" customHeight="1">
      <c r="A495" s="63" t="s">
        <v>2019</v>
      </c>
      <c r="B495" s="66">
        <v>2024</v>
      </c>
      <c r="C495" s="144" t="s">
        <v>52</v>
      </c>
      <c r="D495" s="112" t="s">
        <v>2020</v>
      </c>
      <c r="E495" s="106" t="s">
        <v>2021</v>
      </c>
      <c r="F495" s="122" t="s">
        <v>33</v>
      </c>
      <c r="G495" s="87" t="s">
        <v>32</v>
      </c>
      <c r="H495" s="107" t="s">
        <v>2022</v>
      </c>
      <c r="I495" s="108">
        <v>45572</v>
      </c>
      <c r="J495" s="108">
        <v>45590</v>
      </c>
      <c r="K495" s="66" t="s">
        <v>45</v>
      </c>
      <c r="L495" s="68"/>
      <c r="M495" s="141"/>
      <c r="N495" s="110"/>
      <c r="O495" s="111"/>
      <c r="P495" s="111">
        <v>0</v>
      </c>
      <c r="Q495" s="111">
        <v>0</v>
      </c>
      <c r="R495" s="67">
        <f t="shared" si="10"/>
        <v>0</v>
      </c>
      <c r="S495" s="66"/>
      <c r="T495" s="103"/>
    </row>
    <row r="496" spans="1:20" ht="23.25" customHeight="1">
      <c r="A496" s="62" t="s">
        <v>2023</v>
      </c>
      <c r="B496" s="64">
        <v>2024</v>
      </c>
      <c r="C496" s="144" t="s">
        <v>52</v>
      </c>
      <c r="D496" s="118" t="s">
        <v>2024</v>
      </c>
      <c r="E496" s="113" t="s">
        <v>2025</v>
      </c>
      <c r="F496" s="114" t="s">
        <v>33</v>
      </c>
      <c r="G496" s="115" t="s">
        <v>32</v>
      </c>
      <c r="H496" s="116" t="s">
        <v>2026</v>
      </c>
      <c r="I496" s="117">
        <v>45572</v>
      </c>
      <c r="J496" s="117">
        <v>45572</v>
      </c>
      <c r="K496" s="118" t="s">
        <v>45</v>
      </c>
      <c r="L496" s="119">
        <v>40000</v>
      </c>
      <c r="M496" s="142"/>
      <c r="N496" s="120">
        <v>170</v>
      </c>
      <c r="O496" s="121">
        <v>170</v>
      </c>
      <c r="P496" s="121">
        <v>0</v>
      </c>
      <c r="Q496" s="121">
        <v>0</v>
      </c>
      <c r="R496" s="65">
        <f t="shared" si="10"/>
        <v>170</v>
      </c>
      <c r="S496" s="118">
        <v>1</v>
      </c>
      <c r="T496" s="115" t="s">
        <v>2027</v>
      </c>
    </row>
    <row r="497" spans="1:20" ht="23.25" customHeight="1">
      <c r="A497" s="63" t="s">
        <v>2028</v>
      </c>
      <c r="B497" s="66">
        <v>2024</v>
      </c>
      <c r="C497" s="143" t="s">
        <v>52</v>
      </c>
      <c r="D497" s="112" t="s">
        <v>1916</v>
      </c>
      <c r="E497" s="106" t="s">
        <v>2029</v>
      </c>
      <c r="F497" s="122" t="s">
        <v>44</v>
      </c>
      <c r="G497" s="87" t="s">
        <v>15</v>
      </c>
      <c r="H497" s="107" t="s">
        <v>2030</v>
      </c>
      <c r="I497" s="108">
        <v>45573</v>
      </c>
      <c r="J497" s="108">
        <v>45575</v>
      </c>
      <c r="K497" s="112" t="s">
        <v>41</v>
      </c>
      <c r="L497" s="109">
        <v>2614.2199999999998</v>
      </c>
      <c r="M497" s="141">
        <v>4.8</v>
      </c>
      <c r="N497" s="110">
        <v>20</v>
      </c>
      <c r="O497" s="111">
        <v>9</v>
      </c>
      <c r="P497" s="111">
        <v>22</v>
      </c>
      <c r="Q497" s="111">
        <v>0</v>
      </c>
      <c r="R497" s="67">
        <f t="shared" si="10"/>
        <v>31</v>
      </c>
      <c r="S497" s="112">
        <v>4</v>
      </c>
      <c r="T497" s="87" t="s">
        <v>1919</v>
      </c>
    </row>
    <row r="498" spans="1:20" ht="23.25" customHeight="1">
      <c r="A498" s="62" t="s">
        <v>2031</v>
      </c>
      <c r="B498" s="64">
        <v>2024</v>
      </c>
      <c r="C498" s="143" t="s">
        <v>52</v>
      </c>
      <c r="D498" s="118" t="s">
        <v>1775</v>
      </c>
      <c r="E498" s="113" t="s">
        <v>2032</v>
      </c>
      <c r="F498" s="114" t="s">
        <v>33</v>
      </c>
      <c r="G498" s="115" t="s">
        <v>25</v>
      </c>
      <c r="H498" s="116" t="s">
        <v>2033</v>
      </c>
      <c r="I498" s="117">
        <v>45573</v>
      </c>
      <c r="J498" s="117">
        <v>45576</v>
      </c>
      <c r="K498" s="118" t="s">
        <v>41</v>
      </c>
      <c r="L498" s="119">
        <v>12221.66</v>
      </c>
      <c r="M498" s="142">
        <v>5</v>
      </c>
      <c r="N498" s="120">
        <v>20</v>
      </c>
      <c r="O498" s="121">
        <v>11</v>
      </c>
      <c r="P498" s="121">
        <v>0</v>
      </c>
      <c r="Q498" s="121">
        <v>0</v>
      </c>
      <c r="R498" s="65">
        <f t="shared" si="10"/>
        <v>11</v>
      </c>
      <c r="S498" s="118">
        <v>16</v>
      </c>
      <c r="T498" s="115" t="s">
        <v>1778</v>
      </c>
    </row>
    <row r="499" spans="1:20" ht="23.25" customHeight="1">
      <c r="A499" s="63" t="s">
        <v>2034</v>
      </c>
      <c r="B499" s="66">
        <v>2024</v>
      </c>
      <c r="C499" s="143" t="s">
        <v>52</v>
      </c>
      <c r="D499" s="112" t="s">
        <v>2035</v>
      </c>
      <c r="E499" s="106" t="s">
        <v>2036</v>
      </c>
      <c r="F499" s="122" t="s">
        <v>48</v>
      </c>
      <c r="G499" s="87" t="s">
        <v>15</v>
      </c>
      <c r="H499" s="107" t="s">
        <v>2037</v>
      </c>
      <c r="I499" s="108">
        <v>45573</v>
      </c>
      <c r="J499" s="108">
        <v>45573</v>
      </c>
      <c r="K499" s="112" t="s">
        <v>41</v>
      </c>
      <c r="L499" s="109">
        <v>0</v>
      </c>
      <c r="M499" s="141">
        <v>5</v>
      </c>
      <c r="N499" s="110">
        <v>40</v>
      </c>
      <c r="O499" s="111">
        <v>0</v>
      </c>
      <c r="P499" s="111">
        <v>0</v>
      </c>
      <c r="Q499" s="111">
        <v>45</v>
      </c>
      <c r="R499" s="67">
        <f t="shared" si="10"/>
        <v>45</v>
      </c>
      <c r="S499" s="112">
        <v>1</v>
      </c>
      <c r="T499" s="87" t="s">
        <v>2038</v>
      </c>
    </row>
    <row r="500" spans="1:20" ht="23.25" customHeight="1">
      <c r="A500" s="62" t="s">
        <v>2039</v>
      </c>
      <c r="B500" s="64">
        <v>2024</v>
      </c>
      <c r="C500" s="143" t="s">
        <v>52</v>
      </c>
      <c r="D500" s="118" t="s">
        <v>2040</v>
      </c>
      <c r="E500" s="113" t="s">
        <v>2041</v>
      </c>
      <c r="F500" s="114" t="s">
        <v>33</v>
      </c>
      <c r="G500" s="115" t="s">
        <v>32</v>
      </c>
      <c r="H500" s="116" t="s">
        <v>2042</v>
      </c>
      <c r="I500" s="117">
        <v>45575</v>
      </c>
      <c r="J500" s="117">
        <v>45579</v>
      </c>
      <c r="K500" s="118" t="s">
        <v>45</v>
      </c>
      <c r="L500" s="119">
        <v>6600</v>
      </c>
      <c r="M500" s="142"/>
      <c r="N500" s="120">
        <v>40</v>
      </c>
      <c r="O500" s="121">
        <v>40</v>
      </c>
      <c r="P500" s="121">
        <v>0</v>
      </c>
      <c r="Q500" s="121">
        <v>0</v>
      </c>
      <c r="R500" s="65">
        <f t="shared" si="10"/>
        <v>40</v>
      </c>
      <c r="S500" s="118">
        <v>4</v>
      </c>
      <c r="T500" s="115" t="s">
        <v>2043</v>
      </c>
    </row>
    <row r="501" spans="1:20" ht="23.25" customHeight="1">
      <c r="A501" s="63" t="s">
        <v>2044</v>
      </c>
      <c r="B501" s="66">
        <v>2024</v>
      </c>
      <c r="C501" s="143" t="s">
        <v>52</v>
      </c>
      <c r="D501" s="112" t="s">
        <v>1770</v>
      </c>
      <c r="E501" s="106" t="s">
        <v>2045</v>
      </c>
      <c r="F501" s="122" t="s">
        <v>33</v>
      </c>
      <c r="G501" s="87" t="s">
        <v>29</v>
      </c>
      <c r="H501" s="107" t="s">
        <v>2046</v>
      </c>
      <c r="I501" s="108">
        <v>45576</v>
      </c>
      <c r="J501" s="108">
        <v>45576</v>
      </c>
      <c r="K501" s="112" t="s">
        <v>45</v>
      </c>
      <c r="L501" s="109">
        <f>49600/8</f>
        <v>6200</v>
      </c>
      <c r="M501" s="141">
        <v>5</v>
      </c>
      <c r="N501" s="111">
        <v>5</v>
      </c>
      <c r="O501" s="111">
        <v>0</v>
      </c>
      <c r="P501" s="111">
        <v>0</v>
      </c>
      <c r="Q501" s="111">
        <v>0</v>
      </c>
      <c r="R501" s="67">
        <f t="shared" si="10"/>
        <v>0</v>
      </c>
      <c r="S501" s="112">
        <v>4</v>
      </c>
      <c r="T501" s="87" t="s">
        <v>1773</v>
      </c>
    </row>
    <row r="502" spans="1:20" ht="23.25" customHeight="1">
      <c r="A502" s="62" t="s">
        <v>2047</v>
      </c>
      <c r="B502" s="64">
        <v>2024</v>
      </c>
      <c r="C502" s="143" t="s">
        <v>52</v>
      </c>
      <c r="D502" s="118" t="s">
        <v>2048</v>
      </c>
      <c r="E502" s="113" t="s">
        <v>2049</v>
      </c>
      <c r="F502" s="114" t="s">
        <v>44</v>
      </c>
      <c r="G502" s="115" t="s">
        <v>15</v>
      </c>
      <c r="H502" s="116" t="s">
        <v>2050</v>
      </c>
      <c r="I502" s="117">
        <v>45579</v>
      </c>
      <c r="J502" s="117">
        <v>45582</v>
      </c>
      <c r="K502" s="118" t="s">
        <v>45</v>
      </c>
      <c r="L502" s="119">
        <v>10400</v>
      </c>
      <c r="M502" s="142">
        <v>4.7</v>
      </c>
      <c r="N502" s="120">
        <v>40</v>
      </c>
      <c r="O502" s="121">
        <v>0</v>
      </c>
      <c r="P502" s="121">
        <v>34</v>
      </c>
      <c r="Q502" s="121">
        <v>0</v>
      </c>
      <c r="R502" s="65">
        <f t="shared" si="10"/>
        <v>34</v>
      </c>
      <c r="S502" s="118">
        <v>16</v>
      </c>
      <c r="T502" s="115" t="s">
        <v>3555</v>
      </c>
    </row>
    <row r="503" spans="1:20" ht="23.25" customHeight="1">
      <c r="A503" s="63" t="s">
        <v>2051</v>
      </c>
      <c r="B503" s="66">
        <v>2024</v>
      </c>
      <c r="C503" s="143" t="s">
        <v>52</v>
      </c>
      <c r="D503" s="102" t="s">
        <v>2052</v>
      </c>
      <c r="E503" s="106" t="s">
        <v>2053</v>
      </c>
      <c r="F503" s="122" t="s">
        <v>44</v>
      </c>
      <c r="G503" s="87" t="s">
        <v>15</v>
      </c>
      <c r="H503" s="107" t="s">
        <v>2054</v>
      </c>
      <c r="I503" s="108">
        <v>45579</v>
      </c>
      <c r="J503" s="108">
        <v>45583</v>
      </c>
      <c r="K503" s="112" t="s">
        <v>41</v>
      </c>
      <c r="L503" s="109">
        <v>9067.76</v>
      </c>
      <c r="M503" s="141">
        <v>4.7</v>
      </c>
      <c r="N503" s="110">
        <v>30</v>
      </c>
      <c r="O503" s="111">
        <v>0</v>
      </c>
      <c r="P503" s="111">
        <v>21</v>
      </c>
      <c r="Q503" s="111">
        <v>0</v>
      </c>
      <c r="R503" s="67">
        <f t="shared" si="10"/>
        <v>21</v>
      </c>
      <c r="S503" s="112">
        <v>16</v>
      </c>
      <c r="T503" s="87" t="s">
        <v>3474</v>
      </c>
    </row>
    <row r="504" spans="1:20" ht="23.25" customHeight="1">
      <c r="A504" s="62" t="s">
        <v>2055</v>
      </c>
      <c r="B504" s="64">
        <v>2024</v>
      </c>
      <c r="C504" s="143" t="s">
        <v>52</v>
      </c>
      <c r="D504" s="118" t="s">
        <v>2056</v>
      </c>
      <c r="E504" s="113" t="s">
        <v>2057</v>
      </c>
      <c r="F504" s="114" t="s">
        <v>33</v>
      </c>
      <c r="G504" s="115" t="s">
        <v>22</v>
      </c>
      <c r="H504" s="116" t="s">
        <v>2058</v>
      </c>
      <c r="I504" s="117">
        <v>45579</v>
      </c>
      <c r="J504" s="117">
        <v>45595</v>
      </c>
      <c r="K504" s="118" t="s">
        <v>41</v>
      </c>
      <c r="L504" s="119">
        <v>20061.22</v>
      </c>
      <c r="M504" s="142">
        <v>5</v>
      </c>
      <c r="N504" s="120">
        <v>20</v>
      </c>
      <c r="O504" s="121">
        <v>16</v>
      </c>
      <c r="P504" s="121">
        <v>0</v>
      </c>
      <c r="Q504" s="121">
        <v>0</v>
      </c>
      <c r="R504" s="65">
        <f t="shared" si="10"/>
        <v>16</v>
      </c>
      <c r="S504" s="118">
        <v>24</v>
      </c>
      <c r="T504" s="115" t="s">
        <v>1824</v>
      </c>
    </row>
    <row r="505" spans="1:20" ht="23.25" customHeight="1">
      <c r="A505" s="63" t="s">
        <v>2059</v>
      </c>
      <c r="B505" s="66">
        <v>2024</v>
      </c>
      <c r="C505" s="143" t="s">
        <v>52</v>
      </c>
      <c r="D505" s="66" t="s">
        <v>2060</v>
      </c>
      <c r="E505" s="106" t="s">
        <v>2061</v>
      </c>
      <c r="F505" s="122" t="s">
        <v>33</v>
      </c>
      <c r="G505" s="87" t="s">
        <v>32</v>
      </c>
      <c r="H505" s="80" t="s">
        <v>2062</v>
      </c>
      <c r="I505" s="81">
        <v>45582</v>
      </c>
      <c r="J505" s="81">
        <v>45582</v>
      </c>
      <c r="K505" s="112" t="s">
        <v>45</v>
      </c>
      <c r="L505" s="68">
        <v>6500</v>
      </c>
      <c r="M505" s="140"/>
      <c r="N505" s="82">
        <v>20</v>
      </c>
      <c r="O505" s="67">
        <v>20</v>
      </c>
      <c r="P505" s="67">
        <v>0</v>
      </c>
      <c r="Q505" s="67">
        <v>0</v>
      </c>
      <c r="R505" s="67">
        <f t="shared" si="10"/>
        <v>20</v>
      </c>
      <c r="S505" s="66">
        <v>4</v>
      </c>
      <c r="T505" s="63" t="s">
        <v>2063</v>
      </c>
    </row>
    <row r="506" spans="1:20" ht="23.25" customHeight="1">
      <c r="A506" s="62" t="s">
        <v>2064</v>
      </c>
      <c r="B506" s="64">
        <v>2024</v>
      </c>
      <c r="C506" s="143" t="s">
        <v>52</v>
      </c>
      <c r="D506" s="64" t="s">
        <v>1770</v>
      </c>
      <c r="E506" s="69" t="s">
        <v>2065</v>
      </c>
      <c r="F506" s="71" t="s">
        <v>33</v>
      </c>
      <c r="G506" s="62" t="s">
        <v>29</v>
      </c>
      <c r="H506" s="78" t="s">
        <v>2066</v>
      </c>
      <c r="I506" s="79">
        <v>45583</v>
      </c>
      <c r="J506" s="79">
        <v>45583</v>
      </c>
      <c r="K506" s="64" t="s">
        <v>45</v>
      </c>
      <c r="L506" s="70">
        <f>49600/8</f>
        <v>6200</v>
      </c>
      <c r="M506" s="139">
        <v>5</v>
      </c>
      <c r="N506" s="65">
        <v>8</v>
      </c>
      <c r="O506" s="65">
        <v>8</v>
      </c>
      <c r="P506" s="65">
        <v>0</v>
      </c>
      <c r="Q506" s="65">
        <v>0</v>
      </c>
      <c r="R506" s="65">
        <f t="shared" si="10"/>
        <v>8</v>
      </c>
      <c r="S506" s="64">
        <v>4</v>
      </c>
      <c r="T506" s="62" t="s">
        <v>1773</v>
      </c>
    </row>
    <row r="507" spans="1:20" ht="23.25" customHeight="1">
      <c r="A507" s="63" t="s">
        <v>2067</v>
      </c>
      <c r="B507" s="66">
        <v>2024</v>
      </c>
      <c r="C507" s="143" t="s">
        <v>52</v>
      </c>
      <c r="D507" s="66" t="s">
        <v>2068</v>
      </c>
      <c r="E507" s="72" t="s">
        <v>2069</v>
      </c>
      <c r="F507" s="122" t="s">
        <v>33</v>
      </c>
      <c r="G507" s="87" t="s">
        <v>25</v>
      </c>
      <c r="H507" s="80" t="s">
        <v>2070</v>
      </c>
      <c r="I507" s="81">
        <v>45586</v>
      </c>
      <c r="J507" s="81">
        <v>45586</v>
      </c>
      <c r="K507" s="66" t="s">
        <v>41</v>
      </c>
      <c r="L507" s="68">
        <v>6539.2</v>
      </c>
      <c r="M507" s="140">
        <v>5</v>
      </c>
      <c r="N507" s="82">
        <v>0</v>
      </c>
      <c r="O507" s="67">
        <v>0</v>
      </c>
      <c r="P507" s="67">
        <v>0</v>
      </c>
      <c r="Q507" s="67">
        <v>0</v>
      </c>
      <c r="R507" s="67">
        <f t="shared" si="10"/>
        <v>0</v>
      </c>
      <c r="S507" s="66">
        <v>20</v>
      </c>
      <c r="T507" s="63" t="s">
        <v>1639</v>
      </c>
    </row>
    <row r="508" spans="1:20" ht="23.25" customHeight="1">
      <c r="A508" s="62" t="s">
        <v>2071</v>
      </c>
      <c r="B508" s="64">
        <v>2024</v>
      </c>
      <c r="C508" s="143" t="s">
        <v>52</v>
      </c>
      <c r="D508" s="64" t="s">
        <v>2072</v>
      </c>
      <c r="E508" s="69" t="s">
        <v>2073</v>
      </c>
      <c r="F508" s="71" t="s">
        <v>33</v>
      </c>
      <c r="G508" s="62" t="s">
        <v>29</v>
      </c>
      <c r="H508" s="78" t="s">
        <v>2070</v>
      </c>
      <c r="I508" s="79">
        <v>45586</v>
      </c>
      <c r="J508" s="79">
        <v>45586</v>
      </c>
      <c r="K508" s="64" t="s">
        <v>45</v>
      </c>
      <c r="L508" s="70">
        <v>44100</v>
      </c>
      <c r="M508" s="139">
        <v>5</v>
      </c>
      <c r="N508" s="83">
        <v>13</v>
      </c>
      <c r="O508" s="65">
        <v>13</v>
      </c>
      <c r="P508" s="65">
        <v>0</v>
      </c>
      <c r="Q508" s="65">
        <v>0</v>
      </c>
      <c r="R508" s="65">
        <f>SUM(O508:Q508)</f>
        <v>13</v>
      </c>
      <c r="S508" s="64">
        <v>48</v>
      </c>
      <c r="T508" s="62" t="s">
        <v>977</v>
      </c>
    </row>
    <row r="509" spans="1:20" ht="23.25" customHeight="1">
      <c r="A509" s="63" t="s">
        <v>2074</v>
      </c>
      <c r="B509" s="66">
        <v>2024</v>
      </c>
      <c r="C509" s="143" t="s">
        <v>52</v>
      </c>
      <c r="D509" s="66" t="s">
        <v>2075</v>
      </c>
      <c r="E509" s="123" t="s">
        <v>2076</v>
      </c>
      <c r="F509" s="73" t="s">
        <v>33</v>
      </c>
      <c r="G509" s="63" t="s">
        <v>32</v>
      </c>
      <c r="H509" s="80" t="s">
        <v>2070</v>
      </c>
      <c r="I509" s="81">
        <v>45586</v>
      </c>
      <c r="J509" s="81">
        <v>45586</v>
      </c>
      <c r="K509" s="66" t="s">
        <v>45</v>
      </c>
      <c r="L509" s="68">
        <v>36000</v>
      </c>
      <c r="M509" s="140"/>
      <c r="N509" s="82">
        <v>170</v>
      </c>
      <c r="O509" s="67">
        <v>170</v>
      </c>
      <c r="P509" s="67">
        <v>0</v>
      </c>
      <c r="Q509" s="67">
        <v>0</v>
      </c>
      <c r="R509" s="67">
        <f t="shared" ref="R509:R537" si="11">SUM(O509:Q509)</f>
        <v>170</v>
      </c>
      <c r="S509" s="66">
        <v>1</v>
      </c>
      <c r="T509" s="63" t="s">
        <v>3561</v>
      </c>
    </row>
    <row r="510" spans="1:20" ht="23.25" customHeight="1">
      <c r="A510" s="62" t="s">
        <v>2077</v>
      </c>
      <c r="B510" s="64">
        <v>2024</v>
      </c>
      <c r="C510" s="143" t="s">
        <v>52</v>
      </c>
      <c r="D510" s="64" t="s">
        <v>1964</v>
      </c>
      <c r="E510" s="69" t="s">
        <v>2078</v>
      </c>
      <c r="F510" s="71" t="s">
        <v>48</v>
      </c>
      <c r="G510" s="62" t="s">
        <v>15</v>
      </c>
      <c r="H510" s="78" t="s">
        <v>2079</v>
      </c>
      <c r="I510" s="79">
        <v>45586</v>
      </c>
      <c r="J510" s="79">
        <v>45590</v>
      </c>
      <c r="K510" s="64" t="s">
        <v>41</v>
      </c>
      <c r="L510" s="70">
        <f>9154.9+1027</f>
        <v>10181.9</v>
      </c>
      <c r="M510" s="139">
        <v>4.9000000000000004</v>
      </c>
      <c r="N510" s="83">
        <v>60</v>
      </c>
      <c r="O510" s="65">
        <v>0</v>
      </c>
      <c r="P510" s="65">
        <v>0</v>
      </c>
      <c r="Q510" s="65">
        <v>66</v>
      </c>
      <c r="R510" s="65">
        <f t="shared" si="11"/>
        <v>66</v>
      </c>
      <c r="S510" s="64">
        <v>20</v>
      </c>
      <c r="T510" s="62" t="s">
        <v>3537</v>
      </c>
    </row>
    <row r="511" spans="1:20" ht="23.25" customHeight="1">
      <c r="A511" s="63" t="s">
        <v>2081</v>
      </c>
      <c r="B511" s="66">
        <v>2024</v>
      </c>
      <c r="C511" s="143" t="s">
        <v>52</v>
      </c>
      <c r="D511" s="66" t="s">
        <v>2082</v>
      </c>
      <c r="E511" s="123" t="s">
        <v>2083</v>
      </c>
      <c r="F511" s="73" t="s">
        <v>33</v>
      </c>
      <c r="G511" s="63" t="s">
        <v>32</v>
      </c>
      <c r="H511" s="80" t="s">
        <v>2084</v>
      </c>
      <c r="I511" s="81">
        <v>45587</v>
      </c>
      <c r="J511" s="81">
        <v>45587</v>
      </c>
      <c r="K511" s="66" t="s">
        <v>45</v>
      </c>
      <c r="L511" s="68">
        <v>1700</v>
      </c>
      <c r="M511" s="140"/>
      <c r="N511" s="82">
        <v>140</v>
      </c>
      <c r="O511" s="67">
        <v>140</v>
      </c>
      <c r="P511" s="67">
        <v>0</v>
      </c>
      <c r="Q511" s="67">
        <v>0</v>
      </c>
      <c r="R511" s="67">
        <f t="shared" si="11"/>
        <v>140</v>
      </c>
      <c r="S511" s="66">
        <v>1</v>
      </c>
      <c r="T511" s="63" t="s">
        <v>2085</v>
      </c>
    </row>
    <row r="512" spans="1:20" ht="23.25" customHeight="1">
      <c r="A512" s="62" t="s">
        <v>2086</v>
      </c>
      <c r="B512" s="64">
        <v>2024</v>
      </c>
      <c r="C512" s="143" t="s">
        <v>52</v>
      </c>
      <c r="D512" s="64" t="s">
        <v>2087</v>
      </c>
      <c r="E512" s="69" t="s">
        <v>2088</v>
      </c>
      <c r="F512" s="114" t="s">
        <v>44</v>
      </c>
      <c r="G512" s="62" t="s">
        <v>15</v>
      </c>
      <c r="H512" s="78" t="s">
        <v>2089</v>
      </c>
      <c r="I512" s="79">
        <v>45594</v>
      </c>
      <c r="J512" s="79">
        <v>45596</v>
      </c>
      <c r="K512" s="64" t="s">
        <v>41</v>
      </c>
      <c r="L512" s="70">
        <v>6800.82</v>
      </c>
      <c r="M512" s="139">
        <v>4.7</v>
      </c>
      <c r="N512" s="83">
        <v>40</v>
      </c>
      <c r="O512" s="65">
        <v>0</v>
      </c>
      <c r="P512" s="65">
        <v>45</v>
      </c>
      <c r="Q512" s="65">
        <v>0</v>
      </c>
      <c r="R512" s="65">
        <f t="shared" si="11"/>
        <v>45</v>
      </c>
      <c r="S512" s="64">
        <v>12</v>
      </c>
      <c r="T512" s="62" t="s">
        <v>2090</v>
      </c>
    </row>
    <row r="513" spans="1:20" ht="23.25" customHeight="1">
      <c r="A513" s="63" t="s">
        <v>2091</v>
      </c>
      <c r="B513" s="66">
        <v>2024</v>
      </c>
      <c r="C513" s="143" t="s">
        <v>52</v>
      </c>
      <c r="D513" s="66" t="s">
        <v>2092</v>
      </c>
      <c r="E513" s="72" t="s">
        <v>2093</v>
      </c>
      <c r="F513" s="122" t="s">
        <v>33</v>
      </c>
      <c r="G513" s="87" t="s">
        <v>25</v>
      </c>
      <c r="H513" s="80" t="s">
        <v>2094</v>
      </c>
      <c r="I513" s="81">
        <v>45594</v>
      </c>
      <c r="J513" s="81">
        <v>45596</v>
      </c>
      <c r="K513" s="66" t="s">
        <v>41</v>
      </c>
      <c r="L513" s="68">
        <v>3138.82</v>
      </c>
      <c r="M513" s="140">
        <v>5</v>
      </c>
      <c r="N513" s="82">
        <v>20</v>
      </c>
      <c r="O513" s="67">
        <v>19</v>
      </c>
      <c r="P513" s="67">
        <v>0</v>
      </c>
      <c r="Q513" s="67">
        <v>0</v>
      </c>
      <c r="R513" s="67">
        <f t="shared" si="11"/>
        <v>19</v>
      </c>
      <c r="S513" s="66">
        <v>4</v>
      </c>
      <c r="T513" s="63" t="s">
        <v>2095</v>
      </c>
    </row>
    <row r="514" spans="1:20" ht="23.25" customHeight="1">
      <c r="A514" s="62" t="s">
        <v>2096</v>
      </c>
      <c r="B514" s="64">
        <v>2024</v>
      </c>
      <c r="C514" s="143" t="s">
        <v>52</v>
      </c>
      <c r="D514" s="64" t="s">
        <v>1989</v>
      </c>
      <c r="E514" s="69" t="s">
        <v>2097</v>
      </c>
      <c r="F514" s="114" t="s">
        <v>33</v>
      </c>
      <c r="G514" s="115" t="s">
        <v>22</v>
      </c>
      <c r="H514" s="78" t="s">
        <v>2098</v>
      </c>
      <c r="I514" s="79">
        <v>45600</v>
      </c>
      <c r="J514" s="79">
        <v>45604</v>
      </c>
      <c r="K514" s="64" t="s">
        <v>41</v>
      </c>
      <c r="L514" s="70">
        <v>12813.06</v>
      </c>
      <c r="M514" s="139">
        <v>4.7</v>
      </c>
      <c r="N514" s="83">
        <v>20</v>
      </c>
      <c r="O514" s="65">
        <v>15</v>
      </c>
      <c r="P514" s="65">
        <v>0</v>
      </c>
      <c r="Q514" s="65">
        <v>0</v>
      </c>
      <c r="R514" s="65">
        <f t="shared" si="11"/>
        <v>15</v>
      </c>
      <c r="S514" s="64">
        <v>20</v>
      </c>
      <c r="T514" s="62" t="s">
        <v>248</v>
      </c>
    </row>
    <row r="515" spans="1:20" ht="23.25" customHeight="1">
      <c r="A515" s="63" t="s">
        <v>2099</v>
      </c>
      <c r="B515" s="66">
        <v>2024</v>
      </c>
      <c r="C515" s="143" t="s">
        <v>52</v>
      </c>
      <c r="D515" s="66" t="s">
        <v>2100</v>
      </c>
      <c r="E515" s="72" t="s">
        <v>2101</v>
      </c>
      <c r="F515" s="122" t="s">
        <v>48</v>
      </c>
      <c r="G515" s="87" t="s">
        <v>15</v>
      </c>
      <c r="H515" s="80" t="s">
        <v>2102</v>
      </c>
      <c r="I515" s="81">
        <v>45600</v>
      </c>
      <c r="J515" s="81">
        <v>45608</v>
      </c>
      <c r="K515" s="66" t="s">
        <v>45</v>
      </c>
      <c r="L515" s="68">
        <v>10500</v>
      </c>
      <c r="M515" s="140">
        <v>4.8</v>
      </c>
      <c r="N515" s="82">
        <v>40</v>
      </c>
      <c r="O515" s="67">
        <v>0</v>
      </c>
      <c r="P515" s="67">
        <v>0</v>
      </c>
      <c r="Q515" s="67">
        <v>41</v>
      </c>
      <c r="R515" s="67">
        <f t="shared" si="11"/>
        <v>41</v>
      </c>
      <c r="S515" s="66">
        <v>16</v>
      </c>
      <c r="T515" s="63" t="s">
        <v>2103</v>
      </c>
    </row>
    <row r="516" spans="1:20" ht="23.25" customHeight="1">
      <c r="A516" s="62" t="s">
        <v>2104</v>
      </c>
      <c r="B516" s="64">
        <v>2024</v>
      </c>
      <c r="C516" s="143" t="s">
        <v>52</v>
      </c>
      <c r="D516" s="64" t="s">
        <v>2105</v>
      </c>
      <c r="E516" s="69" t="s">
        <v>2106</v>
      </c>
      <c r="F516" s="114" t="s">
        <v>33</v>
      </c>
      <c r="G516" s="115" t="s">
        <v>25</v>
      </c>
      <c r="H516" s="78" t="s">
        <v>2107</v>
      </c>
      <c r="I516" s="79">
        <v>45603</v>
      </c>
      <c r="J516" s="79">
        <v>45603</v>
      </c>
      <c r="K516" s="64" t="s">
        <v>41</v>
      </c>
      <c r="L516" s="70">
        <v>0</v>
      </c>
      <c r="M516" s="139">
        <v>4.8</v>
      </c>
      <c r="N516" s="83">
        <v>170</v>
      </c>
      <c r="O516" s="65">
        <v>96</v>
      </c>
      <c r="P516" s="65">
        <v>0</v>
      </c>
      <c r="Q516" s="65">
        <v>0</v>
      </c>
      <c r="R516" s="65">
        <f t="shared" si="11"/>
        <v>96</v>
      </c>
      <c r="S516" s="64">
        <v>2</v>
      </c>
      <c r="T516" s="62" t="s">
        <v>492</v>
      </c>
    </row>
    <row r="517" spans="1:20" ht="23.25" customHeight="1">
      <c r="A517" s="63" t="s">
        <v>2108</v>
      </c>
      <c r="B517" s="66">
        <v>2024</v>
      </c>
      <c r="C517" s="143" t="s">
        <v>52</v>
      </c>
      <c r="D517" s="66" t="s">
        <v>1770</v>
      </c>
      <c r="E517" s="72" t="s">
        <v>2109</v>
      </c>
      <c r="F517" s="122" t="s">
        <v>33</v>
      </c>
      <c r="G517" s="87" t="s">
        <v>29</v>
      </c>
      <c r="H517" s="80" t="s">
        <v>2110</v>
      </c>
      <c r="I517" s="81">
        <v>45604</v>
      </c>
      <c r="J517" s="81">
        <v>45604</v>
      </c>
      <c r="K517" s="66" t="s">
        <v>45</v>
      </c>
      <c r="L517" s="68">
        <f>49600/8</f>
        <v>6200</v>
      </c>
      <c r="M517" s="140">
        <v>5</v>
      </c>
      <c r="N517" s="67">
        <v>20</v>
      </c>
      <c r="O517" s="67">
        <v>6</v>
      </c>
      <c r="P517" s="67">
        <v>0</v>
      </c>
      <c r="Q517" s="67">
        <v>0</v>
      </c>
      <c r="R517" s="67">
        <f t="shared" si="11"/>
        <v>6</v>
      </c>
      <c r="S517" s="66">
        <v>4</v>
      </c>
      <c r="T517" s="63" t="s">
        <v>3546</v>
      </c>
    </row>
    <row r="518" spans="1:20" ht="23.25" customHeight="1">
      <c r="A518" s="62" t="s">
        <v>2111</v>
      </c>
      <c r="B518" s="64">
        <v>2024</v>
      </c>
      <c r="C518" s="143" t="s">
        <v>52</v>
      </c>
      <c r="D518" s="64" t="s">
        <v>2112</v>
      </c>
      <c r="E518" s="69" t="s">
        <v>2113</v>
      </c>
      <c r="F518" s="71" t="s">
        <v>44</v>
      </c>
      <c r="G518" s="115" t="s">
        <v>15</v>
      </c>
      <c r="H518" s="78" t="s">
        <v>2114</v>
      </c>
      <c r="I518" s="79">
        <v>45607</v>
      </c>
      <c r="J518" s="79">
        <v>45609</v>
      </c>
      <c r="K518" s="64" t="s">
        <v>41</v>
      </c>
      <c r="L518" s="70">
        <v>9416.44</v>
      </c>
      <c r="M518" s="139">
        <v>4.8</v>
      </c>
      <c r="N518" s="83">
        <v>40</v>
      </c>
      <c r="O518" s="65">
        <v>1</v>
      </c>
      <c r="P518" s="65">
        <v>46</v>
      </c>
      <c r="Q518" s="65">
        <v>0</v>
      </c>
      <c r="R518" s="65">
        <f t="shared" si="11"/>
        <v>47</v>
      </c>
      <c r="S518" s="64">
        <v>12</v>
      </c>
      <c r="T518" s="62" t="s">
        <v>3566</v>
      </c>
    </row>
    <row r="519" spans="1:20" ht="23.25" customHeight="1">
      <c r="A519" s="63" t="s">
        <v>2115</v>
      </c>
      <c r="B519" s="66">
        <v>2024</v>
      </c>
      <c r="C519" s="143" t="s">
        <v>52</v>
      </c>
      <c r="D519" s="66" t="s">
        <v>2116</v>
      </c>
      <c r="E519" s="72" t="s">
        <v>2117</v>
      </c>
      <c r="F519" s="122" t="s">
        <v>44</v>
      </c>
      <c r="G519" s="87" t="s">
        <v>15</v>
      </c>
      <c r="H519" s="80" t="s">
        <v>2118</v>
      </c>
      <c r="I519" s="81">
        <v>45614</v>
      </c>
      <c r="J519" s="81">
        <v>45617</v>
      </c>
      <c r="K519" s="66" t="s">
        <v>41</v>
      </c>
      <c r="L519" s="68">
        <v>6800.82</v>
      </c>
      <c r="M519" s="140">
        <v>4.7</v>
      </c>
      <c r="N519" s="82">
        <v>40</v>
      </c>
      <c r="O519" s="67">
        <v>0</v>
      </c>
      <c r="P519" s="67">
        <v>37</v>
      </c>
      <c r="Q519" s="67">
        <v>0</v>
      </c>
      <c r="R519" s="67">
        <f t="shared" si="11"/>
        <v>37</v>
      </c>
      <c r="S519" s="66">
        <v>12</v>
      </c>
      <c r="T519" s="63" t="s">
        <v>1472</v>
      </c>
    </row>
    <row r="520" spans="1:20" ht="23.25" customHeight="1">
      <c r="A520" s="62" t="s">
        <v>2119</v>
      </c>
      <c r="B520" s="64">
        <v>2024</v>
      </c>
      <c r="C520" s="143" t="s">
        <v>52</v>
      </c>
      <c r="D520" s="64" t="s">
        <v>2120</v>
      </c>
      <c r="E520" s="69" t="s">
        <v>2121</v>
      </c>
      <c r="F520" s="114" t="s">
        <v>33</v>
      </c>
      <c r="G520" s="62" t="s">
        <v>25</v>
      </c>
      <c r="H520" s="78" t="s">
        <v>2122</v>
      </c>
      <c r="I520" s="79">
        <v>45614</v>
      </c>
      <c r="J520" s="79">
        <v>45618</v>
      </c>
      <c r="K520" s="64" t="s">
        <v>41</v>
      </c>
      <c r="L520" s="70">
        <v>12555.28</v>
      </c>
      <c r="M520" s="139">
        <v>4.8</v>
      </c>
      <c r="N520" s="83">
        <v>20</v>
      </c>
      <c r="O520" s="65">
        <v>20</v>
      </c>
      <c r="P520" s="65">
        <v>0</v>
      </c>
      <c r="Q520" s="65">
        <v>0</v>
      </c>
      <c r="R520" s="65">
        <f t="shared" si="11"/>
        <v>20</v>
      </c>
      <c r="S520" s="64">
        <v>16</v>
      </c>
      <c r="T520" s="62" t="s">
        <v>1702</v>
      </c>
    </row>
    <row r="521" spans="1:20" ht="23.25" customHeight="1">
      <c r="A521" s="63" t="s">
        <v>2123</v>
      </c>
      <c r="B521" s="66">
        <v>2024</v>
      </c>
      <c r="C521" s="143" t="s">
        <v>52</v>
      </c>
      <c r="D521" s="66" t="s">
        <v>2124</v>
      </c>
      <c r="E521" s="72" t="s">
        <v>2125</v>
      </c>
      <c r="F521" s="122" t="s">
        <v>44</v>
      </c>
      <c r="G521" s="63" t="s">
        <v>15</v>
      </c>
      <c r="H521" s="80" t="s">
        <v>2126</v>
      </c>
      <c r="I521" s="81">
        <v>45615</v>
      </c>
      <c r="J521" s="81">
        <v>45624</v>
      </c>
      <c r="K521" s="66" t="s">
        <v>41</v>
      </c>
      <c r="L521" s="68">
        <v>10250.44</v>
      </c>
      <c r="M521" s="140">
        <v>4</v>
      </c>
      <c r="N521" s="82">
        <v>20</v>
      </c>
      <c r="O521" s="67">
        <v>0</v>
      </c>
      <c r="P521" s="67">
        <v>19</v>
      </c>
      <c r="Q521" s="67">
        <v>0</v>
      </c>
      <c r="R521" s="67">
        <f t="shared" si="11"/>
        <v>19</v>
      </c>
      <c r="S521" s="66">
        <v>16</v>
      </c>
      <c r="T521" s="63" t="s">
        <v>569</v>
      </c>
    </row>
    <row r="522" spans="1:20" ht="23.25" customHeight="1">
      <c r="A522" s="62" t="s">
        <v>2127</v>
      </c>
      <c r="B522" s="64">
        <v>2024</v>
      </c>
      <c r="C522" s="144" t="s">
        <v>52</v>
      </c>
      <c r="D522" s="64" t="s">
        <v>2128</v>
      </c>
      <c r="E522" s="69" t="s">
        <v>2129</v>
      </c>
      <c r="F522" s="71" t="s">
        <v>33</v>
      </c>
      <c r="G522" s="62" t="s">
        <v>25</v>
      </c>
      <c r="H522" s="78" t="s">
        <v>2130</v>
      </c>
      <c r="I522" s="79">
        <v>45617</v>
      </c>
      <c r="J522" s="79">
        <v>45617</v>
      </c>
      <c r="K522" s="64" t="s">
        <v>41</v>
      </c>
      <c r="L522" s="70">
        <v>9154.9500000000007</v>
      </c>
      <c r="M522" s="139">
        <v>5</v>
      </c>
      <c r="N522" s="83">
        <v>0</v>
      </c>
      <c r="O522" s="65">
        <v>0</v>
      </c>
      <c r="P522" s="65">
        <v>0</v>
      </c>
      <c r="Q522" s="65">
        <v>0</v>
      </c>
      <c r="R522" s="65">
        <f t="shared" si="11"/>
        <v>0</v>
      </c>
      <c r="S522" s="64">
        <v>21</v>
      </c>
      <c r="T522" s="62" t="s">
        <v>1369</v>
      </c>
    </row>
    <row r="523" spans="1:20" ht="23.25" customHeight="1">
      <c r="A523" s="63" t="s">
        <v>2131</v>
      </c>
      <c r="B523" s="66">
        <v>2024</v>
      </c>
      <c r="C523" s="144" t="s">
        <v>52</v>
      </c>
      <c r="D523" s="66" t="s">
        <v>2105</v>
      </c>
      <c r="E523" s="72" t="s">
        <v>2132</v>
      </c>
      <c r="F523" s="122" t="s">
        <v>33</v>
      </c>
      <c r="G523" s="63" t="s">
        <v>25</v>
      </c>
      <c r="H523" s="80" t="s">
        <v>2130</v>
      </c>
      <c r="I523" s="81">
        <v>45617</v>
      </c>
      <c r="J523" s="81">
        <v>45617</v>
      </c>
      <c r="K523" s="66" t="s">
        <v>41</v>
      </c>
      <c r="L523" s="68">
        <v>2615.6999999999998</v>
      </c>
      <c r="M523" s="140">
        <v>5</v>
      </c>
      <c r="N523" s="82">
        <v>0</v>
      </c>
      <c r="O523" s="67">
        <v>0</v>
      </c>
      <c r="P523" s="67">
        <v>0</v>
      </c>
      <c r="Q523" s="67">
        <v>0</v>
      </c>
      <c r="R523" s="67">
        <f t="shared" si="11"/>
        <v>0</v>
      </c>
      <c r="S523" s="66">
        <v>6</v>
      </c>
      <c r="T523" s="63" t="s">
        <v>2133</v>
      </c>
    </row>
    <row r="524" spans="1:20" ht="23.25" customHeight="1">
      <c r="A524" s="62" t="s">
        <v>2134</v>
      </c>
      <c r="B524" s="64">
        <v>2024</v>
      </c>
      <c r="C524" s="143" t="s">
        <v>52</v>
      </c>
      <c r="D524" s="64" t="s">
        <v>1770</v>
      </c>
      <c r="E524" s="69" t="s">
        <v>2135</v>
      </c>
      <c r="F524" s="71" t="s">
        <v>33</v>
      </c>
      <c r="G524" s="62" t="s">
        <v>29</v>
      </c>
      <c r="H524" s="78" t="s">
        <v>2136</v>
      </c>
      <c r="I524" s="79">
        <v>45618</v>
      </c>
      <c r="J524" s="79">
        <v>45618</v>
      </c>
      <c r="K524" s="64" t="s">
        <v>45</v>
      </c>
      <c r="L524" s="70">
        <f>49600/8</f>
        <v>6200</v>
      </c>
      <c r="M524" s="139">
        <v>5</v>
      </c>
      <c r="N524" s="65">
        <v>20</v>
      </c>
      <c r="O524" s="65">
        <v>6</v>
      </c>
      <c r="P524" s="65">
        <v>0</v>
      </c>
      <c r="Q524" s="65">
        <v>0</v>
      </c>
      <c r="R524" s="65">
        <f t="shared" si="11"/>
        <v>6</v>
      </c>
      <c r="S524" s="64"/>
      <c r="T524" s="62"/>
    </row>
    <row r="525" spans="1:20" ht="23.25" customHeight="1">
      <c r="A525" s="63" t="s">
        <v>2137</v>
      </c>
      <c r="B525" s="66">
        <v>2024</v>
      </c>
      <c r="C525" s="143" t="s">
        <v>52</v>
      </c>
      <c r="D525" s="66" t="s">
        <v>2048</v>
      </c>
      <c r="E525" s="72" t="s">
        <v>2138</v>
      </c>
      <c r="F525" s="122" t="s">
        <v>44</v>
      </c>
      <c r="G525" s="63" t="s">
        <v>15</v>
      </c>
      <c r="H525" s="80" t="s">
        <v>2139</v>
      </c>
      <c r="I525" s="81">
        <v>45621</v>
      </c>
      <c r="J525" s="81">
        <v>45624</v>
      </c>
      <c r="K525" s="66" t="s">
        <v>45</v>
      </c>
      <c r="L525" s="68">
        <v>10400</v>
      </c>
      <c r="M525" s="140">
        <v>4.7</v>
      </c>
      <c r="N525" s="82">
        <v>40</v>
      </c>
      <c r="O525" s="67">
        <v>0</v>
      </c>
      <c r="P525" s="67">
        <v>46</v>
      </c>
      <c r="Q525" s="67">
        <v>0</v>
      </c>
      <c r="R525" s="67">
        <f t="shared" si="11"/>
        <v>46</v>
      </c>
      <c r="S525" s="66">
        <v>16</v>
      </c>
      <c r="T525" s="63" t="s">
        <v>2018</v>
      </c>
    </row>
    <row r="526" spans="1:20" ht="23.25" customHeight="1">
      <c r="A526" s="62" t="s">
        <v>2140</v>
      </c>
      <c r="B526" s="64">
        <v>2024</v>
      </c>
      <c r="C526" s="143" t="s">
        <v>52</v>
      </c>
      <c r="D526" s="64" t="s">
        <v>2052</v>
      </c>
      <c r="E526" s="69" t="s">
        <v>2141</v>
      </c>
      <c r="F526" s="71" t="s">
        <v>44</v>
      </c>
      <c r="G526" s="62" t="s">
        <v>15</v>
      </c>
      <c r="H526" s="78" t="s">
        <v>2139</v>
      </c>
      <c r="I526" s="79">
        <v>45621</v>
      </c>
      <c r="J526" s="79">
        <v>45624</v>
      </c>
      <c r="K526" s="64" t="s">
        <v>41</v>
      </c>
      <c r="L526" s="70">
        <v>9067.76</v>
      </c>
      <c r="M526" s="139">
        <v>4.9000000000000004</v>
      </c>
      <c r="N526" s="83">
        <v>30</v>
      </c>
      <c r="O526" s="65">
        <v>0</v>
      </c>
      <c r="P526" s="65">
        <v>20</v>
      </c>
      <c r="Q526" s="65">
        <v>0</v>
      </c>
      <c r="R526" s="65">
        <f t="shared" si="11"/>
        <v>20</v>
      </c>
      <c r="S526" s="64">
        <v>16</v>
      </c>
      <c r="T526" s="62" t="s">
        <v>3474</v>
      </c>
    </row>
    <row r="527" spans="1:20" ht="23.25" customHeight="1">
      <c r="A527" s="63" t="s">
        <v>2142</v>
      </c>
      <c r="B527" s="66">
        <v>2024</v>
      </c>
      <c r="C527" s="143" t="s">
        <v>52</v>
      </c>
      <c r="D527" s="66"/>
      <c r="E527" s="72" t="s">
        <v>2143</v>
      </c>
      <c r="F527" s="73" t="s">
        <v>33</v>
      </c>
      <c r="G527" s="63" t="s">
        <v>32</v>
      </c>
      <c r="H527" s="80" t="s">
        <v>124</v>
      </c>
      <c r="I527" s="81">
        <v>45621</v>
      </c>
      <c r="J527" s="81">
        <v>45621</v>
      </c>
      <c r="K527" s="66" t="s">
        <v>41</v>
      </c>
      <c r="L527" s="68"/>
      <c r="M527" s="140"/>
      <c r="N527" s="82"/>
      <c r="O527" s="67">
        <v>0</v>
      </c>
      <c r="P527" s="67">
        <v>0</v>
      </c>
      <c r="Q527" s="67">
        <v>0</v>
      </c>
      <c r="R527" s="67">
        <f t="shared" si="11"/>
        <v>0</v>
      </c>
      <c r="S527" s="66"/>
      <c r="T527" s="63" t="s">
        <v>1926</v>
      </c>
    </row>
    <row r="528" spans="1:20" ht="23.25" customHeight="1">
      <c r="A528" s="62" t="s">
        <v>2144</v>
      </c>
      <c r="B528" s="64">
        <v>2024</v>
      </c>
      <c r="C528" s="143" t="s">
        <v>52</v>
      </c>
      <c r="D528" s="64" t="s">
        <v>2145</v>
      </c>
      <c r="E528" s="69" t="s">
        <v>2146</v>
      </c>
      <c r="F528" s="71" t="s">
        <v>33</v>
      </c>
      <c r="G528" s="62" t="s">
        <v>25</v>
      </c>
      <c r="H528" s="78" t="s">
        <v>2147</v>
      </c>
      <c r="I528" s="79">
        <v>45622</v>
      </c>
      <c r="J528" s="79">
        <v>45624</v>
      </c>
      <c r="K528" s="64" t="s">
        <v>41</v>
      </c>
      <c r="L528" s="70">
        <v>3040.86</v>
      </c>
      <c r="M528" s="139">
        <v>4.7</v>
      </c>
      <c r="N528" s="83">
        <v>20</v>
      </c>
      <c r="O528" s="65">
        <v>20</v>
      </c>
      <c r="P528" s="65">
        <v>0</v>
      </c>
      <c r="Q528" s="65">
        <v>0</v>
      </c>
      <c r="R528" s="65">
        <f t="shared" si="11"/>
        <v>20</v>
      </c>
      <c r="S528" s="64">
        <v>8</v>
      </c>
      <c r="T528" s="62" t="s">
        <v>2148</v>
      </c>
    </row>
    <row r="529" spans="1:20" ht="23.25" customHeight="1">
      <c r="A529" s="63" t="s">
        <v>2149</v>
      </c>
      <c r="B529" s="66">
        <v>2024</v>
      </c>
      <c r="C529" s="143" t="s">
        <v>52</v>
      </c>
      <c r="D529" s="66" t="s">
        <v>2150</v>
      </c>
      <c r="E529" s="72" t="s">
        <v>2151</v>
      </c>
      <c r="F529" s="73" t="s">
        <v>33</v>
      </c>
      <c r="G529" s="63" t="s">
        <v>10</v>
      </c>
      <c r="H529" s="80" t="s">
        <v>2152</v>
      </c>
      <c r="I529" s="81">
        <v>45622</v>
      </c>
      <c r="J529" s="81">
        <v>45629</v>
      </c>
      <c r="K529" s="66" t="s">
        <v>45</v>
      </c>
      <c r="L529" s="68">
        <v>25000</v>
      </c>
      <c r="M529" s="140">
        <v>4.8</v>
      </c>
      <c r="N529" s="82">
        <v>30</v>
      </c>
      <c r="O529" s="67">
        <v>23</v>
      </c>
      <c r="P529" s="67">
        <v>4</v>
      </c>
      <c r="Q529" s="67">
        <v>1</v>
      </c>
      <c r="R529" s="67">
        <f t="shared" si="11"/>
        <v>28</v>
      </c>
      <c r="S529" s="66">
        <v>20</v>
      </c>
      <c r="T529" s="63"/>
    </row>
    <row r="530" spans="1:20" ht="23.25" customHeight="1">
      <c r="A530" s="62" t="s">
        <v>2153</v>
      </c>
      <c r="B530" s="64">
        <v>2024</v>
      </c>
      <c r="C530" s="143" t="s">
        <v>52</v>
      </c>
      <c r="D530" s="64" t="s">
        <v>2154</v>
      </c>
      <c r="E530" s="69" t="s">
        <v>2155</v>
      </c>
      <c r="F530" s="71" t="s">
        <v>44</v>
      </c>
      <c r="G530" s="62" t="s">
        <v>15</v>
      </c>
      <c r="H530" s="78" t="s">
        <v>2156</v>
      </c>
      <c r="I530" s="79">
        <v>45624</v>
      </c>
      <c r="J530" s="79">
        <v>45624</v>
      </c>
      <c r="K530" s="64" t="s">
        <v>49</v>
      </c>
      <c r="L530" s="70">
        <v>0</v>
      </c>
      <c r="M530" s="139">
        <v>4.9000000000000004</v>
      </c>
      <c r="N530" s="83">
        <v>170</v>
      </c>
      <c r="O530" s="65">
        <v>36</v>
      </c>
      <c r="P530" s="65">
        <v>79</v>
      </c>
      <c r="Q530" s="65">
        <v>23</v>
      </c>
      <c r="R530" s="65">
        <f t="shared" si="11"/>
        <v>138</v>
      </c>
      <c r="S530" s="64">
        <v>8</v>
      </c>
      <c r="T530" s="62" t="s">
        <v>492</v>
      </c>
    </row>
    <row r="531" spans="1:20" ht="23.25" customHeight="1">
      <c r="A531" s="63" t="s">
        <v>2157</v>
      </c>
      <c r="B531" s="66">
        <v>2024</v>
      </c>
      <c r="C531" s="143" t="s">
        <v>52</v>
      </c>
      <c r="D531" s="66" t="s">
        <v>1880</v>
      </c>
      <c r="E531" s="72" t="s">
        <v>2158</v>
      </c>
      <c r="F531" s="73" t="s">
        <v>44</v>
      </c>
      <c r="G531" s="63" t="s">
        <v>15</v>
      </c>
      <c r="H531" s="80" t="s">
        <v>2159</v>
      </c>
      <c r="I531" s="81">
        <v>45628</v>
      </c>
      <c r="J531" s="81">
        <v>45630</v>
      </c>
      <c r="K531" s="66" t="s">
        <v>41</v>
      </c>
      <c r="L531" s="68">
        <v>9416.4599999999991</v>
      </c>
      <c r="M531" s="140">
        <v>4.9000000000000004</v>
      </c>
      <c r="N531" s="82">
        <v>20</v>
      </c>
      <c r="O531" s="67">
        <v>0</v>
      </c>
      <c r="P531" s="67">
        <v>19</v>
      </c>
      <c r="Q531" s="67">
        <v>0</v>
      </c>
      <c r="R531" s="67">
        <f t="shared" si="11"/>
        <v>19</v>
      </c>
      <c r="S531" s="66">
        <v>12</v>
      </c>
      <c r="T531" s="63" t="s">
        <v>1883</v>
      </c>
    </row>
    <row r="532" spans="1:20" ht="23.25" customHeight="1">
      <c r="A532" s="62" t="s">
        <v>2160</v>
      </c>
      <c r="B532" s="64">
        <v>2024</v>
      </c>
      <c r="C532" s="143" t="s">
        <v>52</v>
      </c>
      <c r="D532" s="64" t="s">
        <v>2161</v>
      </c>
      <c r="E532" s="69" t="s">
        <v>2162</v>
      </c>
      <c r="F532" s="71" t="s">
        <v>33</v>
      </c>
      <c r="G532" s="62" t="s">
        <v>32</v>
      </c>
      <c r="H532" s="78" t="s">
        <v>2163</v>
      </c>
      <c r="I532" s="79">
        <v>45631</v>
      </c>
      <c r="J532" s="79">
        <v>45631</v>
      </c>
      <c r="K532" s="64" t="s">
        <v>45</v>
      </c>
      <c r="L532" s="70">
        <v>28900</v>
      </c>
      <c r="M532" s="139">
        <v>5</v>
      </c>
      <c r="N532" s="83">
        <v>170</v>
      </c>
      <c r="O532" s="65">
        <v>118</v>
      </c>
      <c r="P532" s="65">
        <v>0</v>
      </c>
      <c r="Q532" s="65">
        <v>0</v>
      </c>
      <c r="R532" s="65">
        <f t="shared" si="11"/>
        <v>118</v>
      </c>
      <c r="S532" s="64">
        <v>1</v>
      </c>
      <c r="T532" s="62" t="s">
        <v>2164</v>
      </c>
    </row>
    <row r="533" spans="1:20" ht="23.25" customHeight="1">
      <c r="A533" s="63" t="s">
        <v>2165</v>
      </c>
      <c r="B533" s="66">
        <v>2024</v>
      </c>
      <c r="C533" s="143" t="s">
        <v>52</v>
      </c>
      <c r="D533" s="66" t="s">
        <v>1770</v>
      </c>
      <c r="E533" s="72" t="s">
        <v>2166</v>
      </c>
      <c r="F533" s="73" t="s">
        <v>33</v>
      </c>
      <c r="G533" s="63" t="s">
        <v>29</v>
      </c>
      <c r="H533" s="80" t="s">
        <v>2167</v>
      </c>
      <c r="I533" s="81">
        <v>45632</v>
      </c>
      <c r="J533" s="81">
        <v>45632</v>
      </c>
      <c r="K533" s="66" t="s">
        <v>45</v>
      </c>
      <c r="L533" s="68">
        <f>49600/8</f>
        <v>6200</v>
      </c>
      <c r="M533" s="140">
        <v>5</v>
      </c>
      <c r="N533" s="67">
        <v>40</v>
      </c>
      <c r="O533" s="67">
        <v>4</v>
      </c>
      <c r="P533" s="67">
        <v>0</v>
      </c>
      <c r="Q533" s="67">
        <v>0</v>
      </c>
      <c r="R533" s="67">
        <f t="shared" si="11"/>
        <v>4</v>
      </c>
      <c r="S533" s="66">
        <v>4</v>
      </c>
      <c r="T533" s="63" t="s">
        <v>1773</v>
      </c>
    </row>
    <row r="534" spans="1:20" ht="23.25" customHeight="1">
      <c r="A534" s="62" t="s">
        <v>2168</v>
      </c>
      <c r="B534" s="64">
        <v>2024</v>
      </c>
      <c r="C534" s="143" t="s">
        <v>52</v>
      </c>
      <c r="D534" s="64" t="s">
        <v>2169</v>
      </c>
      <c r="E534" s="69" t="s">
        <v>2170</v>
      </c>
      <c r="F534" s="71" t="s">
        <v>48</v>
      </c>
      <c r="G534" s="62" t="s">
        <v>15</v>
      </c>
      <c r="H534" s="78" t="s">
        <v>2167</v>
      </c>
      <c r="I534" s="79">
        <v>45632</v>
      </c>
      <c r="J534" s="79">
        <v>45632</v>
      </c>
      <c r="K534" s="64" t="s">
        <v>41</v>
      </c>
      <c r="L534" s="70">
        <v>3680.45</v>
      </c>
      <c r="M534" s="139">
        <v>4.8</v>
      </c>
      <c r="N534" s="83">
        <v>30</v>
      </c>
      <c r="O534" s="65">
        <v>0</v>
      </c>
      <c r="P534" s="65">
        <v>0</v>
      </c>
      <c r="Q534" s="65">
        <v>49</v>
      </c>
      <c r="R534" s="65">
        <f t="shared" si="11"/>
        <v>49</v>
      </c>
      <c r="S534" s="64">
        <v>4</v>
      </c>
      <c r="T534" s="62" t="s">
        <v>2171</v>
      </c>
    </row>
    <row r="535" spans="1:20" ht="23.25" customHeight="1">
      <c r="A535" s="63" t="s">
        <v>2172</v>
      </c>
      <c r="B535" s="66">
        <v>2024</v>
      </c>
      <c r="C535" s="143" t="s">
        <v>52</v>
      </c>
      <c r="D535" s="66" t="s">
        <v>1964</v>
      </c>
      <c r="E535" s="72" t="s">
        <v>2173</v>
      </c>
      <c r="F535" s="73" t="s">
        <v>48</v>
      </c>
      <c r="G535" s="63" t="s">
        <v>15</v>
      </c>
      <c r="H535" s="80" t="s">
        <v>2174</v>
      </c>
      <c r="I535" s="81">
        <v>45635</v>
      </c>
      <c r="J535" s="81">
        <v>45639</v>
      </c>
      <c r="K535" s="66" t="s">
        <v>41</v>
      </c>
      <c r="L535" s="68">
        <f>9154.9+1027</f>
        <v>10181.9</v>
      </c>
      <c r="M535" s="140">
        <v>4.9000000000000004</v>
      </c>
      <c r="N535" s="82">
        <v>60</v>
      </c>
      <c r="O535" s="67">
        <v>0</v>
      </c>
      <c r="P535" s="67">
        <v>0</v>
      </c>
      <c r="Q535" s="67">
        <v>94</v>
      </c>
      <c r="R535" s="67">
        <f t="shared" si="11"/>
        <v>94</v>
      </c>
      <c r="S535" s="66">
        <v>20</v>
      </c>
      <c r="T535" s="63" t="s">
        <v>3537</v>
      </c>
    </row>
    <row r="536" spans="1:20" ht="23.25" customHeight="1">
      <c r="A536" s="62" t="s">
        <v>2175</v>
      </c>
      <c r="B536" s="64">
        <v>2024</v>
      </c>
      <c r="C536" s="143" t="s">
        <v>52</v>
      </c>
      <c r="D536" s="64" t="s">
        <v>2176</v>
      </c>
      <c r="E536" s="69" t="s">
        <v>2177</v>
      </c>
      <c r="F536" s="71" t="s">
        <v>33</v>
      </c>
      <c r="G536" s="62" t="s">
        <v>22</v>
      </c>
      <c r="H536" s="78" t="s">
        <v>2178</v>
      </c>
      <c r="I536" s="79">
        <v>45641</v>
      </c>
      <c r="J536" s="79">
        <v>45641</v>
      </c>
      <c r="K536" s="64"/>
      <c r="L536" s="70"/>
      <c r="M536" s="139"/>
      <c r="N536" s="83"/>
      <c r="O536" s="65">
        <v>0</v>
      </c>
      <c r="P536" s="65">
        <v>0</v>
      </c>
      <c r="Q536" s="65">
        <v>0</v>
      </c>
      <c r="R536" s="65">
        <f t="shared" si="11"/>
        <v>0</v>
      </c>
      <c r="S536" s="64"/>
      <c r="T536" s="62"/>
    </row>
    <row r="537" spans="1:20" ht="23.25" customHeight="1">
      <c r="A537" s="63" t="s">
        <v>2179</v>
      </c>
      <c r="B537" s="66">
        <v>2025</v>
      </c>
      <c r="C537" s="143" t="s">
        <v>52</v>
      </c>
      <c r="D537" s="66" t="s">
        <v>2180</v>
      </c>
      <c r="E537" s="72" t="s">
        <v>2181</v>
      </c>
      <c r="F537" s="73" t="s">
        <v>44</v>
      </c>
      <c r="G537" s="63" t="s">
        <v>15</v>
      </c>
      <c r="H537" s="66" t="s">
        <v>2182</v>
      </c>
      <c r="I537" s="124">
        <v>45684</v>
      </c>
      <c r="J537" s="81">
        <v>45688</v>
      </c>
      <c r="K537" s="66" t="s">
        <v>41</v>
      </c>
      <c r="L537" s="68">
        <v>12813.06</v>
      </c>
      <c r="M537" s="140">
        <v>4.8</v>
      </c>
      <c r="N537" s="82">
        <v>20</v>
      </c>
      <c r="O537" s="67">
        <v>7</v>
      </c>
      <c r="P537" s="67">
        <v>14</v>
      </c>
      <c r="Q537" s="67">
        <v>0</v>
      </c>
      <c r="R537" s="67">
        <f t="shared" si="11"/>
        <v>21</v>
      </c>
      <c r="S537" s="66">
        <v>20</v>
      </c>
      <c r="T537" s="63" t="s">
        <v>116</v>
      </c>
    </row>
    <row r="538" spans="1:20" ht="23.25" customHeight="1">
      <c r="A538" s="62" t="s">
        <v>2183</v>
      </c>
      <c r="B538" s="64">
        <v>2025</v>
      </c>
      <c r="C538" s="143" t="s">
        <v>52</v>
      </c>
      <c r="D538" s="64" t="s">
        <v>2184</v>
      </c>
      <c r="E538" s="69" t="s">
        <v>2177</v>
      </c>
      <c r="F538" s="71" t="s">
        <v>33</v>
      </c>
      <c r="G538" s="62" t="s">
        <v>22</v>
      </c>
      <c r="H538" s="78" t="s">
        <v>2185</v>
      </c>
      <c r="I538" s="79">
        <v>45689</v>
      </c>
      <c r="J538" s="79">
        <v>45689</v>
      </c>
      <c r="K538" s="64"/>
      <c r="L538" s="70"/>
      <c r="M538" s="139"/>
      <c r="N538" s="83">
        <v>49</v>
      </c>
      <c r="O538" s="65">
        <v>49</v>
      </c>
      <c r="P538" s="65">
        <v>0</v>
      </c>
      <c r="Q538" s="65">
        <v>0</v>
      </c>
      <c r="R538" s="65">
        <f>SUM(O538:Q538)</f>
        <v>49</v>
      </c>
      <c r="S538" s="64"/>
      <c r="T538" s="62"/>
    </row>
    <row r="539" spans="1:20" ht="23.25" customHeight="1">
      <c r="A539" s="63" t="s">
        <v>2186</v>
      </c>
      <c r="B539" s="66">
        <v>2025</v>
      </c>
      <c r="C539" s="145" t="s">
        <v>52</v>
      </c>
      <c r="D539" s="66" t="s">
        <v>2187</v>
      </c>
      <c r="E539" s="72" t="s">
        <v>2188</v>
      </c>
      <c r="F539" s="73" t="s">
        <v>44</v>
      </c>
      <c r="G539" s="63" t="s">
        <v>15</v>
      </c>
      <c r="H539" s="80" t="s">
        <v>2189</v>
      </c>
      <c r="I539" s="81">
        <v>45691</v>
      </c>
      <c r="J539" s="81">
        <v>45694</v>
      </c>
      <c r="K539" s="66" t="s">
        <v>41</v>
      </c>
      <c r="L539" s="68">
        <v>9067.76</v>
      </c>
      <c r="M539" s="140">
        <v>4.7</v>
      </c>
      <c r="N539" s="82">
        <v>30</v>
      </c>
      <c r="O539" s="67">
        <v>0</v>
      </c>
      <c r="P539" s="67">
        <v>26</v>
      </c>
      <c r="Q539" s="67">
        <v>0</v>
      </c>
      <c r="R539" s="67">
        <f t="shared" ref="R539:R565" si="12">SUM(O539:Q539)</f>
        <v>26</v>
      </c>
      <c r="S539" s="66">
        <v>16</v>
      </c>
      <c r="T539" s="63" t="s">
        <v>3474</v>
      </c>
    </row>
    <row r="540" spans="1:20" ht="23.25" customHeight="1">
      <c r="A540" s="62" t="s">
        <v>2190</v>
      </c>
      <c r="B540" s="64">
        <v>2025</v>
      </c>
      <c r="C540" s="143" t="s">
        <v>52</v>
      </c>
      <c r="D540" s="64" t="s">
        <v>2191</v>
      </c>
      <c r="E540" s="69" t="s">
        <v>2192</v>
      </c>
      <c r="F540" s="71" t="s">
        <v>33</v>
      </c>
      <c r="G540" s="62" t="s">
        <v>35</v>
      </c>
      <c r="H540" s="78" t="s">
        <v>2193</v>
      </c>
      <c r="I540" s="79">
        <v>45691</v>
      </c>
      <c r="J540" s="79">
        <v>45692</v>
      </c>
      <c r="K540" s="64" t="s">
        <v>41</v>
      </c>
      <c r="L540" s="70">
        <v>0</v>
      </c>
      <c r="M540" s="139">
        <v>4.9000000000000004</v>
      </c>
      <c r="N540" s="83">
        <v>10</v>
      </c>
      <c r="O540" s="65">
        <v>8</v>
      </c>
      <c r="P540" s="65">
        <v>0</v>
      </c>
      <c r="Q540" s="65">
        <v>0</v>
      </c>
      <c r="R540" s="65">
        <f t="shared" si="12"/>
        <v>8</v>
      </c>
      <c r="S540" s="64">
        <v>8</v>
      </c>
      <c r="T540" s="62" t="s">
        <v>492</v>
      </c>
    </row>
    <row r="541" spans="1:20" ht="23.25" customHeight="1">
      <c r="A541" s="63" t="s">
        <v>2194</v>
      </c>
      <c r="B541" s="66">
        <v>2025</v>
      </c>
      <c r="C541" s="143" t="s">
        <v>52</v>
      </c>
      <c r="D541" s="66" t="s">
        <v>2195</v>
      </c>
      <c r="E541" s="72" t="s">
        <v>2196</v>
      </c>
      <c r="F541" s="73" t="s">
        <v>33</v>
      </c>
      <c r="G541" s="63" t="s">
        <v>10</v>
      </c>
      <c r="H541" s="66" t="s">
        <v>2197</v>
      </c>
      <c r="I541" s="81">
        <v>45691</v>
      </c>
      <c r="J541" s="81">
        <v>45693</v>
      </c>
      <c r="K541" s="66" t="s">
        <v>41</v>
      </c>
      <c r="L541" s="68">
        <v>9416.4599999999991</v>
      </c>
      <c r="M541" s="140">
        <v>5</v>
      </c>
      <c r="N541" s="82">
        <v>20</v>
      </c>
      <c r="O541" s="67">
        <v>14</v>
      </c>
      <c r="P541" s="67">
        <v>0</v>
      </c>
      <c r="Q541" s="67">
        <v>0</v>
      </c>
      <c r="R541" s="67">
        <f t="shared" si="12"/>
        <v>14</v>
      </c>
      <c r="S541" s="66">
        <v>12</v>
      </c>
      <c r="T541" s="63" t="s">
        <v>1907</v>
      </c>
    </row>
    <row r="542" spans="1:20" ht="23.25" customHeight="1">
      <c r="A542" s="62" t="s">
        <v>2198</v>
      </c>
      <c r="B542" s="64">
        <v>2025</v>
      </c>
      <c r="C542" s="145" t="s">
        <v>52</v>
      </c>
      <c r="D542" s="64" t="s">
        <v>2199</v>
      </c>
      <c r="E542" s="69" t="s">
        <v>2200</v>
      </c>
      <c r="F542" s="71" t="s">
        <v>48</v>
      </c>
      <c r="G542" s="62" t="s">
        <v>15</v>
      </c>
      <c r="H542" s="64" t="s">
        <v>2201</v>
      </c>
      <c r="I542" s="79">
        <v>45691</v>
      </c>
      <c r="J542" s="79">
        <v>45705</v>
      </c>
      <c r="K542" s="64" t="s">
        <v>41</v>
      </c>
      <c r="L542" s="70">
        <v>11334.7</v>
      </c>
      <c r="M542" s="139">
        <v>4.7</v>
      </c>
      <c r="N542" s="83">
        <v>20</v>
      </c>
      <c r="O542" s="65">
        <v>0</v>
      </c>
      <c r="P542" s="65">
        <v>0</v>
      </c>
      <c r="Q542" s="65">
        <v>30</v>
      </c>
      <c r="R542" s="65">
        <f t="shared" si="12"/>
        <v>30</v>
      </c>
      <c r="S542" s="64">
        <v>20</v>
      </c>
      <c r="T542" s="62" t="s">
        <v>3481</v>
      </c>
    </row>
    <row r="543" spans="1:20" ht="23.25" customHeight="1">
      <c r="A543" s="63" t="s">
        <v>2202</v>
      </c>
      <c r="B543" s="66">
        <v>2025</v>
      </c>
      <c r="C543" s="145" t="s">
        <v>52</v>
      </c>
      <c r="D543" s="66" t="s">
        <v>2203</v>
      </c>
      <c r="E543" s="72" t="s">
        <v>2204</v>
      </c>
      <c r="F543" s="73" t="s">
        <v>33</v>
      </c>
      <c r="G543" s="63" t="s">
        <v>25</v>
      </c>
      <c r="H543" s="80" t="s">
        <v>2205</v>
      </c>
      <c r="I543" s="81">
        <v>45694</v>
      </c>
      <c r="J543" s="81">
        <v>45702</v>
      </c>
      <c r="K543" s="66" t="s">
        <v>41</v>
      </c>
      <c r="L543" s="68">
        <v>15277.08</v>
      </c>
      <c r="M543" s="140">
        <v>5</v>
      </c>
      <c r="N543" s="82">
        <v>11</v>
      </c>
      <c r="O543" s="67">
        <v>11</v>
      </c>
      <c r="P543" s="67">
        <v>0</v>
      </c>
      <c r="Q543" s="67">
        <v>0</v>
      </c>
      <c r="R543" s="67">
        <f t="shared" si="12"/>
        <v>11</v>
      </c>
      <c r="S543" s="66">
        <v>20</v>
      </c>
      <c r="T543" s="63" t="s">
        <v>1778</v>
      </c>
    </row>
    <row r="544" spans="1:20" ht="23.25" customHeight="1">
      <c r="A544" s="62" t="s">
        <v>2206</v>
      </c>
      <c r="B544" s="64">
        <v>2025</v>
      </c>
      <c r="C544" s="145" t="s">
        <v>52</v>
      </c>
      <c r="D544" s="64" t="s">
        <v>2207</v>
      </c>
      <c r="E544" s="69" t="s">
        <v>2208</v>
      </c>
      <c r="F544" s="71" t="s">
        <v>33</v>
      </c>
      <c r="G544" s="62" t="s">
        <v>7</v>
      </c>
      <c r="H544" s="78" t="s">
        <v>2209</v>
      </c>
      <c r="I544" s="79">
        <v>45698</v>
      </c>
      <c r="J544" s="79">
        <v>45702</v>
      </c>
      <c r="K544" s="64" t="s">
        <v>45</v>
      </c>
      <c r="L544" s="70">
        <f>402.17*12</f>
        <v>4826.04</v>
      </c>
      <c r="M544" s="139">
        <v>4.8</v>
      </c>
      <c r="N544" s="83">
        <v>40</v>
      </c>
      <c r="O544" s="65">
        <v>43</v>
      </c>
      <c r="P544" s="65">
        <v>0</v>
      </c>
      <c r="Q544" s="65">
        <v>0</v>
      </c>
      <c r="R544" s="65">
        <f t="shared" si="12"/>
        <v>43</v>
      </c>
      <c r="S544" s="64">
        <v>12</v>
      </c>
      <c r="T544" s="62" t="s">
        <v>1747</v>
      </c>
    </row>
    <row r="545" spans="1:20" ht="23.25" customHeight="1">
      <c r="A545" s="63" t="s">
        <v>2210</v>
      </c>
      <c r="B545" s="66">
        <v>2025</v>
      </c>
      <c r="C545" s="145" t="s">
        <v>52</v>
      </c>
      <c r="D545" s="66" t="s">
        <v>2211</v>
      </c>
      <c r="E545" s="72" t="s">
        <v>2212</v>
      </c>
      <c r="F545" s="73" t="s">
        <v>44</v>
      </c>
      <c r="G545" s="63" t="s">
        <v>15</v>
      </c>
      <c r="H545" s="66" t="s">
        <v>2213</v>
      </c>
      <c r="I545" s="81">
        <v>45699</v>
      </c>
      <c r="J545" s="81">
        <v>45708</v>
      </c>
      <c r="K545" s="66" t="s">
        <v>41</v>
      </c>
      <c r="L545" s="68">
        <v>16717.68</v>
      </c>
      <c r="M545" s="140">
        <v>4.8</v>
      </c>
      <c r="N545" s="82">
        <v>40</v>
      </c>
      <c r="O545" s="67">
        <v>6</v>
      </c>
      <c r="P545" s="67">
        <v>48</v>
      </c>
      <c r="Q545" s="67">
        <v>0</v>
      </c>
      <c r="R545" s="67">
        <f t="shared" si="12"/>
        <v>54</v>
      </c>
      <c r="S545" s="66">
        <v>20</v>
      </c>
      <c r="T545" s="63" t="s">
        <v>963</v>
      </c>
    </row>
    <row r="546" spans="1:20" ht="23.25" customHeight="1">
      <c r="A546" s="62" t="s">
        <v>2214</v>
      </c>
      <c r="B546" s="64">
        <v>2025</v>
      </c>
      <c r="C546" s="143" t="s">
        <v>52</v>
      </c>
      <c r="D546" s="64" t="s">
        <v>2215</v>
      </c>
      <c r="E546" s="69" t="s">
        <v>2216</v>
      </c>
      <c r="F546" s="71" t="s">
        <v>33</v>
      </c>
      <c r="G546" s="62" t="s">
        <v>25</v>
      </c>
      <c r="H546" s="78" t="s">
        <v>2217</v>
      </c>
      <c r="I546" s="79">
        <v>45706</v>
      </c>
      <c r="J546" s="79">
        <v>45707</v>
      </c>
      <c r="K546" s="64" t="s">
        <v>45</v>
      </c>
      <c r="L546" s="70">
        <v>8954.4</v>
      </c>
      <c r="M546" s="139">
        <v>5</v>
      </c>
      <c r="N546" s="83">
        <v>3</v>
      </c>
      <c r="O546" s="65">
        <v>3</v>
      </c>
      <c r="P546" s="65">
        <v>0</v>
      </c>
      <c r="Q546" s="65">
        <v>0</v>
      </c>
      <c r="R546" s="65">
        <f t="shared" si="12"/>
        <v>3</v>
      </c>
      <c r="S546" s="64">
        <v>16</v>
      </c>
      <c r="T546" s="62" t="s">
        <v>1611</v>
      </c>
    </row>
    <row r="547" spans="1:20" ht="23.25" customHeight="1">
      <c r="A547" s="63" t="s">
        <v>2218</v>
      </c>
      <c r="B547" s="66">
        <v>2025</v>
      </c>
      <c r="C547" s="143" t="s">
        <v>52</v>
      </c>
      <c r="D547" s="66" t="s">
        <v>2219</v>
      </c>
      <c r="E547" s="72" t="s">
        <v>2220</v>
      </c>
      <c r="F547" s="73" t="s">
        <v>33</v>
      </c>
      <c r="G547" s="63" t="s">
        <v>10</v>
      </c>
      <c r="H547" s="66" t="s">
        <v>2221</v>
      </c>
      <c r="I547" s="81">
        <v>45706</v>
      </c>
      <c r="J547" s="81">
        <v>45708</v>
      </c>
      <c r="K547" s="66" t="s">
        <v>41</v>
      </c>
      <c r="L547" s="68">
        <v>4533.88</v>
      </c>
      <c r="M547" s="140">
        <v>4.8</v>
      </c>
      <c r="N547" s="82">
        <v>25</v>
      </c>
      <c r="O547" s="67">
        <v>21</v>
      </c>
      <c r="P547" s="67">
        <v>0</v>
      </c>
      <c r="Q547" s="67">
        <v>0</v>
      </c>
      <c r="R547" s="67">
        <f t="shared" si="12"/>
        <v>21</v>
      </c>
      <c r="S547" s="66">
        <v>8</v>
      </c>
      <c r="T547" s="63" t="s">
        <v>2004</v>
      </c>
    </row>
    <row r="548" spans="1:20" ht="23.25" customHeight="1">
      <c r="A548" s="62" t="s">
        <v>2222</v>
      </c>
      <c r="B548" s="64">
        <v>2025</v>
      </c>
      <c r="C548" s="143" t="s">
        <v>52</v>
      </c>
      <c r="D548" s="64" t="s">
        <v>2223</v>
      </c>
      <c r="E548" s="69" t="s">
        <v>2224</v>
      </c>
      <c r="F548" s="71" t="s">
        <v>48</v>
      </c>
      <c r="G548" s="62" t="s">
        <v>15</v>
      </c>
      <c r="H548" s="78" t="s">
        <v>2225</v>
      </c>
      <c r="I548" s="79">
        <v>45709</v>
      </c>
      <c r="J548" s="79">
        <v>45709</v>
      </c>
      <c r="K548" s="64" t="s">
        <v>41</v>
      </c>
      <c r="L548" s="70">
        <v>2677.79</v>
      </c>
      <c r="M548" s="139">
        <v>4.8</v>
      </c>
      <c r="N548" s="83">
        <v>30</v>
      </c>
      <c r="O548" s="65">
        <v>0</v>
      </c>
      <c r="P548" s="65">
        <v>0</v>
      </c>
      <c r="Q548" s="65">
        <v>44</v>
      </c>
      <c r="R548" s="65">
        <f t="shared" si="12"/>
        <v>44</v>
      </c>
      <c r="S548" s="64">
        <v>4</v>
      </c>
      <c r="T548" s="62" t="s">
        <v>492</v>
      </c>
    </row>
    <row r="549" spans="1:20" ht="23.25" customHeight="1">
      <c r="A549" s="63" t="s">
        <v>2226</v>
      </c>
      <c r="B549" s="66">
        <v>2025</v>
      </c>
      <c r="C549" s="145" t="s">
        <v>52</v>
      </c>
      <c r="D549" s="66" t="s">
        <v>2227</v>
      </c>
      <c r="E549" s="72" t="s">
        <v>2228</v>
      </c>
      <c r="F549" s="73" t="s">
        <v>44</v>
      </c>
      <c r="G549" s="63" t="s">
        <v>15</v>
      </c>
      <c r="H549" s="80" t="s">
        <v>2229</v>
      </c>
      <c r="I549" s="81">
        <v>45712</v>
      </c>
      <c r="J549" s="81">
        <v>45716</v>
      </c>
      <c r="K549" s="66" t="s">
        <v>41</v>
      </c>
      <c r="L549" s="68">
        <v>12813.06</v>
      </c>
      <c r="M549" s="140">
        <v>4.7</v>
      </c>
      <c r="N549" s="82">
        <v>40</v>
      </c>
      <c r="O549" s="67">
        <v>7</v>
      </c>
      <c r="P549" s="67">
        <v>42</v>
      </c>
      <c r="Q549" s="67">
        <v>0</v>
      </c>
      <c r="R549" s="67">
        <f t="shared" si="12"/>
        <v>49</v>
      </c>
      <c r="S549" s="66">
        <v>20</v>
      </c>
      <c r="T549" s="63" t="s">
        <v>116</v>
      </c>
    </row>
    <row r="550" spans="1:20" ht="23.25" customHeight="1">
      <c r="A550" s="62" t="s">
        <v>2230</v>
      </c>
      <c r="B550" s="64">
        <v>2025</v>
      </c>
      <c r="C550" s="143" t="s">
        <v>52</v>
      </c>
      <c r="D550" s="64" t="s">
        <v>2231</v>
      </c>
      <c r="E550" s="69" t="s">
        <v>2232</v>
      </c>
      <c r="F550" s="71" t="s">
        <v>33</v>
      </c>
      <c r="G550" s="62" t="s">
        <v>25</v>
      </c>
      <c r="H550" s="78" t="s">
        <v>2233</v>
      </c>
      <c r="I550" s="79">
        <v>45726</v>
      </c>
      <c r="J550" s="79">
        <v>45728</v>
      </c>
      <c r="K550" s="64" t="s">
        <v>45</v>
      </c>
      <c r="L550" s="70">
        <v>4800</v>
      </c>
      <c r="M550" s="139">
        <v>4.8</v>
      </c>
      <c r="N550" s="83">
        <v>20</v>
      </c>
      <c r="O550" s="65">
        <v>16</v>
      </c>
      <c r="P550" s="65">
        <v>0</v>
      </c>
      <c r="Q550" s="65">
        <v>0</v>
      </c>
      <c r="R550" s="65">
        <f t="shared" si="12"/>
        <v>16</v>
      </c>
      <c r="S550" s="64">
        <v>16</v>
      </c>
      <c r="T550" s="62" t="s">
        <v>2234</v>
      </c>
    </row>
    <row r="551" spans="1:20" ht="23.25" customHeight="1">
      <c r="A551" s="63" t="s">
        <v>2235</v>
      </c>
      <c r="B551" s="66">
        <v>2025</v>
      </c>
      <c r="C551" s="145" t="s">
        <v>52</v>
      </c>
      <c r="D551" s="66" t="s">
        <v>2236</v>
      </c>
      <c r="E551" s="72" t="s">
        <v>2237</v>
      </c>
      <c r="F551" s="73" t="s">
        <v>33</v>
      </c>
      <c r="G551" s="63" t="s">
        <v>10</v>
      </c>
      <c r="H551" s="125" t="s">
        <v>2238</v>
      </c>
      <c r="I551" s="81">
        <v>45727</v>
      </c>
      <c r="J551" s="81">
        <v>45751</v>
      </c>
      <c r="K551" s="66" t="s">
        <v>45</v>
      </c>
      <c r="L551" s="68">
        <v>32000</v>
      </c>
      <c r="M551" s="140">
        <v>4.7</v>
      </c>
      <c r="N551" s="82">
        <v>30</v>
      </c>
      <c r="O551" s="67">
        <v>27</v>
      </c>
      <c r="P551" s="67">
        <v>0</v>
      </c>
      <c r="Q551" s="67">
        <v>0</v>
      </c>
      <c r="R551" s="67">
        <f t="shared" si="12"/>
        <v>27</v>
      </c>
      <c r="S551" s="66">
        <v>40</v>
      </c>
      <c r="T551" s="63" t="s">
        <v>2239</v>
      </c>
    </row>
    <row r="552" spans="1:20" ht="23.25" customHeight="1">
      <c r="A552" s="62" t="s">
        <v>2240</v>
      </c>
      <c r="B552" s="64">
        <v>2025</v>
      </c>
      <c r="C552" s="143" t="s">
        <v>52</v>
      </c>
      <c r="D552" s="64" t="s">
        <v>2241</v>
      </c>
      <c r="E552" s="69" t="s">
        <v>2242</v>
      </c>
      <c r="F552" s="71" t="s">
        <v>48</v>
      </c>
      <c r="G552" s="62" t="s">
        <v>15</v>
      </c>
      <c r="H552" s="78" t="s">
        <v>2243</v>
      </c>
      <c r="I552" s="79">
        <v>45727</v>
      </c>
      <c r="J552" s="79">
        <v>45727</v>
      </c>
      <c r="K552" s="64" t="s">
        <v>49</v>
      </c>
      <c r="L552" s="70">
        <v>0</v>
      </c>
      <c r="M552" s="139">
        <v>5</v>
      </c>
      <c r="N552" s="83">
        <v>170</v>
      </c>
      <c r="O552" s="65">
        <v>29</v>
      </c>
      <c r="P552" s="65">
        <v>25</v>
      </c>
      <c r="Q552" s="65">
        <v>60</v>
      </c>
      <c r="R552" s="65">
        <f t="shared" si="12"/>
        <v>114</v>
      </c>
      <c r="S552" s="64">
        <v>2</v>
      </c>
      <c r="T552" s="62" t="s">
        <v>492</v>
      </c>
    </row>
    <row r="553" spans="1:20" ht="23.25" customHeight="1">
      <c r="A553" s="63" t="s">
        <v>2244</v>
      </c>
      <c r="B553" s="66">
        <v>2025</v>
      </c>
      <c r="C553" s="143" t="s">
        <v>52</v>
      </c>
      <c r="D553" s="66" t="s">
        <v>2219</v>
      </c>
      <c r="E553" s="72" t="s">
        <v>2245</v>
      </c>
      <c r="F553" s="73" t="s">
        <v>44</v>
      </c>
      <c r="G553" s="63" t="s">
        <v>15</v>
      </c>
      <c r="H553" s="63" t="s">
        <v>2246</v>
      </c>
      <c r="I553" s="81">
        <v>45729</v>
      </c>
      <c r="J553" s="81">
        <v>45730</v>
      </c>
      <c r="K553" s="66" t="s">
        <v>41</v>
      </c>
      <c r="L553" s="68">
        <v>4533.88</v>
      </c>
      <c r="M553" s="140">
        <v>4.8</v>
      </c>
      <c r="N553" s="82">
        <v>25</v>
      </c>
      <c r="O553" s="67">
        <v>11</v>
      </c>
      <c r="P553" s="67">
        <v>12</v>
      </c>
      <c r="Q553" s="67">
        <v>1</v>
      </c>
      <c r="R553" s="67">
        <f t="shared" si="12"/>
        <v>24</v>
      </c>
      <c r="S553" s="66">
        <v>8</v>
      </c>
      <c r="T553" s="63" t="s">
        <v>2004</v>
      </c>
    </row>
    <row r="554" spans="1:20" ht="23.25" customHeight="1">
      <c r="A554" s="62" t="s">
        <v>2247</v>
      </c>
      <c r="B554" s="64">
        <v>2025</v>
      </c>
      <c r="C554" s="145" t="s">
        <v>52</v>
      </c>
      <c r="D554" s="64" t="s">
        <v>2248</v>
      </c>
      <c r="E554" s="69" t="s">
        <v>2249</v>
      </c>
      <c r="F554" s="71" t="s">
        <v>33</v>
      </c>
      <c r="G554" s="62" t="s">
        <v>22</v>
      </c>
      <c r="H554" s="62" t="s">
        <v>2250</v>
      </c>
      <c r="I554" s="79">
        <v>45733</v>
      </c>
      <c r="J554" s="79">
        <v>45737</v>
      </c>
      <c r="K554" s="64" t="s">
        <v>41</v>
      </c>
      <c r="L554" s="70">
        <v>12813.06</v>
      </c>
      <c r="M554" s="139">
        <v>4.8</v>
      </c>
      <c r="N554" s="83">
        <v>20</v>
      </c>
      <c r="O554" s="65">
        <v>21</v>
      </c>
      <c r="P554" s="65">
        <v>0</v>
      </c>
      <c r="Q554" s="65">
        <v>0</v>
      </c>
      <c r="R554" s="65">
        <f t="shared" si="12"/>
        <v>21</v>
      </c>
      <c r="S554" s="64">
        <v>20</v>
      </c>
      <c r="T554" s="62" t="s">
        <v>248</v>
      </c>
    </row>
    <row r="555" spans="1:20" ht="23.25" customHeight="1">
      <c r="A555" s="63" t="s">
        <v>2251</v>
      </c>
      <c r="B555" s="66">
        <v>2025</v>
      </c>
      <c r="C555" s="145" t="s">
        <v>52</v>
      </c>
      <c r="D555" s="66" t="s">
        <v>2252</v>
      </c>
      <c r="E555" s="72" t="s">
        <v>2253</v>
      </c>
      <c r="F555" s="73" t="s">
        <v>48</v>
      </c>
      <c r="G555" s="63" t="s">
        <v>15</v>
      </c>
      <c r="H555" s="80" t="s">
        <v>2254</v>
      </c>
      <c r="I555" s="81">
        <v>45733</v>
      </c>
      <c r="J555" s="81">
        <v>45737</v>
      </c>
      <c r="K555" s="66" t="s">
        <v>49</v>
      </c>
      <c r="L555" s="68">
        <f>4708.23+830.87</f>
        <v>5539.0999999999995</v>
      </c>
      <c r="M555" s="140">
        <v>4.8</v>
      </c>
      <c r="N555" s="82">
        <v>30</v>
      </c>
      <c r="O555" s="67">
        <v>0</v>
      </c>
      <c r="P555" s="67">
        <v>0</v>
      </c>
      <c r="Q555" s="67">
        <v>38</v>
      </c>
      <c r="R555" s="67">
        <f t="shared" si="12"/>
        <v>38</v>
      </c>
      <c r="S555" s="66">
        <v>12</v>
      </c>
      <c r="T555" s="63" t="s">
        <v>1926</v>
      </c>
    </row>
    <row r="556" spans="1:20" ht="23.25" customHeight="1">
      <c r="A556" s="62" t="s">
        <v>2255</v>
      </c>
      <c r="B556" s="64">
        <v>2025</v>
      </c>
      <c r="C556" s="143" t="s">
        <v>52</v>
      </c>
      <c r="D556" s="64"/>
      <c r="E556" s="69" t="s">
        <v>2256</v>
      </c>
      <c r="F556" s="71" t="s">
        <v>48</v>
      </c>
      <c r="G556" s="62" t="s">
        <v>15</v>
      </c>
      <c r="H556" s="78" t="s">
        <v>2257</v>
      </c>
      <c r="I556" s="79">
        <v>45736</v>
      </c>
      <c r="J556" s="79">
        <v>45737</v>
      </c>
      <c r="K556" s="64" t="s">
        <v>45</v>
      </c>
      <c r="L556" s="70">
        <v>0</v>
      </c>
      <c r="M556" s="139">
        <v>4.9000000000000004</v>
      </c>
      <c r="N556" s="83">
        <v>170</v>
      </c>
      <c r="O556" s="65">
        <v>0</v>
      </c>
      <c r="P556" s="65">
        <v>0</v>
      </c>
      <c r="Q556" s="65">
        <v>97</v>
      </c>
      <c r="R556" s="65">
        <f t="shared" si="12"/>
        <v>97</v>
      </c>
      <c r="S556" s="64">
        <v>16</v>
      </c>
      <c r="T556" s="62" t="s">
        <v>2258</v>
      </c>
    </row>
    <row r="557" spans="1:20" ht="23.25" customHeight="1">
      <c r="A557" s="63" t="s">
        <v>2259</v>
      </c>
      <c r="B557" s="66">
        <v>2025</v>
      </c>
      <c r="C557" s="143" t="s">
        <v>52</v>
      </c>
      <c r="D557" s="66" t="s">
        <v>2260</v>
      </c>
      <c r="E557" s="72" t="s">
        <v>2261</v>
      </c>
      <c r="F557" s="73" t="s">
        <v>48</v>
      </c>
      <c r="G557" s="63" t="s">
        <v>15</v>
      </c>
      <c r="H557" s="80" t="s">
        <v>2262</v>
      </c>
      <c r="I557" s="81">
        <v>45740</v>
      </c>
      <c r="J557" s="81">
        <v>45744</v>
      </c>
      <c r="K557" s="66" t="s">
        <v>49</v>
      </c>
      <c r="L557" s="68">
        <f>4708.23+830.87</f>
        <v>5539.0999999999995</v>
      </c>
      <c r="M557" s="140">
        <v>4.7</v>
      </c>
      <c r="N557" s="82">
        <v>30</v>
      </c>
      <c r="O557" s="67">
        <v>0</v>
      </c>
      <c r="P557" s="67">
        <v>0</v>
      </c>
      <c r="Q557" s="67">
        <v>38</v>
      </c>
      <c r="R557" s="67">
        <f t="shared" si="12"/>
        <v>38</v>
      </c>
      <c r="S557" s="66">
        <v>12</v>
      </c>
      <c r="T557" s="63" t="s">
        <v>1926</v>
      </c>
    </row>
    <row r="558" spans="1:20" ht="23.25" customHeight="1">
      <c r="A558" s="62" t="s">
        <v>2263</v>
      </c>
      <c r="B558" s="64">
        <v>2025</v>
      </c>
      <c r="C558" s="145" t="s">
        <v>52</v>
      </c>
      <c r="D558" s="64" t="s">
        <v>2264</v>
      </c>
      <c r="E558" s="69" t="s">
        <v>2265</v>
      </c>
      <c r="F558" s="71" t="s">
        <v>33</v>
      </c>
      <c r="G558" s="62" t="s">
        <v>35</v>
      </c>
      <c r="H558" s="78" t="s">
        <v>2266</v>
      </c>
      <c r="I558" s="79">
        <v>45743</v>
      </c>
      <c r="J558" s="79">
        <v>45744</v>
      </c>
      <c r="K558" s="64" t="s">
        <v>41</v>
      </c>
      <c r="L558" s="70">
        <v>0</v>
      </c>
      <c r="M558" s="139">
        <v>5</v>
      </c>
      <c r="N558" s="83">
        <v>12</v>
      </c>
      <c r="O558" s="65">
        <v>8</v>
      </c>
      <c r="P558" s="65">
        <v>0</v>
      </c>
      <c r="Q558" s="65">
        <v>0</v>
      </c>
      <c r="R558" s="65">
        <f t="shared" si="12"/>
        <v>8</v>
      </c>
      <c r="S558" s="64">
        <v>8</v>
      </c>
      <c r="T558" s="62" t="s">
        <v>492</v>
      </c>
    </row>
    <row r="559" spans="1:20" ht="23.25" customHeight="1">
      <c r="A559" s="63" t="s">
        <v>2267</v>
      </c>
      <c r="B559" s="66">
        <v>2025</v>
      </c>
      <c r="C559" s="145" t="s">
        <v>52</v>
      </c>
      <c r="D559" s="66" t="s">
        <v>2180</v>
      </c>
      <c r="E559" s="72" t="s">
        <v>1334</v>
      </c>
      <c r="F559" s="73" t="s">
        <v>44</v>
      </c>
      <c r="G559" s="63" t="s">
        <v>15</v>
      </c>
      <c r="H559" s="80" t="s">
        <v>2268</v>
      </c>
      <c r="I559" s="81">
        <v>45747</v>
      </c>
      <c r="J559" s="81">
        <v>45751</v>
      </c>
      <c r="K559" s="66" t="s">
        <v>41</v>
      </c>
      <c r="L559" s="68">
        <v>12813.06</v>
      </c>
      <c r="M559" s="140">
        <v>4.5999999999999996</v>
      </c>
      <c r="N559" s="82">
        <v>20</v>
      </c>
      <c r="O559" s="67">
        <v>1</v>
      </c>
      <c r="P559" s="67">
        <v>22</v>
      </c>
      <c r="Q559" s="67">
        <v>0</v>
      </c>
      <c r="R559" s="67">
        <f t="shared" si="12"/>
        <v>23</v>
      </c>
      <c r="S559" s="66">
        <v>20</v>
      </c>
      <c r="T559" s="63" t="s">
        <v>116</v>
      </c>
    </row>
    <row r="560" spans="1:20" ht="23.25" customHeight="1">
      <c r="A560" s="62" t="s">
        <v>2269</v>
      </c>
      <c r="B560" s="64">
        <v>2025</v>
      </c>
      <c r="C560" s="145" t="s">
        <v>52</v>
      </c>
      <c r="D560" s="64" t="s">
        <v>2270</v>
      </c>
      <c r="E560" s="69" t="s">
        <v>2271</v>
      </c>
      <c r="F560" s="71" t="s">
        <v>33</v>
      </c>
      <c r="G560" s="62" t="s">
        <v>10</v>
      </c>
      <c r="H560" s="78" t="s">
        <v>2272</v>
      </c>
      <c r="I560" s="79">
        <v>45748</v>
      </c>
      <c r="J560" s="79">
        <v>45758</v>
      </c>
      <c r="K560" s="64" t="s">
        <v>41</v>
      </c>
      <c r="L560" s="70">
        <v>13374.14</v>
      </c>
      <c r="M560" s="139">
        <v>4.8</v>
      </c>
      <c r="N560" s="83">
        <v>20</v>
      </c>
      <c r="O560" s="65">
        <v>20</v>
      </c>
      <c r="P560" s="65">
        <v>0</v>
      </c>
      <c r="Q560" s="65">
        <v>0</v>
      </c>
      <c r="R560" s="65">
        <f t="shared" si="12"/>
        <v>20</v>
      </c>
      <c r="S560" s="64">
        <v>16</v>
      </c>
      <c r="T560" s="62" t="s">
        <v>2273</v>
      </c>
    </row>
    <row r="561" spans="1:20" ht="23.25" customHeight="1">
      <c r="A561" s="63" t="s">
        <v>2274</v>
      </c>
      <c r="B561" s="66">
        <v>2025</v>
      </c>
      <c r="C561" s="143" t="s">
        <v>52</v>
      </c>
      <c r="D561" s="66" t="s">
        <v>2275</v>
      </c>
      <c r="E561" s="72" t="s">
        <v>2276</v>
      </c>
      <c r="F561" s="73" t="s">
        <v>33</v>
      </c>
      <c r="G561" s="63" t="s">
        <v>25</v>
      </c>
      <c r="H561" s="80" t="s">
        <v>2277</v>
      </c>
      <c r="I561" s="81">
        <v>45748</v>
      </c>
      <c r="J561" s="81">
        <v>45870</v>
      </c>
      <c r="K561" s="66" t="s">
        <v>45</v>
      </c>
      <c r="L561" s="68">
        <v>40716</v>
      </c>
      <c r="M561" s="140">
        <v>5</v>
      </c>
      <c r="N561" s="82">
        <v>13</v>
      </c>
      <c r="O561" s="67">
        <v>13</v>
      </c>
      <c r="P561" s="67">
        <v>0</v>
      </c>
      <c r="Q561" s="67">
        <v>0</v>
      </c>
      <c r="R561" s="67">
        <f t="shared" si="12"/>
        <v>13</v>
      </c>
      <c r="S561" s="66">
        <v>16</v>
      </c>
      <c r="T561" s="63" t="s">
        <v>2278</v>
      </c>
    </row>
    <row r="562" spans="1:20" ht="23.25" customHeight="1">
      <c r="A562" s="62" t="s">
        <v>2279</v>
      </c>
      <c r="B562" s="64">
        <v>2025</v>
      </c>
      <c r="C562" s="143" t="s">
        <v>52</v>
      </c>
      <c r="D562" s="64" t="s">
        <v>2280</v>
      </c>
      <c r="E562" s="69" t="s">
        <v>2281</v>
      </c>
      <c r="F562" s="71" t="s">
        <v>44</v>
      </c>
      <c r="G562" s="62" t="s">
        <v>15</v>
      </c>
      <c r="H562" s="78" t="s">
        <v>2282</v>
      </c>
      <c r="I562" s="79">
        <v>45750</v>
      </c>
      <c r="J562" s="79">
        <v>45751</v>
      </c>
      <c r="K562" s="64" t="s">
        <v>49</v>
      </c>
      <c r="L562" s="70">
        <v>0</v>
      </c>
      <c r="M562" s="139">
        <v>4.9000000000000004</v>
      </c>
      <c r="N562" s="83">
        <v>170</v>
      </c>
      <c r="O562" s="65">
        <v>20</v>
      </c>
      <c r="P562" s="65">
        <v>151</v>
      </c>
      <c r="Q562" s="65">
        <v>79</v>
      </c>
      <c r="R562" s="65">
        <f t="shared" si="12"/>
        <v>250</v>
      </c>
      <c r="S562" s="64">
        <v>12</v>
      </c>
      <c r="T562" s="62" t="s">
        <v>492</v>
      </c>
    </row>
    <row r="563" spans="1:20" ht="23.25" customHeight="1">
      <c r="A563" s="63" t="s">
        <v>2283</v>
      </c>
      <c r="B563" s="66">
        <v>2025</v>
      </c>
      <c r="C563" s="143" t="s">
        <v>52</v>
      </c>
      <c r="D563" s="66" t="s">
        <v>2284</v>
      </c>
      <c r="E563" s="72" t="s">
        <v>2141</v>
      </c>
      <c r="F563" s="73" t="s">
        <v>44</v>
      </c>
      <c r="G563" s="63" t="s">
        <v>15</v>
      </c>
      <c r="H563" s="80" t="s">
        <v>2285</v>
      </c>
      <c r="I563" s="81">
        <v>45754</v>
      </c>
      <c r="J563" s="81">
        <v>45757</v>
      </c>
      <c r="K563" s="66" t="s">
        <v>41</v>
      </c>
      <c r="L563" s="68">
        <v>9067.76</v>
      </c>
      <c r="M563" s="140">
        <v>5</v>
      </c>
      <c r="N563" s="82">
        <v>30</v>
      </c>
      <c r="O563" s="67">
        <v>0</v>
      </c>
      <c r="P563" s="67">
        <v>32</v>
      </c>
      <c r="Q563" s="67">
        <v>0</v>
      </c>
      <c r="R563" s="67">
        <f t="shared" si="12"/>
        <v>32</v>
      </c>
      <c r="S563" s="66">
        <v>16</v>
      </c>
      <c r="T563" s="63" t="s">
        <v>726</v>
      </c>
    </row>
    <row r="564" spans="1:20" ht="23.25" customHeight="1">
      <c r="A564" s="62" t="s">
        <v>2286</v>
      </c>
      <c r="B564" s="64">
        <v>2025</v>
      </c>
      <c r="C564" s="143" t="s">
        <v>52</v>
      </c>
      <c r="D564" s="64" t="s">
        <v>2287</v>
      </c>
      <c r="E564" s="69" t="s">
        <v>2288</v>
      </c>
      <c r="F564" s="71" t="s">
        <v>44</v>
      </c>
      <c r="G564" s="62" t="s">
        <v>15</v>
      </c>
      <c r="H564" s="126" t="s">
        <v>2289</v>
      </c>
      <c r="I564" s="79">
        <v>45757</v>
      </c>
      <c r="J564" s="79">
        <v>45762</v>
      </c>
      <c r="K564" s="64" t="s">
        <v>45</v>
      </c>
      <c r="L564" s="70">
        <v>10400</v>
      </c>
      <c r="M564" s="139">
        <v>4.9000000000000004</v>
      </c>
      <c r="N564" s="83">
        <v>40</v>
      </c>
      <c r="O564" s="65">
        <v>4</v>
      </c>
      <c r="P564" s="65">
        <v>37</v>
      </c>
      <c r="Q564" s="65">
        <v>0</v>
      </c>
      <c r="R564" s="65">
        <f t="shared" si="12"/>
        <v>41</v>
      </c>
      <c r="S564" s="64">
        <v>16</v>
      </c>
      <c r="T564" s="62" t="s">
        <v>2018</v>
      </c>
    </row>
    <row r="565" spans="1:20" ht="23.25" customHeight="1">
      <c r="A565" s="63" t="s">
        <v>2290</v>
      </c>
      <c r="B565" s="66">
        <v>2025</v>
      </c>
      <c r="C565" s="143" t="s">
        <v>52</v>
      </c>
      <c r="D565" s="66" t="s">
        <v>2291</v>
      </c>
      <c r="E565" s="72" t="s">
        <v>2292</v>
      </c>
      <c r="F565" s="73" t="s">
        <v>33</v>
      </c>
      <c r="G565" s="63" t="s">
        <v>22</v>
      </c>
      <c r="H565" s="80" t="s">
        <v>2293</v>
      </c>
      <c r="I565" s="81">
        <v>45757</v>
      </c>
      <c r="J565" s="81">
        <v>45757</v>
      </c>
      <c r="K565" s="66" t="s">
        <v>45</v>
      </c>
      <c r="L565" s="68">
        <v>0</v>
      </c>
      <c r="M565" s="140">
        <v>4.5999999999999996</v>
      </c>
      <c r="N565" s="82">
        <v>75</v>
      </c>
      <c r="O565" s="67">
        <v>75</v>
      </c>
      <c r="P565" s="67">
        <v>0</v>
      </c>
      <c r="Q565" s="67">
        <v>0</v>
      </c>
      <c r="R565" s="67">
        <f t="shared" si="12"/>
        <v>75</v>
      </c>
      <c r="S565" s="66">
        <v>2</v>
      </c>
      <c r="T565" s="63" t="s">
        <v>2294</v>
      </c>
    </row>
    <row r="566" spans="1:20" ht="23.25" customHeight="1">
      <c r="A566" s="62" t="s">
        <v>2295</v>
      </c>
      <c r="B566" s="64">
        <v>2025</v>
      </c>
      <c r="C566" s="145" t="s">
        <v>52</v>
      </c>
      <c r="D566" s="64" t="s">
        <v>2296</v>
      </c>
      <c r="E566" s="69" t="s">
        <v>2297</v>
      </c>
      <c r="F566" s="71" t="s">
        <v>44</v>
      </c>
      <c r="G566" s="62" t="s">
        <v>22</v>
      </c>
      <c r="H566" s="78" t="s">
        <v>2298</v>
      </c>
      <c r="I566" s="79">
        <v>45758</v>
      </c>
      <c r="J566" s="79">
        <v>45758</v>
      </c>
      <c r="K566" s="64" t="s">
        <v>45</v>
      </c>
      <c r="L566" s="70">
        <v>0</v>
      </c>
      <c r="M566" s="139"/>
      <c r="N566" s="83">
        <v>150</v>
      </c>
      <c r="O566" s="65">
        <v>0</v>
      </c>
      <c r="P566" s="65">
        <v>100</v>
      </c>
      <c r="Q566" s="65">
        <v>0</v>
      </c>
      <c r="R566" s="65">
        <f>SUM(O566:Q566)</f>
        <v>100</v>
      </c>
      <c r="S566" s="64">
        <v>1</v>
      </c>
      <c r="T566" s="62" t="s">
        <v>2299</v>
      </c>
    </row>
    <row r="567" spans="1:20" ht="23.25" customHeight="1">
      <c r="A567" s="63" t="s">
        <v>2300</v>
      </c>
      <c r="B567" s="66">
        <v>2025</v>
      </c>
      <c r="C567" s="143" t="s">
        <v>52</v>
      </c>
      <c r="D567" s="66" t="s">
        <v>2231</v>
      </c>
      <c r="E567" s="72" t="s">
        <v>2301</v>
      </c>
      <c r="F567" s="73" t="s">
        <v>33</v>
      </c>
      <c r="G567" s="63" t="s">
        <v>25</v>
      </c>
      <c r="H567" s="80" t="s">
        <v>2302</v>
      </c>
      <c r="I567" s="81">
        <v>45761</v>
      </c>
      <c r="J567" s="81">
        <v>45762</v>
      </c>
      <c r="K567" s="66" t="s">
        <v>45</v>
      </c>
      <c r="L567" s="68">
        <v>4800</v>
      </c>
      <c r="M567" s="140">
        <v>4.8</v>
      </c>
      <c r="N567" s="82">
        <v>20</v>
      </c>
      <c r="O567" s="67">
        <v>20</v>
      </c>
      <c r="P567" s="67">
        <v>0</v>
      </c>
      <c r="Q567" s="67">
        <v>0</v>
      </c>
      <c r="R567" s="67">
        <f t="shared" ref="R567:R573" si="13">SUM(O567:Q567)</f>
        <v>20</v>
      </c>
      <c r="S567" s="66">
        <v>8</v>
      </c>
      <c r="T567" s="63" t="s">
        <v>2234</v>
      </c>
    </row>
    <row r="568" spans="1:20" ht="23.25" customHeight="1">
      <c r="A568" s="62" t="s">
        <v>2303</v>
      </c>
      <c r="B568" s="64">
        <v>2025</v>
      </c>
      <c r="C568" s="143" t="s">
        <v>52</v>
      </c>
      <c r="D568" s="64" t="s">
        <v>2287</v>
      </c>
      <c r="E568" s="69" t="s">
        <v>2304</v>
      </c>
      <c r="F568" s="71" t="s">
        <v>44</v>
      </c>
      <c r="G568" s="62" t="s">
        <v>15</v>
      </c>
      <c r="H568" s="126" t="s">
        <v>2305</v>
      </c>
      <c r="I568" s="79">
        <v>45769</v>
      </c>
      <c r="J568" s="79">
        <v>45777</v>
      </c>
      <c r="K568" s="64" t="s">
        <v>45</v>
      </c>
      <c r="L568" s="70">
        <v>10400</v>
      </c>
      <c r="M568" s="139">
        <v>4.8</v>
      </c>
      <c r="N568" s="83">
        <v>40</v>
      </c>
      <c r="O568" s="65">
        <v>6</v>
      </c>
      <c r="P568" s="65">
        <v>34</v>
      </c>
      <c r="Q568" s="65">
        <v>0</v>
      </c>
      <c r="R568" s="65">
        <f t="shared" si="13"/>
        <v>40</v>
      </c>
      <c r="S568" s="64">
        <v>16</v>
      </c>
      <c r="T568" s="62" t="s">
        <v>2018</v>
      </c>
    </row>
    <row r="569" spans="1:20" ht="23.25" customHeight="1">
      <c r="A569" s="63" t="s">
        <v>2306</v>
      </c>
      <c r="B569" s="66">
        <v>2025</v>
      </c>
      <c r="C569" s="143" t="s">
        <v>52</v>
      </c>
      <c r="D569" s="66" t="s">
        <v>2307</v>
      </c>
      <c r="E569" s="72" t="s">
        <v>2308</v>
      </c>
      <c r="F569" s="73" t="s">
        <v>44</v>
      </c>
      <c r="G569" s="63" t="s">
        <v>15</v>
      </c>
      <c r="H569" s="80" t="s">
        <v>2309</v>
      </c>
      <c r="I569" s="81">
        <v>45770</v>
      </c>
      <c r="J569" s="81">
        <v>45772</v>
      </c>
      <c r="K569" s="66" t="s">
        <v>41</v>
      </c>
      <c r="L569" s="68">
        <v>6800.82</v>
      </c>
      <c r="M569" s="140">
        <v>4.7</v>
      </c>
      <c r="N569" s="82">
        <v>30</v>
      </c>
      <c r="O569" s="67">
        <v>1</v>
      </c>
      <c r="P569" s="67">
        <v>47</v>
      </c>
      <c r="Q569" s="67">
        <v>0</v>
      </c>
      <c r="R569" s="67">
        <f t="shared" si="13"/>
        <v>48</v>
      </c>
      <c r="S569" s="66">
        <v>12</v>
      </c>
      <c r="T569" s="63" t="s">
        <v>1064</v>
      </c>
    </row>
    <row r="570" spans="1:20" ht="23.25" customHeight="1">
      <c r="A570" s="62" t="s">
        <v>2310</v>
      </c>
      <c r="B570" s="64">
        <v>2025</v>
      </c>
      <c r="C570" s="145" t="s">
        <v>52</v>
      </c>
      <c r="D570" s="64" t="s">
        <v>2311</v>
      </c>
      <c r="E570" s="69" t="s">
        <v>2312</v>
      </c>
      <c r="F570" s="71" t="s">
        <v>33</v>
      </c>
      <c r="G570" s="62" t="s">
        <v>25</v>
      </c>
      <c r="H570" s="78" t="s">
        <v>2313</v>
      </c>
      <c r="I570" s="79">
        <v>45771</v>
      </c>
      <c r="J570" s="79">
        <v>45777</v>
      </c>
      <c r="K570" s="64" t="s">
        <v>41</v>
      </c>
      <c r="L570" s="70">
        <v>15277.08</v>
      </c>
      <c r="M570" s="139">
        <v>4.84</v>
      </c>
      <c r="N570" s="83">
        <v>20</v>
      </c>
      <c r="O570" s="65">
        <v>16</v>
      </c>
      <c r="P570" s="65">
        <v>0</v>
      </c>
      <c r="Q570" s="65">
        <v>0</v>
      </c>
      <c r="R570" s="65">
        <f t="shared" si="13"/>
        <v>16</v>
      </c>
      <c r="S570" s="64">
        <v>20</v>
      </c>
      <c r="T570" s="62" t="s">
        <v>1778</v>
      </c>
    </row>
    <row r="571" spans="1:20" ht="23.25" customHeight="1">
      <c r="A571" s="63" t="s">
        <v>2314</v>
      </c>
      <c r="B571" s="66">
        <v>2025</v>
      </c>
      <c r="C571" s="143" t="s">
        <v>52</v>
      </c>
      <c r="D571" s="66" t="s">
        <v>2315</v>
      </c>
      <c r="E571" s="72" t="s">
        <v>2316</v>
      </c>
      <c r="F571" s="73" t="s">
        <v>33</v>
      </c>
      <c r="G571" s="88" t="s">
        <v>32</v>
      </c>
      <c r="H571" s="80" t="s">
        <v>2317</v>
      </c>
      <c r="I571" s="81">
        <v>45772</v>
      </c>
      <c r="J571" s="81">
        <v>45772</v>
      </c>
      <c r="K571" s="66" t="s">
        <v>41</v>
      </c>
      <c r="L571" s="68"/>
      <c r="M571" s="140">
        <v>5</v>
      </c>
      <c r="N571" s="82">
        <v>170</v>
      </c>
      <c r="O571" s="67">
        <v>170</v>
      </c>
      <c r="P571" s="67">
        <v>0</v>
      </c>
      <c r="Q571" s="67">
        <v>0</v>
      </c>
      <c r="R571" s="67">
        <f t="shared" si="13"/>
        <v>170</v>
      </c>
      <c r="S571" s="66">
        <v>2</v>
      </c>
      <c r="T571" s="62" t="s">
        <v>3747</v>
      </c>
    </row>
    <row r="572" spans="1:20" ht="23.25" customHeight="1">
      <c r="A572" s="62" t="s">
        <v>2318</v>
      </c>
      <c r="B572" s="64">
        <v>2025</v>
      </c>
      <c r="C572" s="143" t="s">
        <v>52</v>
      </c>
      <c r="D572" s="64" t="s">
        <v>2319</v>
      </c>
      <c r="E572" s="69" t="s">
        <v>2320</v>
      </c>
      <c r="F572" s="71" t="s">
        <v>33</v>
      </c>
      <c r="G572" s="96" t="s">
        <v>32</v>
      </c>
      <c r="H572" s="78" t="s">
        <v>2321</v>
      </c>
      <c r="I572" s="79">
        <v>45775</v>
      </c>
      <c r="J572" s="79">
        <v>45775</v>
      </c>
      <c r="K572" s="64" t="s">
        <v>41</v>
      </c>
      <c r="L572" s="70"/>
      <c r="M572" s="139">
        <v>4.9000000000000004</v>
      </c>
      <c r="N572" s="83">
        <v>80</v>
      </c>
      <c r="O572" s="65">
        <v>80</v>
      </c>
      <c r="P572" s="65">
        <v>0</v>
      </c>
      <c r="Q572" s="65">
        <v>0</v>
      </c>
      <c r="R572" s="65">
        <f t="shared" si="13"/>
        <v>80</v>
      </c>
      <c r="S572" s="64">
        <v>1</v>
      </c>
      <c r="T572" s="62"/>
    </row>
    <row r="573" spans="1:20" ht="23.25" customHeight="1">
      <c r="A573" s="63" t="s">
        <v>2322</v>
      </c>
      <c r="B573" s="66">
        <v>2025</v>
      </c>
      <c r="C573" s="143" t="s">
        <v>52</v>
      </c>
      <c r="D573" s="89" t="s">
        <v>2323</v>
      </c>
      <c r="E573" s="72" t="s">
        <v>1722</v>
      </c>
      <c r="F573" s="73" t="s">
        <v>44</v>
      </c>
      <c r="G573" s="63" t="s">
        <v>15</v>
      </c>
      <c r="H573" s="80" t="s">
        <v>2324</v>
      </c>
      <c r="I573" s="81">
        <v>45776</v>
      </c>
      <c r="J573" s="81">
        <v>45776</v>
      </c>
      <c r="K573" s="66" t="s">
        <v>45</v>
      </c>
      <c r="L573" s="68">
        <v>8000</v>
      </c>
      <c r="M573" s="140">
        <v>4.9000000000000004</v>
      </c>
      <c r="N573" s="82">
        <v>170</v>
      </c>
      <c r="O573" s="67">
        <v>27</v>
      </c>
      <c r="P573" s="67">
        <v>131</v>
      </c>
      <c r="Q573" s="67">
        <v>18</v>
      </c>
      <c r="R573" s="67">
        <f t="shared" si="13"/>
        <v>176</v>
      </c>
      <c r="S573" s="66">
        <v>4</v>
      </c>
      <c r="T573" s="63" t="s">
        <v>492</v>
      </c>
    </row>
    <row r="574" spans="1:20" ht="24.75" customHeight="1">
      <c r="A574" s="62" t="s">
        <v>2325</v>
      </c>
      <c r="B574" s="64">
        <v>2025</v>
      </c>
      <c r="C574" s="145" t="s">
        <v>52</v>
      </c>
      <c r="D574" s="64" t="s">
        <v>2326</v>
      </c>
      <c r="E574" s="69" t="s">
        <v>2327</v>
      </c>
      <c r="F574" s="71" t="s">
        <v>33</v>
      </c>
      <c r="G574" s="62" t="s">
        <v>29</v>
      </c>
      <c r="H574" s="78" t="s">
        <v>2328</v>
      </c>
      <c r="I574" s="79">
        <v>45778</v>
      </c>
      <c r="J574" s="79">
        <v>45778</v>
      </c>
      <c r="K574" s="64" t="s">
        <v>45</v>
      </c>
      <c r="L574" s="70">
        <v>12000</v>
      </c>
      <c r="M574" s="139"/>
      <c r="N574" s="83"/>
      <c r="O574" s="65">
        <v>0</v>
      </c>
      <c r="P574" s="65">
        <v>0</v>
      </c>
      <c r="Q574" s="65">
        <v>0</v>
      </c>
      <c r="R574" s="65">
        <f>SUM(O574:Q574)</f>
        <v>0</v>
      </c>
      <c r="S574" s="64"/>
      <c r="T574" s="62" t="s">
        <v>977</v>
      </c>
    </row>
    <row r="575" spans="1:20" ht="23.25" customHeight="1">
      <c r="A575" s="63" t="s">
        <v>2329</v>
      </c>
      <c r="B575" s="66">
        <v>2025</v>
      </c>
      <c r="C575" s="143" t="s">
        <v>52</v>
      </c>
      <c r="D575" s="66" t="s">
        <v>2227</v>
      </c>
      <c r="E575" s="72" t="s">
        <v>2330</v>
      </c>
      <c r="F575" s="73" t="s">
        <v>44</v>
      </c>
      <c r="G575" s="63" t="s">
        <v>15</v>
      </c>
      <c r="H575" s="80" t="s">
        <v>2331</v>
      </c>
      <c r="I575" s="81">
        <v>45782</v>
      </c>
      <c r="J575" s="81">
        <v>45786</v>
      </c>
      <c r="K575" s="66" t="s">
        <v>41</v>
      </c>
      <c r="L575" s="68">
        <v>12813.06</v>
      </c>
      <c r="M575" s="140">
        <v>4.7</v>
      </c>
      <c r="N575" s="82">
        <v>40</v>
      </c>
      <c r="O575" s="67">
        <v>6</v>
      </c>
      <c r="P575" s="67">
        <v>38</v>
      </c>
      <c r="Q575" s="67">
        <v>0</v>
      </c>
      <c r="R575" s="67">
        <f t="shared" ref="R575:R598" si="14">SUM(O575:Q575)</f>
        <v>44</v>
      </c>
      <c r="S575" s="66">
        <v>20</v>
      </c>
      <c r="T575" s="63" t="s">
        <v>116</v>
      </c>
    </row>
    <row r="576" spans="1:20" ht="23.25" customHeight="1">
      <c r="A576" s="62" t="s">
        <v>2332</v>
      </c>
      <c r="B576" s="64">
        <v>2025</v>
      </c>
      <c r="C576" s="143" t="s">
        <v>52</v>
      </c>
      <c r="D576" s="64" t="s">
        <v>2333</v>
      </c>
      <c r="E576" s="69" t="s">
        <v>2334</v>
      </c>
      <c r="F576" s="71" t="s">
        <v>48</v>
      </c>
      <c r="G576" s="62" t="s">
        <v>15</v>
      </c>
      <c r="H576" s="78" t="s">
        <v>2335</v>
      </c>
      <c r="I576" s="79">
        <v>45789</v>
      </c>
      <c r="J576" s="79">
        <v>45793</v>
      </c>
      <c r="K576" s="64" t="s">
        <v>41</v>
      </c>
      <c r="L576" s="70">
        <f>4708.23+830.87</f>
        <v>5539.0999999999995</v>
      </c>
      <c r="M576" s="139">
        <v>4.7</v>
      </c>
      <c r="N576" s="83">
        <v>30</v>
      </c>
      <c r="O576" s="65">
        <v>0</v>
      </c>
      <c r="P576" s="65">
        <v>8</v>
      </c>
      <c r="Q576" s="65">
        <v>33</v>
      </c>
      <c r="R576" s="65">
        <f t="shared" si="14"/>
        <v>41</v>
      </c>
      <c r="S576" s="64">
        <v>12</v>
      </c>
      <c r="T576" s="62" t="s">
        <v>1926</v>
      </c>
    </row>
    <row r="577" spans="1:20" ht="23.25" customHeight="1">
      <c r="A577" s="63" t="s">
        <v>2336</v>
      </c>
      <c r="B577" s="66">
        <v>2025</v>
      </c>
      <c r="C577" s="143" t="s">
        <v>52</v>
      </c>
      <c r="D577" s="66" t="s">
        <v>2337</v>
      </c>
      <c r="E577" s="72" t="s">
        <v>2338</v>
      </c>
      <c r="F577" s="73" t="s">
        <v>33</v>
      </c>
      <c r="G577" s="88" t="s">
        <v>32</v>
      </c>
      <c r="H577" s="80" t="s">
        <v>2339</v>
      </c>
      <c r="I577" s="81">
        <v>45797</v>
      </c>
      <c r="J577" s="81">
        <v>45797</v>
      </c>
      <c r="K577" s="66" t="s">
        <v>41</v>
      </c>
      <c r="L577" s="68"/>
      <c r="M577" s="140">
        <v>5</v>
      </c>
      <c r="N577" s="82">
        <v>170</v>
      </c>
      <c r="O577" s="67">
        <v>170</v>
      </c>
      <c r="P577" s="67">
        <v>0</v>
      </c>
      <c r="Q577" s="67">
        <v>0</v>
      </c>
      <c r="R577" s="67">
        <f t="shared" si="14"/>
        <v>170</v>
      </c>
      <c r="S577" s="66">
        <v>2</v>
      </c>
      <c r="T577" s="63" t="s">
        <v>2340</v>
      </c>
    </row>
    <row r="578" spans="1:20" ht="23.25" customHeight="1">
      <c r="A578" s="62" t="s">
        <v>2341</v>
      </c>
      <c r="B578" s="64">
        <v>2025</v>
      </c>
      <c r="C578" s="143" t="s">
        <v>52</v>
      </c>
      <c r="D578" s="64" t="s">
        <v>2342</v>
      </c>
      <c r="E578" s="69" t="s">
        <v>2343</v>
      </c>
      <c r="F578" s="71" t="s">
        <v>48</v>
      </c>
      <c r="G578" s="62" t="s">
        <v>15</v>
      </c>
      <c r="H578" s="78" t="s">
        <v>2344</v>
      </c>
      <c r="I578" s="79">
        <v>45799</v>
      </c>
      <c r="J578" s="79">
        <v>45799</v>
      </c>
      <c r="K578" s="64" t="s">
        <v>41</v>
      </c>
      <c r="L578" s="70"/>
      <c r="M578" s="139"/>
      <c r="N578" s="83">
        <v>40</v>
      </c>
      <c r="O578" s="65">
        <v>0</v>
      </c>
      <c r="P578" s="65">
        <v>0</v>
      </c>
      <c r="Q578" s="65">
        <v>40</v>
      </c>
      <c r="R578" s="65">
        <f t="shared" si="14"/>
        <v>40</v>
      </c>
      <c r="S578" s="64">
        <v>3</v>
      </c>
      <c r="T578" s="85" t="s">
        <v>1655</v>
      </c>
    </row>
    <row r="579" spans="1:20" ht="23.25" customHeight="1">
      <c r="A579" s="63" t="s">
        <v>2345</v>
      </c>
      <c r="B579" s="66">
        <v>2025</v>
      </c>
      <c r="C579" s="143" t="s">
        <v>52</v>
      </c>
      <c r="D579" s="66" t="s">
        <v>2342</v>
      </c>
      <c r="E579" s="72" t="s">
        <v>2346</v>
      </c>
      <c r="F579" s="73" t="s">
        <v>48</v>
      </c>
      <c r="G579" s="63" t="s">
        <v>15</v>
      </c>
      <c r="H579" s="125" t="s">
        <v>2347</v>
      </c>
      <c r="I579" s="81">
        <v>45800</v>
      </c>
      <c r="J579" s="81">
        <v>45800</v>
      </c>
      <c r="K579" s="66" t="s">
        <v>41</v>
      </c>
      <c r="L579" s="68"/>
      <c r="M579" s="140"/>
      <c r="N579" s="82">
        <v>40</v>
      </c>
      <c r="O579" s="67">
        <v>0</v>
      </c>
      <c r="P579" s="67">
        <v>0</v>
      </c>
      <c r="Q579" s="67">
        <v>40</v>
      </c>
      <c r="R579" s="67">
        <f t="shared" si="14"/>
        <v>40</v>
      </c>
      <c r="S579" s="66">
        <v>3</v>
      </c>
      <c r="T579" s="86" t="s">
        <v>1655</v>
      </c>
    </row>
    <row r="580" spans="1:20" ht="23.25" customHeight="1">
      <c r="A580" s="62" t="s">
        <v>2348</v>
      </c>
      <c r="B580" s="64">
        <v>2025</v>
      </c>
      <c r="C580" s="143" t="s">
        <v>52</v>
      </c>
      <c r="D580" s="64" t="s">
        <v>2349</v>
      </c>
      <c r="E580" s="69" t="s">
        <v>2350</v>
      </c>
      <c r="F580" s="71" t="s">
        <v>33</v>
      </c>
      <c r="G580" s="62" t="s">
        <v>25</v>
      </c>
      <c r="H580" s="78" t="s">
        <v>2351</v>
      </c>
      <c r="I580" s="79">
        <v>45803</v>
      </c>
      <c r="J580" s="79">
        <v>45807</v>
      </c>
      <c r="K580" s="64" t="s">
        <v>41</v>
      </c>
      <c r="L580" s="70">
        <v>6800.66</v>
      </c>
      <c r="M580" s="139">
        <v>4.9000000000000004</v>
      </c>
      <c r="N580" s="83">
        <v>15</v>
      </c>
      <c r="O580" s="65">
        <v>18</v>
      </c>
      <c r="P580" s="65">
        <v>0</v>
      </c>
      <c r="Q580" s="65">
        <v>0</v>
      </c>
      <c r="R580" s="65">
        <f t="shared" si="14"/>
        <v>18</v>
      </c>
      <c r="S580" s="64">
        <v>12</v>
      </c>
      <c r="T580" s="62" t="s">
        <v>2352</v>
      </c>
    </row>
    <row r="581" spans="1:20" ht="23.25" customHeight="1">
      <c r="A581" s="63" t="s">
        <v>2353</v>
      </c>
      <c r="B581" s="66">
        <v>2025</v>
      </c>
      <c r="C581" s="145" t="s">
        <v>52</v>
      </c>
      <c r="D581" s="66" t="s">
        <v>2354</v>
      </c>
      <c r="E581" s="72" t="s">
        <v>2355</v>
      </c>
      <c r="F581" s="73" t="s">
        <v>33</v>
      </c>
      <c r="G581" s="88" t="s">
        <v>13</v>
      </c>
      <c r="H581" s="80" t="s">
        <v>2356</v>
      </c>
      <c r="I581" s="81">
        <v>45804</v>
      </c>
      <c r="J581" s="81">
        <v>45807</v>
      </c>
      <c r="K581" s="66" t="s">
        <v>41</v>
      </c>
      <c r="L581" s="68">
        <v>6800.82</v>
      </c>
      <c r="M581" s="140">
        <v>4.9000000000000004</v>
      </c>
      <c r="N581" s="82">
        <v>30</v>
      </c>
      <c r="O581" s="67">
        <v>18</v>
      </c>
      <c r="P581" s="67">
        <v>0</v>
      </c>
      <c r="Q581" s="67">
        <v>0</v>
      </c>
      <c r="R581" s="67">
        <f t="shared" si="14"/>
        <v>18</v>
      </c>
      <c r="S581" s="66">
        <v>12</v>
      </c>
      <c r="T581" s="63" t="s">
        <v>2090</v>
      </c>
    </row>
    <row r="582" spans="1:20" ht="23.25" customHeight="1">
      <c r="A582" s="62" t="s">
        <v>2357</v>
      </c>
      <c r="B582" s="64">
        <v>2025</v>
      </c>
      <c r="C582" s="143" t="s">
        <v>52</v>
      </c>
      <c r="D582" s="64" t="s">
        <v>2358</v>
      </c>
      <c r="E582" s="69" t="s">
        <v>2359</v>
      </c>
      <c r="F582" s="71" t="s">
        <v>33</v>
      </c>
      <c r="G582" s="62" t="s">
        <v>29</v>
      </c>
      <c r="H582" s="78" t="s">
        <v>2360</v>
      </c>
      <c r="I582" s="79">
        <v>45805</v>
      </c>
      <c r="J582" s="79">
        <v>45811</v>
      </c>
      <c r="K582" s="64" t="s">
        <v>45</v>
      </c>
      <c r="L582" s="70">
        <v>19200</v>
      </c>
      <c r="M582" s="139">
        <v>4.7</v>
      </c>
      <c r="N582" s="83">
        <v>30</v>
      </c>
      <c r="O582" s="65">
        <v>38</v>
      </c>
      <c r="P582" s="65">
        <v>0</v>
      </c>
      <c r="Q582" s="65">
        <v>0</v>
      </c>
      <c r="R582" s="65">
        <f t="shared" si="14"/>
        <v>38</v>
      </c>
      <c r="S582" s="64">
        <v>16</v>
      </c>
      <c r="T582" s="62" t="s">
        <v>977</v>
      </c>
    </row>
    <row r="583" spans="1:20" ht="23.25" customHeight="1">
      <c r="A583" s="63" t="s">
        <v>2361</v>
      </c>
      <c r="B583" s="66">
        <v>2025</v>
      </c>
      <c r="C583" s="145" t="s">
        <v>52</v>
      </c>
      <c r="D583" s="66" t="s">
        <v>2207</v>
      </c>
      <c r="E583" s="72" t="s">
        <v>2362</v>
      </c>
      <c r="F583" s="73" t="s">
        <v>33</v>
      </c>
      <c r="G583" s="63" t="s">
        <v>7</v>
      </c>
      <c r="H583" s="80" t="s">
        <v>2363</v>
      </c>
      <c r="I583" s="81">
        <v>45809</v>
      </c>
      <c r="J583" s="81">
        <v>45809</v>
      </c>
      <c r="K583" s="66" t="s">
        <v>45</v>
      </c>
      <c r="L583" s="68">
        <v>13673.78</v>
      </c>
      <c r="M583" s="140">
        <v>4.8</v>
      </c>
      <c r="N583" s="82">
        <v>15</v>
      </c>
      <c r="O583" s="67">
        <v>15</v>
      </c>
      <c r="P583" s="67">
        <v>0</v>
      </c>
      <c r="Q583" s="67">
        <v>0</v>
      </c>
      <c r="R583" s="67">
        <f t="shared" si="14"/>
        <v>15</v>
      </c>
      <c r="S583" s="66">
        <v>12</v>
      </c>
      <c r="T583" s="63" t="s">
        <v>1747</v>
      </c>
    </row>
    <row r="584" spans="1:20" ht="36" customHeight="1">
      <c r="A584" s="62" t="s">
        <v>2364</v>
      </c>
      <c r="B584" s="64">
        <v>2025</v>
      </c>
      <c r="C584" s="143" t="s">
        <v>52</v>
      </c>
      <c r="D584" s="64" t="s">
        <v>2365</v>
      </c>
      <c r="E584" s="69" t="s">
        <v>2366</v>
      </c>
      <c r="F584" s="71" t="s">
        <v>48</v>
      </c>
      <c r="G584" s="62" t="s">
        <v>15</v>
      </c>
      <c r="H584" s="78" t="s">
        <v>2367</v>
      </c>
      <c r="I584" s="79">
        <v>45810</v>
      </c>
      <c r="J584" s="79">
        <v>45814</v>
      </c>
      <c r="K584" s="64" t="s">
        <v>41</v>
      </c>
      <c r="L584" s="70">
        <v>5539.1</v>
      </c>
      <c r="M584" s="139">
        <v>4.8</v>
      </c>
      <c r="N584" s="83">
        <v>30</v>
      </c>
      <c r="O584" s="65">
        <v>0</v>
      </c>
      <c r="P584" s="65">
        <v>0</v>
      </c>
      <c r="Q584" s="65">
        <v>31</v>
      </c>
      <c r="R584" s="65">
        <f t="shared" si="14"/>
        <v>31</v>
      </c>
      <c r="S584" s="64">
        <v>12</v>
      </c>
      <c r="T584" s="62" t="s">
        <v>1926</v>
      </c>
    </row>
    <row r="585" spans="1:20" ht="23.25" customHeight="1">
      <c r="A585" s="63" t="s">
        <v>2368</v>
      </c>
      <c r="B585" s="66">
        <v>2025</v>
      </c>
      <c r="C585" s="145" t="s">
        <v>52</v>
      </c>
      <c r="D585" s="66" t="s">
        <v>2369</v>
      </c>
      <c r="E585" s="72" t="s">
        <v>2370</v>
      </c>
      <c r="F585" s="73" t="s">
        <v>33</v>
      </c>
      <c r="G585" s="88" t="s">
        <v>13</v>
      </c>
      <c r="H585" s="80" t="s">
        <v>2371</v>
      </c>
      <c r="I585" s="81">
        <v>45810</v>
      </c>
      <c r="J585" s="81">
        <v>45820</v>
      </c>
      <c r="K585" s="66" t="s">
        <v>45</v>
      </c>
      <c r="L585" s="68">
        <v>45000</v>
      </c>
      <c r="M585" s="140">
        <v>4.84</v>
      </c>
      <c r="N585" s="82">
        <v>30</v>
      </c>
      <c r="O585" s="67">
        <v>21</v>
      </c>
      <c r="P585" s="67">
        <v>4</v>
      </c>
      <c r="Q585" s="67">
        <v>4</v>
      </c>
      <c r="R585" s="67">
        <f t="shared" si="14"/>
        <v>29</v>
      </c>
      <c r="S585" s="66">
        <v>25</v>
      </c>
      <c r="T585" s="63" t="s">
        <v>112</v>
      </c>
    </row>
    <row r="586" spans="1:20" ht="23.25" customHeight="1">
      <c r="A586" s="62" t="s">
        <v>2372</v>
      </c>
      <c r="B586" s="64">
        <v>2025</v>
      </c>
      <c r="C586" s="143" t="s">
        <v>52</v>
      </c>
      <c r="D586" s="64" t="s">
        <v>2373</v>
      </c>
      <c r="E586" s="69" t="s">
        <v>2036</v>
      </c>
      <c r="F586" s="71" t="s">
        <v>48</v>
      </c>
      <c r="G586" s="62" t="s">
        <v>15</v>
      </c>
      <c r="H586" s="78" t="s">
        <v>2374</v>
      </c>
      <c r="I586" s="79">
        <v>45812</v>
      </c>
      <c r="J586" s="79">
        <v>45812</v>
      </c>
      <c r="K586" s="64" t="s">
        <v>41</v>
      </c>
      <c r="L586" s="70">
        <v>1700.2</v>
      </c>
      <c r="M586" s="139">
        <v>5</v>
      </c>
      <c r="N586" s="83">
        <v>33</v>
      </c>
      <c r="O586" s="65">
        <v>0</v>
      </c>
      <c r="P586" s="65">
        <v>0</v>
      </c>
      <c r="Q586" s="65">
        <v>30</v>
      </c>
      <c r="R586" s="65">
        <f t="shared" si="14"/>
        <v>30</v>
      </c>
      <c r="S586" s="64">
        <v>3</v>
      </c>
      <c r="T586" s="100" t="s">
        <v>2038</v>
      </c>
    </row>
    <row r="587" spans="1:20" ht="23.25" customHeight="1">
      <c r="A587" s="63" t="s">
        <v>2375</v>
      </c>
      <c r="B587" s="66">
        <v>2025</v>
      </c>
      <c r="C587" s="145" t="s">
        <v>52</v>
      </c>
      <c r="D587" s="66" t="s">
        <v>2311</v>
      </c>
      <c r="E587" s="72" t="s">
        <v>2376</v>
      </c>
      <c r="F587" s="73" t="s">
        <v>33</v>
      </c>
      <c r="G587" s="63" t="s">
        <v>25</v>
      </c>
      <c r="H587" s="80" t="s">
        <v>2377</v>
      </c>
      <c r="I587" s="81">
        <v>45817</v>
      </c>
      <c r="J587" s="81">
        <v>45825</v>
      </c>
      <c r="K587" s="66" t="s">
        <v>41</v>
      </c>
      <c r="L587" s="68">
        <v>15277.08</v>
      </c>
      <c r="M587" s="140">
        <v>4.9000000000000004</v>
      </c>
      <c r="N587" s="82">
        <v>20</v>
      </c>
      <c r="O587" s="67">
        <v>14</v>
      </c>
      <c r="P587" s="67">
        <v>0</v>
      </c>
      <c r="Q587" s="67">
        <v>0</v>
      </c>
      <c r="R587" s="67">
        <f t="shared" si="14"/>
        <v>14</v>
      </c>
      <c r="S587" s="66">
        <v>20</v>
      </c>
      <c r="T587" s="103" t="s">
        <v>1778</v>
      </c>
    </row>
    <row r="588" spans="1:20" ht="23.25" customHeight="1">
      <c r="A588" s="62" t="s">
        <v>2378</v>
      </c>
      <c r="B588" s="64">
        <v>2025</v>
      </c>
      <c r="C588" s="145" t="s">
        <v>52</v>
      </c>
      <c r="D588" s="64" t="s">
        <v>2379</v>
      </c>
      <c r="E588" s="69" t="s">
        <v>2380</v>
      </c>
      <c r="F588" s="71" t="s">
        <v>33</v>
      </c>
      <c r="G588" s="62" t="s">
        <v>35</v>
      </c>
      <c r="H588" s="78" t="s">
        <v>2381</v>
      </c>
      <c r="I588" s="79">
        <v>45817</v>
      </c>
      <c r="J588" s="79">
        <v>45818</v>
      </c>
      <c r="K588" s="64" t="s">
        <v>45</v>
      </c>
      <c r="L588" s="70">
        <v>3040.75</v>
      </c>
      <c r="M588" s="139">
        <v>4.8</v>
      </c>
      <c r="N588" s="83">
        <v>30</v>
      </c>
      <c r="O588" s="65">
        <v>0</v>
      </c>
      <c r="P588" s="65">
        <v>0</v>
      </c>
      <c r="Q588" s="65">
        <v>27</v>
      </c>
      <c r="R588" s="65">
        <f t="shared" si="14"/>
        <v>27</v>
      </c>
      <c r="S588" s="64">
        <v>8</v>
      </c>
      <c r="T588" s="100" t="s">
        <v>2382</v>
      </c>
    </row>
    <row r="589" spans="1:20" ht="23.25" customHeight="1">
      <c r="A589" s="63" t="s">
        <v>2383</v>
      </c>
      <c r="B589" s="66">
        <v>2025</v>
      </c>
      <c r="C589" s="145" t="s">
        <v>52</v>
      </c>
      <c r="D589" s="66" t="s">
        <v>2384</v>
      </c>
      <c r="E589" s="72" t="s">
        <v>2385</v>
      </c>
      <c r="F589" s="73" t="s">
        <v>33</v>
      </c>
      <c r="G589" s="88" t="s">
        <v>13</v>
      </c>
      <c r="H589" s="80" t="s">
        <v>2386</v>
      </c>
      <c r="I589" s="81">
        <v>45820</v>
      </c>
      <c r="J589" s="81">
        <v>45821</v>
      </c>
      <c r="K589" s="66" t="s">
        <v>41</v>
      </c>
      <c r="L589" s="68">
        <v>5125.22</v>
      </c>
      <c r="M589" s="140">
        <v>4.9000000000000004</v>
      </c>
      <c r="N589" s="82">
        <v>20</v>
      </c>
      <c r="O589" s="67">
        <v>14</v>
      </c>
      <c r="P589" s="67">
        <v>0</v>
      </c>
      <c r="Q589" s="67">
        <v>0</v>
      </c>
      <c r="R589" s="67">
        <f t="shared" si="14"/>
        <v>14</v>
      </c>
      <c r="S589" s="66">
        <v>8</v>
      </c>
      <c r="T589" s="103" t="s">
        <v>248</v>
      </c>
    </row>
    <row r="590" spans="1:20" ht="23.25" customHeight="1">
      <c r="A590" s="62" t="s">
        <v>2387</v>
      </c>
      <c r="B590" s="64">
        <v>2025</v>
      </c>
      <c r="C590" s="145" t="s">
        <v>52</v>
      </c>
      <c r="D590" s="64" t="s">
        <v>2388</v>
      </c>
      <c r="E590" s="69" t="s">
        <v>2389</v>
      </c>
      <c r="F590" s="71" t="s">
        <v>33</v>
      </c>
      <c r="G590" s="96" t="s">
        <v>13</v>
      </c>
      <c r="H590" s="78" t="s">
        <v>2390</v>
      </c>
      <c r="I590" s="79">
        <v>45824</v>
      </c>
      <c r="J590" s="79">
        <v>45826</v>
      </c>
      <c r="K590" s="64" t="s">
        <v>45</v>
      </c>
      <c r="L590" s="70">
        <v>15025</v>
      </c>
      <c r="M590" s="139">
        <v>4.5999999999999996</v>
      </c>
      <c r="N590" s="83">
        <v>30</v>
      </c>
      <c r="O590" s="65">
        <v>33</v>
      </c>
      <c r="P590" s="65">
        <v>0</v>
      </c>
      <c r="Q590" s="65">
        <v>0</v>
      </c>
      <c r="R590" s="65">
        <f t="shared" si="14"/>
        <v>33</v>
      </c>
      <c r="S590" s="64">
        <v>15</v>
      </c>
      <c r="T590" s="62" t="s">
        <v>2391</v>
      </c>
    </row>
    <row r="591" spans="1:20" ht="23.25" customHeight="1">
      <c r="A591" s="63" t="s">
        <v>2392</v>
      </c>
      <c r="B591" s="66">
        <v>2025</v>
      </c>
      <c r="C591" s="143" t="s">
        <v>52</v>
      </c>
      <c r="D591" s="66" t="s">
        <v>2393</v>
      </c>
      <c r="E591" s="72" t="s">
        <v>2394</v>
      </c>
      <c r="F591" s="73" t="s">
        <v>48</v>
      </c>
      <c r="G591" s="63" t="s">
        <v>15</v>
      </c>
      <c r="H591" s="80" t="s">
        <v>2395</v>
      </c>
      <c r="I591" s="81">
        <v>45831</v>
      </c>
      <c r="J591" s="81">
        <v>45835</v>
      </c>
      <c r="K591" s="66" t="s">
        <v>41</v>
      </c>
      <c r="L591" s="68">
        <v>11334.44</v>
      </c>
      <c r="M591" s="140">
        <v>4.8</v>
      </c>
      <c r="N591" s="82">
        <v>40</v>
      </c>
      <c r="O591" s="67">
        <v>0</v>
      </c>
      <c r="P591" s="67">
        <v>0</v>
      </c>
      <c r="Q591" s="67">
        <v>42</v>
      </c>
      <c r="R591" s="67">
        <f t="shared" si="14"/>
        <v>42</v>
      </c>
      <c r="S591" s="66">
        <v>20</v>
      </c>
      <c r="T591" s="63" t="s">
        <v>442</v>
      </c>
    </row>
    <row r="592" spans="1:20" ht="23.25" customHeight="1">
      <c r="A592" s="62" t="s">
        <v>2396</v>
      </c>
      <c r="B592" s="64">
        <v>2025</v>
      </c>
      <c r="C592" s="145" t="s">
        <v>52</v>
      </c>
      <c r="D592" s="64" t="s">
        <v>2397</v>
      </c>
      <c r="E592" s="69" t="s">
        <v>2398</v>
      </c>
      <c r="F592" s="71" t="s">
        <v>33</v>
      </c>
      <c r="G592" s="62" t="s">
        <v>22</v>
      </c>
      <c r="H592" s="78" t="s">
        <v>2399</v>
      </c>
      <c r="I592" s="79">
        <v>45832</v>
      </c>
      <c r="J592" s="79">
        <v>45834</v>
      </c>
      <c r="K592" s="64" t="s">
        <v>41</v>
      </c>
      <c r="L592" s="70">
        <v>4533.88</v>
      </c>
      <c r="M592" s="139">
        <v>4.8</v>
      </c>
      <c r="N592" s="83">
        <v>20</v>
      </c>
      <c r="O592" s="65">
        <v>22</v>
      </c>
      <c r="P592" s="65">
        <v>0</v>
      </c>
      <c r="Q592" s="65">
        <v>0</v>
      </c>
      <c r="R592" s="65">
        <f t="shared" si="14"/>
        <v>22</v>
      </c>
      <c r="S592" s="64">
        <v>8</v>
      </c>
      <c r="T592" s="62" t="s">
        <v>2400</v>
      </c>
    </row>
    <row r="593" spans="1:20" ht="23.25" customHeight="1">
      <c r="A593" s="63" t="s">
        <v>2401</v>
      </c>
      <c r="B593" s="66">
        <v>2025</v>
      </c>
      <c r="C593" s="143" t="s">
        <v>52</v>
      </c>
      <c r="D593" s="66" t="s">
        <v>2402</v>
      </c>
      <c r="E593" s="72" t="s">
        <v>2403</v>
      </c>
      <c r="F593" s="73" t="s">
        <v>33</v>
      </c>
      <c r="G593" s="63" t="s">
        <v>25</v>
      </c>
      <c r="H593" s="127" t="s">
        <v>2404</v>
      </c>
      <c r="I593" s="81">
        <v>45832</v>
      </c>
      <c r="J593" s="81">
        <v>45841</v>
      </c>
      <c r="K593" s="66" t="s">
        <v>41</v>
      </c>
      <c r="L593" s="68">
        <v>12555.28</v>
      </c>
      <c r="M593" s="140">
        <v>4.9000000000000004</v>
      </c>
      <c r="N593" s="82">
        <v>20</v>
      </c>
      <c r="O593" s="67">
        <v>9</v>
      </c>
      <c r="P593" s="67">
        <v>0</v>
      </c>
      <c r="Q593" s="67">
        <v>0</v>
      </c>
      <c r="R593" s="67">
        <f t="shared" si="14"/>
        <v>9</v>
      </c>
      <c r="S593" s="66">
        <v>16</v>
      </c>
      <c r="T593" s="63" t="s">
        <v>2405</v>
      </c>
    </row>
    <row r="594" spans="1:20" ht="23.25" customHeight="1">
      <c r="A594" s="62" t="s">
        <v>2406</v>
      </c>
      <c r="B594" s="64">
        <v>2025</v>
      </c>
      <c r="C594" s="145" t="s">
        <v>52</v>
      </c>
      <c r="D594" s="64" t="s">
        <v>2407</v>
      </c>
      <c r="E594" s="69" t="s">
        <v>2408</v>
      </c>
      <c r="F594" s="71" t="s">
        <v>44</v>
      </c>
      <c r="G594" s="62" t="s">
        <v>15</v>
      </c>
      <c r="H594" s="78" t="s">
        <v>2409</v>
      </c>
      <c r="I594" s="79">
        <v>45833</v>
      </c>
      <c r="J594" s="79">
        <v>45833</v>
      </c>
      <c r="K594" s="64" t="s">
        <v>41</v>
      </c>
      <c r="L594" s="70">
        <v>0</v>
      </c>
      <c r="M594" s="139">
        <v>5</v>
      </c>
      <c r="N594" s="83">
        <v>20</v>
      </c>
      <c r="O594" s="65">
        <v>0</v>
      </c>
      <c r="P594" s="65">
        <v>20</v>
      </c>
      <c r="Q594" s="65">
        <v>0</v>
      </c>
      <c r="R594" s="65">
        <f t="shared" si="14"/>
        <v>20</v>
      </c>
      <c r="S594" s="64">
        <v>4</v>
      </c>
      <c r="T594" s="62" t="s">
        <v>2410</v>
      </c>
    </row>
    <row r="595" spans="1:20" ht="23.25" customHeight="1">
      <c r="A595" s="63" t="s">
        <v>2411</v>
      </c>
      <c r="B595" s="66">
        <v>2025</v>
      </c>
      <c r="C595" s="143" t="s">
        <v>52</v>
      </c>
      <c r="D595" s="66" t="s">
        <v>2412</v>
      </c>
      <c r="E595" s="72" t="s">
        <v>2413</v>
      </c>
      <c r="F595" s="73" t="s">
        <v>48</v>
      </c>
      <c r="G595" s="63" t="s">
        <v>15</v>
      </c>
      <c r="H595" s="80" t="s">
        <v>2414</v>
      </c>
      <c r="I595" s="81">
        <v>45838</v>
      </c>
      <c r="J595" s="81">
        <v>45842</v>
      </c>
      <c r="K595" s="66" t="s">
        <v>41</v>
      </c>
      <c r="L595" s="68"/>
      <c r="M595" s="140">
        <v>4.8</v>
      </c>
      <c r="N595" s="82">
        <v>25</v>
      </c>
      <c r="O595" s="67">
        <v>0</v>
      </c>
      <c r="P595" s="67">
        <v>0</v>
      </c>
      <c r="Q595" s="67">
        <v>25</v>
      </c>
      <c r="R595" s="67">
        <f t="shared" si="14"/>
        <v>25</v>
      </c>
      <c r="S595" s="66">
        <v>5</v>
      </c>
      <c r="T595" s="63" t="s">
        <v>1033</v>
      </c>
    </row>
    <row r="596" spans="1:20" ht="23.25" customHeight="1">
      <c r="A596" s="62" t="s">
        <v>2415</v>
      </c>
      <c r="B596" s="64">
        <v>2025</v>
      </c>
      <c r="C596" s="144" t="s">
        <v>52</v>
      </c>
      <c r="D596" s="118" t="s">
        <v>2416</v>
      </c>
      <c r="E596" s="113" t="s">
        <v>2170</v>
      </c>
      <c r="F596" s="71" t="s">
        <v>48</v>
      </c>
      <c r="G596" s="115" t="s">
        <v>15</v>
      </c>
      <c r="H596" s="116" t="s">
        <v>2417</v>
      </c>
      <c r="I596" s="117">
        <v>45842</v>
      </c>
      <c r="J596" s="117">
        <v>45842</v>
      </c>
      <c r="K596" s="118" t="s">
        <v>41</v>
      </c>
      <c r="L596" s="119">
        <v>5834.98</v>
      </c>
      <c r="M596" s="142">
        <v>4.87</v>
      </c>
      <c r="N596" s="120">
        <v>30</v>
      </c>
      <c r="O596" s="121">
        <v>0</v>
      </c>
      <c r="P596" s="121">
        <v>0</v>
      </c>
      <c r="Q596" s="121">
        <v>24</v>
      </c>
      <c r="R596" s="121">
        <f t="shared" si="14"/>
        <v>24</v>
      </c>
      <c r="S596" s="118">
        <v>4</v>
      </c>
      <c r="T596" s="128" t="s">
        <v>2418</v>
      </c>
    </row>
    <row r="597" spans="1:20" ht="23.25" customHeight="1">
      <c r="A597" s="63" t="s">
        <v>2419</v>
      </c>
      <c r="B597" s="66">
        <v>2025</v>
      </c>
      <c r="C597" s="144" t="s">
        <v>52</v>
      </c>
      <c r="D597" s="66" t="s">
        <v>2420</v>
      </c>
      <c r="E597" s="72" t="s">
        <v>2421</v>
      </c>
      <c r="F597" s="73" t="s">
        <v>44</v>
      </c>
      <c r="G597" s="63" t="s">
        <v>15</v>
      </c>
      <c r="H597" s="80" t="s">
        <v>2422</v>
      </c>
      <c r="I597" s="81">
        <v>45842</v>
      </c>
      <c r="J597" s="81">
        <v>45904</v>
      </c>
      <c r="K597" s="66" t="s">
        <v>41</v>
      </c>
      <c r="L597" s="68">
        <v>6800.82</v>
      </c>
      <c r="M597" s="140">
        <v>4.7</v>
      </c>
      <c r="N597" s="82">
        <v>30</v>
      </c>
      <c r="O597" s="67">
        <v>0</v>
      </c>
      <c r="P597" s="67">
        <v>46</v>
      </c>
      <c r="Q597" s="67">
        <v>0</v>
      </c>
      <c r="R597" s="67">
        <f t="shared" si="14"/>
        <v>46</v>
      </c>
      <c r="S597" s="66">
        <v>12</v>
      </c>
      <c r="T597" s="63" t="s">
        <v>1472</v>
      </c>
    </row>
    <row r="598" spans="1:20" ht="23.25" customHeight="1">
      <c r="A598" s="62" t="s">
        <v>2423</v>
      </c>
      <c r="B598" s="64">
        <v>2025</v>
      </c>
      <c r="C598" s="146" t="s">
        <v>52</v>
      </c>
      <c r="D598" s="118" t="s">
        <v>2424</v>
      </c>
      <c r="E598" s="113" t="s">
        <v>2425</v>
      </c>
      <c r="F598" s="114" t="s">
        <v>48</v>
      </c>
      <c r="G598" s="115" t="s">
        <v>15</v>
      </c>
      <c r="H598" s="116" t="s">
        <v>2426</v>
      </c>
      <c r="I598" s="117">
        <v>45845</v>
      </c>
      <c r="J598" s="117">
        <v>45849</v>
      </c>
      <c r="K598" s="118" t="s">
        <v>41</v>
      </c>
      <c r="L598" s="119">
        <v>7687.84</v>
      </c>
      <c r="M598" s="142">
        <v>4.9000000000000004</v>
      </c>
      <c r="N598" s="120">
        <v>30</v>
      </c>
      <c r="O598" s="121">
        <v>0</v>
      </c>
      <c r="P598" s="121">
        <v>37</v>
      </c>
      <c r="Q598" s="121">
        <v>0</v>
      </c>
      <c r="R598" s="65">
        <f t="shared" si="14"/>
        <v>37</v>
      </c>
      <c r="S598" s="118">
        <v>12</v>
      </c>
      <c r="T598" s="115" t="s">
        <v>2427</v>
      </c>
    </row>
    <row r="599" spans="1:20" ht="23.25" customHeight="1">
      <c r="A599" s="63" t="s">
        <v>2428</v>
      </c>
      <c r="B599" s="66">
        <v>2025</v>
      </c>
      <c r="C599" s="144" t="s">
        <v>52</v>
      </c>
      <c r="D599" s="112" t="s">
        <v>2429</v>
      </c>
      <c r="E599" s="106" t="s">
        <v>2430</v>
      </c>
      <c r="F599" s="122" t="s">
        <v>33</v>
      </c>
      <c r="G599" s="129" t="s">
        <v>13</v>
      </c>
      <c r="H599" s="107" t="s">
        <v>2431</v>
      </c>
      <c r="I599" s="108">
        <v>45848</v>
      </c>
      <c r="J599" s="108">
        <v>45945</v>
      </c>
      <c r="K599" s="112" t="s">
        <v>45</v>
      </c>
      <c r="L599" s="109"/>
      <c r="M599" s="141">
        <v>4.63</v>
      </c>
      <c r="N599" s="110">
        <v>30</v>
      </c>
      <c r="O599" s="111">
        <v>20</v>
      </c>
      <c r="P599" s="111">
        <v>4</v>
      </c>
      <c r="Q599" s="111">
        <v>0</v>
      </c>
      <c r="R599" s="67">
        <f t="shared" ref="R599:R606" si="15">SUM(O599:Q599)</f>
        <v>24</v>
      </c>
      <c r="S599" s="112">
        <v>20</v>
      </c>
      <c r="T599" s="383" t="s">
        <v>3640</v>
      </c>
    </row>
    <row r="600" spans="1:20" ht="23.25" customHeight="1">
      <c r="A600" s="62" t="s">
        <v>2432</v>
      </c>
      <c r="B600" s="64">
        <v>2025</v>
      </c>
      <c r="C600" s="146" t="s">
        <v>52</v>
      </c>
      <c r="D600" s="118" t="s">
        <v>2433</v>
      </c>
      <c r="E600" s="113" t="s">
        <v>2434</v>
      </c>
      <c r="F600" s="114" t="s">
        <v>44</v>
      </c>
      <c r="G600" s="115" t="s">
        <v>15</v>
      </c>
      <c r="H600" s="105" t="s">
        <v>2435</v>
      </c>
      <c r="I600" s="117">
        <v>45859</v>
      </c>
      <c r="J600" s="117">
        <v>45867</v>
      </c>
      <c r="K600" s="118" t="s">
        <v>41</v>
      </c>
      <c r="L600" s="119">
        <v>12555.28</v>
      </c>
      <c r="M600" s="142">
        <v>4.8</v>
      </c>
      <c r="N600" s="120">
        <v>30</v>
      </c>
      <c r="O600" s="121">
        <v>0</v>
      </c>
      <c r="P600" s="121">
        <v>30</v>
      </c>
      <c r="Q600" s="121">
        <v>0</v>
      </c>
      <c r="R600" s="65">
        <f t="shared" si="15"/>
        <v>30</v>
      </c>
      <c r="S600" s="118">
        <v>16</v>
      </c>
      <c r="T600" s="115" t="s">
        <v>2080</v>
      </c>
    </row>
    <row r="601" spans="1:20" ht="23.25" customHeight="1">
      <c r="A601" s="63" t="s">
        <v>2436</v>
      </c>
      <c r="B601" s="66">
        <v>2025</v>
      </c>
      <c r="C601" s="146" t="s">
        <v>52</v>
      </c>
      <c r="D601" s="112" t="s">
        <v>2397</v>
      </c>
      <c r="E601" s="106" t="s">
        <v>2437</v>
      </c>
      <c r="F601" s="122" t="s">
        <v>33</v>
      </c>
      <c r="G601" s="87" t="s">
        <v>22</v>
      </c>
      <c r="H601" s="107" t="s">
        <v>2438</v>
      </c>
      <c r="I601" s="108">
        <v>45860</v>
      </c>
      <c r="J601" s="108">
        <v>45862</v>
      </c>
      <c r="K601" s="112" t="s">
        <v>41</v>
      </c>
      <c r="L601" s="109">
        <v>4533.88</v>
      </c>
      <c r="M601" s="141">
        <v>4.87</v>
      </c>
      <c r="N601" s="110">
        <v>20</v>
      </c>
      <c r="O601" s="111">
        <v>21</v>
      </c>
      <c r="P601" s="111">
        <v>0</v>
      </c>
      <c r="Q601" s="111">
        <v>0</v>
      </c>
      <c r="R601" s="67">
        <f t="shared" si="15"/>
        <v>21</v>
      </c>
      <c r="S601" s="112">
        <v>8</v>
      </c>
      <c r="T601" s="87" t="s">
        <v>2400</v>
      </c>
    </row>
    <row r="602" spans="1:20" ht="23.25" customHeight="1">
      <c r="A602" s="62" t="s">
        <v>2439</v>
      </c>
      <c r="B602" s="64">
        <v>2025</v>
      </c>
      <c r="C602" s="146" t="s">
        <v>52</v>
      </c>
      <c r="D602" s="64" t="s">
        <v>2440</v>
      </c>
      <c r="E602" s="69" t="s">
        <v>2441</v>
      </c>
      <c r="F602" s="114" t="s">
        <v>33</v>
      </c>
      <c r="G602" s="128" t="s">
        <v>13</v>
      </c>
      <c r="H602" s="78" t="s">
        <v>2442</v>
      </c>
      <c r="I602" s="79">
        <v>45869</v>
      </c>
      <c r="J602" s="79">
        <v>45870</v>
      </c>
      <c r="K602" s="118" t="s">
        <v>41</v>
      </c>
      <c r="L602" s="70">
        <v>4533.88</v>
      </c>
      <c r="M602" s="139">
        <v>4.8499999999999996</v>
      </c>
      <c r="N602" s="83">
        <v>20</v>
      </c>
      <c r="O602" s="65">
        <v>14</v>
      </c>
      <c r="P602" s="65">
        <v>13</v>
      </c>
      <c r="Q602" s="65">
        <v>0</v>
      </c>
      <c r="R602" s="65">
        <f t="shared" si="15"/>
        <v>27</v>
      </c>
      <c r="S602" s="64">
        <v>8</v>
      </c>
      <c r="T602" s="62" t="s">
        <v>2004</v>
      </c>
    </row>
    <row r="603" spans="1:20" ht="23.25" customHeight="1">
      <c r="A603" s="63" t="s">
        <v>2443</v>
      </c>
      <c r="B603" s="66">
        <v>2025</v>
      </c>
      <c r="C603" s="146" t="s">
        <v>52</v>
      </c>
      <c r="D603" s="66" t="s">
        <v>2444</v>
      </c>
      <c r="E603" s="72" t="s">
        <v>2445</v>
      </c>
      <c r="F603" s="122" t="s">
        <v>33</v>
      </c>
      <c r="G603" s="87" t="s">
        <v>13</v>
      </c>
      <c r="H603" s="125" t="s">
        <v>2446</v>
      </c>
      <c r="I603" s="81">
        <v>45873</v>
      </c>
      <c r="J603" s="81">
        <v>45898</v>
      </c>
      <c r="K603" s="112" t="s">
        <v>41</v>
      </c>
      <c r="L603" s="68"/>
      <c r="M603" s="140">
        <v>4.8600000000000003</v>
      </c>
      <c r="N603" s="82">
        <v>20</v>
      </c>
      <c r="O603" s="67">
        <v>14</v>
      </c>
      <c r="P603" s="67">
        <v>12</v>
      </c>
      <c r="Q603" s="67">
        <v>0</v>
      </c>
      <c r="R603" s="67">
        <f t="shared" si="15"/>
        <v>26</v>
      </c>
      <c r="S603" s="66">
        <v>36</v>
      </c>
      <c r="T603" s="63" t="s">
        <v>591</v>
      </c>
    </row>
    <row r="604" spans="1:20" ht="23.25" customHeight="1">
      <c r="A604" s="62" t="s">
        <v>2447</v>
      </c>
      <c r="B604" s="64">
        <v>2025</v>
      </c>
      <c r="C604" s="146" t="s">
        <v>52</v>
      </c>
      <c r="D604" s="64" t="s">
        <v>2448</v>
      </c>
      <c r="E604" s="69" t="s">
        <v>2449</v>
      </c>
      <c r="F604" s="114" t="s">
        <v>33</v>
      </c>
      <c r="G604" s="115" t="s">
        <v>25</v>
      </c>
      <c r="H604" s="126" t="s">
        <v>2450</v>
      </c>
      <c r="I604" s="79">
        <v>45874</v>
      </c>
      <c r="J604" s="79">
        <v>45904</v>
      </c>
      <c r="K604" s="118" t="s">
        <v>45</v>
      </c>
      <c r="L604" s="70">
        <v>37800</v>
      </c>
      <c r="M604" s="139">
        <v>4.4800000000000004</v>
      </c>
      <c r="N604" s="83">
        <v>30</v>
      </c>
      <c r="O604" s="65">
        <v>28</v>
      </c>
      <c r="P604" s="65">
        <v>0</v>
      </c>
      <c r="Q604" s="65">
        <v>0</v>
      </c>
      <c r="R604" s="65">
        <f t="shared" si="15"/>
        <v>28</v>
      </c>
      <c r="S604" s="64">
        <v>40</v>
      </c>
      <c r="T604" s="62" t="s">
        <v>2451</v>
      </c>
    </row>
    <row r="605" spans="1:20" ht="23.25" customHeight="1">
      <c r="A605" s="63" t="s">
        <v>2452</v>
      </c>
      <c r="B605" s="66">
        <v>2025</v>
      </c>
      <c r="C605" s="145" t="s">
        <v>52</v>
      </c>
      <c r="D605" s="66" t="s">
        <v>2407</v>
      </c>
      <c r="E605" s="72" t="s">
        <v>2453</v>
      </c>
      <c r="F605" s="73" t="s">
        <v>44</v>
      </c>
      <c r="G605" s="63" t="s">
        <v>15</v>
      </c>
      <c r="H605" s="80" t="s">
        <v>2454</v>
      </c>
      <c r="I605" s="81">
        <v>45876</v>
      </c>
      <c r="J605" s="81">
        <v>45876</v>
      </c>
      <c r="K605" s="112" t="s">
        <v>41</v>
      </c>
      <c r="L605" s="68">
        <v>0</v>
      </c>
      <c r="M605" s="140">
        <v>4.8</v>
      </c>
      <c r="N605" s="82">
        <v>20</v>
      </c>
      <c r="O605" s="67">
        <v>0</v>
      </c>
      <c r="P605" s="67">
        <v>20</v>
      </c>
      <c r="Q605" s="67">
        <v>0</v>
      </c>
      <c r="R605" s="67">
        <f t="shared" si="15"/>
        <v>20</v>
      </c>
      <c r="S605" s="66">
        <v>4</v>
      </c>
      <c r="T605" s="63" t="s">
        <v>2455</v>
      </c>
    </row>
    <row r="606" spans="1:20" ht="23.25" customHeight="1">
      <c r="A606" s="62" t="s">
        <v>2456</v>
      </c>
      <c r="B606" s="64">
        <v>2025</v>
      </c>
      <c r="C606" s="145" t="s">
        <v>52</v>
      </c>
      <c r="D606" s="64" t="s">
        <v>2457</v>
      </c>
      <c r="E606" s="69" t="s">
        <v>2458</v>
      </c>
      <c r="F606" s="71" t="s">
        <v>33</v>
      </c>
      <c r="G606" s="96" t="s">
        <v>32</v>
      </c>
      <c r="H606" s="78" t="s">
        <v>2459</v>
      </c>
      <c r="I606" s="79">
        <v>45877</v>
      </c>
      <c r="J606" s="79">
        <v>45877</v>
      </c>
      <c r="K606" s="118" t="s">
        <v>41</v>
      </c>
      <c r="L606" s="70"/>
      <c r="M606" s="139">
        <v>4.9000000000000004</v>
      </c>
      <c r="N606" s="83">
        <v>170</v>
      </c>
      <c r="O606" s="65">
        <v>170</v>
      </c>
      <c r="P606" s="65">
        <v>0</v>
      </c>
      <c r="Q606" s="65">
        <v>0</v>
      </c>
      <c r="R606" s="65">
        <f t="shared" si="15"/>
        <v>170</v>
      </c>
      <c r="S606" s="64">
        <v>2</v>
      </c>
      <c r="T606" s="96" t="s">
        <v>2460</v>
      </c>
    </row>
    <row r="607" spans="1:20" ht="23.25" customHeight="1">
      <c r="A607" s="63" t="s">
        <v>2461</v>
      </c>
      <c r="B607" s="66">
        <v>2025</v>
      </c>
      <c r="C607" s="145" t="s">
        <v>52</v>
      </c>
      <c r="D607" s="66" t="s">
        <v>2457</v>
      </c>
      <c r="E607" s="72" t="s">
        <v>2462</v>
      </c>
      <c r="F607" s="73" t="s">
        <v>33</v>
      </c>
      <c r="G607" s="63" t="s">
        <v>32</v>
      </c>
      <c r="H607" s="130">
        <v>45877</v>
      </c>
      <c r="I607" s="81">
        <v>45877</v>
      </c>
      <c r="J607" s="81">
        <v>45877</v>
      </c>
      <c r="K607" s="66" t="s">
        <v>41</v>
      </c>
      <c r="L607" s="68"/>
      <c r="M607" s="140">
        <v>4.9000000000000004</v>
      </c>
      <c r="N607" s="82">
        <v>170</v>
      </c>
      <c r="O607" s="67">
        <v>170</v>
      </c>
      <c r="P607" s="67">
        <v>0</v>
      </c>
      <c r="Q607" s="67">
        <v>0</v>
      </c>
      <c r="R607" s="67">
        <f t="shared" ref="R607:R615" si="16">SUM(O607:Q607)</f>
        <v>170</v>
      </c>
      <c r="S607" s="66">
        <v>2</v>
      </c>
      <c r="T607" s="88" t="s">
        <v>2463</v>
      </c>
    </row>
    <row r="608" spans="1:20" ht="23.25" customHeight="1">
      <c r="A608" s="62" t="s">
        <v>2464</v>
      </c>
      <c r="B608" s="64">
        <v>2025</v>
      </c>
      <c r="C608" s="145" t="s">
        <v>52</v>
      </c>
      <c r="D608" s="64" t="s">
        <v>2465</v>
      </c>
      <c r="E608" s="69" t="s">
        <v>2466</v>
      </c>
      <c r="F608" s="71" t="s">
        <v>33</v>
      </c>
      <c r="G608" s="96" t="s">
        <v>32</v>
      </c>
      <c r="H608" s="78" t="s">
        <v>2467</v>
      </c>
      <c r="I608" s="79">
        <v>45880</v>
      </c>
      <c r="J608" s="79">
        <v>45884</v>
      </c>
      <c r="K608" s="118" t="s">
        <v>45</v>
      </c>
      <c r="L608" s="70">
        <v>16500</v>
      </c>
      <c r="M608" s="139">
        <v>4.9000000000000004</v>
      </c>
      <c r="N608" s="83">
        <v>20</v>
      </c>
      <c r="O608" s="65">
        <v>19</v>
      </c>
      <c r="P608" s="65">
        <v>0</v>
      </c>
      <c r="Q608" s="65">
        <v>0</v>
      </c>
      <c r="R608" s="65">
        <f t="shared" si="16"/>
        <v>19</v>
      </c>
      <c r="S608" s="64">
        <v>20</v>
      </c>
      <c r="T608" s="62" t="s">
        <v>810</v>
      </c>
    </row>
    <row r="609" spans="1:20" ht="23.25" customHeight="1">
      <c r="A609" s="63" t="s">
        <v>2468</v>
      </c>
      <c r="B609" s="66">
        <v>2025</v>
      </c>
      <c r="C609" s="145" t="s">
        <v>52</v>
      </c>
      <c r="D609" s="66" t="s">
        <v>2469</v>
      </c>
      <c r="E609" s="72" t="s">
        <v>2470</v>
      </c>
      <c r="F609" s="73" t="s">
        <v>33</v>
      </c>
      <c r="G609" s="63" t="s">
        <v>10</v>
      </c>
      <c r="H609" s="80" t="s">
        <v>2471</v>
      </c>
      <c r="I609" s="81">
        <v>45881</v>
      </c>
      <c r="J609" s="81">
        <v>45884</v>
      </c>
      <c r="K609" s="112" t="s">
        <v>41</v>
      </c>
      <c r="L609" s="68">
        <v>10030.61</v>
      </c>
      <c r="M609" s="140">
        <v>4.9000000000000004</v>
      </c>
      <c r="N609" s="82">
        <v>20</v>
      </c>
      <c r="O609" s="67">
        <v>19</v>
      </c>
      <c r="P609" s="67">
        <v>0</v>
      </c>
      <c r="Q609" s="67">
        <v>0</v>
      </c>
      <c r="R609" s="67">
        <f t="shared" si="16"/>
        <v>19</v>
      </c>
      <c r="S609" s="66">
        <v>12</v>
      </c>
      <c r="T609" s="63" t="s">
        <v>2472</v>
      </c>
    </row>
    <row r="610" spans="1:20" ht="23.25" customHeight="1">
      <c r="A610" s="62" t="s">
        <v>2473</v>
      </c>
      <c r="B610" s="64">
        <v>2025</v>
      </c>
      <c r="C610" s="143" t="s">
        <v>52</v>
      </c>
      <c r="D610" s="64" t="s">
        <v>2373</v>
      </c>
      <c r="E610" s="131" t="s">
        <v>2474</v>
      </c>
      <c r="F610" s="71" t="s">
        <v>48</v>
      </c>
      <c r="G610" s="62" t="s">
        <v>15</v>
      </c>
      <c r="H610" s="78" t="s">
        <v>2475</v>
      </c>
      <c r="I610" s="79">
        <v>45881</v>
      </c>
      <c r="J610" s="79">
        <v>45881</v>
      </c>
      <c r="K610" s="64" t="s">
        <v>41</v>
      </c>
      <c r="L610" s="70">
        <v>1700.2</v>
      </c>
      <c r="M610" s="139"/>
      <c r="N610" s="83">
        <v>0</v>
      </c>
      <c r="O610" s="65">
        <v>0</v>
      </c>
      <c r="P610" s="65">
        <v>0</v>
      </c>
      <c r="Q610" s="65">
        <v>31</v>
      </c>
      <c r="R610" s="65">
        <f t="shared" si="16"/>
        <v>31</v>
      </c>
      <c r="S610" s="64">
        <v>3</v>
      </c>
      <c r="T610" s="62" t="s">
        <v>2038</v>
      </c>
    </row>
    <row r="611" spans="1:20" ht="23.25" customHeight="1">
      <c r="A611" s="63" t="s">
        <v>2476</v>
      </c>
      <c r="B611" s="66">
        <v>2025</v>
      </c>
      <c r="C611" s="143" t="s">
        <v>52</v>
      </c>
      <c r="D611" s="66" t="s">
        <v>2477</v>
      </c>
      <c r="E611" s="72" t="s">
        <v>2478</v>
      </c>
      <c r="F611" s="122" t="s">
        <v>33</v>
      </c>
      <c r="G611" s="87" t="s">
        <v>25</v>
      </c>
      <c r="H611" s="80" t="s">
        <v>2479</v>
      </c>
      <c r="I611" s="81">
        <v>45885</v>
      </c>
      <c r="J611" s="81">
        <v>45886</v>
      </c>
      <c r="K611" s="66" t="s">
        <v>45</v>
      </c>
      <c r="L611" s="68">
        <v>43500</v>
      </c>
      <c r="M611" s="140">
        <v>5</v>
      </c>
      <c r="N611" s="82">
        <v>15</v>
      </c>
      <c r="O611" s="67">
        <v>15</v>
      </c>
      <c r="P611" s="67">
        <v>0</v>
      </c>
      <c r="Q611" s="67">
        <v>0</v>
      </c>
      <c r="R611" s="67">
        <f t="shared" si="16"/>
        <v>15</v>
      </c>
      <c r="S611" s="66">
        <v>16</v>
      </c>
      <c r="T611" s="103" t="s">
        <v>2480</v>
      </c>
    </row>
    <row r="612" spans="1:20" ht="23.25" customHeight="1">
      <c r="A612" s="62" t="s">
        <v>2481</v>
      </c>
      <c r="B612" s="64">
        <v>2025</v>
      </c>
      <c r="C612" s="145" t="s">
        <v>52</v>
      </c>
      <c r="D612" s="64" t="s">
        <v>2482</v>
      </c>
      <c r="E612" s="69" t="s">
        <v>2483</v>
      </c>
      <c r="F612" s="132" t="s">
        <v>33</v>
      </c>
      <c r="G612" s="96" t="s">
        <v>32</v>
      </c>
      <c r="H612" s="78" t="s">
        <v>2484</v>
      </c>
      <c r="I612" s="79">
        <v>45887</v>
      </c>
      <c r="J612" s="79">
        <v>45887</v>
      </c>
      <c r="K612" s="64" t="s">
        <v>45</v>
      </c>
      <c r="L612" s="70">
        <v>13081.64</v>
      </c>
      <c r="M612" s="139"/>
      <c r="N612" s="83">
        <v>100</v>
      </c>
      <c r="O612" s="65">
        <v>100</v>
      </c>
      <c r="P612" s="65">
        <v>0</v>
      </c>
      <c r="Q612" s="65">
        <v>0</v>
      </c>
      <c r="R612" s="65">
        <f t="shared" si="16"/>
        <v>100</v>
      </c>
      <c r="S612" s="64">
        <v>1.5</v>
      </c>
      <c r="T612" s="62" t="s">
        <v>2485</v>
      </c>
    </row>
    <row r="613" spans="1:20" ht="23.25" customHeight="1">
      <c r="A613" s="63" t="s">
        <v>2486</v>
      </c>
      <c r="B613" s="66">
        <v>2025</v>
      </c>
      <c r="C613" s="145" t="s">
        <v>52</v>
      </c>
      <c r="D613" s="66" t="s">
        <v>2482</v>
      </c>
      <c r="E613" s="72" t="s">
        <v>2487</v>
      </c>
      <c r="F613" s="73" t="s">
        <v>33</v>
      </c>
      <c r="G613" s="63" t="s">
        <v>32</v>
      </c>
      <c r="H613" s="66" t="s">
        <v>2484</v>
      </c>
      <c r="I613" s="81">
        <v>45887</v>
      </c>
      <c r="J613" s="81">
        <v>45887</v>
      </c>
      <c r="K613" s="66" t="s">
        <v>49</v>
      </c>
      <c r="L613" s="68"/>
      <c r="M613" s="140">
        <v>4.8899999999999997</v>
      </c>
      <c r="N613" s="82">
        <v>114</v>
      </c>
      <c r="O613" s="67">
        <v>114</v>
      </c>
      <c r="P613" s="67">
        <v>0</v>
      </c>
      <c r="Q613" s="67">
        <v>0</v>
      </c>
      <c r="R613" s="67">
        <f t="shared" si="16"/>
        <v>114</v>
      </c>
      <c r="S613" s="66">
        <v>3</v>
      </c>
      <c r="T613" s="88" t="s">
        <v>2488</v>
      </c>
    </row>
    <row r="614" spans="1:20" ht="23.25" customHeight="1">
      <c r="A614" s="62" t="s">
        <v>2489</v>
      </c>
      <c r="B614" s="64">
        <v>2025</v>
      </c>
      <c r="C614" s="145" t="s">
        <v>52</v>
      </c>
      <c r="D614" s="64" t="s">
        <v>2490</v>
      </c>
      <c r="E614" s="69" t="s">
        <v>2491</v>
      </c>
      <c r="F614" s="71" t="s">
        <v>44</v>
      </c>
      <c r="G614" s="62" t="s">
        <v>15</v>
      </c>
      <c r="H614" s="78" t="s">
        <v>2492</v>
      </c>
      <c r="I614" s="79">
        <v>45890</v>
      </c>
      <c r="J614" s="79">
        <v>45891</v>
      </c>
      <c r="K614" s="64" t="s">
        <v>41</v>
      </c>
      <c r="L614" s="70">
        <v>4500</v>
      </c>
      <c r="M614" s="139">
        <v>4.7</v>
      </c>
      <c r="N614" s="83">
        <v>400</v>
      </c>
      <c r="O614" s="65">
        <v>132</v>
      </c>
      <c r="P614" s="65">
        <v>359</v>
      </c>
      <c r="Q614" s="65">
        <v>0</v>
      </c>
      <c r="R614" s="65">
        <f t="shared" si="16"/>
        <v>491</v>
      </c>
      <c r="S614" s="64">
        <v>8</v>
      </c>
      <c r="T614" s="62" t="s">
        <v>492</v>
      </c>
    </row>
    <row r="615" spans="1:20" ht="23.25" customHeight="1">
      <c r="A615" s="63" t="s">
        <v>2493</v>
      </c>
      <c r="B615" s="66">
        <v>2025</v>
      </c>
      <c r="C615" s="145" t="s">
        <v>52</v>
      </c>
      <c r="D615" s="66" t="s">
        <v>2494</v>
      </c>
      <c r="E615" s="123" t="s">
        <v>2495</v>
      </c>
      <c r="F615" s="73" t="s">
        <v>44</v>
      </c>
      <c r="G615" s="63" t="s">
        <v>15</v>
      </c>
      <c r="H615" s="80" t="s">
        <v>2496</v>
      </c>
      <c r="I615" s="81">
        <v>45894</v>
      </c>
      <c r="J615" s="81">
        <v>45895</v>
      </c>
      <c r="K615" s="66" t="s">
        <v>41</v>
      </c>
      <c r="L615" s="68">
        <v>4000</v>
      </c>
      <c r="M615" s="140">
        <v>4.7</v>
      </c>
      <c r="N615" s="82">
        <v>20</v>
      </c>
      <c r="O615" s="67">
        <v>0</v>
      </c>
      <c r="P615" s="67">
        <v>27</v>
      </c>
      <c r="Q615" s="67">
        <v>0</v>
      </c>
      <c r="R615" s="67">
        <f t="shared" si="16"/>
        <v>27</v>
      </c>
      <c r="S615" s="66">
        <v>8</v>
      </c>
      <c r="T615" s="63" t="s">
        <v>1472</v>
      </c>
    </row>
    <row r="616" spans="1:20" ht="23.25" customHeight="1">
      <c r="A616" s="62" t="s">
        <v>2497</v>
      </c>
      <c r="B616" s="64">
        <v>2025</v>
      </c>
      <c r="C616" s="145" t="s">
        <v>52</v>
      </c>
      <c r="D616" s="64" t="s">
        <v>2433</v>
      </c>
      <c r="E616" s="131" t="s">
        <v>2498</v>
      </c>
      <c r="F616" s="71" t="s">
        <v>44</v>
      </c>
      <c r="G616" s="62" t="s">
        <v>15</v>
      </c>
      <c r="H616" s="78" t="s">
        <v>2499</v>
      </c>
      <c r="I616" s="79">
        <v>45894</v>
      </c>
      <c r="J616" s="79">
        <v>45905</v>
      </c>
      <c r="K616" s="64" t="s">
        <v>41</v>
      </c>
      <c r="L616" s="70"/>
      <c r="M616" s="139">
        <v>4.7699999999999996</v>
      </c>
      <c r="N616" s="83">
        <v>30</v>
      </c>
      <c r="O616" s="65">
        <v>0</v>
      </c>
      <c r="P616" s="65">
        <v>63</v>
      </c>
      <c r="Q616" s="65">
        <v>0</v>
      </c>
      <c r="R616" s="65">
        <f t="shared" ref="R616:R640" si="17">SUM(O616:Q616)</f>
        <v>63</v>
      </c>
      <c r="S616" s="64">
        <v>16</v>
      </c>
      <c r="T616" s="380" t="s">
        <v>2080</v>
      </c>
    </row>
    <row r="617" spans="1:20" ht="23.25" customHeight="1">
      <c r="A617" s="63" t="s">
        <v>2500</v>
      </c>
      <c r="B617" s="66">
        <v>2025</v>
      </c>
      <c r="C617" s="145" t="s">
        <v>52</v>
      </c>
      <c r="D617" s="66" t="s">
        <v>2501</v>
      </c>
      <c r="E617" s="72" t="s">
        <v>2502</v>
      </c>
      <c r="F617" s="73" t="s">
        <v>44</v>
      </c>
      <c r="G617" s="63" t="s">
        <v>15</v>
      </c>
      <c r="H617" s="80" t="s">
        <v>2503</v>
      </c>
      <c r="I617" s="81">
        <v>45896</v>
      </c>
      <c r="J617" s="81">
        <v>45896</v>
      </c>
      <c r="K617" s="66" t="s">
        <v>41</v>
      </c>
      <c r="L617" s="68">
        <v>2000</v>
      </c>
      <c r="M617" s="140">
        <v>4.5999999999999996</v>
      </c>
      <c r="N617" s="82">
        <v>50</v>
      </c>
      <c r="O617" s="67">
        <v>0</v>
      </c>
      <c r="P617" s="67">
        <v>42</v>
      </c>
      <c r="Q617" s="67">
        <v>0</v>
      </c>
      <c r="R617" s="67">
        <f t="shared" si="17"/>
        <v>42</v>
      </c>
      <c r="S617" s="66">
        <v>4</v>
      </c>
      <c r="T617" s="63" t="s">
        <v>2504</v>
      </c>
    </row>
    <row r="618" spans="1:20" ht="23.25" customHeight="1">
      <c r="A618" s="62" t="s">
        <v>2505</v>
      </c>
      <c r="B618" s="64">
        <v>2025</v>
      </c>
      <c r="C618" s="143" t="s">
        <v>52</v>
      </c>
      <c r="D618" s="64" t="s">
        <v>2506</v>
      </c>
      <c r="E618" s="69" t="s">
        <v>2507</v>
      </c>
      <c r="F618" s="71" t="s">
        <v>44</v>
      </c>
      <c r="G618" s="62" t="s">
        <v>15</v>
      </c>
      <c r="H618" s="78" t="s">
        <v>2508</v>
      </c>
      <c r="I618" s="79">
        <v>45897</v>
      </c>
      <c r="J618" s="79">
        <v>45897</v>
      </c>
      <c r="K618" s="64" t="s">
        <v>41</v>
      </c>
      <c r="L618" s="70">
        <v>2000</v>
      </c>
      <c r="M618" s="139">
        <v>4.8899999999999997</v>
      </c>
      <c r="N618" s="83">
        <v>27</v>
      </c>
      <c r="O618" s="65">
        <v>8</v>
      </c>
      <c r="P618" s="65">
        <v>19</v>
      </c>
      <c r="Q618" s="65">
        <v>0</v>
      </c>
      <c r="R618" s="65">
        <f t="shared" si="17"/>
        <v>27</v>
      </c>
      <c r="S618" s="64">
        <v>4</v>
      </c>
      <c r="T618" s="380" t="s">
        <v>3749</v>
      </c>
    </row>
    <row r="619" spans="1:20" ht="23.25" customHeight="1">
      <c r="A619" s="63" t="s">
        <v>2509</v>
      </c>
      <c r="B619" s="66">
        <v>2025</v>
      </c>
      <c r="C619" s="145" t="s">
        <v>52</v>
      </c>
      <c r="D619" s="66" t="s">
        <v>2510</v>
      </c>
      <c r="E619" s="72" t="s">
        <v>2511</v>
      </c>
      <c r="F619" s="73" t="s">
        <v>44</v>
      </c>
      <c r="G619" s="63" t="s">
        <v>15</v>
      </c>
      <c r="H619" s="80" t="s">
        <v>2508</v>
      </c>
      <c r="I619" s="81">
        <v>45897</v>
      </c>
      <c r="J619" s="81">
        <v>45897</v>
      </c>
      <c r="K619" s="66" t="s">
        <v>41</v>
      </c>
      <c r="L619" s="68">
        <v>2000</v>
      </c>
      <c r="M619" s="140">
        <v>4.5</v>
      </c>
      <c r="N619" s="82">
        <v>50</v>
      </c>
      <c r="O619" s="67">
        <v>0</v>
      </c>
      <c r="P619" s="67">
        <v>40</v>
      </c>
      <c r="Q619" s="67">
        <v>0</v>
      </c>
      <c r="R619" s="67">
        <f t="shared" si="17"/>
        <v>40</v>
      </c>
      <c r="S619" s="66">
        <v>4</v>
      </c>
      <c r="T619" s="63" t="s">
        <v>1944</v>
      </c>
    </row>
    <row r="620" spans="1:20" ht="23.25" customHeight="1">
      <c r="A620" s="62" t="s">
        <v>2512</v>
      </c>
      <c r="B620" s="64">
        <v>2025</v>
      </c>
      <c r="C620" s="145" t="s">
        <v>52</v>
      </c>
      <c r="D620" s="64" t="s">
        <v>2513</v>
      </c>
      <c r="E620" s="69" t="s">
        <v>2514</v>
      </c>
      <c r="F620" s="71" t="s">
        <v>44</v>
      </c>
      <c r="G620" s="62" t="s">
        <v>15</v>
      </c>
      <c r="H620" s="78" t="s">
        <v>2515</v>
      </c>
      <c r="I620" s="79">
        <v>45902</v>
      </c>
      <c r="J620" s="79">
        <v>45904</v>
      </c>
      <c r="K620" s="64" t="s">
        <v>41</v>
      </c>
      <c r="L620" s="70"/>
      <c r="M620" s="139">
        <v>4.8</v>
      </c>
      <c r="N620" s="83">
        <v>40</v>
      </c>
      <c r="O620" s="65">
        <v>0</v>
      </c>
      <c r="P620" s="65">
        <v>47</v>
      </c>
      <c r="Q620" s="65">
        <v>0</v>
      </c>
      <c r="R620" s="65">
        <f t="shared" si="17"/>
        <v>47</v>
      </c>
      <c r="S620" s="64">
        <v>12</v>
      </c>
      <c r="T620" s="62" t="s">
        <v>2090</v>
      </c>
    </row>
    <row r="621" spans="1:20" ht="23.25" customHeight="1">
      <c r="A621" s="63" t="s">
        <v>2516</v>
      </c>
      <c r="B621" s="66">
        <v>2025</v>
      </c>
      <c r="C621" s="143" t="s">
        <v>52</v>
      </c>
      <c r="D621" s="66" t="s">
        <v>2517</v>
      </c>
      <c r="E621" s="72" t="s">
        <v>2518</v>
      </c>
      <c r="F621" s="73" t="s">
        <v>33</v>
      </c>
      <c r="G621" s="88" t="s">
        <v>32</v>
      </c>
      <c r="H621" s="80" t="s">
        <v>2519</v>
      </c>
      <c r="I621" s="81">
        <v>45905</v>
      </c>
      <c r="J621" s="81">
        <v>45905</v>
      </c>
      <c r="K621" s="66" t="s">
        <v>41</v>
      </c>
      <c r="L621" s="68"/>
      <c r="M621" s="140">
        <v>4.9000000000000004</v>
      </c>
      <c r="N621" s="82">
        <v>25</v>
      </c>
      <c r="O621" s="67">
        <v>23</v>
      </c>
      <c r="P621" s="67">
        <v>0</v>
      </c>
      <c r="Q621" s="67">
        <v>0</v>
      </c>
      <c r="R621" s="67">
        <f t="shared" si="17"/>
        <v>23</v>
      </c>
      <c r="S621" s="66">
        <v>4</v>
      </c>
      <c r="T621" s="88" t="s">
        <v>2520</v>
      </c>
    </row>
    <row r="622" spans="1:20" ht="23.25" customHeight="1">
      <c r="A622" s="62" t="s">
        <v>2521</v>
      </c>
      <c r="B622" s="64">
        <v>2025</v>
      </c>
      <c r="C622" s="145" t="s">
        <v>52</v>
      </c>
      <c r="D622" s="64" t="s">
        <v>2379</v>
      </c>
      <c r="E622" s="69" t="s">
        <v>2522</v>
      </c>
      <c r="F622" s="71" t="s">
        <v>33</v>
      </c>
      <c r="G622" s="62" t="s">
        <v>35</v>
      </c>
      <c r="H622" s="78" t="s">
        <v>2523</v>
      </c>
      <c r="I622" s="79">
        <v>45908</v>
      </c>
      <c r="J622" s="79">
        <v>45909</v>
      </c>
      <c r="K622" s="64" t="s">
        <v>41</v>
      </c>
      <c r="L622" s="70"/>
      <c r="M622" s="139">
        <v>4.4000000000000004</v>
      </c>
      <c r="N622" s="83">
        <v>30</v>
      </c>
      <c r="O622" s="65">
        <v>21</v>
      </c>
      <c r="P622" s="65">
        <v>0</v>
      </c>
      <c r="Q622" s="65">
        <v>0</v>
      </c>
      <c r="R622" s="65">
        <f t="shared" si="17"/>
        <v>21</v>
      </c>
      <c r="S622" s="64">
        <v>8</v>
      </c>
      <c r="T622" s="62" t="s">
        <v>2382</v>
      </c>
    </row>
    <row r="623" spans="1:20" ht="23.25" customHeight="1">
      <c r="A623" s="63" t="s">
        <v>2524</v>
      </c>
      <c r="B623" s="66">
        <v>2025</v>
      </c>
      <c r="C623" s="145" t="s">
        <v>52</v>
      </c>
      <c r="D623" s="66" t="s">
        <v>2525</v>
      </c>
      <c r="E623" s="72" t="s">
        <v>2526</v>
      </c>
      <c r="F623" s="73" t="s">
        <v>33</v>
      </c>
      <c r="G623" s="63" t="s">
        <v>25</v>
      </c>
      <c r="H623" s="80" t="s">
        <v>2527</v>
      </c>
      <c r="I623" s="81">
        <v>45910</v>
      </c>
      <c r="J623" s="81">
        <v>45911</v>
      </c>
      <c r="K623" s="66" t="s">
        <v>45</v>
      </c>
      <c r="L623" s="68">
        <v>37706.28</v>
      </c>
      <c r="M623" s="140">
        <v>4.7</v>
      </c>
      <c r="N623" s="82">
        <v>30</v>
      </c>
      <c r="O623" s="67">
        <v>26</v>
      </c>
      <c r="P623" s="67">
        <v>0</v>
      </c>
      <c r="Q623" s="67">
        <v>0</v>
      </c>
      <c r="R623" s="67">
        <f t="shared" si="17"/>
        <v>26</v>
      </c>
      <c r="S623" s="66">
        <v>6</v>
      </c>
      <c r="T623" s="63" t="s">
        <v>2528</v>
      </c>
    </row>
    <row r="624" spans="1:20" ht="23.25" customHeight="1">
      <c r="A624" s="62" t="s">
        <v>2529</v>
      </c>
      <c r="B624" s="64">
        <v>2025</v>
      </c>
      <c r="C624" s="145" t="s">
        <v>52</v>
      </c>
      <c r="D624" s="64" t="s">
        <v>2342</v>
      </c>
      <c r="E624" s="69" t="s">
        <v>2530</v>
      </c>
      <c r="F624" s="132" t="s">
        <v>48</v>
      </c>
      <c r="G624" s="96" t="s">
        <v>15</v>
      </c>
      <c r="H624" s="78" t="s">
        <v>2531</v>
      </c>
      <c r="I624" s="79">
        <v>45911</v>
      </c>
      <c r="J624" s="79">
        <v>45911</v>
      </c>
      <c r="K624" s="64" t="s">
        <v>41</v>
      </c>
      <c r="L624" s="70"/>
      <c r="M624" s="139"/>
      <c r="N624" s="83">
        <v>88</v>
      </c>
      <c r="O624" s="65">
        <v>0</v>
      </c>
      <c r="P624" s="65">
        <v>0</v>
      </c>
      <c r="Q624" s="65">
        <v>88</v>
      </c>
      <c r="R624" s="65">
        <f t="shared" si="17"/>
        <v>88</v>
      </c>
      <c r="S624" s="64">
        <v>3</v>
      </c>
      <c r="T624" s="85" t="s">
        <v>1655</v>
      </c>
    </row>
    <row r="625" spans="1:20" ht="23.25" customHeight="1">
      <c r="A625" s="63" t="s">
        <v>2532</v>
      </c>
      <c r="B625" s="66">
        <v>2025</v>
      </c>
      <c r="C625" s="143" t="s">
        <v>52</v>
      </c>
      <c r="D625" s="66" t="s">
        <v>2416</v>
      </c>
      <c r="E625" s="72" t="s">
        <v>2533</v>
      </c>
      <c r="F625" s="73" t="s">
        <v>48</v>
      </c>
      <c r="G625" s="63" t="s">
        <v>15</v>
      </c>
      <c r="H625" s="80" t="s">
        <v>2534</v>
      </c>
      <c r="I625" s="81">
        <v>45912</v>
      </c>
      <c r="J625" s="81">
        <v>45912</v>
      </c>
      <c r="K625" s="66" t="s">
        <v>41</v>
      </c>
      <c r="L625" s="68"/>
      <c r="M625" s="140">
        <v>4.87</v>
      </c>
      <c r="N625" s="82">
        <v>30</v>
      </c>
      <c r="O625" s="67">
        <v>0</v>
      </c>
      <c r="P625" s="67">
        <v>33</v>
      </c>
      <c r="Q625" s="67">
        <v>0</v>
      </c>
      <c r="R625" s="67">
        <f t="shared" si="17"/>
        <v>33</v>
      </c>
      <c r="S625" s="66">
        <v>4</v>
      </c>
      <c r="T625" s="88" t="s">
        <v>2418</v>
      </c>
    </row>
    <row r="626" spans="1:20" ht="23.25" customHeight="1">
      <c r="A626" s="62" t="s">
        <v>2535</v>
      </c>
      <c r="B626" s="64">
        <v>2025</v>
      </c>
      <c r="C626" s="145" t="s">
        <v>52</v>
      </c>
      <c r="D626" s="64" t="s">
        <v>2342</v>
      </c>
      <c r="E626" s="69" t="s">
        <v>2536</v>
      </c>
      <c r="F626" s="71" t="s">
        <v>48</v>
      </c>
      <c r="G626" s="96" t="s">
        <v>15</v>
      </c>
      <c r="H626" s="78" t="s">
        <v>2534</v>
      </c>
      <c r="I626" s="79">
        <v>45912</v>
      </c>
      <c r="J626" s="79">
        <v>45912</v>
      </c>
      <c r="K626" s="64" t="s">
        <v>41</v>
      </c>
      <c r="L626" s="70"/>
      <c r="M626" s="139"/>
      <c r="N626" s="83">
        <v>128</v>
      </c>
      <c r="O626" s="65">
        <v>0</v>
      </c>
      <c r="P626" s="65">
        <v>0</v>
      </c>
      <c r="Q626" s="65">
        <v>128</v>
      </c>
      <c r="R626" s="65">
        <f t="shared" si="17"/>
        <v>128</v>
      </c>
      <c r="S626" s="64">
        <v>3</v>
      </c>
      <c r="T626" s="85" t="s">
        <v>1655</v>
      </c>
    </row>
    <row r="627" spans="1:20" ht="23.25" customHeight="1">
      <c r="A627" s="63" t="s">
        <v>2537</v>
      </c>
      <c r="B627" s="66">
        <v>2025</v>
      </c>
      <c r="C627" s="145" t="s">
        <v>52</v>
      </c>
      <c r="D627" s="66" t="s">
        <v>2538</v>
      </c>
      <c r="E627" s="72" t="s">
        <v>2539</v>
      </c>
      <c r="F627" s="133" t="s">
        <v>33</v>
      </c>
      <c r="G627" s="88" t="s">
        <v>32</v>
      </c>
      <c r="H627" s="80" t="s">
        <v>2540</v>
      </c>
      <c r="I627" s="81">
        <v>45916</v>
      </c>
      <c r="J627" s="81">
        <v>45916</v>
      </c>
      <c r="K627" s="66" t="s">
        <v>41</v>
      </c>
      <c r="L627" s="68"/>
      <c r="M627" s="140">
        <v>4.9000000000000004</v>
      </c>
      <c r="N627" s="82">
        <v>80</v>
      </c>
      <c r="O627" s="67">
        <v>80</v>
      </c>
      <c r="P627" s="67">
        <v>0</v>
      </c>
      <c r="Q627" s="67">
        <v>0</v>
      </c>
      <c r="R627" s="67">
        <f t="shared" si="17"/>
        <v>80</v>
      </c>
      <c r="S627" s="66">
        <v>2</v>
      </c>
      <c r="T627" s="63"/>
    </row>
    <row r="628" spans="1:20" ht="23.25" customHeight="1">
      <c r="A628" s="62" t="s">
        <v>2541</v>
      </c>
      <c r="B628" s="64">
        <v>2025</v>
      </c>
      <c r="C628" s="143" t="s">
        <v>52</v>
      </c>
      <c r="D628" s="64" t="s">
        <v>2542</v>
      </c>
      <c r="E628" s="69" t="s">
        <v>2543</v>
      </c>
      <c r="F628" s="71" t="s">
        <v>33</v>
      </c>
      <c r="G628" s="62" t="s">
        <v>25</v>
      </c>
      <c r="H628" s="78" t="s">
        <v>2544</v>
      </c>
      <c r="I628" s="79">
        <v>45922</v>
      </c>
      <c r="J628" s="79">
        <v>45926</v>
      </c>
      <c r="K628" s="64" t="s">
        <v>45</v>
      </c>
      <c r="L628" s="70">
        <v>18925</v>
      </c>
      <c r="M628" s="139">
        <v>4.9000000000000004</v>
      </c>
      <c r="N628" s="83">
        <v>20</v>
      </c>
      <c r="O628" s="65">
        <v>18</v>
      </c>
      <c r="P628" s="65">
        <v>5</v>
      </c>
      <c r="Q628" s="65">
        <v>0</v>
      </c>
      <c r="R628" s="65">
        <f t="shared" si="17"/>
        <v>23</v>
      </c>
      <c r="S628" s="64" t="s">
        <v>2545</v>
      </c>
      <c r="T628" s="62" t="s">
        <v>2546</v>
      </c>
    </row>
    <row r="629" spans="1:20" ht="23.25" customHeight="1">
      <c r="A629" s="63" t="s">
        <v>2547</v>
      </c>
      <c r="B629" s="66">
        <v>2025</v>
      </c>
      <c r="C629" s="145" t="s">
        <v>52</v>
      </c>
      <c r="D629" s="66" t="s">
        <v>2548</v>
      </c>
      <c r="E629" s="72" t="s">
        <v>2549</v>
      </c>
      <c r="F629" s="73" t="s">
        <v>44</v>
      </c>
      <c r="G629" s="63" t="s">
        <v>15</v>
      </c>
      <c r="H629" s="80" t="s">
        <v>2550</v>
      </c>
      <c r="I629" s="81">
        <v>45924</v>
      </c>
      <c r="J629" s="81">
        <v>45931</v>
      </c>
      <c r="K629" s="66" t="s">
        <v>41</v>
      </c>
      <c r="L629" s="68">
        <v>0</v>
      </c>
      <c r="M629" s="140">
        <v>4.4000000000000004</v>
      </c>
      <c r="N629" s="82">
        <v>40</v>
      </c>
      <c r="O629" s="67">
        <v>0</v>
      </c>
      <c r="P629" s="67">
        <v>49</v>
      </c>
      <c r="Q629" s="67">
        <v>0</v>
      </c>
      <c r="R629" s="67">
        <f t="shared" si="17"/>
        <v>49</v>
      </c>
      <c r="S629" s="66">
        <v>16</v>
      </c>
      <c r="T629" s="63" t="s">
        <v>2551</v>
      </c>
    </row>
    <row r="630" spans="1:20" ht="23.25" customHeight="1">
      <c r="A630" s="62" t="s">
        <v>2552</v>
      </c>
      <c r="B630" s="64">
        <v>2025</v>
      </c>
      <c r="C630" s="145" t="s">
        <v>52</v>
      </c>
      <c r="D630" s="64" t="s">
        <v>2553</v>
      </c>
      <c r="E630" s="69" t="s">
        <v>2554</v>
      </c>
      <c r="F630" s="71" t="s">
        <v>48</v>
      </c>
      <c r="G630" s="62" t="s">
        <v>15</v>
      </c>
      <c r="H630" s="78" t="s">
        <v>2555</v>
      </c>
      <c r="I630" s="79">
        <v>45925</v>
      </c>
      <c r="J630" s="79">
        <v>45926</v>
      </c>
      <c r="K630" s="64" t="s">
        <v>49</v>
      </c>
      <c r="L630" s="70"/>
      <c r="M630" s="139">
        <v>4.9000000000000004</v>
      </c>
      <c r="N630" s="83">
        <v>170</v>
      </c>
      <c r="O630" s="65">
        <v>43</v>
      </c>
      <c r="P630" s="65">
        <v>139</v>
      </c>
      <c r="Q630" s="65">
        <v>46</v>
      </c>
      <c r="R630" s="65">
        <f t="shared" si="17"/>
        <v>228</v>
      </c>
      <c r="S630" s="64">
        <v>14</v>
      </c>
      <c r="T630" s="62" t="s">
        <v>492</v>
      </c>
    </row>
    <row r="631" spans="1:20" ht="23.25" customHeight="1">
      <c r="A631" s="63" t="s">
        <v>2556</v>
      </c>
      <c r="B631" s="66">
        <v>2025</v>
      </c>
      <c r="C631" s="145" t="s">
        <v>52</v>
      </c>
      <c r="D631" s="66" t="s">
        <v>2440</v>
      </c>
      <c r="E631" s="72" t="s">
        <v>2557</v>
      </c>
      <c r="F631" s="73" t="s">
        <v>33</v>
      </c>
      <c r="G631" s="88" t="s">
        <v>13</v>
      </c>
      <c r="H631" s="80" t="s">
        <v>2558</v>
      </c>
      <c r="I631" s="81">
        <v>45932</v>
      </c>
      <c r="J631" s="81">
        <v>45933</v>
      </c>
      <c r="K631" s="66" t="s">
        <v>41</v>
      </c>
      <c r="L631" s="68"/>
      <c r="M631" s="140">
        <v>4.8499999999999996</v>
      </c>
      <c r="N631" s="82">
        <v>20</v>
      </c>
      <c r="O631" s="67">
        <v>6</v>
      </c>
      <c r="P631" s="67">
        <v>22</v>
      </c>
      <c r="Q631" s="67">
        <v>0</v>
      </c>
      <c r="R631" s="67">
        <f t="shared" si="17"/>
        <v>28</v>
      </c>
      <c r="S631" s="66">
        <v>8</v>
      </c>
      <c r="T631" s="63" t="s">
        <v>2004</v>
      </c>
    </row>
    <row r="632" spans="1:20" ht="23.25" customHeight="1">
      <c r="A632" s="62" t="s">
        <v>2559</v>
      </c>
      <c r="B632" s="64">
        <v>2025</v>
      </c>
      <c r="C632" s="143" t="s">
        <v>52</v>
      </c>
      <c r="D632" s="64" t="s">
        <v>2560</v>
      </c>
      <c r="E632" s="131" t="s">
        <v>2561</v>
      </c>
      <c r="F632" s="71" t="s">
        <v>33</v>
      </c>
      <c r="G632" s="62" t="s">
        <v>25</v>
      </c>
      <c r="H632" s="126" t="s">
        <v>2562</v>
      </c>
      <c r="I632" s="79">
        <v>45932</v>
      </c>
      <c r="J632" s="79">
        <v>45947</v>
      </c>
      <c r="K632" s="64" t="s">
        <v>41</v>
      </c>
      <c r="L632" s="70">
        <v>0</v>
      </c>
      <c r="M632" s="139"/>
      <c r="N632" s="83">
        <v>20</v>
      </c>
      <c r="O632" s="65">
        <v>16</v>
      </c>
      <c r="P632" s="65">
        <v>0</v>
      </c>
      <c r="Q632" s="65">
        <v>0</v>
      </c>
      <c r="R632" s="65">
        <f t="shared" si="17"/>
        <v>16</v>
      </c>
      <c r="S632" s="64">
        <v>48</v>
      </c>
      <c r="T632" s="96" t="s">
        <v>2563</v>
      </c>
    </row>
    <row r="633" spans="1:20" ht="23.25" customHeight="1">
      <c r="A633" s="63" t="s">
        <v>2564</v>
      </c>
      <c r="B633" s="66">
        <v>2025</v>
      </c>
      <c r="C633" s="143" t="s">
        <v>52</v>
      </c>
      <c r="D633" s="66" t="s">
        <v>2565</v>
      </c>
      <c r="E633" s="72" t="s">
        <v>2566</v>
      </c>
      <c r="F633" s="73" t="s">
        <v>44</v>
      </c>
      <c r="G633" s="63" t="s">
        <v>15</v>
      </c>
      <c r="H633" s="80" t="s">
        <v>2567</v>
      </c>
      <c r="I633" s="81">
        <v>45932</v>
      </c>
      <c r="J633" s="81">
        <v>45936</v>
      </c>
      <c r="K633" s="66" t="s">
        <v>41</v>
      </c>
      <c r="L633" s="68"/>
      <c r="M633" s="140">
        <v>4.5999999999999996</v>
      </c>
      <c r="N633" s="82">
        <v>30</v>
      </c>
      <c r="O633" s="67">
        <v>0</v>
      </c>
      <c r="P633" s="67">
        <v>40</v>
      </c>
      <c r="Q633" s="67">
        <v>0</v>
      </c>
      <c r="R633" s="67">
        <f t="shared" si="17"/>
        <v>40</v>
      </c>
      <c r="S633" s="66">
        <v>12</v>
      </c>
      <c r="T633" s="63" t="s">
        <v>2427</v>
      </c>
    </row>
    <row r="634" spans="1:20" ht="23.25" customHeight="1">
      <c r="A634" s="62" t="s">
        <v>2568</v>
      </c>
      <c r="B634" s="64">
        <v>2025</v>
      </c>
      <c r="C634" s="145" t="s">
        <v>52</v>
      </c>
      <c r="D634" s="64" t="s">
        <v>2569</v>
      </c>
      <c r="E634" s="69" t="s">
        <v>2570</v>
      </c>
      <c r="F634" s="132" t="s">
        <v>33</v>
      </c>
      <c r="G634" s="96" t="s">
        <v>32</v>
      </c>
      <c r="H634" s="78" t="s">
        <v>2571</v>
      </c>
      <c r="I634" s="79">
        <v>45933</v>
      </c>
      <c r="J634" s="79">
        <v>45933</v>
      </c>
      <c r="K634" s="64" t="s">
        <v>45</v>
      </c>
      <c r="L634" s="70">
        <v>0</v>
      </c>
      <c r="M634" s="139">
        <v>4.76</v>
      </c>
      <c r="N634" s="83">
        <v>80</v>
      </c>
      <c r="O634" s="65">
        <v>80</v>
      </c>
      <c r="P634" s="65">
        <v>0</v>
      </c>
      <c r="Q634" s="65">
        <v>0</v>
      </c>
      <c r="R634" s="65">
        <f t="shared" si="17"/>
        <v>80</v>
      </c>
      <c r="S634" s="64">
        <v>4</v>
      </c>
      <c r="T634" s="62"/>
    </row>
    <row r="635" spans="1:20" ht="23.25" customHeight="1">
      <c r="A635" s="63" t="s">
        <v>2572</v>
      </c>
      <c r="B635" s="66">
        <v>2025</v>
      </c>
      <c r="C635" s="145" t="s">
        <v>52</v>
      </c>
      <c r="D635" s="66" t="s">
        <v>2296</v>
      </c>
      <c r="E635" s="72" t="s">
        <v>2573</v>
      </c>
      <c r="F635" s="73" t="s">
        <v>44</v>
      </c>
      <c r="G635" s="63" t="s">
        <v>22</v>
      </c>
      <c r="H635" s="80" t="s">
        <v>2574</v>
      </c>
      <c r="I635" s="81">
        <v>45936</v>
      </c>
      <c r="J635" s="81">
        <v>45936</v>
      </c>
      <c r="K635" s="66" t="s">
        <v>45</v>
      </c>
      <c r="L635" s="68">
        <v>0</v>
      </c>
      <c r="M635" s="140">
        <v>4.9000000000000004</v>
      </c>
      <c r="N635" s="82">
        <v>150</v>
      </c>
      <c r="O635" s="67">
        <v>20</v>
      </c>
      <c r="P635" s="67">
        <v>50</v>
      </c>
      <c r="Q635" s="67">
        <v>0</v>
      </c>
      <c r="R635" s="67">
        <f t="shared" si="17"/>
        <v>70</v>
      </c>
      <c r="S635" s="66">
        <v>1</v>
      </c>
      <c r="T635" s="381" t="s">
        <v>2299</v>
      </c>
    </row>
    <row r="636" spans="1:20" ht="31.5" customHeight="1">
      <c r="A636" s="62" t="s">
        <v>2575</v>
      </c>
      <c r="B636" s="64">
        <v>2025</v>
      </c>
      <c r="C636" s="143" t="s">
        <v>52</v>
      </c>
      <c r="D636" s="64" t="s">
        <v>2576</v>
      </c>
      <c r="E636" s="131" t="s">
        <v>2577</v>
      </c>
      <c r="F636" s="71" t="s">
        <v>44</v>
      </c>
      <c r="G636" s="62" t="s">
        <v>15</v>
      </c>
      <c r="H636" s="78" t="s">
        <v>2578</v>
      </c>
      <c r="I636" s="79">
        <v>45938</v>
      </c>
      <c r="J636" s="79">
        <v>45940</v>
      </c>
      <c r="K636" s="64" t="s">
        <v>41</v>
      </c>
      <c r="L636" s="70"/>
      <c r="M636" s="139">
        <v>4.9000000000000004</v>
      </c>
      <c r="N636" s="83">
        <v>20</v>
      </c>
      <c r="O636" s="65">
        <v>0</v>
      </c>
      <c r="P636" s="65">
        <v>28</v>
      </c>
      <c r="Q636" s="65">
        <v>0</v>
      </c>
      <c r="R636" s="65">
        <f t="shared" si="17"/>
        <v>28</v>
      </c>
      <c r="S636" s="64">
        <v>12</v>
      </c>
      <c r="T636" s="62" t="s">
        <v>2579</v>
      </c>
    </row>
    <row r="637" spans="1:20" ht="23.25" customHeight="1">
      <c r="A637" s="63" t="s">
        <v>2580</v>
      </c>
      <c r="B637" s="66">
        <v>2025</v>
      </c>
      <c r="C637" s="143" t="s">
        <v>52</v>
      </c>
      <c r="D637" s="66" t="s">
        <v>2581</v>
      </c>
      <c r="E637" s="72" t="s">
        <v>2582</v>
      </c>
      <c r="F637" s="73" t="s">
        <v>48</v>
      </c>
      <c r="G637" s="63" t="s">
        <v>15</v>
      </c>
      <c r="H637" s="104" t="s">
        <v>2583</v>
      </c>
      <c r="I637" s="81">
        <v>45944</v>
      </c>
      <c r="J637" s="81">
        <v>45946</v>
      </c>
      <c r="K637" s="66" t="s">
        <v>41</v>
      </c>
      <c r="L637" s="68"/>
      <c r="M637" s="140">
        <v>4.8099999999999996</v>
      </c>
      <c r="N637" s="82">
        <v>20</v>
      </c>
      <c r="O637" s="67">
        <v>0</v>
      </c>
      <c r="P637" s="67">
        <v>0</v>
      </c>
      <c r="Q637" s="67">
        <v>30</v>
      </c>
      <c r="R637" s="67">
        <f t="shared" si="17"/>
        <v>30</v>
      </c>
      <c r="S637" s="66">
        <v>12</v>
      </c>
      <c r="T637" s="63" t="s">
        <v>2584</v>
      </c>
    </row>
    <row r="638" spans="1:20" ht="23.25" customHeight="1">
      <c r="A638" s="62" t="s">
        <v>2585</v>
      </c>
      <c r="B638" s="64">
        <v>2025</v>
      </c>
      <c r="C638" s="143" t="s">
        <v>52</v>
      </c>
      <c r="D638" s="64" t="s">
        <v>2586</v>
      </c>
      <c r="E638" s="69" t="s">
        <v>2587</v>
      </c>
      <c r="F638" s="71" t="s">
        <v>33</v>
      </c>
      <c r="G638" s="62" t="s">
        <v>22</v>
      </c>
      <c r="H638" s="78" t="s">
        <v>2588</v>
      </c>
      <c r="I638" s="79">
        <v>45950</v>
      </c>
      <c r="J638" s="79">
        <v>45954</v>
      </c>
      <c r="K638" s="64" t="s">
        <v>45</v>
      </c>
      <c r="L638" s="70">
        <v>18925</v>
      </c>
      <c r="M638" s="139">
        <v>4.9800000000000004</v>
      </c>
      <c r="N638" s="83">
        <v>20</v>
      </c>
      <c r="O638" s="65">
        <v>18</v>
      </c>
      <c r="P638" s="65">
        <v>3</v>
      </c>
      <c r="Q638" s="65">
        <v>0</v>
      </c>
      <c r="R638" s="65">
        <f t="shared" si="17"/>
        <v>21</v>
      </c>
      <c r="S638" s="64" t="s">
        <v>2545</v>
      </c>
      <c r="T638" s="62" t="s">
        <v>2546</v>
      </c>
    </row>
    <row r="639" spans="1:20" ht="23.25" customHeight="1">
      <c r="A639" s="63" t="s">
        <v>2589</v>
      </c>
      <c r="B639" s="66">
        <v>2025</v>
      </c>
      <c r="C639" s="143" t="s">
        <v>52</v>
      </c>
      <c r="D639" s="66" t="s">
        <v>2590</v>
      </c>
      <c r="E639" s="72" t="s">
        <v>2591</v>
      </c>
      <c r="F639" s="73" t="s">
        <v>48</v>
      </c>
      <c r="G639" s="88" t="s">
        <v>15</v>
      </c>
      <c r="H639" s="80" t="s">
        <v>2592</v>
      </c>
      <c r="I639" s="81">
        <v>45950</v>
      </c>
      <c r="J639" s="81">
        <v>45951</v>
      </c>
      <c r="K639" s="66" t="s">
        <v>49</v>
      </c>
      <c r="L639" s="68">
        <v>0</v>
      </c>
      <c r="M639" s="140">
        <v>4.9000000000000004</v>
      </c>
      <c r="N639" s="82">
        <v>170</v>
      </c>
      <c r="O639" s="67">
        <v>35</v>
      </c>
      <c r="P639" s="67">
        <v>104</v>
      </c>
      <c r="Q639" s="67">
        <v>40</v>
      </c>
      <c r="R639" s="67">
        <f t="shared" si="17"/>
        <v>179</v>
      </c>
      <c r="S639" s="66">
        <v>14</v>
      </c>
      <c r="T639" s="63" t="s">
        <v>492</v>
      </c>
    </row>
    <row r="640" spans="1:20" ht="23.25" customHeight="1">
      <c r="A640" s="62" t="s">
        <v>2593</v>
      </c>
      <c r="B640" s="64">
        <v>2025</v>
      </c>
      <c r="C640" s="145" t="s">
        <v>52</v>
      </c>
      <c r="D640" s="64" t="s">
        <v>2594</v>
      </c>
      <c r="E640" s="69" t="s">
        <v>2595</v>
      </c>
      <c r="F640" s="132" t="s">
        <v>33</v>
      </c>
      <c r="G640" s="96" t="s">
        <v>32</v>
      </c>
      <c r="H640" s="78" t="s">
        <v>2596</v>
      </c>
      <c r="I640" s="79">
        <v>45953</v>
      </c>
      <c r="J640" s="79">
        <v>45953</v>
      </c>
      <c r="K640" s="64" t="s">
        <v>41</v>
      </c>
      <c r="L640" s="70"/>
      <c r="M640" s="139"/>
      <c r="N640" s="83"/>
      <c r="O640" s="65">
        <v>0</v>
      </c>
      <c r="P640" s="65">
        <v>0</v>
      </c>
      <c r="Q640" s="65">
        <v>0</v>
      </c>
      <c r="R640" s="65">
        <f t="shared" si="17"/>
        <v>0</v>
      </c>
      <c r="S640" s="64">
        <v>2</v>
      </c>
      <c r="T640" s="62"/>
    </row>
    <row r="641" spans="1:20" ht="23.25" customHeight="1">
      <c r="A641" s="63" t="s">
        <v>2597</v>
      </c>
      <c r="B641" s="66">
        <v>2025</v>
      </c>
      <c r="C641" s="143" t="s">
        <v>52</v>
      </c>
      <c r="D641" s="66" t="s">
        <v>2598</v>
      </c>
      <c r="E641" s="72" t="s">
        <v>2413</v>
      </c>
      <c r="F641" s="73" t="s">
        <v>48</v>
      </c>
      <c r="G641" s="127" t="s">
        <v>15</v>
      </c>
      <c r="H641" s="125" t="s">
        <v>2599</v>
      </c>
      <c r="I641" s="81">
        <v>45954</v>
      </c>
      <c r="J641" s="81">
        <v>45989</v>
      </c>
      <c r="K641" s="66" t="s">
        <v>41</v>
      </c>
      <c r="L641" s="68"/>
      <c r="M641" s="140">
        <v>4.92</v>
      </c>
      <c r="N641" s="82">
        <v>25</v>
      </c>
      <c r="O641" s="67">
        <v>0</v>
      </c>
      <c r="P641" s="67">
        <v>0</v>
      </c>
      <c r="Q641" s="67">
        <v>25</v>
      </c>
      <c r="R641" s="67">
        <f>SUM(Tabela2[[#This Row],[P. Servidores]:[P. Sociedade]])</f>
        <v>25</v>
      </c>
      <c r="S641" s="66">
        <v>6</v>
      </c>
      <c r="T641" s="382" t="s">
        <v>3748</v>
      </c>
    </row>
    <row r="642" spans="1:20" ht="23.25" customHeight="1">
      <c r="A642" s="62" t="s">
        <v>2601</v>
      </c>
      <c r="B642" s="64">
        <v>2025</v>
      </c>
      <c r="C642" s="143" t="s">
        <v>52</v>
      </c>
      <c r="D642" s="64" t="s">
        <v>2602</v>
      </c>
      <c r="E642" s="69" t="s">
        <v>2253</v>
      </c>
      <c r="F642" s="71" t="s">
        <v>48</v>
      </c>
      <c r="G642" s="62" t="s">
        <v>15</v>
      </c>
      <c r="H642" s="78" t="s">
        <v>2603</v>
      </c>
      <c r="I642" s="79">
        <v>45964</v>
      </c>
      <c r="J642" s="79">
        <v>45968</v>
      </c>
      <c r="K642" s="64" t="s">
        <v>41</v>
      </c>
      <c r="L642" s="70"/>
      <c r="M642" s="139">
        <v>4.93</v>
      </c>
      <c r="N642" s="83">
        <v>30</v>
      </c>
      <c r="O642" s="65">
        <v>0</v>
      </c>
      <c r="P642" s="65">
        <v>0</v>
      </c>
      <c r="Q642" s="65">
        <v>33</v>
      </c>
      <c r="R642" s="65">
        <f t="shared" ref="R642:R649" si="18">SUM(O642:Q642)</f>
        <v>33</v>
      </c>
      <c r="S642" s="64">
        <v>20</v>
      </c>
      <c r="T642" s="62" t="s">
        <v>1926</v>
      </c>
    </row>
    <row r="643" spans="1:20" ht="23.25" customHeight="1">
      <c r="A643" s="63" t="s">
        <v>2604</v>
      </c>
      <c r="B643" s="66">
        <v>2025</v>
      </c>
      <c r="C643" s="145" t="s">
        <v>52</v>
      </c>
      <c r="D643" s="66" t="s">
        <v>2342</v>
      </c>
      <c r="E643" s="72" t="s">
        <v>2605</v>
      </c>
      <c r="F643" s="73" t="s">
        <v>48</v>
      </c>
      <c r="G643" s="63" t="s">
        <v>15</v>
      </c>
      <c r="H643" s="80" t="s">
        <v>2606</v>
      </c>
      <c r="I643" s="81">
        <v>45967</v>
      </c>
      <c r="J643" s="81">
        <v>45967</v>
      </c>
      <c r="K643" s="66" t="s">
        <v>41</v>
      </c>
      <c r="L643" s="68"/>
      <c r="M643" s="140"/>
      <c r="N643" s="82">
        <v>39</v>
      </c>
      <c r="O643" s="67">
        <v>0</v>
      </c>
      <c r="P643" s="67">
        <v>0</v>
      </c>
      <c r="Q643" s="67">
        <v>39</v>
      </c>
      <c r="R643" s="67">
        <f t="shared" si="18"/>
        <v>39</v>
      </c>
      <c r="S643" s="66">
        <v>4</v>
      </c>
      <c r="T643" s="86" t="s">
        <v>1655</v>
      </c>
    </row>
    <row r="644" spans="1:20" ht="23.25" customHeight="1">
      <c r="A644" s="62" t="s">
        <v>2607</v>
      </c>
      <c r="B644" s="64">
        <v>2025</v>
      </c>
      <c r="C644" s="143" t="s">
        <v>52</v>
      </c>
      <c r="D644" s="64" t="s">
        <v>2608</v>
      </c>
      <c r="E644" s="69" t="s">
        <v>2530</v>
      </c>
      <c r="F644" s="71" t="s">
        <v>48</v>
      </c>
      <c r="G644" s="62" t="s">
        <v>15</v>
      </c>
      <c r="H644" s="78" t="s">
        <v>2606</v>
      </c>
      <c r="I644" s="79">
        <v>45967</v>
      </c>
      <c r="J644" s="79">
        <v>45967</v>
      </c>
      <c r="K644" s="64" t="s">
        <v>41</v>
      </c>
      <c r="L644" s="70">
        <f>2350.32+1971.21+1743.77+1169.53+730.8</f>
        <v>7965.630000000001</v>
      </c>
      <c r="M644" s="139"/>
      <c r="N644" s="83">
        <v>39</v>
      </c>
      <c r="O644" s="65">
        <v>0</v>
      </c>
      <c r="P644" s="65">
        <v>0</v>
      </c>
      <c r="Q644" s="65">
        <v>39</v>
      </c>
      <c r="R644" s="65">
        <f t="shared" si="18"/>
        <v>39</v>
      </c>
      <c r="S644" s="64">
        <v>4</v>
      </c>
      <c r="T644" s="85" t="s">
        <v>2609</v>
      </c>
    </row>
    <row r="645" spans="1:20" ht="32.25" customHeight="1">
      <c r="A645" s="63" t="s">
        <v>2610</v>
      </c>
      <c r="B645" s="66">
        <v>2025</v>
      </c>
      <c r="C645" s="145" t="s">
        <v>52</v>
      </c>
      <c r="D645" s="66" t="s">
        <v>2611</v>
      </c>
      <c r="E645" s="72" t="s">
        <v>2612</v>
      </c>
      <c r="F645" s="133" t="s">
        <v>33</v>
      </c>
      <c r="G645" s="88" t="s">
        <v>32</v>
      </c>
      <c r="H645" s="80" t="s">
        <v>2613</v>
      </c>
      <c r="I645" s="81">
        <v>45968</v>
      </c>
      <c r="J645" s="81">
        <v>45968</v>
      </c>
      <c r="K645" s="66" t="s">
        <v>41</v>
      </c>
      <c r="L645" s="68"/>
      <c r="M645" s="140">
        <v>5</v>
      </c>
      <c r="N645" s="82">
        <v>170</v>
      </c>
      <c r="O645" s="67">
        <v>170</v>
      </c>
      <c r="P645" s="67">
        <v>0</v>
      </c>
      <c r="Q645" s="67">
        <v>0</v>
      </c>
      <c r="R645" s="67">
        <f t="shared" si="18"/>
        <v>170</v>
      </c>
      <c r="S645" s="66">
        <v>2</v>
      </c>
      <c r="T645" s="88" t="s">
        <v>2584</v>
      </c>
    </row>
    <row r="646" spans="1:20" ht="23.25" customHeight="1">
      <c r="A646" s="62" t="s">
        <v>2614</v>
      </c>
      <c r="B646" s="64">
        <v>2025</v>
      </c>
      <c r="C646" s="145" t="s">
        <v>52</v>
      </c>
      <c r="D646" s="64" t="s">
        <v>2465</v>
      </c>
      <c r="E646" s="69" t="s">
        <v>2615</v>
      </c>
      <c r="F646" s="71" t="s">
        <v>33</v>
      </c>
      <c r="G646" s="96" t="s">
        <v>32</v>
      </c>
      <c r="H646" s="78" t="s">
        <v>2616</v>
      </c>
      <c r="I646" s="79">
        <v>45971</v>
      </c>
      <c r="J646" s="79">
        <v>45975</v>
      </c>
      <c r="K646" s="64" t="s">
        <v>45</v>
      </c>
      <c r="L646" s="70">
        <v>16000</v>
      </c>
      <c r="M646" s="139">
        <v>5</v>
      </c>
      <c r="N646" s="83">
        <v>20</v>
      </c>
      <c r="O646" s="65">
        <v>13</v>
      </c>
      <c r="P646" s="65">
        <v>0</v>
      </c>
      <c r="Q646" s="65">
        <v>0</v>
      </c>
      <c r="R646" s="65">
        <f t="shared" si="18"/>
        <v>13</v>
      </c>
      <c r="S646" s="64">
        <v>20</v>
      </c>
      <c r="T646" s="62" t="s">
        <v>810</v>
      </c>
    </row>
    <row r="647" spans="1:20" ht="23.25" customHeight="1">
      <c r="A647" s="63" t="s">
        <v>2617</v>
      </c>
      <c r="B647" s="66">
        <v>2025</v>
      </c>
      <c r="C647" s="143" t="s">
        <v>52</v>
      </c>
      <c r="D647" s="66" t="s">
        <v>2618</v>
      </c>
      <c r="E647" s="72" t="s">
        <v>2212</v>
      </c>
      <c r="F647" s="73" t="s">
        <v>44</v>
      </c>
      <c r="G647" s="63" t="s">
        <v>15</v>
      </c>
      <c r="H647" s="125" t="s">
        <v>2619</v>
      </c>
      <c r="I647" s="81">
        <v>45972</v>
      </c>
      <c r="J647" s="81">
        <v>45980</v>
      </c>
      <c r="K647" s="66" t="s">
        <v>41</v>
      </c>
      <c r="L647" s="68"/>
      <c r="M647" s="140">
        <v>4.76</v>
      </c>
      <c r="N647" s="82">
        <v>25</v>
      </c>
      <c r="O647" s="67">
        <v>0</v>
      </c>
      <c r="P647" s="67">
        <v>34</v>
      </c>
      <c r="Q647" s="67">
        <v>0</v>
      </c>
      <c r="R647" s="67">
        <f t="shared" si="18"/>
        <v>34</v>
      </c>
      <c r="S647" s="66">
        <v>20</v>
      </c>
      <c r="T647" s="63" t="s">
        <v>2009</v>
      </c>
    </row>
    <row r="648" spans="1:20" ht="23.25" customHeight="1">
      <c r="A648" s="62" t="s">
        <v>2620</v>
      </c>
      <c r="B648" s="64">
        <v>2025</v>
      </c>
      <c r="C648" s="143" t="s">
        <v>52</v>
      </c>
      <c r="D648" s="99" t="s">
        <v>2621</v>
      </c>
      <c r="E648" s="69" t="s">
        <v>2622</v>
      </c>
      <c r="F648" s="71" t="s">
        <v>44</v>
      </c>
      <c r="G648" s="62" t="s">
        <v>15</v>
      </c>
      <c r="H648" s="105" t="s">
        <v>2623</v>
      </c>
      <c r="I648" s="79">
        <v>45978</v>
      </c>
      <c r="J648" s="79">
        <v>45980</v>
      </c>
      <c r="K648" s="64" t="s">
        <v>41</v>
      </c>
      <c r="L648" s="70"/>
      <c r="M648" s="139">
        <v>4.8600000000000003</v>
      </c>
      <c r="N648" s="83">
        <v>30</v>
      </c>
      <c r="O648" s="65">
        <v>0</v>
      </c>
      <c r="P648" s="65">
        <v>45</v>
      </c>
      <c r="Q648" s="65">
        <v>0</v>
      </c>
      <c r="R648" s="65">
        <f t="shared" si="18"/>
        <v>45</v>
      </c>
      <c r="S648" s="64">
        <v>12</v>
      </c>
      <c r="T648" s="62" t="s">
        <v>2080</v>
      </c>
    </row>
    <row r="649" spans="1:20" ht="23.25" customHeight="1">
      <c r="A649" s="63" t="s">
        <v>2624</v>
      </c>
      <c r="B649" s="66">
        <v>2025</v>
      </c>
      <c r="C649" s="145" t="s">
        <v>52</v>
      </c>
      <c r="D649" s="66" t="s">
        <v>2625</v>
      </c>
      <c r="E649" s="72" t="s">
        <v>2626</v>
      </c>
      <c r="F649" s="73" t="s">
        <v>33</v>
      </c>
      <c r="G649" s="88" t="s">
        <v>32</v>
      </c>
      <c r="H649" s="104" t="s">
        <v>2627</v>
      </c>
      <c r="I649" s="81">
        <v>45978</v>
      </c>
      <c r="J649" s="81">
        <v>45979</v>
      </c>
      <c r="K649" s="66" t="s">
        <v>41</v>
      </c>
      <c r="L649" s="68"/>
      <c r="M649" s="140">
        <v>4.82</v>
      </c>
      <c r="N649" s="82"/>
      <c r="O649" s="67">
        <v>72</v>
      </c>
      <c r="P649" s="67">
        <v>0</v>
      </c>
      <c r="Q649" s="67">
        <v>0</v>
      </c>
      <c r="R649" s="67">
        <f t="shared" si="18"/>
        <v>72</v>
      </c>
      <c r="S649" s="66">
        <v>8</v>
      </c>
      <c r="T649" s="88" t="s">
        <v>2600</v>
      </c>
    </row>
    <row r="650" spans="1:20" ht="23.25" customHeight="1">
      <c r="A650" s="62" t="s">
        <v>2628</v>
      </c>
      <c r="B650" s="64">
        <v>2025</v>
      </c>
      <c r="C650" s="145" t="s">
        <v>52</v>
      </c>
      <c r="D650" s="64" t="s">
        <v>2629</v>
      </c>
      <c r="E650" s="131" t="s">
        <v>2630</v>
      </c>
      <c r="F650" s="71" t="s">
        <v>33</v>
      </c>
      <c r="G650" s="62" t="s">
        <v>25</v>
      </c>
      <c r="H650" s="78" t="s">
        <v>2631</v>
      </c>
      <c r="I650" s="79">
        <v>45985</v>
      </c>
      <c r="J650" s="79">
        <v>45987</v>
      </c>
      <c r="K650" s="64" t="s">
        <v>41</v>
      </c>
      <c r="L650" s="70"/>
      <c r="M650" s="139">
        <v>4.8</v>
      </c>
      <c r="N650" s="83">
        <v>20</v>
      </c>
      <c r="O650" s="65">
        <v>16</v>
      </c>
      <c r="P650" s="65">
        <v>0</v>
      </c>
      <c r="Q650" s="65">
        <v>0</v>
      </c>
      <c r="R650" s="65">
        <f>SUM(Tabela2[[#This Row],[P. Servidores]:[P. Sociedade]])</f>
        <v>16</v>
      </c>
      <c r="S650" s="64">
        <v>12</v>
      </c>
      <c r="T650" s="62" t="s">
        <v>2632</v>
      </c>
    </row>
    <row r="651" spans="1:20" ht="23.25" customHeight="1">
      <c r="A651" s="63" t="s">
        <v>2633</v>
      </c>
      <c r="B651" s="66">
        <v>2025</v>
      </c>
      <c r="C651" s="145" t="s">
        <v>52</v>
      </c>
      <c r="D651" s="66" t="s">
        <v>2634</v>
      </c>
      <c r="E651" s="72" t="s">
        <v>2635</v>
      </c>
      <c r="F651" s="73" t="s">
        <v>33</v>
      </c>
      <c r="G651" s="63" t="s">
        <v>10</v>
      </c>
      <c r="H651" s="125" t="s">
        <v>2636</v>
      </c>
      <c r="I651" s="81">
        <v>45985</v>
      </c>
      <c r="J651" s="81">
        <v>45989</v>
      </c>
      <c r="K651" s="66" t="s">
        <v>45</v>
      </c>
      <c r="L651" s="68">
        <v>6600</v>
      </c>
      <c r="M651" s="140">
        <v>4.8899999999999997</v>
      </c>
      <c r="N651" s="82">
        <v>30</v>
      </c>
      <c r="O651" s="67">
        <v>20</v>
      </c>
      <c r="P651" s="67">
        <v>0</v>
      </c>
      <c r="Q651" s="67">
        <v>0</v>
      </c>
      <c r="R651" s="67">
        <f>SUM(O651:Q651)</f>
        <v>20</v>
      </c>
      <c r="S651" s="66">
        <v>12</v>
      </c>
      <c r="T651" s="127" t="s">
        <v>2637</v>
      </c>
    </row>
    <row r="652" spans="1:20" ht="23.25" customHeight="1">
      <c r="A652" s="62" t="s">
        <v>2638</v>
      </c>
      <c r="B652" s="64">
        <v>2025</v>
      </c>
      <c r="C652" s="143" t="s">
        <v>52</v>
      </c>
      <c r="D652" s="64" t="s">
        <v>2639</v>
      </c>
      <c r="E652" s="131" t="s">
        <v>2640</v>
      </c>
      <c r="F652" s="71" t="s">
        <v>48</v>
      </c>
      <c r="G652" s="62" t="s">
        <v>15</v>
      </c>
      <c r="H652" s="126" t="s">
        <v>2636</v>
      </c>
      <c r="I652" s="79">
        <v>45985</v>
      </c>
      <c r="J652" s="79">
        <v>45989</v>
      </c>
      <c r="K652" s="64" t="s">
        <v>41</v>
      </c>
      <c r="L652" s="70"/>
      <c r="M652" s="139">
        <v>4.5199999999999996</v>
      </c>
      <c r="N652" s="83">
        <v>50</v>
      </c>
      <c r="O652" s="65">
        <v>1</v>
      </c>
      <c r="P652" s="65">
        <v>38</v>
      </c>
      <c r="Q652" s="65">
        <v>15</v>
      </c>
      <c r="R652" s="65">
        <f>SUM(O652:Q652)</f>
        <v>54</v>
      </c>
      <c r="S652" s="64">
        <v>12</v>
      </c>
      <c r="T652" s="62" t="s">
        <v>1215</v>
      </c>
    </row>
    <row r="653" spans="1:20" ht="23.25" customHeight="1">
      <c r="A653" s="63" t="s">
        <v>2641</v>
      </c>
      <c r="B653" s="66">
        <v>2025</v>
      </c>
      <c r="C653" s="145" t="s">
        <v>52</v>
      </c>
      <c r="D653" s="66" t="s">
        <v>2642</v>
      </c>
      <c r="E653" s="72" t="s">
        <v>2177</v>
      </c>
      <c r="F653" s="73" t="s">
        <v>33</v>
      </c>
      <c r="G653" s="63" t="s">
        <v>22</v>
      </c>
      <c r="H653" s="80" t="s">
        <v>2643</v>
      </c>
      <c r="I653" s="81">
        <v>45992</v>
      </c>
      <c r="J653" s="81">
        <v>45992</v>
      </c>
      <c r="K653" s="66" t="s">
        <v>45</v>
      </c>
      <c r="L653" s="68"/>
      <c r="M653" s="140"/>
      <c r="N653" s="82"/>
      <c r="O653" s="67">
        <v>0</v>
      </c>
      <c r="P653" s="67">
        <v>0</v>
      </c>
      <c r="Q653" s="67">
        <v>0</v>
      </c>
      <c r="R653" s="67">
        <f>SUM(O653:Q653)</f>
        <v>0</v>
      </c>
      <c r="S653" s="66"/>
      <c r="T653" s="63" t="s">
        <v>492</v>
      </c>
    </row>
    <row r="654" spans="1:20" ht="23.25" customHeight="1">
      <c r="A654" s="62" t="s">
        <v>2644</v>
      </c>
      <c r="B654" s="64">
        <v>2025</v>
      </c>
      <c r="C654" s="143" t="s">
        <v>52</v>
      </c>
      <c r="D654" s="64" t="s">
        <v>2645</v>
      </c>
      <c r="E654" s="69" t="s">
        <v>2646</v>
      </c>
      <c r="F654" s="71" t="s">
        <v>33</v>
      </c>
      <c r="G654" s="62" t="s">
        <v>25</v>
      </c>
      <c r="H654" s="126" t="s">
        <v>2647</v>
      </c>
      <c r="I654" s="79">
        <v>45994</v>
      </c>
      <c r="J654" s="79">
        <v>46001</v>
      </c>
      <c r="K654" s="64" t="s">
        <v>41</v>
      </c>
      <c r="L654" s="70"/>
      <c r="M654" s="139">
        <v>4.93</v>
      </c>
      <c r="N654" s="83">
        <v>15</v>
      </c>
      <c r="O654" s="65">
        <v>15</v>
      </c>
      <c r="P654" s="65">
        <v>0</v>
      </c>
      <c r="Q654" s="65">
        <v>0</v>
      </c>
      <c r="R654" s="65">
        <f>SUM(Tabela2[[#This Row],[P. Servidores]:[P. Sociedade]])</f>
        <v>15</v>
      </c>
      <c r="S654" s="64">
        <v>12</v>
      </c>
      <c r="T654" s="62" t="s">
        <v>1778</v>
      </c>
    </row>
    <row r="655" spans="1:20" ht="23.25" customHeight="1">
      <c r="A655" s="63" t="s">
        <v>2648</v>
      </c>
      <c r="B655" s="66">
        <v>2025</v>
      </c>
      <c r="C655" s="143" t="s">
        <v>52</v>
      </c>
      <c r="D655" s="66" t="s">
        <v>2649</v>
      </c>
      <c r="E655" s="72" t="s">
        <v>2650</v>
      </c>
      <c r="F655" s="73" t="s">
        <v>33</v>
      </c>
      <c r="G655" s="63" t="s">
        <v>32</v>
      </c>
      <c r="H655" s="80" t="s">
        <v>2651</v>
      </c>
      <c r="I655" s="81">
        <v>46006</v>
      </c>
      <c r="J655" s="81">
        <v>46006</v>
      </c>
      <c r="K655" s="66" t="s">
        <v>45</v>
      </c>
      <c r="L655" s="68">
        <v>9900</v>
      </c>
      <c r="M655" s="140"/>
      <c r="N655" s="82"/>
      <c r="O655" s="67">
        <v>0</v>
      </c>
      <c r="P655" s="67">
        <v>0</v>
      </c>
      <c r="Q655" s="67">
        <v>0</v>
      </c>
      <c r="R655" s="67">
        <f>SUM(O655:Q655)</f>
        <v>0</v>
      </c>
      <c r="S655" s="66"/>
      <c r="T655" s="63"/>
    </row>
    <row r="656" spans="1:20" ht="23.25" customHeight="1">
      <c r="A656" s="62" t="s">
        <v>2652</v>
      </c>
      <c r="B656" s="64">
        <v>2025</v>
      </c>
      <c r="C656" s="143" t="s">
        <v>52</v>
      </c>
      <c r="D656" s="64" t="s">
        <v>2653</v>
      </c>
      <c r="E656" s="69" t="s">
        <v>2654</v>
      </c>
      <c r="F656" s="71" t="s">
        <v>48</v>
      </c>
      <c r="G656" s="62" t="s">
        <v>15</v>
      </c>
      <c r="H656" s="92" t="s">
        <v>2655</v>
      </c>
      <c r="I656" s="79">
        <v>46011</v>
      </c>
      <c r="J656" s="79">
        <v>46011</v>
      </c>
      <c r="K656" s="64" t="s">
        <v>41</v>
      </c>
      <c r="L656" s="70">
        <v>0</v>
      </c>
      <c r="M656" s="139">
        <v>5</v>
      </c>
      <c r="N656" s="83">
        <v>25</v>
      </c>
      <c r="O656" s="65">
        <v>0</v>
      </c>
      <c r="P656" s="65">
        <v>0</v>
      </c>
      <c r="Q656" s="65">
        <v>25</v>
      </c>
      <c r="R656" s="65">
        <f>SUM(Tabela2[[#This Row],[P. Servidores]:[P. Sociedade]])</f>
        <v>25</v>
      </c>
      <c r="S656" s="64">
        <v>1</v>
      </c>
      <c r="T656" s="62" t="s">
        <v>1033</v>
      </c>
    </row>
    <row r="657" spans="1:20" ht="23.25" customHeight="1">
      <c r="A657" s="63" t="s">
        <v>2656</v>
      </c>
      <c r="B657" s="66">
        <v>2026</v>
      </c>
      <c r="C657" s="143" t="s">
        <v>52</v>
      </c>
      <c r="D657" s="66" t="s">
        <v>2657</v>
      </c>
      <c r="E657" s="72" t="s">
        <v>2117</v>
      </c>
      <c r="F657" s="73" t="s">
        <v>44</v>
      </c>
      <c r="G657" s="63" t="s">
        <v>15</v>
      </c>
      <c r="H657" s="80" t="s">
        <v>2658</v>
      </c>
      <c r="I657" s="81">
        <v>46042</v>
      </c>
      <c r="J657" s="81">
        <v>46044</v>
      </c>
      <c r="K657" s="66" t="s">
        <v>41</v>
      </c>
      <c r="L657" s="68">
        <v>4533.88</v>
      </c>
      <c r="M657" s="140">
        <v>4.82</v>
      </c>
      <c r="N657" s="82">
        <v>50</v>
      </c>
      <c r="O657" s="67">
        <v>0</v>
      </c>
      <c r="P657" s="67">
        <v>55</v>
      </c>
      <c r="Q657" s="67">
        <v>0</v>
      </c>
      <c r="R657" s="67">
        <f>SUM(Tabela2[[#This Row],[P. Servidores]:[P. Sociedade]])</f>
        <v>55</v>
      </c>
      <c r="S657" s="66">
        <v>8</v>
      </c>
      <c r="T657" s="63" t="s">
        <v>1472</v>
      </c>
    </row>
    <row r="658" spans="1:20" ht="23.25" customHeight="1">
      <c r="A658" s="62" t="s">
        <v>2659</v>
      </c>
      <c r="B658" s="64">
        <v>2026</v>
      </c>
      <c r="C658" s="143" t="s">
        <v>52</v>
      </c>
      <c r="D658" s="64" t="s">
        <v>2660</v>
      </c>
      <c r="E658" s="69" t="s">
        <v>2661</v>
      </c>
      <c r="F658" s="71" t="s">
        <v>33</v>
      </c>
      <c r="G658" s="62" t="s">
        <v>15</v>
      </c>
      <c r="H658" s="78" t="s">
        <v>2662</v>
      </c>
      <c r="I658" s="79">
        <v>46045</v>
      </c>
      <c r="J658" s="79">
        <v>46045</v>
      </c>
      <c r="K658" s="64" t="s">
        <v>41</v>
      </c>
      <c r="L658" s="70">
        <v>5427.88</v>
      </c>
      <c r="M658" s="139"/>
      <c r="N658" s="83">
        <v>80</v>
      </c>
      <c r="O658" s="65">
        <v>0</v>
      </c>
      <c r="P658" s="65">
        <v>0</v>
      </c>
      <c r="Q658" s="65">
        <v>25</v>
      </c>
      <c r="R658" s="65">
        <f>SUM(Tabela2[[#This Row],[P. Servidores]:[P. Sociedade]])</f>
        <v>25</v>
      </c>
      <c r="S658" s="64">
        <v>4</v>
      </c>
      <c r="T658" s="85" t="s">
        <v>2609</v>
      </c>
    </row>
    <row r="659" spans="1:20" ht="23.25" customHeight="1">
      <c r="A659" s="63" t="s">
        <v>2663</v>
      </c>
      <c r="B659" s="66">
        <v>2026</v>
      </c>
      <c r="C659" s="143" t="s">
        <v>52</v>
      </c>
      <c r="D659" s="66" t="s">
        <v>2664</v>
      </c>
      <c r="E659" s="72" t="s">
        <v>2665</v>
      </c>
      <c r="F659" s="73" t="s">
        <v>33</v>
      </c>
      <c r="G659" s="63" t="s">
        <v>25</v>
      </c>
      <c r="H659" s="125" t="s">
        <v>2666</v>
      </c>
      <c r="I659" s="81">
        <v>46048</v>
      </c>
      <c r="J659" s="81">
        <v>46063</v>
      </c>
      <c r="K659" s="66" t="s">
        <v>45</v>
      </c>
      <c r="L659" s="68">
        <v>31500</v>
      </c>
      <c r="M659" s="140">
        <v>4.82</v>
      </c>
      <c r="N659" s="82">
        <v>30</v>
      </c>
      <c r="O659" s="67">
        <v>23</v>
      </c>
      <c r="P659" s="67">
        <v>0</v>
      </c>
      <c r="Q659" s="67">
        <v>0</v>
      </c>
      <c r="R659" s="67">
        <f>SUM(Tabela2[[#This Row],[P. Servidores]:[P. Sociedade]])</f>
        <v>23</v>
      </c>
      <c r="S659" s="66">
        <v>42</v>
      </c>
      <c r="T659" s="63" t="s">
        <v>2667</v>
      </c>
    </row>
    <row r="660" spans="1:20" ht="23.25" customHeight="1">
      <c r="A660" s="62" t="s">
        <v>2668</v>
      </c>
      <c r="B660" s="64">
        <v>2026</v>
      </c>
      <c r="C660" s="143" t="s">
        <v>52</v>
      </c>
      <c r="D660" s="64" t="s">
        <v>2669</v>
      </c>
      <c r="E660" s="69" t="s">
        <v>2670</v>
      </c>
      <c r="F660" s="71" t="s">
        <v>44</v>
      </c>
      <c r="G660" s="62" t="s">
        <v>15</v>
      </c>
      <c r="H660" s="78" t="s">
        <v>2671</v>
      </c>
      <c r="I660" s="79">
        <v>46078</v>
      </c>
      <c r="J660" s="79">
        <v>46080</v>
      </c>
      <c r="K660" s="64" t="s">
        <v>41</v>
      </c>
      <c r="L660" s="70">
        <v>9211.69</v>
      </c>
      <c r="M660" s="139">
        <v>4.7699999999999996</v>
      </c>
      <c r="N660" s="83">
        <v>20</v>
      </c>
      <c r="O660" s="65">
        <v>0</v>
      </c>
      <c r="P660" s="65">
        <v>44</v>
      </c>
      <c r="Q660" s="65">
        <v>0</v>
      </c>
      <c r="R660" s="65">
        <f>SUM(Tabela2[[#This Row],[P. Servidores]:[P. Sociedade]])</f>
        <v>44</v>
      </c>
      <c r="S660" s="64">
        <v>12</v>
      </c>
      <c r="T660" s="62" t="s">
        <v>2672</v>
      </c>
    </row>
    <row r="661" spans="1:20" ht="23.25" customHeight="1">
      <c r="A661" s="63" t="s">
        <v>2673</v>
      </c>
      <c r="B661" s="66">
        <v>2026</v>
      </c>
      <c r="C661" s="143" t="s">
        <v>52</v>
      </c>
      <c r="D661" s="80" t="s">
        <v>2674</v>
      </c>
      <c r="E661" s="72" t="s">
        <v>2675</v>
      </c>
      <c r="F661" s="73" t="s">
        <v>33</v>
      </c>
      <c r="G661" s="88" t="s">
        <v>2676</v>
      </c>
      <c r="H661" s="80" t="s">
        <v>2677</v>
      </c>
      <c r="I661" s="81">
        <v>46078</v>
      </c>
      <c r="J661" s="81">
        <v>46083</v>
      </c>
      <c r="K661" s="66" t="s">
        <v>41</v>
      </c>
      <c r="L661" s="68">
        <v>0</v>
      </c>
      <c r="M661" s="140">
        <v>4.76</v>
      </c>
      <c r="N661" s="82">
        <v>20</v>
      </c>
      <c r="O661" s="67">
        <v>18</v>
      </c>
      <c r="P661" s="67">
        <v>0</v>
      </c>
      <c r="Q661" s="67">
        <v>0</v>
      </c>
      <c r="R661" s="67">
        <f>SUM(Tabela2[[#This Row],[P. Servidores]:[P. Sociedade]])</f>
        <v>18</v>
      </c>
      <c r="S661" s="66">
        <v>16</v>
      </c>
      <c r="T661" s="63" t="s">
        <v>2678</v>
      </c>
    </row>
    <row r="662" spans="1:20" ht="23.25" customHeight="1">
      <c r="A662" s="62" t="s">
        <v>2679</v>
      </c>
      <c r="B662" s="64">
        <v>2026</v>
      </c>
      <c r="C662" s="143" t="s">
        <v>52</v>
      </c>
      <c r="D662" s="64" t="s">
        <v>2680</v>
      </c>
      <c r="E662" s="69" t="s">
        <v>2681</v>
      </c>
      <c r="F662" s="71" t="s">
        <v>44</v>
      </c>
      <c r="G662" s="62" t="s">
        <v>15</v>
      </c>
      <c r="H662" s="95">
        <v>46176.166666666701</v>
      </c>
      <c r="I662" s="79">
        <v>46085</v>
      </c>
      <c r="J662" s="79">
        <v>46087</v>
      </c>
      <c r="K662" s="64" t="s">
        <v>41</v>
      </c>
      <c r="L662" s="70">
        <v>9416</v>
      </c>
      <c r="M662" s="139">
        <v>4.9000000000000004</v>
      </c>
      <c r="N662" s="65">
        <v>20</v>
      </c>
      <c r="O662" s="65">
        <v>0</v>
      </c>
      <c r="P662" s="65">
        <v>20</v>
      </c>
      <c r="Q662" s="65">
        <v>0</v>
      </c>
      <c r="R662" s="65">
        <f t="shared" ref="R662:R676" si="19">SUM(O662:Q662)</f>
        <v>20</v>
      </c>
      <c r="S662" s="64">
        <v>12</v>
      </c>
      <c r="T662" s="96" t="s">
        <v>2682</v>
      </c>
    </row>
    <row r="663" spans="1:20" ht="23.25" customHeight="1">
      <c r="A663" s="63" t="s">
        <v>2683</v>
      </c>
      <c r="B663" s="66">
        <v>2026</v>
      </c>
      <c r="C663" s="143" t="s">
        <v>52</v>
      </c>
      <c r="D663" s="80" t="s">
        <v>2684</v>
      </c>
      <c r="E663" s="72" t="s">
        <v>2685</v>
      </c>
      <c r="F663" s="73" t="s">
        <v>44</v>
      </c>
      <c r="G663" s="63" t="s">
        <v>15</v>
      </c>
      <c r="H663" s="80" t="s">
        <v>2686</v>
      </c>
      <c r="I663" s="81">
        <v>46090</v>
      </c>
      <c r="J663" s="81">
        <v>46094</v>
      </c>
      <c r="K663" s="66" t="s">
        <v>41</v>
      </c>
      <c r="L663" s="68">
        <v>12813.06</v>
      </c>
      <c r="M663" s="140">
        <v>4.93</v>
      </c>
      <c r="N663" s="82">
        <v>20</v>
      </c>
      <c r="O663" s="67">
        <v>8</v>
      </c>
      <c r="P663" s="67">
        <v>11</v>
      </c>
      <c r="Q663" s="67">
        <v>0</v>
      </c>
      <c r="R663" s="67">
        <f t="shared" si="19"/>
        <v>19</v>
      </c>
      <c r="S663" s="66">
        <v>20</v>
      </c>
      <c r="T663" s="63" t="s">
        <v>116</v>
      </c>
    </row>
    <row r="664" spans="1:20" ht="23.25" customHeight="1">
      <c r="A664" s="62" t="s">
        <v>2687</v>
      </c>
      <c r="B664" s="64">
        <v>2026</v>
      </c>
      <c r="C664" s="143" t="s">
        <v>52</v>
      </c>
      <c r="D664" s="64" t="s">
        <v>2688</v>
      </c>
      <c r="E664" s="69" t="s">
        <v>2689</v>
      </c>
      <c r="F664" s="71" t="s">
        <v>33</v>
      </c>
      <c r="G664" s="96" t="s">
        <v>32</v>
      </c>
      <c r="H664" s="78" t="s">
        <v>2690</v>
      </c>
      <c r="I664" s="79">
        <v>46097</v>
      </c>
      <c r="J664" s="79">
        <v>46101</v>
      </c>
      <c r="K664" s="64" t="s">
        <v>41</v>
      </c>
      <c r="L664" s="70"/>
      <c r="M664" s="139">
        <v>4.8600000000000003</v>
      </c>
      <c r="N664" s="83">
        <v>33</v>
      </c>
      <c r="O664" s="65">
        <v>33</v>
      </c>
      <c r="P664" s="65">
        <v>0</v>
      </c>
      <c r="Q664" s="65">
        <v>0</v>
      </c>
      <c r="R664" s="65">
        <f t="shared" si="19"/>
        <v>33</v>
      </c>
      <c r="S664" s="64">
        <v>20</v>
      </c>
      <c r="T664" s="96" t="s">
        <v>2691</v>
      </c>
    </row>
    <row r="665" spans="1:20" ht="23.25" customHeight="1">
      <c r="A665" s="63" t="s">
        <v>2692</v>
      </c>
      <c r="B665" s="66">
        <v>2026</v>
      </c>
      <c r="C665" s="143" t="s">
        <v>52</v>
      </c>
      <c r="D665" s="66" t="s">
        <v>2693</v>
      </c>
      <c r="E665" s="72" t="s">
        <v>2694</v>
      </c>
      <c r="F665" s="73" t="s">
        <v>33</v>
      </c>
      <c r="G665" s="88" t="s">
        <v>2695</v>
      </c>
      <c r="H665" s="80" t="s">
        <v>2696</v>
      </c>
      <c r="I665" s="81">
        <v>46098</v>
      </c>
      <c r="J665" s="81">
        <v>46100</v>
      </c>
      <c r="K665" s="66" t="s">
        <v>41</v>
      </c>
      <c r="L665" s="68">
        <v>4533.88</v>
      </c>
      <c r="M665" s="140">
        <v>4.9000000000000004</v>
      </c>
      <c r="N665" s="82">
        <v>20</v>
      </c>
      <c r="O665" s="67">
        <v>20</v>
      </c>
      <c r="P665" s="67">
        <v>0</v>
      </c>
      <c r="Q665" s="67">
        <v>0</v>
      </c>
      <c r="R665" s="67">
        <f t="shared" si="19"/>
        <v>20</v>
      </c>
      <c r="S665" s="66">
        <v>8</v>
      </c>
      <c r="T665" s="63" t="s">
        <v>2697</v>
      </c>
    </row>
    <row r="666" spans="1:20" ht="32.25" customHeight="1">
      <c r="A666" s="62" t="s">
        <v>2698</v>
      </c>
      <c r="B666" s="64">
        <v>2026</v>
      </c>
      <c r="C666" s="143" t="s">
        <v>52</v>
      </c>
      <c r="D666" s="78" t="s">
        <v>2684</v>
      </c>
      <c r="E666" s="69" t="s">
        <v>2699</v>
      </c>
      <c r="F666" s="71" t="s">
        <v>44</v>
      </c>
      <c r="G666" s="62" t="s">
        <v>15</v>
      </c>
      <c r="H666" s="78" t="s">
        <v>2700</v>
      </c>
      <c r="I666" s="79">
        <v>46104</v>
      </c>
      <c r="J666" s="79">
        <v>46108</v>
      </c>
      <c r="K666" s="64" t="s">
        <v>41</v>
      </c>
      <c r="L666" s="70">
        <v>12813.06</v>
      </c>
      <c r="M666" s="139">
        <v>4.79</v>
      </c>
      <c r="N666" s="83">
        <v>20</v>
      </c>
      <c r="O666" s="65">
        <v>0</v>
      </c>
      <c r="P666" s="65">
        <v>20</v>
      </c>
      <c r="Q666" s="65">
        <v>0</v>
      </c>
      <c r="R666" s="65">
        <f t="shared" si="19"/>
        <v>20</v>
      </c>
      <c r="S666" s="64">
        <v>20</v>
      </c>
      <c r="T666" s="62" t="s">
        <v>116</v>
      </c>
    </row>
    <row r="667" spans="1:20" ht="23.25" customHeight="1">
      <c r="A667" s="63" t="s">
        <v>2701</v>
      </c>
      <c r="B667" s="66">
        <v>2026</v>
      </c>
      <c r="C667" s="143" t="s">
        <v>52</v>
      </c>
      <c r="D667" s="66" t="s">
        <v>2702</v>
      </c>
      <c r="E667" s="72" t="s">
        <v>2703</v>
      </c>
      <c r="F667" s="73" t="s">
        <v>44</v>
      </c>
      <c r="G667" s="63" t="s">
        <v>15</v>
      </c>
      <c r="H667" s="66" t="s">
        <v>2704</v>
      </c>
      <c r="I667" s="81">
        <v>46105</v>
      </c>
      <c r="J667" s="81">
        <v>46105</v>
      </c>
      <c r="K667" s="66" t="s">
        <v>45</v>
      </c>
      <c r="L667" s="68"/>
      <c r="M667" s="149"/>
      <c r="N667" s="67">
        <v>170</v>
      </c>
      <c r="O667" s="67">
        <v>42</v>
      </c>
      <c r="P667" s="67">
        <v>71</v>
      </c>
      <c r="Q667" s="67">
        <v>14</v>
      </c>
      <c r="R667" s="67">
        <f t="shared" si="19"/>
        <v>127</v>
      </c>
      <c r="S667" s="66">
        <v>4</v>
      </c>
      <c r="T667" s="63" t="s">
        <v>492</v>
      </c>
    </row>
    <row r="668" spans="1:20" ht="33" customHeight="1">
      <c r="A668" s="62" t="s">
        <v>2705</v>
      </c>
      <c r="B668" s="64">
        <v>2026</v>
      </c>
      <c r="C668" s="147" t="s">
        <v>52</v>
      </c>
      <c r="D668" s="64" t="s">
        <v>2706</v>
      </c>
      <c r="E668" s="69" t="s">
        <v>2707</v>
      </c>
      <c r="F668" s="71" t="s">
        <v>44</v>
      </c>
      <c r="G668" s="62" t="s">
        <v>15</v>
      </c>
      <c r="H668" s="78" t="s">
        <v>2708</v>
      </c>
      <c r="I668" s="79">
        <v>46111</v>
      </c>
      <c r="J668" s="79">
        <v>46112</v>
      </c>
      <c r="K668" s="64" t="s">
        <v>45</v>
      </c>
      <c r="L668" s="70"/>
      <c r="M668" s="139"/>
      <c r="N668" s="83">
        <v>200</v>
      </c>
      <c r="O668" s="65">
        <v>58</v>
      </c>
      <c r="P668" s="65">
        <v>100</v>
      </c>
      <c r="Q668" s="65">
        <v>34</v>
      </c>
      <c r="R668" s="65">
        <f t="shared" si="19"/>
        <v>192</v>
      </c>
      <c r="S668" s="64">
        <v>14</v>
      </c>
      <c r="T668" s="62" t="s">
        <v>492</v>
      </c>
    </row>
    <row r="669" spans="1:20" ht="23.25" customHeight="1">
      <c r="A669" s="63" t="s">
        <v>2709</v>
      </c>
      <c r="B669" s="66">
        <v>2026</v>
      </c>
      <c r="C669" s="143" t="s">
        <v>43</v>
      </c>
      <c r="D669" s="66" t="s">
        <v>2693</v>
      </c>
      <c r="E669" s="72" t="s">
        <v>2710</v>
      </c>
      <c r="F669" s="73" t="s">
        <v>33</v>
      </c>
      <c r="G669" s="88" t="s">
        <v>2695</v>
      </c>
      <c r="H669" s="80" t="s">
        <v>2711</v>
      </c>
      <c r="I669" s="81">
        <v>46127</v>
      </c>
      <c r="J669" s="81">
        <v>46129</v>
      </c>
      <c r="K669" s="66" t="s">
        <v>41</v>
      </c>
      <c r="L669" s="68"/>
      <c r="M669" s="140"/>
      <c r="N669" s="82">
        <v>20</v>
      </c>
      <c r="O669" s="67"/>
      <c r="P669" s="67"/>
      <c r="Q669" s="67"/>
      <c r="R669" s="67">
        <f t="shared" si="19"/>
        <v>0</v>
      </c>
      <c r="S669" s="66">
        <v>8</v>
      </c>
      <c r="T669" s="63" t="s">
        <v>2697</v>
      </c>
    </row>
    <row r="670" spans="1:20" ht="33" customHeight="1">
      <c r="A670" s="62" t="s">
        <v>2712</v>
      </c>
      <c r="B670" s="64">
        <v>2026</v>
      </c>
      <c r="C670" s="143" t="s">
        <v>43</v>
      </c>
      <c r="D670" s="64" t="s">
        <v>2713</v>
      </c>
      <c r="E670" s="69" t="s">
        <v>2714</v>
      </c>
      <c r="F670" s="71" t="s">
        <v>33</v>
      </c>
      <c r="G670" s="62" t="s">
        <v>32</v>
      </c>
      <c r="H670" s="78" t="s">
        <v>2715</v>
      </c>
      <c r="I670" s="79">
        <v>46132</v>
      </c>
      <c r="J670" s="79">
        <v>46142</v>
      </c>
      <c r="K670" s="64" t="s">
        <v>41</v>
      </c>
      <c r="L670" s="70"/>
      <c r="M670" s="139"/>
      <c r="N670" s="83"/>
      <c r="O670" s="65"/>
      <c r="P670" s="65"/>
      <c r="Q670" s="65"/>
      <c r="R670" s="65">
        <f t="shared" si="19"/>
        <v>0</v>
      </c>
      <c r="S670" s="64"/>
      <c r="T670" s="96" t="s">
        <v>2716</v>
      </c>
    </row>
    <row r="671" spans="1:20" ht="23.25" customHeight="1">
      <c r="A671" s="63" t="s">
        <v>2717</v>
      </c>
      <c r="B671" s="66">
        <v>2026</v>
      </c>
      <c r="C671" s="143" t="s">
        <v>43</v>
      </c>
      <c r="D671" s="66" t="s">
        <v>2718</v>
      </c>
      <c r="E671" s="72" t="s">
        <v>2605</v>
      </c>
      <c r="F671" s="137" t="s">
        <v>48</v>
      </c>
      <c r="G671" s="89" t="s">
        <v>18</v>
      </c>
      <c r="H671" s="80" t="s">
        <v>2719</v>
      </c>
      <c r="I671" s="81">
        <v>46135</v>
      </c>
      <c r="J671" s="81">
        <v>46136</v>
      </c>
      <c r="K671" s="66" t="s">
        <v>41</v>
      </c>
      <c r="L671" s="67"/>
      <c r="M671" s="140"/>
      <c r="N671" s="66">
        <v>80</v>
      </c>
      <c r="O671" s="67">
        <v>0</v>
      </c>
      <c r="P671" s="89">
        <v>0</v>
      </c>
      <c r="Q671" s="66">
        <v>80</v>
      </c>
      <c r="R671" s="67">
        <f t="shared" si="19"/>
        <v>80</v>
      </c>
      <c r="S671" s="66">
        <v>4</v>
      </c>
      <c r="T671" s="86" t="s">
        <v>2720</v>
      </c>
    </row>
    <row r="672" spans="1:20" ht="23.25" customHeight="1">
      <c r="A672" s="62" t="s">
        <v>2721</v>
      </c>
      <c r="B672" s="64">
        <v>2026</v>
      </c>
      <c r="C672" s="145" t="s">
        <v>43</v>
      </c>
      <c r="D672" s="64" t="s">
        <v>2722</v>
      </c>
      <c r="E672" s="69" t="s">
        <v>2723</v>
      </c>
      <c r="F672" s="77" t="s">
        <v>33</v>
      </c>
      <c r="G672" s="62" t="s">
        <v>25</v>
      </c>
      <c r="H672" s="64" t="s">
        <v>2724</v>
      </c>
      <c r="I672" s="79">
        <v>46139</v>
      </c>
      <c r="J672" s="79">
        <v>46142</v>
      </c>
      <c r="K672" s="64" t="s">
        <v>41</v>
      </c>
      <c r="L672" s="70"/>
      <c r="M672" s="150"/>
      <c r="N672" s="91"/>
      <c r="O672" s="91"/>
      <c r="P672" s="91"/>
      <c r="Q672" s="91"/>
      <c r="R672" s="91">
        <f t="shared" si="19"/>
        <v>0</v>
      </c>
      <c r="S672" s="62">
        <v>16</v>
      </c>
      <c r="T672" s="62" t="s">
        <v>2678</v>
      </c>
    </row>
    <row r="673" spans="1:20" ht="23.25" customHeight="1">
      <c r="A673" s="63" t="s">
        <v>2725</v>
      </c>
      <c r="B673" s="66">
        <v>2026</v>
      </c>
      <c r="C673" s="145" t="s">
        <v>43</v>
      </c>
      <c r="D673" s="66" t="s">
        <v>2726</v>
      </c>
      <c r="E673" s="72" t="s">
        <v>2727</v>
      </c>
      <c r="F673" s="73" t="s">
        <v>33</v>
      </c>
      <c r="G673" s="63" t="s">
        <v>10</v>
      </c>
      <c r="H673" s="134">
        <v>46361.166666666701</v>
      </c>
      <c r="I673" s="81">
        <v>46146</v>
      </c>
      <c r="J673" s="81">
        <v>46154</v>
      </c>
      <c r="K673" s="66" t="s">
        <v>41</v>
      </c>
      <c r="L673" s="68"/>
      <c r="M673" s="140"/>
      <c r="N673" s="82">
        <v>20</v>
      </c>
      <c r="O673" s="67"/>
      <c r="P673" s="67"/>
      <c r="Q673" s="67"/>
      <c r="R673" s="67">
        <f t="shared" si="19"/>
        <v>0</v>
      </c>
      <c r="S673" s="66">
        <v>20</v>
      </c>
      <c r="T673" s="88" t="s">
        <v>2728</v>
      </c>
    </row>
    <row r="674" spans="1:20" ht="23.25" customHeight="1">
      <c r="A674" s="62" t="s">
        <v>2729</v>
      </c>
      <c r="B674" s="64">
        <v>2026</v>
      </c>
      <c r="C674" s="143" t="s">
        <v>43</v>
      </c>
      <c r="D674" s="64" t="s">
        <v>2718</v>
      </c>
      <c r="E674" s="69" t="s">
        <v>2605</v>
      </c>
      <c r="F674" s="138" t="s">
        <v>48</v>
      </c>
      <c r="G674" s="90" t="s">
        <v>18</v>
      </c>
      <c r="H674" s="78" t="s">
        <v>2730</v>
      </c>
      <c r="I674" s="79">
        <v>46150</v>
      </c>
      <c r="J674" s="79">
        <v>46150</v>
      </c>
      <c r="K674" s="64" t="s">
        <v>41</v>
      </c>
      <c r="L674" s="65"/>
      <c r="M674" s="139"/>
      <c r="N674" s="64">
        <v>80</v>
      </c>
      <c r="O674" s="65">
        <v>0</v>
      </c>
      <c r="P674" s="90">
        <v>0</v>
      </c>
      <c r="Q674" s="64">
        <v>80</v>
      </c>
      <c r="R674" s="65">
        <f t="shared" si="19"/>
        <v>80</v>
      </c>
      <c r="S674" s="64">
        <v>4</v>
      </c>
      <c r="T674" s="85" t="s">
        <v>2720</v>
      </c>
    </row>
    <row r="675" spans="1:20" ht="23.25" customHeight="1">
      <c r="A675" s="63" t="s">
        <v>2731</v>
      </c>
      <c r="B675" s="66">
        <v>2026</v>
      </c>
      <c r="C675" s="145" t="s">
        <v>43</v>
      </c>
      <c r="D675" s="66" t="s">
        <v>2722</v>
      </c>
      <c r="E675" s="72" t="s">
        <v>2732</v>
      </c>
      <c r="F675" s="76" t="s">
        <v>33</v>
      </c>
      <c r="G675" s="63" t="s">
        <v>25</v>
      </c>
      <c r="H675" s="102" t="s">
        <v>2733</v>
      </c>
      <c r="I675" s="124">
        <v>46160</v>
      </c>
      <c r="J675" s="81">
        <v>46163</v>
      </c>
      <c r="K675" s="66" t="s">
        <v>41</v>
      </c>
      <c r="L675" s="68"/>
      <c r="M675" s="149"/>
      <c r="N675" s="135"/>
      <c r="O675" s="135"/>
      <c r="P675" s="135"/>
      <c r="Q675" s="135"/>
      <c r="R675" s="135">
        <f t="shared" si="19"/>
        <v>0</v>
      </c>
      <c r="S675" s="63">
        <v>16</v>
      </c>
      <c r="T675" s="63" t="s">
        <v>2678</v>
      </c>
    </row>
    <row r="676" spans="1:20" ht="23.25" customHeight="1">
      <c r="A676" s="62" t="s">
        <v>2734</v>
      </c>
      <c r="B676" s="64">
        <v>2026</v>
      </c>
      <c r="C676" s="145" t="s">
        <v>43</v>
      </c>
      <c r="D676" s="64" t="s">
        <v>2735</v>
      </c>
      <c r="E676" s="131" t="s">
        <v>2736</v>
      </c>
      <c r="F676" s="71" t="s">
        <v>48</v>
      </c>
      <c r="G676" s="62" t="s">
        <v>15</v>
      </c>
      <c r="H676" s="78" t="s">
        <v>2737</v>
      </c>
      <c r="I676" s="79">
        <v>46387</v>
      </c>
      <c r="J676" s="79">
        <v>46387</v>
      </c>
      <c r="K676" s="64" t="s">
        <v>45</v>
      </c>
      <c r="L676" s="70">
        <v>25200</v>
      </c>
      <c r="M676" s="139"/>
      <c r="N676" s="83">
        <v>60</v>
      </c>
      <c r="O676" s="65"/>
      <c r="P676" s="65"/>
      <c r="Q676" s="65"/>
      <c r="R676" s="65">
        <f t="shared" si="19"/>
        <v>0</v>
      </c>
      <c r="S676" s="64">
        <v>32</v>
      </c>
      <c r="T676" s="62" t="s">
        <v>2738</v>
      </c>
    </row>
    <row r="677" spans="1:20" ht="23.25" customHeight="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1:20" ht="23.25" customHeight="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1:20" ht="23.25" customHeight="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1:20" ht="23.25" customHeight="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</sheetData>
  <sheetProtection formatCells="0" formatColumns="0" formatRows="0" insertColumns="0" insertRows="0" insertHyperlinks="0" deleteRows="0" sort="0" autoFilter="0" pivotTables="0"/>
  <sortState xmlns:xlrd2="http://schemas.microsoft.com/office/spreadsheetml/2017/richdata2" ref="B2:T676">
    <sortCondition ref="B2:B676"/>
  </sortState>
  <phoneticPr fontId="7" type="noConversion"/>
  <conditionalFormatting sqref="C2:C676">
    <cfRule type="containsText" dxfId="31" priority="2" operator="containsText" text="Realizado">
      <formula>NOT(ISERROR(SEARCH("Realizado",C2)))</formula>
    </cfRule>
    <cfRule type="containsText" dxfId="30" priority="3" operator="containsText" text="A realizar">
      <formula>NOT(ISERROR(SEARCH("A realizar",C2)))</formula>
    </cfRule>
    <cfRule type="containsText" dxfId="29" priority="4" operator="containsText" text="Em andamento">
      <formula>NOT(ISERROR(SEARCH("Em andamento",C2)))</formula>
    </cfRule>
    <cfRule type="containsText" dxfId="28" priority="5" operator="containsText" text="Cancelado">
      <formula>NOT(ISERROR(SEARCH("Cancelado",C2)))</formula>
    </cfRule>
  </conditionalFormatting>
  <conditionalFormatting sqref="M1:M513 L1:L537 M517:M675 L539:L675 L676:M676">
    <cfRule type="containsBlanks" dxfId="27" priority="1">
      <formula>LEN(TRIM(L1))=0</formula>
    </cfRule>
  </conditionalFormatting>
  <dataValidations xWindow="1148" yWindow="427" count="8">
    <dataValidation type="custom" allowBlank="1" showDropDown="1" showErrorMessage="1" sqref="H407 H205 H411 H389:H390 H372" xr:uid="{1DF6995E-11CB-4123-87CF-1682726D7B94}">
      <formula1>OR(NOT(ISERROR(DATEVALUE(H205))), AND(ISNUMBER(H205), LEFT(CELL("format", H205))="D"))</formula1>
    </dataValidation>
    <dataValidation type="decimal" allowBlank="1" showDropDown="1" showInputMessage="1" showErrorMessage="1" prompt="Insira um número entre 0 e 10000" sqref="O2:P9 P10:P12 O13:P19 P20 O21:P23 P24:P25 O26:P26 O27:O28 Q27:Q28 O29:P29 O30 Q30 O31:P37 O38 Q38 O39:P44 O45:O46 Q45:Q46 O47:P50 O51:O54 P55 O56:P62 O63:O64 P65 O66:P68 P69:P70 O71:P71 Q72:Q74 O75:O77 O78:P85 O86:O89 P90 O91:O92 O93:P93 O94:O95 O96:P100 O101:O102 Q101:Q102 O103:P105 O106 O107:P108 O109 O110:P114 P115 O116:P129 O130 Q130 O131:P142 O175 Q175 P249 O250:P259 P260:P261 O262:P263 O267:P274 O275 P327 O328:P329 Q432 Q434 Q436 O505:P513 O518:P676 N514:N517 O452:P488 O331:P450 O276:P326 N266:P266 O265:P265 O176:P248 O144:P174" xr:uid="{13F35D4C-BD71-4C7F-994E-F68E0D6F0AB9}">
      <formula1>0</formula1>
      <formula2>10000</formula2>
    </dataValidation>
    <dataValidation type="custom" allowBlank="1" showDropDown="1" showInputMessage="1" showErrorMessage="1" prompt="Digite uma data válida" sqref="H119:H124" xr:uid="{1ED3299C-A6EA-4539-87A3-911FF52E82D9}">
      <formula1>OR(NOT(ISERROR(DATEVALUE(H119))), AND(ISNUMBER(H119), LEFT(CELL("format", H119))="D"))</formula1>
    </dataValidation>
    <dataValidation type="decimal" allowBlank="1" showDropDown="1" showInputMessage="1" showErrorMessage="1" prompt="Insira um número entre 0 e 100000" sqref="P275 N2:N142 N505:N513 N328:N329 N327:O327 N260:O261 N250:N259 N249:O249 N518:N676 M514:M516 N331:N488 N286:N326 N267:N284 N262:N265 N144:N248" xr:uid="{DBE6D4E5-2B97-4708-8235-54BE1BF5A5E4}">
      <formula1>0</formula1>
      <formula2>100000</formula2>
    </dataValidation>
    <dataValidation type="decimal" allowBlank="1" showDropDown="1" showInputMessage="1" showErrorMessage="1" prompt="Insira um número entre 0 e 100" sqref="M505:M513 M517:M676 M331:M488 M2:M329" xr:uid="{14DDE421-12AA-4E52-9C87-8E80CD514199}">
      <formula1>0</formula1>
      <formula2>100</formula2>
    </dataValidation>
    <dataValidation type="list" allowBlank="1" showInputMessage="1" showErrorMessage="1" prompt="Clique e insira um valor de a lista de itens" sqref="F518" xr:uid="{04F4F39B-F406-4ECC-A64A-F7A18A81A48D}">
      <formula1>"Interno,Externo,Híbrido"</formula1>
    </dataValidation>
    <dataValidation type="date" allowBlank="1" showInputMessage="1" showErrorMessage="1" errorTitle="Erro" error="Insira uma data válida. Formato: DD/MM/AAAA" sqref="I594:J594 I647:J648 I658:J658 I662:J662 I664:I673 J664:J675 I644:J645 I596:J640 I573:J590 I463:J571 I2:J460 I676:J676 I681:J1048576" xr:uid="{A71E4390-A059-418C-8F5C-AD2AF445253E}">
      <formula1>41640</formula1>
      <formula2>47848</formula2>
    </dataValidation>
    <dataValidation type="decimal" allowBlank="1" showInputMessage="1" showErrorMessage="1" sqref="L2:L676 L681:L1048576" xr:uid="{C37BD9BF-AAEE-43DA-9B88-F91BD5712C11}">
      <formula1>0</formula1>
      <formula2>10000000000000</formula2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48" yWindow="427" count="5">
        <x14:dataValidation type="list" allowBlank="1" showInputMessage="1" showErrorMessage="1" xr:uid="{E6528F63-8F9D-48BE-BC94-B348189B6907}">
          <x14:formula1>
            <xm:f>PlanoCap!$C$2:$C$11</xm:f>
          </x14:formula1>
          <xm:sqref>G2:G676 G681:G1048576</xm:sqref>
        </x14:dataValidation>
        <x14:dataValidation type="list" allowBlank="1" showInputMessage="1" showErrorMessage="1" prompt="Clique e insira um valor de a lista de itens" xr:uid="{7D711C46-7407-4505-A33B-D25FC1447F10}">
          <x14:formula1>
            <xm:f>'Validação Dados'!$A$2:$A$5</xm:f>
          </x14:formula1>
          <xm:sqref>F2:F517 F519:F676 F681:F1048576</xm:sqref>
        </x14:dataValidation>
        <x14:dataValidation type="list" allowBlank="1" showInputMessage="1" showErrorMessage="1" xr:uid="{ECAC746E-0CEC-41DD-9623-D07F3356EF63}">
          <x14:formula1>
            <xm:f>'Validação Dados'!$D$2:$D$5</xm:f>
          </x14:formula1>
          <xm:sqref>C2:C663 C681:C1048576</xm:sqref>
        </x14:dataValidation>
        <x14:dataValidation type="list" allowBlank="1" showInputMessage="1" showErrorMessage="1" xr:uid="{32003C1E-759E-41EB-9F5A-DC7AABDF4B7E}">
          <x14:formula1>
            <xm:f>'Validação Dados'!$B$2:$B$4</xm:f>
          </x14:formula1>
          <xm:sqref>K2:K676 K681:K1048576</xm:sqref>
        </x14:dataValidation>
        <x14:dataValidation type="list" allowBlank="1" showInputMessage="1" showErrorMessage="1" xr:uid="{DE03874B-173A-424D-BA97-62B0087ADF69}">
          <x14:formula1>
            <xm:f>'Validação Dados'!$D$2:$D$6</xm:f>
          </x14:formula1>
          <xm:sqref>C664:C676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6B5A-C50E-420D-A52F-5EAEF745FEB3}">
  <dimension ref="A1:V200"/>
  <sheetViews>
    <sheetView topLeftCell="D1" workbookViewId="0">
      <pane ySplit="1" topLeftCell="A8" activePane="bottomLeft" state="frozen"/>
      <selection pane="bottomLeft" activeCell="U28" sqref="U28"/>
    </sheetView>
  </sheetViews>
  <sheetFormatPr defaultRowHeight="15" outlineLevelCol="1"/>
  <cols>
    <col min="1" max="1" width="9.5703125" customWidth="1"/>
    <col min="2" max="2" width="15.28515625" customWidth="1"/>
    <col min="3" max="3" width="17.140625" customWidth="1"/>
    <col min="4" max="4" width="66.7109375" customWidth="1"/>
    <col min="5" max="5" width="10.42578125" customWidth="1"/>
    <col min="6" max="6" width="47.5703125" customWidth="1"/>
    <col min="7" max="7" width="11.42578125" customWidth="1"/>
    <col min="8" max="8" width="14.28515625" customWidth="1"/>
    <col min="9" max="9" width="16.140625" customWidth="1"/>
    <col min="10" max="10" width="15.28515625" customWidth="1"/>
    <col min="12" max="20" width="0" hidden="1" customWidth="1" outlineLevel="1"/>
    <col min="21" max="21" width="9.140625" collapsed="1"/>
  </cols>
  <sheetData>
    <row r="1" spans="1:22">
      <c r="A1" s="152" t="s">
        <v>55</v>
      </c>
      <c r="B1" s="152" t="s">
        <v>2739</v>
      </c>
      <c r="C1" s="152" t="s">
        <v>40</v>
      </c>
      <c r="D1" s="152" t="s">
        <v>58</v>
      </c>
      <c r="E1" s="152" t="s">
        <v>2740</v>
      </c>
      <c r="F1" s="152" t="s">
        <v>72</v>
      </c>
      <c r="G1" s="152" t="s">
        <v>2741</v>
      </c>
      <c r="H1" s="152" t="s">
        <v>2742</v>
      </c>
      <c r="I1" s="152" t="s">
        <v>2743</v>
      </c>
      <c r="J1" s="152" t="s">
        <v>2744</v>
      </c>
      <c r="L1" s="411" t="s">
        <v>2745</v>
      </c>
      <c r="M1" s="156">
        <v>2026</v>
      </c>
      <c r="U1" s="411" t="s">
        <v>3777</v>
      </c>
      <c r="V1" s="411" t="s">
        <v>3778</v>
      </c>
    </row>
    <row r="2" spans="1:22">
      <c r="A2" s="154" cm="1">
        <f t="array" ref="A2:J36">_xlfn.LET(_xlpm.totalRows,MAX(S4:S200),_xlpm.seq,_xlfn.SEQUENCE(_xlpm.totalRows),_xlpm.srcRow,_xlfn.MAP(_xlpm.seq,_xlfn.LAMBDA(_xlpm.s,MATCH(_xlpm.s-1,T4:T200,1))),_xlpm.instrIdx,_xlfn.MAP(_xlpm.seq,_xlpm.srcRow,_xlfn.LAMBDA(_xlpm.s,_xlpm.sr,_xlpm.s-INDEX(T4:T200,_xlpm.sr))),_xlpm.ano,_xlfn.MAP(_xlpm.srcRow,_xlfn.LAMBDA(_xlpm.sr,INDEX(L4:L200,_xlpm.sr))),_xlpm.id,_xlfn.MAP(_xlpm.srcRow,_xlfn.LAMBDA(_xlpm.sr,INDEX(M4:M200,_xlpm.sr))),_xlpm.status,_xlfn.MAP(_xlpm.srcRow,_xlfn.LAMBDA(_xlpm.sr,INDEX(N4:N200,_xlpm.sr))),_xlpm.curso,_xlfn.MAP(_xlpm.srcRow,_xlfn.LAMBDA(_xlpm.sr,INDEX(O4:O200,_xlpm.sr))),_xlpm.ch,_xlfn.MAP(_xlpm.srcRow,_xlfn.LAMBDA(_xlpm.sr,INDEX(P4:P200,_xlpm.sr)+0)),_xlpm.instrStr,_xlfn.MAP(_xlpm.srcRow,_xlfn.LAMBDA(_xlpm.sr,INDEX(Q4:Q200,_xlpm.sr))),_xlpm.nInstr,_xlfn.MAP(_xlpm.srcRow,_xlfn.LAMBDA(_xlpm.sr,INDEX(R4:R200,_xlpm.sr)+0)),_xlpm.instrName,_xlfn.MAP(_xlpm.instrStr,_xlpm.instrIdx,_xlfn.LAMBDA(_xlpm.s,_xlpm.idx,TRIM(INDEX(_xlfn.TEXTSPLIT(_xlpm.s,"; "),,_xlpm.idx)))),_xlpm.ovAula,_xlfn.MAP(_xlpm.seq,_xlfn.LAMBDA(_xlpm.s,INDEX(U2:U200,_xlpm.s))),_xlpm.ovMat,_xlfn.MAP(_xlpm.seq,_xlfn.LAMBDA(_xlpm.s,INDEX(V2:V200,_xlpm.s))),_xlpm.geccAula,_xlfn.MAP(_xlpm.ovAula,_xlpm.ch,_xlfn.LAMBDA(_xlpm.ov,_xlpm.c,IF(_xlpm.ov&lt;&gt;"",_xlpm.ov+0,_xlpm.c))),_xlpm.geccMat,_xlfn.MAP(_xlpm.ovMat,_xlpm.ch,_xlpm.nInstr,_xlfn.LAMBDA(_xlpm.ov,_xlpm.c,_xlpm.n,IF(_xlpm.ov&lt;&gt;"",_xlpm.ov+0,_xlpm.c*0.3/_xlpm.n))),_xlpm.geccTotal,_xlpm.geccAula+_xlpm.geccMat,_xlfn.HSTACK(_xlpm.ano,_xlpm.id,_xlpm.status,_xlpm.curso,_xlpm.ch,_xlpm.instrName,_xlpm.nInstr,_xlpm.geccAula,_xlpm.geccMat,_xlpm.geccTotal))</f>
        <v>2026</v>
      </c>
      <c r="B2" s="154" t="str">
        <v>2026-001</v>
      </c>
      <c r="C2" s="154" t="str">
        <v>Realizado</v>
      </c>
      <c r="D2" s="151" t="str">
        <v>Contratação de TIC</v>
      </c>
      <c r="E2" s="153">
        <v>8</v>
      </c>
      <c r="F2" s="151" t="str">
        <v>Flávio José Fonseca de Souza</v>
      </c>
      <c r="G2" s="153">
        <v>1</v>
      </c>
      <c r="H2" s="155">
        <v>8</v>
      </c>
      <c r="I2" s="155">
        <v>2.4</v>
      </c>
      <c r="J2" s="155">
        <v>10.4</v>
      </c>
    </row>
    <row r="3" spans="1:22">
      <c r="A3" s="154">
        <v>2026</v>
      </c>
      <c r="B3" s="154" t="str">
        <v>2026-002</v>
      </c>
      <c r="C3" s="154" t="str">
        <v>Realizado</v>
      </c>
      <c r="D3" s="151" t="str">
        <v>Tcendo o Futuro - Edição Especial Filhos</v>
      </c>
      <c r="E3" s="153">
        <v>4</v>
      </c>
      <c r="F3" s="151" t="str">
        <v>Cinthia Thais de Carvalho Luz Thomazi</v>
      </c>
      <c r="G3" s="153">
        <v>5</v>
      </c>
      <c r="H3" s="155">
        <v>4</v>
      </c>
      <c r="I3" s="155">
        <v>0.24</v>
      </c>
      <c r="J3" s="155">
        <v>4.24</v>
      </c>
      <c r="L3" s="27" t="s">
        <v>2746</v>
      </c>
      <c r="M3" s="27" t="s">
        <v>2747</v>
      </c>
      <c r="N3" s="27" t="s">
        <v>2748</v>
      </c>
      <c r="O3" s="27" t="s">
        <v>2749</v>
      </c>
      <c r="P3" s="27" t="s">
        <v>2750</v>
      </c>
      <c r="Q3" s="27" t="s">
        <v>2751</v>
      </c>
      <c r="R3" s="27" t="s">
        <v>2752</v>
      </c>
      <c r="S3" s="27" t="s">
        <v>2753</v>
      </c>
      <c r="T3" s="27" t="s">
        <v>2754</v>
      </c>
    </row>
    <row r="4" spans="1:22">
      <c r="A4" s="154">
        <v>2026</v>
      </c>
      <c r="B4" s="154" t="str">
        <v>2026-002</v>
      </c>
      <c r="C4" s="154" t="str">
        <v>Realizado</v>
      </c>
      <c r="D4" s="151" t="str">
        <v>Tcendo o Futuro - Edição Especial Filhos</v>
      </c>
      <c r="E4" s="153">
        <v>4</v>
      </c>
      <c r="F4" s="151" t="str">
        <v>Adriana Cuoco Portugal</v>
      </c>
      <c r="G4" s="153">
        <v>5</v>
      </c>
      <c r="H4" s="155">
        <v>4</v>
      </c>
      <c r="I4" s="155">
        <v>0.24</v>
      </c>
      <c r="J4" s="155">
        <v>4.24</v>
      </c>
      <c r="L4" cm="1">
        <f t="array" ref="L4:Q19">_xlfn.LET(_xlpm.src,'Ações InCompany'!A2:T1000,_xlpm.sAno,INDEX(_xlpm.src,,2),_xlpm.sMod,INDEX(_xlpm.src,,11),_xlfn._xlws.FILTER(_xlfn.HSTACK(INDEX(_xlpm.src,,2),INDEX(_xlpm.src,,1),INDEX(_xlpm.src,,3),INDEX(_xlpm.src,,5),INDEX(_xlpm.src,,19),INDEX(_xlpm.src,,20)),(_xlpm.sAno=M1)*(_xlpm.sMod="Instrutoria Interna"),""))</f>
        <v>2026</v>
      </c>
      <c r="M4" t="str">
        <v>2026-001</v>
      </c>
      <c r="N4" t="str">
        <v>Realizado</v>
      </c>
      <c r="O4" t="str">
        <v>Contratação de TIC</v>
      </c>
      <c r="P4">
        <v>8</v>
      </c>
      <c r="Q4" t="str">
        <v>Flávio José Fonseca de Souza</v>
      </c>
      <c r="R4" cm="1">
        <f t="array" ref="R4:R200">IF(L4:L200="","",IF(ISERROR(FIND("; ",Q4:Q200)),1,(LEN(Q4:Q200)-LEN(SUBSTITUTE(Q4:Q200,"; ","")))/2+1))</f>
        <v>1</v>
      </c>
      <c r="S4" cm="1">
        <f t="array" ref="S4:S200">IF(R4:R200="","",_xlfn.SCAN(0,R4:R200,_xlfn.LAMBDA(_xlpm.a,_xlpm.b,IF(_xlpm.b="","",_xlpm.a+_xlpm.b))))</f>
        <v>1</v>
      </c>
      <c r="T4" cm="1">
        <f t="array" ref="T4:T20">_xlfn.VSTACK(0,_xlfn._xlws.FILTER(S4:S200,S4:S200&lt;&gt;""))</f>
        <v>0</v>
      </c>
    </row>
    <row r="5" spans="1:22">
      <c r="A5" s="154">
        <v>2026</v>
      </c>
      <c r="B5" s="154" t="str">
        <v>2026-002</v>
      </c>
      <c r="C5" s="154" t="str">
        <v>Realizado</v>
      </c>
      <c r="D5" s="151" t="str">
        <v>Tcendo o Futuro - Edição Especial Filhos</v>
      </c>
      <c r="E5" s="153">
        <v>4</v>
      </c>
      <c r="F5" s="151" t="str">
        <v>Fernanda Viana de Souza</v>
      </c>
      <c r="G5" s="153">
        <v>5</v>
      </c>
      <c r="H5" s="155">
        <v>4</v>
      </c>
      <c r="I5" s="155">
        <v>0.24</v>
      </c>
      <c r="J5" s="155">
        <v>4.24</v>
      </c>
      <c r="L5">
        <v>2026</v>
      </c>
      <c r="M5" t="str">
        <v>2026-002</v>
      </c>
      <c r="N5" t="str">
        <v>Realizado</v>
      </c>
      <c r="O5" t="str">
        <v>Tcendo o Futuro - Edição Especial Filhos</v>
      </c>
      <c r="P5">
        <v>4</v>
      </c>
      <c r="Q5" t="str">
        <v>Cinthia Thais de Carvalho Luz Thomazi; Adriana Cuoco Portugal; Fernanda Viana de Souza; Denise Duarte Guirra Kuhlmann; Priscila Nolasco</v>
      </c>
      <c r="R5">
        <v>5</v>
      </c>
      <c r="S5">
        <v>6</v>
      </c>
      <c r="T5">
        <v>1</v>
      </c>
    </row>
    <row r="6" spans="1:22">
      <c r="A6" s="154">
        <v>2026</v>
      </c>
      <c r="B6" s="154" t="str">
        <v>2026-002</v>
      </c>
      <c r="C6" s="154" t="str">
        <v>Realizado</v>
      </c>
      <c r="D6" s="151" t="str">
        <v>Tcendo o Futuro - Edição Especial Filhos</v>
      </c>
      <c r="E6" s="153">
        <v>4</v>
      </c>
      <c r="F6" s="151" t="str">
        <v>Denise Duarte Guirra Kuhlmann</v>
      </c>
      <c r="G6" s="153">
        <v>5</v>
      </c>
      <c r="H6" s="155">
        <v>4</v>
      </c>
      <c r="I6" s="155">
        <v>0.24</v>
      </c>
      <c r="J6" s="155">
        <v>4.24</v>
      </c>
      <c r="L6">
        <v>2026</v>
      </c>
      <c r="M6" t="str">
        <v>2026-004</v>
      </c>
      <c r="N6" t="str">
        <v>Realizado</v>
      </c>
      <c r="O6" t="str">
        <v>Gestão e Fiscalização de Contratos de Equipamentos Médico Hospitalares e Serviços de Manutenção</v>
      </c>
      <c r="P6">
        <v>12</v>
      </c>
      <c r="Q6" t="str">
        <v>Tarsila Firmino Ely; Luciana Alvim</v>
      </c>
      <c r="R6">
        <v>2</v>
      </c>
      <c r="S6">
        <v>8</v>
      </c>
      <c r="T6">
        <v>6</v>
      </c>
    </row>
    <row r="7" spans="1:22">
      <c r="A7" s="154">
        <v>2026</v>
      </c>
      <c r="B7" s="154" t="str">
        <v>2026-002</v>
      </c>
      <c r="C7" s="154" t="str">
        <v>Realizado</v>
      </c>
      <c r="D7" s="151" t="str">
        <v>Tcendo o Futuro - Edição Especial Filhos</v>
      </c>
      <c r="E7" s="153">
        <v>4</v>
      </c>
      <c r="F7" s="151" t="str">
        <v>Priscila Nolasco</v>
      </c>
      <c r="G7" s="153">
        <v>5</v>
      </c>
      <c r="H7" s="155">
        <v>4</v>
      </c>
      <c r="I7" s="155">
        <v>0.24</v>
      </c>
      <c r="J7" s="155">
        <v>4.24</v>
      </c>
      <c r="L7">
        <v>2026</v>
      </c>
      <c r="M7" t="str">
        <v>2026-005</v>
      </c>
      <c r="N7" t="str">
        <v>Realizado</v>
      </c>
      <c r="O7" t="str">
        <v>FIT1: Treinamento e Desenvolvimento (T&amp;D)</v>
      </c>
      <c r="P7">
        <v>16</v>
      </c>
      <c r="Q7" t="str">
        <v>Paulo José Góes Daltro</v>
      </c>
      <c r="R7">
        <v>1</v>
      </c>
      <c r="S7">
        <v>9</v>
      </c>
      <c r="T7">
        <v>8</v>
      </c>
    </row>
    <row r="8" spans="1:22">
      <c r="A8" s="154">
        <v>2026</v>
      </c>
      <c r="B8" s="154" t="str">
        <v>2026-004</v>
      </c>
      <c r="C8" s="154" t="str">
        <v>Realizado</v>
      </c>
      <c r="D8" s="151" t="str">
        <v>Gestão e Fiscalização de Contratos de Equipamentos Médico Hospitalares e Serviços de Manutenção</v>
      </c>
      <c r="E8" s="153">
        <v>12</v>
      </c>
      <c r="F8" s="151" t="str">
        <v>Tarsila Firmino Ely</v>
      </c>
      <c r="G8" s="153">
        <v>2</v>
      </c>
      <c r="H8" s="155">
        <v>12</v>
      </c>
      <c r="I8" s="155">
        <v>1.7999999999999998</v>
      </c>
      <c r="J8" s="155">
        <v>13.8</v>
      </c>
      <c r="L8">
        <v>2026</v>
      </c>
      <c r="M8" t="str">
        <v>2026-006</v>
      </c>
      <c r="N8" t="str">
        <v>Realizado</v>
      </c>
      <c r="O8" t="str">
        <v>Curso para gestores e fiscais de contratos de serviços assistenciais complementares – SES/DF</v>
      </c>
      <c r="P8">
        <v>12</v>
      </c>
      <c r="Q8" t="str">
        <v>Adriana Magalhães; Luciana Alvim</v>
      </c>
      <c r="R8">
        <v>2</v>
      </c>
      <c r="S8">
        <v>11</v>
      </c>
      <c r="T8">
        <v>9</v>
      </c>
    </row>
    <row r="9" spans="1:22">
      <c r="A9" s="154">
        <v>2026</v>
      </c>
      <c r="B9" s="154" t="str">
        <v>2026-004</v>
      </c>
      <c r="C9" s="154" t="str">
        <v>Realizado</v>
      </c>
      <c r="D9" s="151" t="str">
        <v>Gestão e Fiscalização de Contratos de Equipamentos Médico Hospitalares e Serviços de Manutenção</v>
      </c>
      <c r="E9" s="153">
        <v>12</v>
      </c>
      <c r="F9" s="151" t="str">
        <v>Luciana Alvim</v>
      </c>
      <c r="G9" s="153">
        <v>2</v>
      </c>
      <c r="H9" s="155">
        <v>12</v>
      </c>
      <c r="I9" s="155">
        <v>1.7999999999999998</v>
      </c>
      <c r="J9" s="155">
        <v>13.8</v>
      </c>
      <c r="L9">
        <v>2026</v>
      </c>
      <c r="M9" t="str">
        <v>2026-007</v>
      </c>
      <c r="N9" t="str">
        <v>Realizado</v>
      </c>
      <c r="O9" t="str">
        <v>Planilhas de Terceirização de Mão de Obra, de acordo com a Lei nº 14.133/2021 - T1</v>
      </c>
      <c r="P9">
        <v>20</v>
      </c>
      <c r="Q9" t="str">
        <v>Leonardo José Alves Leal Neri</v>
      </c>
      <c r="R9">
        <v>1</v>
      </c>
      <c r="S9">
        <v>12</v>
      </c>
      <c r="T9">
        <v>11</v>
      </c>
    </row>
    <row r="10" spans="1:22">
      <c r="A10" s="154">
        <v>2026</v>
      </c>
      <c r="B10" s="154" t="str">
        <v>2026-005</v>
      </c>
      <c r="C10" s="154" t="str">
        <v>Realizado</v>
      </c>
      <c r="D10" s="151" t="str">
        <v>FIT1: Treinamento e Desenvolvimento (T&amp;D)</v>
      </c>
      <c r="E10" s="153">
        <v>16</v>
      </c>
      <c r="F10" s="151" t="str">
        <v>Paulo José Góes Daltro</v>
      </c>
      <c r="G10" s="153">
        <v>1</v>
      </c>
      <c r="H10" s="155">
        <v>0</v>
      </c>
      <c r="I10" s="155">
        <v>0</v>
      </c>
      <c r="J10" s="155">
        <v>0</v>
      </c>
      <c r="L10">
        <v>2026</v>
      </c>
      <c r="M10" t="str">
        <v>2026-008</v>
      </c>
      <c r="N10" t="str">
        <v>Realizado</v>
      </c>
      <c r="O10" t="str">
        <v>Curso de Promoção Funcional 2026/2027</v>
      </c>
      <c r="P10">
        <v>20</v>
      </c>
      <c r="Q10" t="str">
        <v>Rômulo Miranda Alvim; Cinthia Thais de Carvalho Luz Thomazi</v>
      </c>
      <c r="R10">
        <v>2</v>
      </c>
      <c r="S10">
        <v>14</v>
      </c>
      <c r="T10">
        <v>12</v>
      </c>
      <c r="U10">
        <v>0</v>
      </c>
      <c r="V10">
        <v>0</v>
      </c>
    </row>
    <row r="11" spans="1:22">
      <c r="A11" s="154">
        <v>2026</v>
      </c>
      <c r="B11" s="154" t="str">
        <v>2026-006</v>
      </c>
      <c r="C11" s="154" t="str">
        <v>Realizado</v>
      </c>
      <c r="D11" s="151" t="str">
        <v>Curso para gestores e fiscais de contratos de serviços assistenciais complementares – SES/DF</v>
      </c>
      <c r="E11" s="153">
        <v>12</v>
      </c>
      <c r="F11" s="151" t="str">
        <v>Adriana Magalhães</v>
      </c>
      <c r="G11" s="153">
        <v>2</v>
      </c>
      <c r="H11" s="155">
        <v>12</v>
      </c>
      <c r="I11" s="155">
        <v>1.7999999999999998</v>
      </c>
      <c r="J11" s="155">
        <v>13.8</v>
      </c>
      <c r="L11">
        <v>2026</v>
      </c>
      <c r="M11" t="str">
        <v>2026-009</v>
      </c>
      <c r="N11" t="str">
        <v>Realizado</v>
      </c>
      <c r="O11" t="str">
        <v>Introdução à Engenharia de Prompt - t1</v>
      </c>
      <c r="P11">
        <v>8</v>
      </c>
      <c r="Q11" t="str">
        <v>Arthur Wú; Gustavo Takahashi</v>
      </c>
      <c r="R11">
        <v>2</v>
      </c>
      <c r="S11">
        <v>16</v>
      </c>
      <c r="T11">
        <v>14</v>
      </c>
    </row>
    <row r="12" spans="1:22">
      <c r="A12" s="154">
        <v>2026</v>
      </c>
      <c r="B12" s="154" t="str">
        <v>2026-006</v>
      </c>
      <c r="C12" s="154" t="str">
        <v>Realizado</v>
      </c>
      <c r="D12" s="151" t="str">
        <v>Curso para gestores e fiscais de contratos de serviços assistenciais complementares – SES/DF</v>
      </c>
      <c r="E12" s="153">
        <v>12</v>
      </c>
      <c r="F12" s="151" t="str">
        <v>Luciana Alvim</v>
      </c>
      <c r="G12" s="153">
        <v>2</v>
      </c>
      <c r="H12" s="155">
        <v>12</v>
      </c>
      <c r="I12" s="155">
        <v>1.7999999999999998</v>
      </c>
      <c r="J12" s="155">
        <v>13.8</v>
      </c>
      <c r="L12">
        <v>2026</v>
      </c>
      <c r="M12" t="str">
        <v>2026-010</v>
      </c>
      <c r="N12" t="str">
        <v>Realizado</v>
      </c>
      <c r="O12" t="str">
        <v>Planilhas de Terceirização de Mão de Obra, de acordo com a Lei nº 14.133/2021 - T2</v>
      </c>
      <c r="P12">
        <v>20</v>
      </c>
      <c r="Q12" t="str">
        <v>Leonardo José Alves Leal Neri</v>
      </c>
      <c r="R12">
        <v>1</v>
      </c>
      <c r="S12">
        <v>17</v>
      </c>
      <c r="T12">
        <v>16</v>
      </c>
    </row>
    <row r="13" spans="1:22">
      <c r="A13" s="154">
        <v>2026</v>
      </c>
      <c r="B13" s="154" t="str">
        <v>2026-007</v>
      </c>
      <c r="C13" s="154" t="str">
        <v>Realizado</v>
      </c>
      <c r="D13" s="151" t="str">
        <v>Planilhas de Terceirização de Mão de Obra, de acordo com a Lei nº 14.133/2021 - T1</v>
      </c>
      <c r="E13" s="153">
        <v>20</v>
      </c>
      <c r="F13" s="151" t="str">
        <v>Leonardo José Alves Leal Neri</v>
      </c>
      <c r="G13" s="153">
        <v>1</v>
      </c>
      <c r="H13" s="155">
        <v>20</v>
      </c>
      <c r="I13" s="155">
        <v>6</v>
      </c>
      <c r="J13" s="155">
        <v>26</v>
      </c>
      <c r="L13">
        <v>2026</v>
      </c>
      <c r="M13" t="str">
        <v>2026-013</v>
      </c>
      <c r="N13" t="str">
        <v>A realizar</v>
      </c>
      <c r="O13" t="str">
        <v>Introdução à Engenharia de Prompt - t2</v>
      </c>
      <c r="P13">
        <v>8</v>
      </c>
      <c r="Q13" t="str">
        <v>Arthur Wú; Gustavo Takahashi</v>
      </c>
      <c r="R13">
        <v>2</v>
      </c>
      <c r="S13">
        <v>19</v>
      </c>
      <c r="T13">
        <v>17</v>
      </c>
    </row>
    <row r="14" spans="1:22">
      <c r="A14" s="154">
        <v>2026</v>
      </c>
      <c r="B14" s="154" t="str">
        <v>2026-008</v>
      </c>
      <c r="C14" s="154" t="str">
        <v>Realizado</v>
      </c>
      <c r="D14" s="151" t="str">
        <v>Curso de Promoção Funcional 2026/2027</v>
      </c>
      <c r="E14" s="153">
        <v>20</v>
      </c>
      <c r="F14" s="151" t="str">
        <v>Rômulo Miranda Alvim</v>
      </c>
      <c r="G14" s="153">
        <v>2</v>
      </c>
      <c r="H14" s="155">
        <v>20</v>
      </c>
      <c r="I14" s="155">
        <v>3</v>
      </c>
      <c r="J14" s="155">
        <v>23</v>
      </c>
      <c r="L14">
        <v>2026</v>
      </c>
      <c r="M14" t="str">
        <v>2026-014</v>
      </c>
      <c r="N14" t="str">
        <v>A realizar</v>
      </c>
      <c r="O14" t="str">
        <v>Mostra Fotográfica “Meu Olhar sobre Brasília”</v>
      </c>
      <c r="P14">
        <v>0</v>
      </c>
      <c r="Q14" t="str">
        <v>Servidores, colaboradores e estagiários do TCDF</v>
      </c>
      <c r="R14">
        <v>1</v>
      </c>
      <c r="S14">
        <v>20</v>
      </c>
      <c r="T14">
        <v>19</v>
      </c>
    </row>
    <row r="15" spans="1:22">
      <c r="A15" s="154">
        <v>2026</v>
      </c>
      <c r="B15" s="154" t="str">
        <v>2026-008</v>
      </c>
      <c r="C15" s="154" t="str">
        <v>Realizado</v>
      </c>
      <c r="D15" s="151" t="str">
        <v>Curso de Promoção Funcional 2026/2027</v>
      </c>
      <c r="E15" s="153">
        <v>20</v>
      </c>
      <c r="F15" s="151" t="str">
        <v>Cinthia Thais de Carvalho Luz Thomazi</v>
      </c>
      <c r="G15" s="153">
        <v>2</v>
      </c>
      <c r="H15" s="155">
        <v>20</v>
      </c>
      <c r="I15" s="155">
        <v>3</v>
      </c>
      <c r="J15" s="155">
        <v>23</v>
      </c>
      <c r="L15">
        <v>2026</v>
      </c>
      <c r="M15" t="str">
        <v>2026-015</v>
      </c>
      <c r="N15" t="str">
        <v>A realizar</v>
      </c>
      <c r="O15" t="str">
        <v>Tcendo o Futuro</v>
      </c>
      <c r="P15">
        <v>4</v>
      </c>
      <c r="Q15" t="str">
        <v>Cinthia Thais de Carvalho Luz Thomazi; Adriana Cuoco Portugal; Fernanda Viana de Souza; Denise Duarte Guirra Kuhlmann;  Priscila Nolasco</v>
      </c>
      <c r="R15">
        <v>5</v>
      </c>
      <c r="S15">
        <v>25</v>
      </c>
      <c r="T15">
        <v>20</v>
      </c>
    </row>
    <row r="16" spans="1:22">
      <c r="A16" s="154">
        <v>2026</v>
      </c>
      <c r="B16" s="154" t="str">
        <v>2026-009</v>
      </c>
      <c r="C16" s="154" t="str">
        <v>Realizado</v>
      </c>
      <c r="D16" s="151" t="str">
        <v>Introdução à Engenharia de Prompt - t1</v>
      </c>
      <c r="E16" s="153">
        <v>8</v>
      </c>
      <c r="F16" s="151" t="str">
        <v>Arthur Wú</v>
      </c>
      <c r="G16" s="153">
        <v>2</v>
      </c>
      <c r="H16" s="155">
        <v>8</v>
      </c>
      <c r="I16" s="155">
        <v>1.2</v>
      </c>
      <c r="J16" s="155">
        <v>9.1999999999999993</v>
      </c>
      <c r="L16">
        <v>2026</v>
      </c>
      <c r="M16" t="str">
        <v>2026-016</v>
      </c>
      <c r="N16" t="str">
        <v>A realizar</v>
      </c>
      <c r="O16" t="str">
        <v>FIT1: Treinamento e Desenvolvimento (T&amp;D) - T2</v>
      </c>
      <c r="P16">
        <v>16</v>
      </c>
      <c r="Q16" t="str">
        <v>Paulo José Góes Daltro</v>
      </c>
      <c r="R16">
        <v>1</v>
      </c>
      <c r="S16">
        <v>26</v>
      </c>
      <c r="T16">
        <v>25</v>
      </c>
    </row>
    <row r="17" spans="1:22">
      <c r="A17" s="154">
        <v>2026</v>
      </c>
      <c r="B17" s="154" t="str">
        <v>2026-009</v>
      </c>
      <c r="C17" s="154" t="str">
        <v>Realizado</v>
      </c>
      <c r="D17" s="151" t="str">
        <v>Introdução à Engenharia de Prompt - t1</v>
      </c>
      <c r="E17" s="153">
        <v>8</v>
      </c>
      <c r="F17" s="151" t="str">
        <v>Gustavo Takahashi</v>
      </c>
      <c r="G17" s="153">
        <v>2</v>
      </c>
      <c r="H17" s="155">
        <v>8</v>
      </c>
      <c r="I17" s="155">
        <v>1.2</v>
      </c>
      <c r="J17" s="155">
        <v>9.1999999999999993</v>
      </c>
      <c r="L17">
        <v>2026</v>
      </c>
      <c r="M17" t="str">
        <v>2026-017</v>
      </c>
      <c r="N17" t="str">
        <v>A realizar</v>
      </c>
      <c r="O17" t="str">
        <v>Fiscalizações Baseadas em Risco</v>
      </c>
      <c r="P17">
        <v>20</v>
      </c>
      <c r="Q17" t="str">
        <v>Larissa Vieira; Reinaldo Alencar; Rogério Ribeiro</v>
      </c>
      <c r="R17">
        <v>3</v>
      </c>
      <c r="S17">
        <v>29</v>
      </c>
      <c r="T17">
        <v>26</v>
      </c>
    </row>
    <row r="18" spans="1:22">
      <c r="A18" s="154">
        <v>2026</v>
      </c>
      <c r="B18" s="154" t="str">
        <v>2026-010</v>
      </c>
      <c r="C18" s="154" t="str">
        <v>Realizado</v>
      </c>
      <c r="D18" s="151" t="str">
        <v>Planilhas de Terceirização de Mão de Obra, de acordo com a Lei nº 14.133/2021 - T2</v>
      </c>
      <c r="E18" s="153">
        <v>20</v>
      </c>
      <c r="F18" s="151" t="str">
        <v>Leonardo José Alves Leal Neri</v>
      </c>
      <c r="G18" s="153">
        <v>1</v>
      </c>
      <c r="H18" s="155">
        <v>20</v>
      </c>
      <c r="I18" s="155">
        <v>6</v>
      </c>
      <c r="J18" s="155">
        <v>26</v>
      </c>
      <c r="L18">
        <v>2026</v>
      </c>
      <c r="M18" t="str">
        <v>2026-018</v>
      </c>
      <c r="N18" t="str">
        <v>A realizar</v>
      </c>
      <c r="O18" t="str">
        <v>Tcendo o Futuro</v>
      </c>
      <c r="P18">
        <v>4</v>
      </c>
      <c r="Q18" t="str">
        <v>Cinthia Thais de Carvalho Luz Thomazi; Adriana Cuoco Portugal; Fernanda Viana de Souza; Denise Duarte Guirra Kuhlmann;  Priscila Nolasco</v>
      </c>
      <c r="R18">
        <v>5</v>
      </c>
      <c r="S18">
        <v>34</v>
      </c>
      <c r="T18">
        <v>29</v>
      </c>
    </row>
    <row r="19" spans="1:22">
      <c r="A19" s="154">
        <v>2026</v>
      </c>
      <c r="B19" s="154" t="str">
        <v>2026-013</v>
      </c>
      <c r="C19" s="154" t="str">
        <v>A realizar</v>
      </c>
      <c r="D19" s="151" t="str">
        <v>Introdução à Engenharia de Prompt - t2</v>
      </c>
      <c r="E19" s="153">
        <v>8</v>
      </c>
      <c r="F19" s="151" t="str">
        <v>Arthur Wú</v>
      </c>
      <c r="G19" s="153">
        <v>2</v>
      </c>
      <c r="H19" s="155">
        <v>8</v>
      </c>
      <c r="I19" s="155">
        <v>1.2</v>
      </c>
      <c r="J19" s="155">
        <v>9.1999999999999993</v>
      </c>
      <c r="L19">
        <v>2026</v>
      </c>
      <c r="M19" t="str">
        <v>2026-019</v>
      </c>
      <c r="N19" t="str">
        <v>A realizar</v>
      </c>
      <c r="O19" t="str">
        <v>FIT1: Treinamento e Desenvolvimento (T&amp;D) - T3</v>
      </c>
      <c r="P19">
        <v>16</v>
      </c>
      <c r="Q19" t="str">
        <v>Paulo José Góes Daltro</v>
      </c>
      <c r="R19">
        <v>1</v>
      </c>
      <c r="S19">
        <v>35</v>
      </c>
      <c r="T19">
        <v>34</v>
      </c>
    </row>
    <row r="20" spans="1:22">
      <c r="A20" s="154">
        <v>2026</v>
      </c>
      <c r="B20" s="154" t="str">
        <v>2026-013</v>
      </c>
      <c r="C20" s="154" t="str">
        <v>A realizar</v>
      </c>
      <c r="D20" s="151" t="str">
        <v>Introdução à Engenharia de Prompt - t2</v>
      </c>
      <c r="E20" s="153">
        <v>8</v>
      </c>
      <c r="F20" s="151" t="str">
        <v>Gustavo Takahashi</v>
      </c>
      <c r="G20" s="153">
        <v>2</v>
      </c>
      <c r="H20" s="155">
        <v>8</v>
      </c>
      <c r="I20" s="155">
        <v>1.2</v>
      </c>
      <c r="J20" s="155">
        <v>9.1999999999999993</v>
      </c>
      <c r="R20" t="str">
        <v/>
      </c>
      <c r="S20" t="str">
        <v/>
      </c>
      <c r="T20">
        <v>35</v>
      </c>
    </row>
    <row r="21" spans="1:22">
      <c r="A21" s="154">
        <v>2026</v>
      </c>
      <c r="B21" s="154" t="str">
        <v>2026-014</v>
      </c>
      <c r="C21" s="154" t="str">
        <v>A realizar</v>
      </c>
      <c r="D21" s="151" t="str">
        <v>Mostra Fotográfica “Meu Olhar sobre Brasília”</v>
      </c>
      <c r="E21" s="153">
        <v>0</v>
      </c>
      <c r="F21" s="151" t="str">
        <v>Servidores, colaboradores e estagiários do TCDF</v>
      </c>
      <c r="G21" s="153">
        <v>1</v>
      </c>
      <c r="H21" s="155">
        <v>0</v>
      </c>
      <c r="I21" s="155">
        <v>0</v>
      </c>
      <c r="J21" s="155">
        <v>0</v>
      </c>
      <c r="R21" t="str">
        <v/>
      </c>
      <c r="S21" t="str">
        <v/>
      </c>
    </row>
    <row r="22" spans="1:22">
      <c r="A22" s="154">
        <v>2026</v>
      </c>
      <c r="B22" s="154" t="str">
        <v>2026-015</v>
      </c>
      <c r="C22" s="154" t="str">
        <v>A realizar</v>
      </c>
      <c r="D22" s="151" t="str">
        <v>Tcendo o Futuro</v>
      </c>
      <c r="E22" s="153">
        <v>4</v>
      </c>
      <c r="F22" s="151" t="str">
        <v>Cinthia Thais de Carvalho Luz Thomazi</v>
      </c>
      <c r="G22" s="153">
        <v>5</v>
      </c>
      <c r="H22" s="155">
        <v>4</v>
      </c>
      <c r="I22" s="155">
        <v>0.24</v>
      </c>
      <c r="J22" s="155">
        <v>4.24</v>
      </c>
      <c r="R22" t="str">
        <v/>
      </c>
      <c r="S22" t="str">
        <v/>
      </c>
    </row>
    <row r="23" spans="1:22">
      <c r="A23" s="154">
        <v>2026</v>
      </c>
      <c r="B23" s="154" t="str">
        <v>2026-015</v>
      </c>
      <c r="C23" s="154" t="str">
        <v>A realizar</v>
      </c>
      <c r="D23" s="151" t="str">
        <v>Tcendo o Futuro</v>
      </c>
      <c r="E23" s="153">
        <v>4</v>
      </c>
      <c r="F23" s="151" t="str">
        <v>Adriana Cuoco Portugal</v>
      </c>
      <c r="G23" s="153">
        <v>5</v>
      </c>
      <c r="H23" s="155">
        <v>4</v>
      </c>
      <c r="I23" s="155">
        <v>0.24</v>
      </c>
      <c r="J23" s="155">
        <v>4.24</v>
      </c>
      <c r="R23" t="str">
        <v/>
      </c>
      <c r="S23" t="str">
        <v/>
      </c>
    </row>
    <row r="24" spans="1:22">
      <c r="A24" s="154">
        <v>2026</v>
      </c>
      <c r="B24" s="154" t="str">
        <v>2026-015</v>
      </c>
      <c r="C24" s="154" t="str">
        <v>A realizar</v>
      </c>
      <c r="D24" s="151" t="str">
        <v>Tcendo o Futuro</v>
      </c>
      <c r="E24" s="153">
        <v>4</v>
      </c>
      <c r="F24" s="151" t="str">
        <v>Fernanda Viana de Souza</v>
      </c>
      <c r="G24" s="153">
        <v>5</v>
      </c>
      <c r="H24" s="155">
        <v>4</v>
      </c>
      <c r="I24" s="155">
        <v>0.24</v>
      </c>
      <c r="J24" s="155">
        <v>4.24</v>
      </c>
      <c r="R24" t="str">
        <v/>
      </c>
      <c r="S24" t="str">
        <v/>
      </c>
    </row>
    <row r="25" spans="1:22">
      <c r="A25" s="154">
        <v>2026</v>
      </c>
      <c r="B25" s="154" t="str">
        <v>2026-015</v>
      </c>
      <c r="C25" s="154" t="str">
        <v>A realizar</v>
      </c>
      <c r="D25" s="151" t="str">
        <v>Tcendo o Futuro</v>
      </c>
      <c r="E25" s="153">
        <v>4</v>
      </c>
      <c r="F25" s="151" t="str">
        <v>Denise Duarte Guirra Kuhlmann</v>
      </c>
      <c r="G25" s="153">
        <v>5</v>
      </c>
      <c r="H25" s="155">
        <v>4</v>
      </c>
      <c r="I25" s="155">
        <v>0.24</v>
      </c>
      <c r="J25" s="155">
        <v>4.24</v>
      </c>
      <c r="R25" t="str">
        <v/>
      </c>
      <c r="S25" t="str">
        <v/>
      </c>
    </row>
    <row r="26" spans="1:22">
      <c r="A26" s="154">
        <v>2026</v>
      </c>
      <c r="B26" s="154" t="str">
        <v>2026-015</v>
      </c>
      <c r="C26" s="154" t="str">
        <v>A realizar</v>
      </c>
      <c r="D26" s="151" t="str">
        <v>Tcendo o Futuro</v>
      </c>
      <c r="E26" s="153">
        <v>4</v>
      </c>
      <c r="F26" s="151" t="str">
        <v>Priscila Nolasco</v>
      </c>
      <c r="G26" s="153">
        <v>5</v>
      </c>
      <c r="H26" s="155">
        <v>4</v>
      </c>
      <c r="I26" s="155">
        <v>0.24</v>
      </c>
      <c r="J26" s="155">
        <v>4.24</v>
      </c>
      <c r="R26" t="str">
        <v/>
      </c>
      <c r="S26" t="str">
        <v/>
      </c>
    </row>
    <row r="27" spans="1:22">
      <c r="A27" s="154">
        <v>2026</v>
      </c>
      <c r="B27" s="154" t="str">
        <v>2026-016</v>
      </c>
      <c r="C27" s="154" t="str">
        <v>A realizar</v>
      </c>
      <c r="D27" s="151" t="str">
        <v>FIT1: Treinamento e Desenvolvimento (T&amp;D) - T2</v>
      </c>
      <c r="E27" s="153">
        <v>16</v>
      </c>
      <c r="F27" s="151" t="str">
        <v>Paulo José Góes Daltro</v>
      </c>
      <c r="G27" s="153">
        <v>1</v>
      </c>
      <c r="H27" s="155">
        <v>0</v>
      </c>
      <c r="I27" s="155">
        <v>0</v>
      </c>
      <c r="J27" s="155">
        <v>0</v>
      </c>
      <c r="R27" t="str">
        <v/>
      </c>
      <c r="S27" t="str">
        <v/>
      </c>
      <c r="U27">
        <v>0</v>
      </c>
      <c r="V27">
        <v>0</v>
      </c>
    </row>
    <row r="28" spans="1:22">
      <c r="A28" s="154">
        <v>2026</v>
      </c>
      <c r="B28" s="154" t="str">
        <v>2026-017</v>
      </c>
      <c r="C28" s="154" t="str">
        <v>A realizar</v>
      </c>
      <c r="D28" s="151" t="str">
        <v>Fiscalizações Baseadas em Risco</v>
      </c>
      <c r="E28" s="153">
        <v>20</v>
      </c>
      <c r="F28" s="151" t="str">
        <v>Larissa Vieira</v>
      </c>
      <c r="G28" s="153">
        <v>3</v>
      </c>
      <c r="H28" s="155">
        <v>20</v>
      </c>
      <c r="I28" s="155">
        <v>2</v>
      </c>
      <c r="J28" s="155">
        <v>22</v>
      </c>
      <c r="R28" t="str">
        <v/>
      </c>
      <c r="S28" t="str">
        <v/>
      </c>
    </row>
    <row r="29" spans="1:22">
      <c r="A29" s="154">
        <v>2026</v>
      </c>
      <c r="B29" s="154" t="str">
        <v>2026-017</v>
      </c>
      <c r="C29" s="154" t="str">
        <v>A realizar</v>
      </c>
      <c r="D29" s="151" t="str">
        <v>Fiscalizações Baseadas em Risco</v>
      </c>
      <c r="E29" s="153">
        <v>20</v>
      </c>
      <c r="F29" s="151" t="str">
        <v>Reinaldo Alencar</v>
      </c>
      <c r="G29" s="153">
        <v>3</v>
      </c>
      <c r="H29" s="155">
        <v>20</v>
      </c>
      <c r="I29" s="155">
        <v>2</v>
      </c>
      <c r="J29" s="155">
        <v>22</v>
      </c>
      <c r="R29" t="str">
        <v/>
      </c>
      <c r="S29" t="str">
        <v/>
      </c>
    </row>
    <row r="30" spans="1:22">
      <c r="A30" s="154">
        <v>2026</v>
      </c>
      <c r="B30" s="154" t="str">
        <v>2026-017</v>
      </c>
      <c r="C30" s="154" t="str">
        <v>A realizar</v>
      </c>
      <c r="D30" s="151" t="str">
        <v>Fiscalizações Baseadas em Risco</v>
      </c>
      <c r="E30" s="153">
        <v>20</v>
      </c>
      <c r="F30" s="151" t="str">
        <v>Rogério Ribeiro</v>
      </c>
      <c r="G30" s="153">
        <v>3</v>
      </c>
      <c r="H30" s="155">
        <v>20</v>
      </c>
      <c r="I30" s="155">
        <v>2</v>
      </c>
      <c r="J30" s="155">
        <v>22</v>
      </c>
      <c r="R30" t="str">
        <v/>
      </c>
      <c r="S30" t="str">
        <v/>
      </c>
    </row>
    <row r="31" spans="1:22">
      <c r="A31" s="154">
        <v>2026</v>
      </c>
      <c r="B31" s="154" t="str">
        <v>2026-018</v>
      </c>
      <c r="C31" s="154" t="str">
        <v>A realizar</v>
      </c>
      <c r="D31" s="151" t="str">
        <v>Tcendo o Futuro</v>
      </c>
      <c r="E31" s="153">
        <v>4</v>
      </c>
      <c r="F31" s="151" t="str">
        <v>Cinthia Thais de Carvalho Luz Thomazi</v>
      </c>
      <c r="G31" s="153">
        <v>5</v>
      </c>
      <c r="H31" s="155">
        <v>4</v>
      </c>
      <c r="I31" s="155">
        <v>0.24</v>
      </c>
      <c r="J31" s="155">
        <v>4.24</v>
      </c>
      <c r="R31" t="str">
        <v/>
      </c>
      <c r="S31" t="str">
        <v/>
      </c>
    </row>
    <row r="32" spans="1:22">
      <c r="A32" s="154">
        <v>2026</v>
      </c>
      <c r="B32" s="154" t="str">
        <v>2026-018</v>
      </c>
      <c r="C32" s="154" t="str">
        <v>A realizar</v>
      </c>
      <c r="D32" s="151" t="str">
        <v>Tcendo o Futuro</v>
      </c>
      <c r="E32" s="153">
        <v>4</v>
      </c>
      <c r="F32" s="151" t="str">
        <v>Adriana Cuoco Portugal</v>
      </c>
      <c r="G32" s="153">
        <v>5</v>
      </c>
      <c r="H32" s="155">
        <v>4</v>
      </c>
      <c r="I32" s="155">
        <v>0.24</v>
      </c>
      <c r="J32" s="155">
        <v>4.24</v>
      </c>
      <c r="R32" t="str">
        <v/>
      </c>
      <c r="S32" t="str">
        <v/>
      </c>
    </row>
    <row r="33" spans="1:22">
      <c r="A33" s="154">
        <v>2026</v>
      </c>
      <c r="B33" s="154" t="str">
        <v>2026-018</v>
      </c>
      <c r="C33" s="154" t="str">
        <v>A realizar</v>
      </c>
      <c r="D33" s="151" t="str">
        <v>Tcendo o Futuro</v>
      </c>
      <c r="E33" s="153">
        <v>4</v>
      </c>
      <c r="F33" s="151" t="str">
        <v>Fernanda Viana de Souza</v>
      </c>
      <c r="G33" s="153">
        <v>5</v>
      </c>
      <c r="H33" s="155">
        <v>4</v>
      </c>
      <c r="I33" s="155">
        <v>0.24</v>
      </c>
      <c r="J33" s="155">
        <v>4.24</v>
      </c>
      <c r="R33" t="str">
        <v/>
      </c>
      <c r="S33" t="str">
        <v/>
      </c>
    </row>
    <row r="34" spans="1:22">
      <c r="A34" s="154">
        <v>2026</v>
      </c>
      <c r="B34" s="154" t="str">
        <v>2026-018</v>
      </c>
      <c r="C34" s="154" t="str">
        <v>A realizar</v>
      </c>
      <c r="D34" s="151" t="str">
        <v>Tcendo o Futuro</v>
      </c>
      <c r="E34" s="153">
        <v>4</v>
      </c>
      <c r="F34" s="151" t="str">
        <v>Denise Duarte Guirra Kuhlmann</v>
      </c>
      <c r="G34" s="153">
        <v>5</v>
      </c>
      <c r="H34" s="155">
        <v>4</v>
      </c>
      <c r="I34" s="155">
        <v>0.24</v>
      </c>
      <c r="J34" s="155">
        <v>4.24</v>
      </c>
      <c r="R34" t="str">
        <v/>
      </c>
      <c r="S34" t="str">
        <v/>
      </c>
    </row>
    <row r="35" spans="1:22">
      <c r="A35" s="154">
        <v>2026</v>
      </c>
      <c r="B35" s="154" t="str">
        <v>2026-018</v>
      </c>
      <c r="C35" s="154" t="str">
        <v>A realizar</v>
      </c>
      <c r="D35" s="151" t="str">
        <v>Tcendo o Futuro</v>
      </c>
      <c r="E35" s="153">
        <v>4</v>
      </c>
      <c r="F35" s="151" t="str">
        <v>Priscila Nolasco</v>
      </c>
      <c r="G35" s="153">
        <v>5</v>
      </c>
      <c r="H35" s="155">
        <v>4</v>
      </c>
      <c r="I35" s="155">
        <v>0.24</v>
      </c>
      <c r="J35" s="155">
        <v>4.24</v>
      </c>
      <c r="R35" t="str">
        <v/>
      </c>
      <c r="S35" t="str">
        <v/>
      </c>
    </row>
    <row r="36" spans="1:22">
      <c r="A36" s="154">
        <v>2026</v>
      </c>
      <c r="B36" s="154" t="str">
        <v>2026-019</v>
      </c>
      <c r="C36" s="154" t="str">
        <v>A realizar</v>
      </c>
      <c r="D36" s="151" t="str">
        <v>FIT1: Treinamento e Desenvolvimento (T&amp;D) - T3</v>
      </c>
      <c r="E36" s="153">
        <v>16</v>
      </c>
      <c r="F36" s="151" t="str">
        <v>Paulo José Góes Daltro</v>
      </c>
      <c r="G36" s="153">
        <v>1</v>
      </c>
      <c r="H36" s="155">
        <v>0</v>
      </c>
      <c r="I36" s="155">
        <v>0</v>
      </c>
      <c r="J36" s="155">
        <v>0</v>
      </c>
      <c r="R36" t="str">
        <v/>
      </c>
      <c r="S36" t="str">
        <v/>
      </c>
      <c r="U36">
        <v>0</v>
      </c>
      <c r="V36">
        <v>0</v>
      </c>
    </row>
    <row r="37" spans="1:22">
      <c r="R37" t="str">
        <v/>
      </c>
      <c r="S37" t="str">
        <v/>
      </c>
    </row>
    <row r="38" spans="1:22">
      <c r="R38" t="str">
        <v/>
      </c>
      <c r="S38" t="str">
        <v/>
      </c>
    </row>
    <row r="39" spans="1:22">
      <c r="R39" t="str">
        <v/>
      </c>
      <c r="S39" t="str">
        <v/>
      </c>
    </row>
    <row r="40" spans="1:22">
      <c r="R40" t="str">
        <v/>
      </c>
      <c r="S40" t="str">
        <v/>
      </c>
    </row>
    <row r="41" spans="1:22">
      <c r="R41" t="str">
        <v/>
      </c>
      <c r="S41" t="str">
        <v/>
      </c>
    </row>
    <row r="42" spans="1:22">
      <c r="R42" t="str">
        <v/>
      </c>
      <c r="S42" t="str">
        <v/>
      </c>
    </row>
    <row r="43" spans="1:22">
      <c r="R43" t="str">
        <v/>
      </c>
      <c r="S43" t="str">
        <v/>
      </c>
    </row>
    <row r="44" spans="1:22">
      <c r="R44" t="str">
        <v/>
      </c>
      <c r="S44" t="str">
        <v/>
      </c>
    </row>
    <row r="45" spans="1:22">
      <c r="R45" t="str">
        <v/>
      </c>
      <c r="S45" t="str">
        <v/>
      </c>
    </row>
    <row r="46" spans="1:22">
      <c r="R46" t="str">
        <v/>
      </c>
      <c r="S46" t="str">
        <v/>
      </c>
    </row>
    <row r="47" spans="1:22">
      <c r="R47" t="str">
        <v/>
      </c>
      <c r="S47" t="str">
        <v/>
      </c>
    </row>
    <row r="48" spans="1:22">
      <c r="R48" t="str">
        <v/>
      </c>
      <c r="S48" t="str">
        <v/>
      </c>
    </row>
    <row r="49" spans="18:19">
      <c r="R49" t="str">
        <v/>
      </c>
      <c r="S49" t="str">
        <v/>
      </c>
    </row>
    <row r="50" spans="18:19">
      <c r="R50" t="str">
        <v/>
      </c>
      <c r="S50" t="str">
        <v/>
      </c>
    </row>
    <row r="51" spans="18:19">
      <c r="R51" t="str">
        <v/>
      </c>
      <c r="S51" t="str">
        <v/>
      </c>
    </row>
    <row r="52" spans="18:19">
      <c r="R52" t="str">
        <v/>
      </c>
      <c r="S52" t="str">
        <v/>
      </c>
    </row>
    <row r="53" spans="18:19">
      <c r="R53" t="str">
        <v/>
      </c>
      <c r="S53" t="str">
        <v/>
      </c>
    </row>
    <row r="54" spans="18:19">
      <c r="R54" t="str">
        <v/>
      </c>
      <c r="S54" t="str">
        <v/>
      </c>
    </row>
    <row r="55" spans="18:19">
      <c r="R55" t="str">
        <v/>
      </c>
      <c r="S55" t="str">
        <v/>
      </c>
    </row>
    <row r="56" spans="18:19">
      <c r="R56" t="str">
        <v/>
      </c>
      <c r="S56" t="str">
        <v/>
      </c>
    </row>
    <row r="57" spans="18:19">
      <c r="R57" t="str">
        <v/>
      </c>
      <c r="S57" t="str">
        <v/>
      </c>
    </row>
    <row r="58" spans="18:19">
      <c r="R58" t="str">
        <v/>
      </c>
      <c r="S58" t="str">
        <v/>
      </c>
    </row>
    <row r="59" spans="18:19">
      <c r="R59" t="str">
        <v/>
      </c>
      <c r="S59" t="str">
        <v/>
      </c>
    </row>
    <row r="60" spans="18:19">
      <c r="R60" t="str">
        <v/>
      </c>
      <c r="S60" t="str">
        <v/>
      </c>
    </row>
    <row r="61" spans="18:19">
      <c r="R61" t="str">
        <v/>
      </c>
      <c r="S61" t="str">
        <v/>
      </c>
    </row>
    <row r="62" spans="18:19">
      <c r="R62" t="str">
        <v/>
      </c>
      <c r="S62" t="str">
        <v/>
      </c>
    </row>
    <row r="63" spans="18:19">
      <c r="R63" t="str">
        <v/>
      </c>
      <c r="S63" t="str">
        <v/>
      </c>
    </row>
    <row r="64" spans="18:19">
      <c r="R64" t="str">
        <v/>
      </c>
      <c r="S64" t="str">
        <v/>
      </c>
    </row>
    <row r="65" spans="18:19">
      <c r="R65" t="str">
        <v/>
      </c>
      <c r="S65" t="str">
        <v/>
      </c>
    </row>
    <row r="66" spans="18:19">
      <c r="R66" t="str">
        <v/>
      </c>
      <c r="S66" t="str">
        <v/>
      </c>
    </row>
    <row r="67" spans="18:19">
      <c r="R67" t="str">
        <v/>
      </c>
      <c r="S67" t="str">
        <v/>
      </c>
    </row>
    <row r="68" spans="18:19">
      <c r="R68" t="str">
        <v/>
      </c>
      <c r="S68" t="str">
        <v/>
      </c>
    </row>
    <row r="69" spans="18:19">
      <c r="R69" t="str">
        <v/>
      </c>
      <c r="S69" t="str">
        <v/>
      </c>
    </row>
    <row r="70" spans="18:19">
      <c r="R70" t="str">
        <v/>
      </c>
      <c r="S70" t="str">
        <v/>
      </c>
    </row>
    <row r="71" spans="18:19">
      <c r="R71" t="str">
        <v/>
      </c>
      <c r="S71" t="str">
        <v/>
      </c>
    </row>
    <row r="72" spans="18:19">
      <c r="R72" t="str">
        <v/>
      </c>
      <c r="S72" t="str">
        <v/>
      </c>
    </row>
    <row r="73" spans="18:19">
      <c r="R73" t="str">
        <v/>
      </c>
      <c r="S73" t="str">
        <v/>
      </c>
    </row>
    <row r="74" spans="18:19">
      <c r="R74" t="str">
        <v/>
      </c>
      <c r="S74" t="str">
        <v/>
      </c>
    </row>
    <row r="75" spans="18:19">
      <c r="R75" t="str">
        <v/>
      </c>
      <c r="S75" t="str">
        <v/>
      </c>
    </row>
    <row r="76" spans="18:19">
      <c r="R76" t="str">
        <v/>
      </c>
      <c r="S76" t="str">
        <v/>
      </c>
    </row>
    <row r="77" spans="18:19">
      <c r="R77" t="str">
        <v/>
      </c>
      <c r="S77" t="str">
        <v/>
      </c>
    </row>
    <row r="78" spans="18:19">
      <c r="R78" t="str">
        <v/>
      </c>
      <c r="S78" t="str">
        <v/>
      </c>
    </row>
    <row r="79" spans="18:19">
      <c r="R79" t="str">
        <v/>
      </c>
      <c r="S79" t="str">
        <v/>
      </c>
    </row>
    <row r="80" spans="18:19">
      <c r="R80" t="str">
        <v/>
      </c>
      <c r="S80" t="str">
        <v/>
      </c>
    </row>
    <row r="81" spans="18:19">
      <c r="R81" t="str">
        <v/>
      </c>
      <c r="S81" t="str">
        <v/>
      </c>
    </row>
    <row r="82" spans="18:19">
      <c r="R82" t="str">
        <v/>
      </c>
      <c r="S82" t="str">
        <v/>
      </c>
    </row>
    <row r="83" spans="18:19">
      <c r="R83" t="str">
        <v/>
      </c>
      <c r="S83" t="str">
        <v/>
      </c>
    </row>
    <row r="84" spans="18:19">
      <c r="R84" t="str">
        <v/>
      </c>
      <c r="S84" t="str">
        <v/>
      </c>
    </row>
    <row r="85" spans="18:19">
      <c r="R85" t="str">
        <v/>
      </c>
      <c r="S85" t="str">
        <v/>
      </c>
    </row>
    <row r="86" spans="18:19">
      <c r="R86" t="str">
        <v/>
      </c>
      <c r="S86" t="str">
        <v/>
      </c>
    </row>
    <row r="87" spans="18:19">
      <c r="R87" t="str">
        <v/>
      </c>
      <c r="S87" t="str">
        <v/>
      </c>
    </row>
    <row r="88" spans="18:19">
      <c r="R88" t="str">
        <v/>
      </c>
      <c r="S88" t="str">
        <v/>
      </c>
    </row>
    <row r="89" spans="18:19">
      <c r="R89" t="str">
        <v/>
      </c>
      <c r="S89" t="str">
        <v/>
      </c>
    </row>
    <row r="90" spans="18:19">
      <c r="R90" t="str">
        <v/>
      </c>
      <c r="S90" t="str">
        <v/>
      </c>
    </row>
    <row r="91" spans="18:19">
      <c r="R91" t="str">
        <v/>
      </c>
      <c r="S91" t="str">
        <v/>
      </c>
    </row>
    <row r="92" spans="18:19">
      <c r="R92" t="str">
        <v/>
      </c>
      <c r="S92" t="str">
        <v/>
      </c>
    </row>
    <row r="93" spans="18:19">
      <c r="R93" t="str">
        <v/>
      </c>
      <c r="S93" t="str">
        <v/>
      </c>
    </row>
    <row r="94" spans="18:19">
      <c r="R94" t="str">
        <v/>
      </c>
      <c r="S94" t="str">
        <v/>
      </c>
    </row>
    <row r="95" spans="18:19">
      <c r="R95" t="str">
        <v/>
      </c>
      <c r="S95" t="str">
        <v/>
      </c>
    </row>
    <row r="96" spans="18:19">
      <c r="R96" t="str">
        <v/>
      </c>
      <c r="S96" t="str">
        <v/>
      </c>
    </row>
    <row r="97" spans="18:19">
      <c r="R97" t="str">
        <v/>
      </c>
      <c r="S97" t="str">
        <v/>
      </c>
    </row>
    <row r="98" spans="18:19">
      <c r="R98" t="str">
        <v/>
      </c>
      <c r="S98" t="str">
        <v/>
      </c>
    </row>
    <row r="99" spans="18:19">
      <c r="R99" t="str">
        <v/>
      </c>
      <c r="S99" t="str">
        <v/>
      </c>
    </row>
    <row r="100" spans="18:19">
      <c r="R100" t="str">
        <v/>
      </c>
      <c r="S100" t="str">
        <v/>
      </c>
    </row>
    <row r="101" spans="18:19">
      <c r="R101" t="str">
        <v/>
      </c>
      <c r="S101" t="str">
        <v/>
      </c>
    </row>
    <row r="102" spans="18:19">
      <c r="R102" t="str">
        <v/>
      </c>
      <c r="S102" t="str">
        <v/>
      </c>
    </row>
    <row r="103" spans="18:19">
      <c r="R103" t="str">
        <v/>
      </c>
      <c r="S103" t="str">
        <v/>
      </c>
    </row>
    <row r="104" spans="18:19">
      <c r="R104" t="str">
        <v/>
      </c>
      <c r="S104" t="str">
        <v/>
      </c>
    </row>
    <row r="105" spans="18:19">
      <c r="R105" t="str">
        <v/>
      </c>
      <c r="S105" t="str">
        <v/>
      </c>
    </row>
    <row r="106" spans="18:19">
      <c r="R106" t="str">
        <v/>
      </c>
      <c r="S106" t="str">
        <v/>
      </c>
    </row>
    <row r="107" spans="18:19">
      <c r="R107" t="str">
        <v/>
      </c>
      <c r="S107" t="str">
        <v/>
      </c>
    </row>
    <row r="108" spans="18:19">
      <c r="R108" t="str">
        <v/>
      </c>
      <c r="S108" t="str">
        <v/>
      </c>
    </row>
    <row r="109" spans="18:19">
      <c r="R109" t="str">
        <v/>
      </c>
      <c r="S109" t="str">
        <v/>
      </c>
    </row>
    <row r="110" spans="18:19">
      <c r="R110" t="str">
        <v/>
      </c>
      <c r="S110" t="str">
        <v/>
      </c>
    </row>
    <row r="111" spans="18:19">
      <c r="R111" t="str">
        <v/>
      </c>
      <c r="S111" t="str">
        <v/>
      </c>
    </row>
    <row r="112" spans="18:19">
      <c r="R112" t="str">
        <v/>
      </c>
      <c r="S112" t="str">
        <v/>
      </c>
    </row>
    <row r="113" spans="18:19">
      <c r="R113" t="str">
        <v/>
      </c>
      <c r="S113" t="str">
        <v/>
      </c>
    </row>
    <row r="114" spans="18:19">
      <c r="R114" t="str">
        <v/>
      </c>
      <c r="S114" t="str">
        <v/>
      </c>
    </row>
    <row r="115" spans="18:19">
      <c r="R115" t="str">
        <v/>
      </c>
      <c r="S115" t="str">
        <v/>
      </c>
    </row>
    <row r="116" spans="18:19">
      <c r="R116" t="str">
        <v/>
      </c>
      <c r="S116" t="str">
        <v/>
      </c>
    </row>
    <row r="117" spans="18:19">
      <c r="R117" t="str">
        <v/>
      </c>
      <c r="S117" t="str">
        <v/>
      </c>
    </row>
    <row r="118" spans="18:19">
      <c r="R118" t="str">
        <v/>
      </c>
      <c r="S118" t="str">
        <v/>
      </c>
    </row>
    <row r="119" spans="18:19">
      <c r="R119" t="str">
        <v/>
      </c>
      <c r="S119" t="str">
        <v/>
      </c>
    </row>
    <row r="120" spans="18:19">
      <c r="R120" t="str">
        <v/>
      </c>
      <c r="S120" t="str">
        <v/>
      </c>
    </row>
    <row r="121" spans="18:19">
      <c r="R121" t="str">
        <v/>
      </c>
      <c r="S121" t="str">
        <v/>
      </c>
    </row>
    <row r="122" spans="18:19">
      <c r="R122" t="str">
        <v/>
      </c>
      <c r="S122" t="str">
        <v/>
      </c>
    </row>
    <row r="123" spans="18:19">
      <c r="R123" t="str">
        <v/>
      </c>
      <c r="S123" t="str">
        <v/>
      </c>
    </row>
    <row r="124" spans="18:19">
      <c r="R124" t="str">
        <v/>
      </c>
      <c r="S124" t="str">
        <v/>
      </c>
    </row>
    <row r="125" spans="18:19">
      <c r="R125" t="str">
        <v/>
      </c>
      <c r="S125" t="str">
        <v/>
      </c>
    </row>
    <row r="126" spans="18:19">
      <c r="R126" t="str">
        <v/>
      </c>
      <c r="S126" t="str">
        <v/>
      </c>
    </row>
    <row r="127" spans="18:19">
      <c r="R127" t="str">
        <v/>
      </c>
      <c r="S127" t="str">
        <v/>
      </c>
    </row>
    <row r="128" spans="18:19">
      <c r="R128" t="str">
        <v/>
      </c>
      <c r="S128" t="str">
        <v/>
      </c>
    </row>
    <row r="129" spans="18:19">
      <c r="R129" t="str">
        <v/>
      </c>
      <c r="S129" t="str">
        <v/>
      </c>
    </row>
    <row r="130" spans="18:19">
      <c r="R130" t="str">
        <v/>
      </c>
      <c r="S130" t="str">
        <v/>
      </c>
    </row>
    <row r="131" spans="18:19">
      <c r="R131" t="str">
        <v/>
      </c>
      <c r="S131" t="str">
        <v/>
      </c>
    </row>
    <row r="132" spans="18:19">
      <c r="R132" t="str">
        <v/>
      </c>
      <c r="S132" t="str">
        <v/>
      </c>
    </row>
    <row r="133" spans="18:19">
      <c r="R133" t="str">
        <v/>
      </c>
      <c r="S133" t="str">
        <v/>
      </c>
    </row>
    <row r="134" spans="18:19">
      <c r="R134" t="str">
        <v/>
      </c>
      <c r="S134" t="str">
        <v/>
      </c>
    </row>
    <row r="135" spans="18:19">
      <c r="R135" t="str">
        <v/>
      </c>
      <c r="S135" t="str">
        <v/>
      </c>
    </row>
    <row r="136" spans="18:19">
      <c r="R136" t="str">
        <v/>
      </c>
      <c r="S136" t="str">
        <v/>
      </c>
    </row>
    <row r="137" spans="18:19">
      <c r="R137" t="str">
        <v/>
      </c>
      <c r="S137" t="str">
        <v/>
      </c>
    </row>
    <row r="138" spans="18:19">
      <c r="R138" t="str">
        <v/>
      </c>
      <c r="S138" t="str">
        <v/>
      </c>
    </row>
    <row r="139" spans="18:19">
      <c r="R139" t="str">
        <v/>
      </c>
      <c r="S139" t="str">
        <v/>
      </c>
    </row>
    <row r="140" spans="18:19">
      <c r="R140" t="str">
        <v/>
      </c>
      <c r="S140" t="str">
        <v/>
      </c>
    </row>
    <row r="141" spans="18:19">
      <c r="R141" t="str">
        <v/>
      </c>
      <c r="S141" t="str">
        <v/>
      </c>
    </row>
    <row r="142" spans="18:19">
      <c r="R142" t="str">
        <v/>
      </c>
      <c r="S142" t="str">
        <v/>
      </c>
    </row>
    <row r="143" spans="18:19">
      <c r="R143" t="str">
        <v/>
      </c>
      <c r="S143" t="str">
        <v/>
      </c>
    </row>
    <row r="144" spans="18:19">
      <c r="R144" t="str">
        <v/>
      </c>
      <c r="S144" t="str">
        <v/>
      </c>
    </row>
    <row r="145" spans="18:19">
      <c r="R145" t="str">
        <v/>
      </c>
      <c r="S145" t="str">
        <v/>
      </c>
    </row>
    <row r="146" spans="18:19">
      <c r="R146" t="str">
        <v/>
      </c>
      <c r="S146" t="str">
        <v/>
      </c>
    </row>
    <row r="147" spans="18:19">
      <c r="R147" t="str">
        <v/>
      </c>
      <c r="S147" t="str">
        <v/>
      </c>
    </row>
    <row r="148" spans="18:19">
      <c r="R148" t="str">
        <v/>
      </c>
      <c r="S148" t="str">
        <v/>
      </c>
    </row>
    <row r="149" spans="18:19">
      <c r="R149" t="str">
        <v/>
      </c>
      <c r="S149" t="str">
        <v/>
      </c>
    </row>
    <row r="150" spans="18:19">
      <c r="R150" t="str">
        <v/>
      </c>
      <c r="S150" t="str">
        <v/>
      </c>
    </row>
    <row r="151" spans="18:19">
      <c r="R151" t="str">
        <v/>
      </c>
      <c r="S151" t="str">
        <v/>
      </c>
    </row>
    <row r="152" spans="18:19">
      <c r="R152" t="str">
        <v/>
      </c>
      <c r="S152" t="str">
        <v/>
      </c>
    </row>
    <row r="153" spans="18:19">
      <c r="R153" t="str">
        <v/>
      </c>
      <c r="S153" t="str">
        <v/>
      </c>
    </row>
    <row r="154" spans="18:19">
      <c r="R154" t="str">
        <v/>
      </c>
      <c r="S154" t="str">
        <v/>
      </c>
    </row>
    <row r="155" spans="18:19">
      <c r="R155" t="str">
        <v/>
      </c>
      <c r="S155" t="str">
        <v/>
      </c>
    </row>
    <row r="156" spans="18:19">
      <c r="R156" t="str">
        <v/>
      </c>
      <c r="S156" t="str">
        <v/>
      </c>
    </row>
    <row r="157" spans="18:19">
      <c r="R157" t="str">
        <v/>
      </c>
      <c r="S157" t="str">
        <v/>
      </c>
    </row>
    <row r="158" spans="18:19">
      <c r="R158" t="str">
        <v/>
      </c>
      <c r="S158" t="str">
        <v/>
      </c>
    </row>
    <row r="159" spans="18:19">
      <c r="R159" t="str">
        <v/>
      </c>
      <c r="S159" t="str">
        <v/>
      </c>
    </row>
    <row r="160" spans="18:19">
      <c r="R160" t="str">
        <v/>
      </c>
      <c r="S160" t="str">
        <v/>
      </c>
    </row>
    <row r="161" spans="18:19">
      <c r="R161" t="str">
        <v/>
      </c>
      <c r="S161" t="str">
        <v/>
      </c>
    </row>
    <row r="162" spans="18:19">
      <c r="R162" t="str">
        <v/>
      </c>
      <c r="S162" t="str">
        <v/>
      </c>
    </row>
    <row r="163" spans="18:19">
      <c r="R163" t="str">
        <v/>
      </c>
      <c r="S163" t="str">
        <v/>
      </c>
    </row>
    <row r="164" spans="18:19">
      <c r="R164" t="str">
        <v/>
      </c>
      <c r="S164" t="str">
        <v/>
      </c>
    </row>
    <row r="165" spans="18:19">
      <c r="R165" t="str">
        <v/>
      </c>
      <c r="S165" t="str">
        <v/>
      </c>
    </row>
    <row r="166" spans="18:19">
      <c r="R166" t="str">
        <v/>
      </c>
      <c r="S166" t="str">
        <v/>
      </c>
    </row>
    <row r="167" spans="18:19">
      <c r="R167" t="str">
        <v/>
      </c>
      <c r="S167" t="str">
        <v/>
      </c>
    </row>
    <row r="168" spans="18:19">
      <c r="R168" t="str">
        <v/>
      </c>
      <c r="S168" t="str">
        <v/>
      </c>
    </row>
    <row r="169" spans="18:19">
      <c r="R169" t="str">
        <v/>
      </c>
      <c r="S169" t="str">
        <v/>
      </c>
    </row>
    <row r="170" spans="18:19">
      <c r="R170" t="str">
        <v/>
      </c>
      <c r="S170" t="str">
        <v/>
      </c>
    </row>
    <row r="171" spans="18:19">
      <c r="R171" t="str">
        <v/>
      </c>
      <c r="S171" t="str">
        <v/>
      </c>
    </row>
    <row r="172" spans="18:19">
      <c r="R172" t="str">
        <v/>
      </c>
      <c r="S172" t="str">
        <v/>
      </c>
    </row>
    <row r="173" spans="18:19">
      <c r="R173" t="str">
        <v/>
      </c>
      <c r="S173" t="str">
        <v/>
      </c>
    </row>
    <row r="174" spans="18:19">
      <c r="R174" t="str">
        <v/>
      </c>
      <c r="S174" t="str">
        <v/>
      </c>
    </row>
    <row r="175" spans="18:19">
      <c r="R175" t="str">
        <v/>
      </c>
      <c r="S175" t="str">
        <v/>
      </c>
    </row>
    <row r="176" spans="18:19">
      <c r="R176" t="str">
        <v/>
      </c>
      <c r="S176" t="str">
        <v/>
      </c>
    </row>
    <row r="177" spans="18:19">
      <c r="R177" t="str">
        <v/>
      </c>
      <c r="S177" t="str">
        <v/>
      </c>
    </row>
    <row r="178" spans="18:19">
      <c r="R178" t="str">
        <v/>
      </c>
      <c r="S178" t="str">
        <v/>
      </c>
    </row>
    <row r="179" spans="18:19">
      <c r="R179" t="str">
        <v/>
      </c>
      <c r="S179" t="str">
        <v/>
      </c>
    </row>
    <row r="180" spans="18:19">
      <c r="R180" t="str">
        <v/>
      </c>
      <c r="S180" t="str">
        <v/>
      </c>
    </row>
    <row r="181" spans="18:19">
      <c r="R181" t="str">
        <v/>
      </c>
      <c r="S181" t="str">
        <v/>
      </c>
    </row>
    <row r="182" spans="18:19">
      <c r="R182" t="str">
        <v/>
      </c>
      <c r="S182" t="str">
        <v/>
      </c>
    </row>
    <row r="183" spans="18:19">
      <c r="R183" t="str">
        <v/>
      </c>
      <c r="S183" t="str">
        <v/>
      </c>
    </row>
    <row r="184" spans="18:19">
      <c r="R184" t="str">
        <v/>
      </c>
      <c r="S184" t="str">
        <v/>
      </c>
    </row>
    <row r="185" spans="18:19">
      <c r="R185" t="str">
        <v/>
      </c>
      <c r="S185" t="str">
        <v/>
      </c>
    </row>
    <row r="186" spans="18:19">
      <c r="R186" t="str">
        <v/>
      </c>
      <c r="S186" t="str">
        <v/>
      </c>
    </row>
    <row r="187" spans="18:19">
      <c r="R187" t="str">
        <v/>
      </c>
      <c r="S187" t="str">
        <v/>
      </c>
    </row>
    <row r="188" spans="18:19">
      <c r="R188" t="str">
        <v/>
      </c>
      <c r="S188" t="str">
        <v/>
      </c>
    </row>
    <row r="189" spans="18:19">
      <c r="R189" t="str">
        <v/>
      </c>
      <c r="S189" t="str">
        <v/>
      </c>
    </row>
    <row r="190" spans="18:19">
      <c r="R190" t="str">
        <v/>
      </c>
      <c r="S190" t="str">
        <v/>
      </c>
    </row>
    <row r="191" spans="18:19">
      <c r="R191" t="str">
        <v/>
      </c>
      <c r="S191" t="str">
        <v/>
      </c>
    </row>
    <row r="192" spans="18:19">
      <c r="R192" t="str">
        <v/>
      </c>
      <c r="S192" t="str">
        <v/>
      </c>
    </row>
    <row r="193" spans="18:19">
      <c r="R193" t="str">
        <v/>
      </c>
      <c r="S193" t="str">
        <v/>
      </c>
    </row>
    <row r="194" spans="18:19">
      <c r="R194" t="str">
        <v/>
      </c>
      <c r="S194" t="str">
        <v/>
      </c>
    </row>
    <row r="195" spans="18:19">
      <c r="R195" t="str">
        <v/>
      </c>
      <c r="S195" t="str">
        <v/>
      </c>
    </row>
    <row r="196" spans="18:19">
      <c r="R196" t="str">
        <v/>
      </c>
      <c r="S196" t="str">
        <v/>
      </c>
    </row>
    <row r="197" spans="18:19">
      <c r="R197" t="str">
        <v/>
      </c>
      <c r="S197" t="str">
        <v/>
      </c>
    </row>
    <row r="198" spans="18:19">
      <c r="R198" t="str">
        <v/>
      </c>
      <c r="S198" t="str">
        <v/>
      </c>
    </row>
    <row r="199" spans="18:19">
      <c r="R199" t="str">
        <v/>
      </c>
      <c r="S199" t="str">
        <v/>
      </c>
    </row>
    <row r="200" spans="18:19">
      <c r="R200" t="str">
        <v/>
      </c>
      <c r="S200" t="str"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040E-BF95-4B1F-8A20-7E1F7459F3B5}">
  <dimension ref="B4:N59"/>
  <sheetViews>
    <sheetView showGridLines="0" topLeftCell="A15" workbookViewId="0">
      <selection activeCell="E13" sqref="E13"/>
    </sheetView>
  </sheetViews>
  <sheetFormatPr defaultRowHeight="15"/>
  <cols>
    <col min="2" max="2" width="11.7109375" bestFit="1" customWidth="1"/>
    <col min="3" max="3" width="24" customWidth="1"/>
    <col min="4" max="4" width="19.28515625" customWidth="1"/>
    <col min="5" max="5" width="43.28515625" customWidth="1"/>
    <col min="6" max="6" width="15.7109375" customWidth="1"/>
    <col min="7" max="7" width="26.5703125" customWidth="1"/>
    <col min="8" max="8" width="33" customWidth="1"/>
    <col min="9" max="9" width="10.42578125" customWidth="1"/>
    <col min="10" max="10" width="23.85546875" bestFit="1" customWidth="1"/>
    <col min="11" max="11" width="31.7109375" customWidth="1"/>
    <col min="12" max="12" width="17.140625" bestFit="1" customWidth="1"/>
    <col min="13" max="13" width="19.42578125" bestFit="1" customWidth="1"/>
    <col min="14" max="14" width="24.28515625" customWidth="1"/>
  </cols>
  <sheetData>
    <row r="4" spans="2:14" ht="39" customHeight="1">
      <c r="H4" s="419" t="s">
        <v>2755</v>
      </c>
      <c r="I4" s="419"/>
      <c r="J4" s="419"/>
    </row>
    <row r="6" spans="2:14">
      <c r="C6" s="27"/>
      <c r="D6" s="27"/>
    </row>
    <row r="7" spans="2:14">
      <c r="B7" s="55" t="s">
        <v>2756</v>
      </c>
      <c r="C7" s="55" t="s">
        <v>57</v>
      </c>
      <c r="D7" s="55" t="s">
        <v>2757</v>
      </c>
      <c r="E7" s="56" t="s">
        <v>2758</v>
      </c>
      <c r="F7" s="57" t="s">
        <v>40</v>
      </c>
      <c r="G7" s="56" t="s">
        <v>2759</v>
      </c>
      <c r="H7" s="56" t="s">
        <v>2760</v>
      </c>
      <c r="I7" s="56" t="s">
        <v>71</v>
      </c>
      <c r="J7" s="57" t="s">
        <v>2761</v>
      </c>
      <c r="K7" s="56" t="s">
        <v>2762</v>
      </c>
      <c r="L7" s="56" t="s">
        <v>2763</v>
      </c>
      <c r="M7" s="56" t="s">
        <v>2764</v>
      </c>
      <c r="N7" s="58" t="s">
        <v>2765</v>
      </c>
    </row>
    <row r="8" spans="2:14">
      <c r="B8" s="51" t="s">
        <v>2766</v>
      </c>
      <c r="C8" s="30" t="s">
        <v>2767</v>
      </c>
      <c r="D8" s="30" t="s">
        <v>2768</v>
      </c>
      <c r="E8" s="35" t="s">
        <v>2117</v>
      </c>
      <c r="F8" s="43" t="s">
        <v>52</v>
      </c>
      <c r="G8" s="30" t="s">
        <v>2769</v>
      </c>
      <c r="H8" s="31" t="s">
        <v>2770</v>
      </c>
      <c r="I8" s="35">
        <v>8</v>
      </c>
      <c r="J8" s="36" t="s">
        <v>41</v>
      </c>
      <c r="K8" s="24" t="s">
        <v>2771</v>
      </c>
      <c r="L8" s="31">
        <v>50</v>
      </c>
      <c r="M8" s="35">
        <v>55</v>
      </c>
      <c r="N8" s="53" t="s">
        <v>2772</v>
      </c>
    </row>
    <row r="9" spans="2:14">
      <c r="B9" s="51" t="s">
        <v>2766</v>
      </c>
      <c r="C9" s="30" t="s">
        <v>2773</v>
      </c>
      <c r="D9" s="30" t="s">
        <v>2774</v>
      </c>
      <c r="E9" s="35" t="s">
        <v>2775</v>
      </c>
      <c r="F9" s="43" t="s">
        <v>52</v>
      </c>
      <c r="G9" s="30" t="s">
        <v>2769</v>
      </c>
      <c r="H9" s="31" t="s">
        <v>2776</v>
      </c>
      <c r="I9" s="35">
        <v>4</v>
      </c>
      <c r="J9" s="36" t="s">
        <v>41</v>
      </c>
      <c r="K9" s="30" t="s">
        <v>492</v>
      </c>
      <c r="L9" s="31">
        <v>30</v>
      </c>
      <c r="M9" s="31">
        <v>25</v>
      </c>
      <c r="N9" s="53" t="s">
        <v>2777</v>
      </c>
    </row>
    <row r="10" spans="2:14" ht="29.25" customHeight="1">
      <c r="B10" s="51" t="s">
        <v>2766</v>
      </c>
      <c r="C10" s="30" t="s">
        <v>2778</v>
      </c>
      <c r="D10" s="30" t="s">
        <v>2768</v>
      </c>
      <c r="E10" s="44" t="s">
        <v>2665</v>
      </c>
      <c r="F10" s="43" t="s">
        <v>52</v>
      </c>
      <c r="G10" s="30" t="s">
        <v>2769</v>
      </c>
      <c r="H10" s="39" t="s">
        <v>2779</v>
      </c>
      <c r="I10" s="35">
        <v>42</v>
      </c>
      <c r="J10" s="36" t="s">
        <v>45</v>
      </c>
      <c r="K10" s="30" t="s">
        <v>2667</v>
      </c>
      <c r="L10" s="31">
        <v>30</v>
      </c>
      <c r="M10" s="31">
        <v>23</v>
      </c>
      <c r="N10" s="53" t="s">
        <v>2780</v>
      </c>
    </row>
    <row r="11" spans="2:14" ht="45">
      <c r="B11" s="51" t="s">
        <v>2766</v>
      </c>
      <c r="C11" s="30" t="s">
        <v>2781</v>
      </c>
      <c r="D11" s="30" t="s">
        <v>2768</v>
      </c>
      <c r="E11" s="44" t="s">
        <v>2670</v>
      </c>
      <c r="F11" s="43" t="s">
        <v>52</v>
      </c>
      <c r="G11" s="30" t="s">
        <v>2769</v>
      </c>
      <c r="H11" s="31" t="s">
        <v>2782</v>
      </c>
      <c r="I11" s="35">
        <v>12</v>
      </c>
      <c r="J11" s="36" t="s">
        <v>41</v>
      </c>
      <c r="K11" s="30" t="s">
        <v>2783</v>
      </c>
      <c r="L11" s="31">
        <v>20</v>
      </c>
      <c r="M11" s="31">
        <v>44</v>
      </c>
      <c r="N11" s="53" t="s">
        <v>2784</v>
      </c>
    </row>
    <row r="12" spans="2:14">
      <c r="B12" s="51" t="s">
        <v>2766</v>
      </c>
      <c r="C12" s="30" t="s">
        <v>2785</v>
      </c>
      <c r="D12" s="30" t="s">
        <v>2768</v>
      </c>
      <c r="E12" s="35" t="s">
        <v>2675</v>
      </c>
      <c r="F12" s="43" t="s">
        <v>52</v>
      </c>
      <c r="G12" s="30" t="s">
        <v>2769</v>
      </c>
      <c r="H12" s="31" t="s">
        <v>2786</v>
      </c>
      <c r="I12" s="35">
        <v>16</v>
      </c>
      <c r="J12" s="36" t="s">
        <v>41</v>
      </c>
      <c r="K12" s="30" t="s">
        <v>2678</v>
      </c>
      <c r="L12" s="31">
        <v>20</v>
      </c>
      <c r="M12" s="31">
        <v>18</v>
      </c>
      <c r="N12" s="53" t="s">
        <v>2780</v>
      </c>
    </row>
    <row r="13" spans="2:14" ht="45">
      <c r="B13" s="51" t="s">
        <v>2766</v>
      </c>
      <c r="C13" s="30" t="s">
        <v>2787</v>
      </c>
      <c r="D13" s="30" t="s">
        <v>2768</v>
      </c>
      <c r="E13" s="44" t="s">
        <v>2788</v>
      </c>
      <c r="F13" s="43" t="s">
        <v>52</v>
      </c>
      <c r="G13" s="30" t="s">
        <v>2769</v>
      </c>
      <c r="H13" s="31" t="s">
        <v>2789</v>
      </c>
      <c r="I13" s="35">
        <v>12</v>
      </c>
      <c r="J13" s="36" t="s">
        <v>41</v>
      </c>
      <c r="K13" s="49" t="s">
        <v>2790</v>
      </c>
      <c r="L13" s="31">
        <v>20</v>
      </c>
      <c r="M13" s="31">
        <v>20</v>
      </c>
      <c r="N13" s="53" t="s">
        <v>2784</v>
      </c>
    </row>
    <row r="14" spans="2:14" ht="30">
      <c r="B14" s="51" t="s">
        <v>2766</v>
      </c>
      <c r="C14" s="45" t="s">
        <v>2791</v>
      </c>
      <c r="D14" s="30" t="s">
        <v>2768</v>
      </c>
      <c r="E14" s="44" t="s">
        <v>2685</v>
      </c>
      <c r="F14" s="43" t="s">
        <v>52</v>
      </c>
      <c r="G14" s="30" t="s">
        <v>2792</v>
      </c>
      <c r="H14" s="31" t="s">
        <v>2793</v>
      </c>
      <c r="I14" s="35">
        <v>20</v>
      </c>
      <c r="J14" s="36" t="s">
        <v>41</v>
      </c>
      <c r="K14" s="30" t="s">
        <v>2794</v>
      </c>
      <c r="L14" s="31">
        <v>20</v>
      </c>
      <c r="M14" s="31">
        <v>19</v>
      </c>
      <c r="N14" s="53" t="s">
        <v>2780</v>
      </c>
    </row>
    <row r="15" spans="2:14" ht="30">
      <c r="B15" s="51" t="s">
        <v>2766</v>
      </c>
      <c r="C15" s="30" t="s">
        <v>2795</v>
      </c>
      <c r="D15" s="40" t="s">
        <v>2768</v>
      </c>
      <c r="E15" s="42" t="s">
        <v>2796</v>
      </c>
      <c r="F15" s="43" t="s">
        <v>52</v>
      </c>
      <c r="G15" s="47" t="s">
        <v>2797</v>
      </c>
      <c r="H15" s="41" t="s">
        <v>2798</v>
      </c>
      <c r="I15" s="42">
        <v>20</v>
      </c>
      <c r="J15" s="36" t="s">
        <v>41</v>
      </c>
      <c r="K15" s="46" t="s">
        <v>2691</v>
      </c>
      <c r="L15" s="41">
        <v>33</v>
      </c>
      <c r="M15" s="41">
        <v>33</v>
      </c>
      <c r="N15" s="53" t="s">
        <v>2772</v>
      </c>
    </row>
    <row r="16" spans="2:14" ht="30">
      <c r="B16" s="51" t="s">
        <v>2766</v>
      </c>
      <c r="C16" s="30" t="s">
        <v>2693</v>
      </c>
      <c r="D16" s="30" t="s">
        <v>2768</v>
      </c>
      <c r="E16" s="35" t="s">
        <v>2799</v>
      </c>
      <c r="F16" s="43" t="s">
        <v>52</v>
      </c>
      <c r="G16" s="47" t="s">
        <v>2797</v>
      </c>
      <c r="H16" s="31" t="s">
        <v>2800</v>
      </c>
      <c r="I16" s="35">
        <v>8</v>
      </c>
      <c r="J16" s="36" t="s">
        <v>41</v>
      </c>
      <c r="K16" s="40" t="s">
        <v>2801</v>
      </c>
      <c r="L16" s="31">
        <v>20</v>
      </c>
      <c r="M16" s="31">
        <v>20</v>
      </c>
      <c r="N16" s="53" t="s">
        <v>2772</v>
      </c>
    </row>
    <row r="17" spans="2:14" ht="30">
      <c r="B17" s="51" t="s">
        <v>2766</v>
      </c>
      <c r="C17" s="45" t="s">
        <v>2791</v>
      </c>
      <c r="D17" s="30" t="s">
        <v>2768</v>
      </c>
      <c r="E17" s="44" t="s">
        <v>2699</v>
      </c>
      <c r="F17" s="43" t="s">
        <v>52</v>
      </c>
      <c r="G17" s="47" t="s">
        <v>2802</v>
      </c>
      <c r="H17" s="21" t="s">
        <v>2803</v>
      </c>
      <c r="I17" s="35">
        <v>20</v>
      </c>
      <c r="J17" s="36" t="s">
        <v>41</v>
      </c>
      <c r="K17" s="30" t="s">
        <v>2794</v>
      </c>
      <c r="L17" s="31">
        <v>20</v>
      </c>
      <c r="M17" s="31">
        <v>19</v>
      </c>
      <c r="N17" s="53" t="s">
        <v>2780</v>
      </c>
    </row>
    <row r="18" spans="2:14">
      <c r="B18" s="52" t="s">
        <v>2766</v>
      </c>
      <c r="C18" s="30" t="s">
        <v>2804</v>
      </c>
      <c r="D18" s="30" t="s">
        <v>2768</v>
      </c>
      <c r="E18" s="35" t="s">
        <v>2805</v>
      </c>
      <c r="F18" s="43" t="s">
        <v>52</v>
      </c>
      <c r="G18" s="30" t="s">
        <v>2806</v>
      </c>
      <c r="H18" s="31" t="s">
        <v>2807</v>
      </c>
      <c r="I18" s="35">
        <v>4</v>
      </c>
      <c r="J18" s="36" t="s">
        <v>45</v>
      </c>
      <c r="K18" s="30" t="s">
        <v>492</v>
      </c>
      <c r="L18" s="31">
        <v>170</v>
      </c>
      <c r="M18" s="31">
        <v>140</v>
      </c>
      <c r="N18" s="53" t="s">
        <v>2808</v>
      </c>
    </row>
    <row r="19" spans="2:14" ht="30">
      <c r="B19" s="52" t="s">
        <v>2766</v>
      </c>
      <c r="C19" s="30" t="s">
        <v>2809</v>
      </c>
      <c r="D19" s="30" t="s">
        <v>2768</v>
      </c>
      <c r="E19" s="35" t="s">
        <v>2810</v>
      </c>
      <c r="F19" s="43" t="s">
        <v>47</v>
      </c>
      <c r="G19" s="47" t="s">
        <v>2802</v>
      </c>
      <c r="H19" s="31" t="s">
        <v>2811</v>
      </c>
      <c r="I19" s="35">
        <v>14</v>
      </c>
      <c r="J19" s="36" t="s">
        <v>45</v>
      </c>
      <c r="K19" s="30" t="s">
        <v>492</v>
      </c>
      <c r="L19" s="31"/>
      <c r="M19" s="31">
        <v>180</v>
      </c>
      <c r="N19" s="53" t="s">
        <v>2812</v>
      </c>
    </row>
    <row r="20" spans="2:14" ht="45">
      <c r="B20" s="30" t="s">
        <v>2813</v>
      </c>
      <c r="C20" s="30" t="s">
        <v>2814</v>
      </c>
      <c r="D20" s="30" t="s">
        <v>2768</v>
      </c>
      <c r="E20" s="44" t="s">
        <v>2815</v>
      </c>
      <c r="F20" s="34" t="s">
        <v>43</v>
      </c>
      <c r="G20" s="30" t="s">
        <v>2816</v>
      </c>
      <c r="H20" s="31" t="s">
        <v>2817</v>
      </c>
      <c r="I20" s="35">
        <v>12</v>
      </c>
      <c r="J20" s="36" t="s">
        <v>41</v>
      </c>
      <c r="K20" s="50" t="s">
        <v>2790</v>
      </c>
      <c r="L20" s="31">
        <v>20</v>
      </c>
      <c r="M20" s="31"/>
      <c r="N20" s="53" t="s">
        <v>2784</v>
      </c>
    </row>
    <row r="21" spans="2:14">
      <c r="B21" s="30" t="s">
        <v>2813</v>
      </c>
      <c r="C21" s="30"/>
      <c r="D21" s="30" t="s">
        <v>2774</v>
      </c>
      <c r="E21" s="35" t="s">
        <v>2818</v>
      </c>
      <c r="F21" s="34" t="s">
        <v>43</v>
      </c>
      <c r="G21" s="30"/>
      <c r="H21" s="31" t="s">
        <v>2819</v>
      </c>
      <c r="I21" s="35">
        <v>4</v>
      </c>
      <c r="J21" s="36" t="s">
        <v>41</v>
      </c>
      <c r="K21" s="30" t="s">
        <v>492</v>
      </c>
      <c r="L21" s="31"/>
      <c r="M21" s="31"/>
      <c r="N21" s="53" t="s">
        <v>2777</v>
      </c>
    </row>
    <row r="22" spans="2:14">
      <c r="B22" s="33" t="s">
        <v>2813</v>
      </c>
      <c r="C22" s="30" t="s">
        <v>2820</v>
      </c>
      <c r="D22" s="33" t="s">
        <v>2768</v>
      </c>
      <c r="E22" s="48" t="s">
        <v>2821</v>
      </c>
      <c r="F22" s="34" t="s">
        <v>43</v>
      </c>
      <c r="G22" s="30" t="s">
        <v>2822</v>
      </c>
      <c r="H22" s="32" t="s">
        <v>2823</v>
      </c>
      <c r="I22" s="37">
        <v>16</v>
      </c>
      <c r="J22" s="36" t="s">
        <v>45</v>
      </c>
      <c r="K22" s="33" t="s">
        <v>2824</v>
      </c>
      <c r="L22" s="31">
        <v>50</v>
      </c>
      <c r="M22" s="31"/>
      <c r="N22" s="53" t="s">
        <v>2784</v>
      </c>
    </row>
    <row r="23" spans="2:14">
      <c r="B23" s="51" t="s">
        <v>2813</v>
      </c>
      <c r="C23" s="30" t="s">
        <v>2693</v>
      </c>
      <c r="D23" s="30" t="s">
        <v>2768</v>
      </c>
      <c r="E23" s="35" t="s">
        <v>2825</v>
      </c>
      <c r="F23" s="34" t="s">
        <v>43</v>
      </c>
      <c r="G23" s="47" t="s">
        <v>2816</v>
      </c>
      <c r="H23" s="31" t="s">
        <v>2826</v>
      </c>
      <c r="I23" s="35">
        <v>8</v>
      </c>
      <c r="J23" s="36" t="s">
        <v>41</v>
      </c>
      <c r="K23" s="40" t="s">
        <v>2827</v>
      </c>
      <c r="L23" s="31">
        <v>20</v>
      </c>
      <c r="M23" s="31"/>
      <c r="N23" s="53" t="s">
        <v>2772</v>
      </c>
    </row>
    <row r="24" spans="2:14">
      <c r="B24" s="30" t="s">
        <v>2813</v>
      </c>
      <c r="C24" s="30" t="s">
        <v>2828</v>
      </c>
      <c r="D24" s="30" t="s">
        <v>2774</v>
      </c>
      <c r="E24" s="31" t="s">
        <v>2714</v>
      </c>
      <c r="F24" s="34" t="s">
        <v>43</v>
      </c>
      <c r="G24" s="31"/>
      <c r="H24" s="31" t="s">
        <v>2829</v>
      </c>
      <c r="I24" s="35" t="s">
        <v>2830</v>
      </c>
      <c r="J24" s="36"/>
      <c r="K24" s="30" t="s">
        <v>2830</v>
      </c>
      <c r="L24" s="31"/>
      <c r="M24" s="31"/>
      <c r="N24" s="53" t="s">
        <v>2777</v>
      </c>
    </row>
    <row r="25" spans="2:14">
      <c r="B25" s="30" t="s">
        <v>2813</v>
      </c>
      <c r="C25" s="30" t="s">
        <v>2831</v>
      </c>
      <c r="D25" s="30" t="s">
        <v>2774</v>
      </c>
      <c r="E25" s="31" t="s">
        <v>2832</v>
      </c>
      <c r="F25" s="34" t="s">
        <v>43</v>
      </c>
      <c r="G25" s="31"/>
      <c r="H25" s="31" t="s">
        <v>2833</v>
      </c>
      <c r="I25" s="35">
        <v>4</v>
      </c>
      <c r="J25" s="36"/>
      <c r="K25" s="30" t="s">
        <v>492</v>
      </c>
      <c r="L25" s="31">
        <v>80</v>
      </c>
      <c r="M25" s="31"/>
      <c r="N25" s="53" t="s">
        <v>2777</v>
      </c>
    </row>
    <row r="26" spans="2:14" ht="30">
      <c r="B26" s="30" t="s">
        <v>2813</v>
      </c>
      <c r="C26" s="30" t="s">
        <v>2834</v>
      </c>
      <c r="D26" s="30" t="s">
        <v>2768</v>
      </c>
      <c r="E26" s="39" t="s">
        <v>2723</v>
      </c>
      <c r="F26" s="34" t="s">
        <v>43</v>
      </c>
      <c r="G26" s="31" t="s">
        <v>2835</v>
      </c>
      <c r="H26" s="31" t="s">
        <v>2836</v>
      </c>
      <c r="I26" s="35"/>
      <c r="J26" s="36" t="s">
        <v>41</v>
      </c>
      <c r="K26" s="30" t="s">
        <v>2678</v>
      </c>
      <c r="L26" s="31">
        <v>15</v>
      </c>
      <c r="M26" s="31"/>
      <c r="N26" s="53" t="s">
        <v>2780</v>
      </c>
    </row>
    <row r="27" spans="2:14" ht="30">
      <c r="B27" s="30" t="s">
        <v>2813</v>
      </c>
      <c r="C27" s="30" t="s">
        <v>2834</v>
      </c>
      <c r="D27" s="30" t="s">
        <v>2768</v>
      </c>
      <c r="E27" s="39" t="s">
        <v>2732</v>
      </c>
      <c r="F27" s="34" t="s">
        <v>43</v>
      </c>
      <c r="G27" s="31" t="s">
        <v>2835</v>
      </c>
      <c r="H27" s="31" t="s">
        <v>2836</v>
      </c>
      <c r="I27" s="35">
        <v>16</v>
      </c>
      <c r="J27" s="36" t="s">
        <v>41</v>
      </c>
      <c r="K27" s="30" t="s">
        <v>2678</v>
      </c>
      <c r="L27" s="31">
        <v>15</v>
      </c>
      <c r="M27" s="31"/>
      <c r="N27" s="53" t="s">
        <v>2780</v>
      </c>
    </row>
    <row r="28" spans="2:14" ht="30">
      <c r="B28" s="30" t="s">
        <v>2813</v>
      </c>
      <c r="C28" s="30"/>
      <c r="D28" s="30" t="s">
        <v>2768</v>
      </c>
      <c r="E28" s="31" t="s">
        <v>2727</v>
      </c>
      <c r="F28" s="34" t="s">
        <v>43</v>
      </c>
      <c r="G28" s="31" t="s">
        <v>2837</v>
      </c>
      <c r="H28" s="31" t="s">
        <v>2838</v>
      </c>
      <c r="I28" s="31">
        <v>20</v>
      </c>
      <c r="J28" s="38" t="s">
        <v>41</v>
      </c>
      <c r="K28" s="39" t="s">
        <v>2839</v>
      </c>
      <c r="L28" s="31">
        <v>20</v>
      </c>
      <c r="M28" s="31"/>
      <c r="N28" s="53" t="s">
        <v>2772</v>
      </c>
    </row>
    <row r="29" spans="2:14">
      <c r="B29" s="30" t="s">
        <v>2813</v>
      </c>
      <c r="C29" s="30" t="s">
        <v>2831</v>
      </c>
      <c r="D29" s="30" t="s">
        <v>2774</v>
      </c>
      <c r="E29" s="31" t="s">
        <v>2832</v>
      </c>
      <c r="F29" s="34" t="s">
        <v>43</v>
      </c>
      <c r="G29" s="31"/>
      <c r="H29" s="31" t="s">
        <v>2840</v>
      </c>
      <c r="I29" s="35">
        <v>4</v>
      </c>
      <c r="J29" s="36" t="s">
        <v>41</v>
      </c>
      <c r="K29" s="30" t="s">
        <v>492</v>
      </c>
      <c r="L29" s="31">
        <v>80</v>
      </c>
      <c r="M29" s="31"/>
      <c r="N29" s="53" t="s">
        <v>2777</v>
      </c>
    </row>
    <row r="30" spans="2:14">
      <c r="B30" s="30" t="s">
        <v>2813</v>
      </c>
      <c r="C30" s="30" t="s">
        <v>2841</v>
      </c>
      <c r="D30" s="30" t="s">
        <v>2768</v>
      </c>
      <c r="E30" s="31" t="s">
        <v>2842</v>
      </c>
      <c r="F30" s="34" t="s">
        <v>43</v>
      </c>
      <c r="G30" s="31"/>
      <c r="H30" s="31" t="s">
        <v>2843</v>
      </c>
      <c r="I30" s="31">
        <v>1</v>
      </c>
      <c r="J30" s="36" t="s">
        <v>45</v>
      </c>
      <c r="K30" s="31" t="s">
        <v>2844</v>
      </c>
      <c r="L30" s="31"/>
      <c r="M30" s="31"/>
      <c r="N30" s="53" t="s">
        <v>2812</v>
      </c>
    </row>
    <row r="31" spans="2:14">
      <c r="B31" s="30" t="s">
        <v>2813</v>
      </c>
      <c r="C31" s="30" t="s">
        <v>2845</v>
      </c>
      <c r="D31" s="30" t="s">
        <v>2768</v>
      </c>
      <c r="E31" s="31" t="s">
        <v>2846</v>
      </c>
      <c r="F31" s="34" t="s">
        <v>43</v>
      </c>
      <c r="G31" s="31"/>
      <c r="H31" s="31" t="s">
        <v>2843</v>
      </c>
      <c r="I31" s="35">
        <v>1</v>
      </c>
      <c r="J31" s="36" t="s">
        <v>45</v>
      </c>
      <c r="K31" s="30" t="s">
        <v>2847</v>
      </c>
      <c r="L31" s="31"/>
      <c r="M31" s="31"/>
      <c r="N31" s="53" t="s">
        <v>2772</v>
      </c>
    </row>
    <row r="32" spans="2:14">
      <c r="B32" s="30" t="s">
        <v>2813</v>
      </c>
      <c r="C32" s="30" t="s">
        <v>2848</v>
      </c>
      <c r="D32" s="30" t="s">
        <v>2768</v>
      </c>
      <c r="E32" s="31" t="s">
        <v>2849</v>
      </c>
      <c r="F32" s="34" t="s">
        <v>43</v>
      </c>
      <c r="G32" s="31"/>
      <c r="H32" s="31" t="s">
        <v>2843</v>
      </c>
      <c r="I32" s="35">
        <v>1</v>
      </c>
      <c r="J32" s="36" t="s">
        <v>45</v>
      </c>
      <c r="K32" s="30" t="s">
        <v>2850</v>
      </c>
      <c r="L32" s="31"/>
      <c r="M32" s="31"/>
      <c r="N32" s="53" t="s">
        <v>2780</v>
      </c>
    </row>
    <row r="33" spans="2:14">
      <c r="B33" s="30" t="s">
        <v>2813</v>
      </c>
      <c r="C33" s="30" t="s">
        <v>2851</v>
      </c>
      <c r="D33" s="30" t="s">
        <v>2768</v>
      </c>
      <c r="E33" s="31" t="s">
        <v>2852</v>
      </c>
      <c r="F33" s="34" t="s">
        <v>43</v>
      </c>
      <c r="G33" s="31"/>
      <c r="H33" s="31" t="s">
        <v>2843</v>
      </c>
      <c r="I33" s="35">
        <v>1</v>
      </c>
      <c r="J33" s="36" t="s">
        <v>45</v>
      </c>
      <c r="K33" s="30" t="s">
        <v>2853</v>
      </c>
      <c r="L33" s="31"/>
      <c r="M33" s="31"/>
      <c r="N33" s="53" t="s">
        <v>2772</v>
      </c>
    </row>
    <row r="34" spans="2:14">
      <c r="B34" s="30" t="s">
        <v>2813</v>
      </c>
      <c r="C34" s="30" t="s">
        <v>2830</v>
      </c>
      <c r="D34" s="30" t="s">
        <v>2768</v>
      </c>
      <c r="E34" s="31" t="s">
        <v>2854</v>
      </c>
      <c r="F34" s="34" t="s">
        <v>43</v>
      </c>
      <c r="G34" s="31" t="s">
        <v>2855</v>
      </c>
      <c r="H34" s="31" t="s">
        <v>2856</v>
      </c>
      <c r="I34" s="31">
        <v>20</v>
      </c>
      <c r="J34" s="38" t="s">
        <v>41</v>
      </c>
      <c r="K34" s="39" t="s">
        <v>2857</v>
      </c>
      <c r="L34" s="31">
        <v>24</v>
      </c>
      <c r="M34" s="31"/>
      <c r="N34" s="53" t="s">
        <v>2772</v>
      </c>
    </row>
    <row r="35" spans="2:14">
      <c r="B35" s="30"/>
      <c r="C35" s="30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5"/>
    </row>
    <row r="36" spans="2:14">
      <c r="B36" s="29"/>
      <c r="C36" s="29"/>
      <c r="D36" s="29"/>
      <c r="E36" s="28"/>
      <c r="F36" s="28"/>
      <c r="G36" s="28"/>
      <c r="H36" s="28"/>
      <c r="I36" s="28"/>
      <c r="J36" s="28"/>
      <c r="K36" s="28"/>
      <c r="L36" s="28"/>
      <c r="M36" s="28"/>
      <c r="N36" s="54"/>
    </row>
    <row r="37" spans="2:14">
      <c r="B37" s="29"/>
      <c r="C37" s="29"/>
      <c r="D37" s="29"/>
      <c r="E37" s="28"/>
      <c r="F37" s="28"/>
      <c r="G37" s="28"/>
      <c r="H37" s="28"/>
      <c r="I37" s="28"/>
      <c r="J37" s="28"/>
      <c r="K37" s="28"/>
      <c r="L37" s="28"/>
      <c r="M37" s="28"/>
      <c r="N37" s="54"/>
    </row>
    <row r="38" spans="2:14">
      <c r="B38" s="29"/>
      <c r="C38" s="29"/>
      <c r="D38" s="29"/>
      <c r="E38" s="28"/>
      <c r="F38" s="28"/>
      <c r="G38" s="28"/>
      <c r="H38" s="28"/>
      <c r="I38" s="28"/>
      <c r="J38" s="28"/>
      <c r="K38" s="28"/>
      <c r="L38" s="28"/>
      <c r="M38" s="28"/>
      <c r="N38" s="54"/>
    </row>
    <row r="39" spans="2:14">
      <c r="B39" s="29"/>
      <c r="C39" s="29"/>
      <c r="D39" s="29"/>
      <c r="E39" s="28"/>
      <c r="F39" s="28"/>
      <c r="G39" s="28"/>
      <c r="H39" s="28"/>
      <c r="I39" s="28"/>
      <c r="J39" s="28"/>
      <c r="K39" s="28"/>
      <c r="L39" s="28"/>
      <c r="M39" s="28"/>
      <c r="N39" s="54"/>
    </row>
    <row r="40" spans="2:14">
      <c r="B40" s="29"/>
      <c r="C40" s="29"/>
      <c r="D40" s="29"/>
      <c r="E40" s="28"/>
      <c r="F40" s="28"/>
      <c r="G40" s="28"/>
      <c r="H40" s="28"/>
      <c r="I40" s="28"/>
      <c r="J40" s="28"/>
      <c r="K40" s="28"/>
      <c r="L40" s="28"/>
      <c r="M40" s="28"/>
      <c r="N40" s="54"/>
    </row>
    <row r="41" spans="2:14">
      <c r="B41" s="29"/>
      <c r="C41" s="29"/>
      <c r="D41" s="29"/>
      <c r="E41" s="28"/>
      <c r="F41" s="28"/>
      <c r="G41" s="28"/>
      <c r="H41" s="28"/>
      <c r="I41" s="28"/>
      <c r="J41" s="28"/>
      <c r="K41" s="28"/>
      <c r="L41" s="28"/>
      <c r="M41" s="28"/>
      <c r="N41" s="54"/>
    </row>
    <row r="42" spans="2:14">
      <c r="B42" s="29"/>
      <c r="C42" s="29"/>
      <c r="D42" s="29"/>
      <c r="E42" s="28"/>
      <c r="F42" s="28"/>
      <c r="G42" s="28"/>
      <c r="H42" s="28"/>
      <c r="I42" s="28"/>
      <c r="J42" s="28"/>
      <c r="K42" s="28"/>
      <c r="L42" s="28"/>
      <c r="M42" s="28"/>
      <c r="N42" s="54"/>
    </row>
    <row r="43" spans="2:14">
      <c r="B43" s="29"/>
      <c r="C43" s="29"/>
      <c r="D43" s="29"/>
      <c r="E43" s="28"/>
      <c r="F43" s="28"/>
      <c r="G43" s="28"/>
      <c r="H43" s="28"/>
      <c r="I43" s="28"/>
      <c r="J43" s="28"/>
      <c r="K43" s="28"/>
      <c r="L43" s="28"/>
      <c r="M43" s="28"/>
      <c r="N43" s="54"/>
    </row>
    <row r="44" spans="2:14">
      <c r="B44" s="29"/>
      <c r="C44" s="29"/>
      <c r="D44" s="29"/>
      <c r="E44" s="28"/>
      <c r="F44" s="28"/>
      <c r="G44" s="28"/>
      <c r="H44" s="28"/>
      <c r="I44" s="28"/>
      <c r="J44" s="28"/>
      <c r="K44" s="28"/>
      <c r="L44" s="28"/>
      <c r="M44" s="28"/>
      <c r="N44" s="54"/>
    </row>
    <row r="45" spans="2:14">
      <c r="B45" s="29"/>
      <c r="C45" s="29"/>
      <c r="D45" s="29"/>
      <c r="E45" s="28"/>
      <c r="F45" s="28"/>
      <c r="G45" s="28"/>
      <c r="H45" s="28"/>
      <c r="I45" s="28"/>
      <c r="J45" s="28"/>
      <c r="K45" s="28"/>
      <c r="L45" s="28"/>
      <c r="M45" s="28"/>
      <c r="N45" s="54"/>
    </row>
    <row r="46" spans="2:14">
      <c r="B46" s="29"/>
      <c r="C46" s="29"/>
      <c r="D46" s="29"/>
      <c r="E46" s="28"/>
      <c r="F46" s="28"/>
      <c r="G46" s="28"/>
      <c r="H46" s="28"/>
      <c r="I46" s="28"/>
      <c r="J46" s="28"/>
      <c r="K46" s="28"/>
      <c r="L46" s="28"/>
      <c r="M46" s="28"/>
      <c r="N46" s="54"/>
    </row>
    <row r="47" spans="2:14">
      <c r="B47" s="29"/>
      <c r="C47" s="29"/>
      <c r="D47" s="29"/>
      <c r="E47" s="28"/>
      <c r="F47" s="28"/>
      <c r="G47" s="28"/>
      <c r="H47" s="28"/>
      <c r="I47" s="28"/>
      <c r="J47" s="28"/>
      <c r="K47" s="28"/>
      <c r="L47" s="28"/>
      <c r="M47" s="28"/>
      <c r="N47" s="54"/>
    </row>
    <row r="48" spans="2:14">
      <c r="B48" s="29"/>
      <c r="C48" s="29"/>
      <c r="D48" s="29"/>
      <c r="E48" s="28"/>
      <c r="F48" s="28"/>
      <c r="G48" s="28"/>
      <c r="H48" s="28"/>
      <c r="I48" s="28"/>
      <c r="J48" s="28"/>
      <c r="K48" s="28"/>
      <c r="L48" s="28"/>
      <c r="M48" s="28"/>
      <c r="N48" s="54"/>
    </row>
    <row r="49" spans="2:14">
      <c r="B49" s="29"/>
      <c r="C49" s="29"/>
      <c r="D49" s="29"/>
      <c r="E49" s="28"/>
      <c r="F49" s="28"/>
      <c r="G49" s="28"/>
      <c r="H49" s="28"/>
      <c r="I49" s="28"/>
      <c r="J49" s="28"/>
      <c r="K49" s="28"/>
      <c r="L49" s="28"/>
      <c r="M49" s="28"/>
      <c r="N49" s="54"/>
    </row>
    <row r="50" spans="2:14">
      <c r="B50" s="29"/>
      <c r="C50" s="29"/>
      <c r="D50" s="29"/>
      <c r="E50" s="28"/>
      <c r="F50" s="28"/>
      <c r="G50" s="28"/>
      <c r="H50" s="28"/>
      <c r="I50" s="28"/>
      <c r="J50" s="28"/>
      <c r="K50" s="28"/>
      <c r="L50" s="28"/>
      <c r="M50" s="28"/>
      <c r="N50" s="54"/>
    </row>
    <row r="51" spans="2:14">
      <c r="B51" s="29"/>
      <c r="C51" s="29"/>
      <c r="D51" s="29"/>
      <c r="E51" s="28"/>
      <c r="F51" s="28"/>
      <c r="G51" s="28"/>
      <c r="H51" s="28"/>
      <c r="I51" s="28"/>
      <c r="J51" s="28"/>
      <c r="K51" s="28"/>
      <c r="L51" s="28"/>
      <c r="M51" s="28"/>
      <c r="N51" s="54"/>
    </row>
    <row r="52" spans="2:14">
      <c r="B52" s="29"/>
      <c r="C52" s="29"/>
      <c r="D52" s="29"/>
      <c r="E52" s="28"/>
      <c r="F52" s="28"/>
      <c r="G52" s="28"/>
      <c r="H52" s="28"/>
      <c r="I52" s="28"/>
      <c r="J52" s="28"/>
      <c r="K52" s="28"/>
      <c r="L52" s="28"/>
      <c r="M52" s="28"/>
      <c r="N52" s="54"/>
    </row>
    <row r="53" spans="2:14">
      <c r="B53" s="29"/>
      <c r="C53" s="29"/>
      <c r="D53" s="29"/>
      <c r="E53" s="28"/>
      <c r="F53" s="28"/>
      <c r="G53" s="28"/>
      <c r="H53" s="28"/>
      <c r="I53" s="28"/>
      <c r="J53" s="28"/>
      <c r="K53" s="28"/>
      <c r="L53" s="28"/>
      <c r="M53" s="28"/>
      <c r="N53" s="54"/>
    </row>
    <row r="54" spans="2:14">
      <c r="B54" s="29"/>
      <c r="C54" s="29"/>
      <c r="D54" s="29"/>
      <c r="E54" s="28"/>
      <c r="F54" s="28"/>
      <c r="G54" s="28"/>
      <c r="H54" s="28"/>
      <c r="I54" s="28"/>
      <c r="J54" s="28"/>
      <c r="K54" s="28"/>
      <c r="L54" s="28"/>
      <c r="M54" s="28"/>
      <c r="N54" s="54"/>
    </row>
    <row r="55" spans="2:14">
      <c r="B55" s="29"/>
      <c r="C55" s="29"/>
      <c r="D55" s="29"/>
      <c r="E55" s="28"/>
      <c r="F55" s="28"/>
      <c r="G55" s="28"/>
      <c r="H55" s="28"/>
      <c r="I55" s="28"/>
      <c r="J55" s="28"/>
      <c r="K55" s="28"/>
      <c r="L55" s="28"/>
      <c r="M55" s="28"/>
      <c r="N55" s="54"/>
    </row>
    <row r="56" spans="2:14">
      <c r="B56" s="29"/>
      <c r="C56" s="29"/>
      <c r="D56" s="29"/>
      <c r="E56" s="28"/>
      <c r="F56" s="28"/>
      <c r="G56" s="28"/>
      <c r="H56" s="28"/>
      <c r="I56" s="28"/>
      <c r="J56" s="28"/>
      <c r="K56" s="28"/>
      <c r="L56" s="28"/>
      <c r="M56" s="28"/>
      <c r="N56" s="54"/>
    </row>
    <row r="57" spans="2:14">
      <c r="B57" s="29"/>
      <c r="C57" s="29"/>
      <c r="D57" s="29"/>
      <c r="E57" s="28"/>
      <c r="F57" s="28"/>
      <c r="G57" s="28"/>
      <c r="H57" s="28"/>
      <c r="I57" s="28"/>
      <c r="J57" s="28"/>
      <c r="K57" s="28"/>
      <c r="L57" s="28"/>
      <c r="M57" s="28"/>
      <c r="N57" s="54"/>
    </row>
    <row r="58" spans="2:14">
      <c r="B58" s="29"/>
      <c r="C58" s="29"/>
      <c r="D58" s="29"/>
      <c r="E58" s="28"/>
      <c r="F58" s="28"/>
      <c r="G58" s="28"/>
      <c r="H58" s="28"/>
      <c r="I58" s="28"/>
      <c r="J58" s="28"/>
      <c r="K58" s="28"/>
      <c r="L58" s="28"/>
      <c r="M58" s="28"/>
      <c r="N58" s="54"/>
    </row>
    <row r="59" spans="2:14">
      <c r="B59" s="59"/>
      <c r="C59" s="59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1"/>
    </row>
  </sheetData>
  <mergeCells count="1">
    <mergeCell ref="H4:J4"/>
  </mergeCells>
  <conditionalFormatting sqref="F8:F34">
    <cfRule type="containsText" dxfId="26" priority="1" operator="containsText" text="Realizado">
      <formula>NOT(ISERROR(SEARCH(("Realizado"),(F8))))</formula>
    </cfRule>
    <cfRule type="containsText" dxfId="25" priority="2" operator="containsText" text="Cancelado">
      <formula>NOT(ISERROR(SEARCH(("Cancelado"),(F8))))</formula>
    </cfRule>
    <cfRule type="containsText" dxfId="24" priority="3" operator="containsText" text="Previsto">
      <formula>NOT(ISERROR(SEARCH(("Previsto"),(F8))))</formula>
    </cfRule>
    <cfRule type="containsText" dxfId="23" priority="4" operator="containsText" text="Em andamento">
      <formula>NOT(ISERROR(SEARCH(("Em andamento"),(F8))))</formula>
    </cfRule>
  </conditionalFormatting>
  <dataValidations count="1">
    <dataValidation type="list" allowBlank="1" showInputMessage="1" showErrorMessage="1" prompt="Clique e digite um valor da lista de itens" sqref="N8:N34" xr:uid="{02379A2A-A41F-4601-BB78-6E5F81226389}">
      <formula1>"Silvio,Taissa,Paula,CEDUC,Sibele,Stéphanie,Gilson,Geri,R.Cabral,Raphael,Yuri"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FDEE6D-4A5B-47A6-8E98-09C59CD9B5DD}">
          <x14:formula1>
            <xm:f>'Validação Dados'!$D$2:$D$6</xm:f>
          </x14:formula1>
          <xm:sqref>F8:F34</xm:sqref>
        </x14:dataValidation>
        <x14:dataValidation type="list" allowBlank="1" showInputMessage="1" showErrorMessage="1" xr:uid="{6B817F5F-7519-4B34-AFC6-36F11279B141}">
          <x14:formula1>
            <xm:f>'Validação Dados'!$B$2:$B$4</xm:f>
          </x14:formula1>
          <xm:sqref>J8:J34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574A-9EE9-4EEC-8A3D-0FAF9ACAAFB8}">
  <dimension ref="G2:M89"/>
  <sheetViews>
    <sheetView topLeftCell="J36" workbookViewId="0">
      <selection activeCell="J28" sqref="J28"/>
    </sheetView>
  </sheetViews>
  <sheetFormatPr defaultColWidth="8.85546875" defaultRowHeight="15"/>
  <cols>
    <col min="7" max="7" width="19.42578125" customWidth="1"/>
  </cols>
  <sheetData>
    <row r="2" spans="7:9">
      <c r="G2" s="17" t="s">
        <v>2858</v>
      </c>
    </row>
    <row r="3" spans="7:9">
      <c r="G3" s="17" t="s">
        <v>1687</v>
      </c>
    </row>
    <row r="4" spans="7:9">
      <c r="G4" s="17" t="s">
        <v>1699</v>
      </c>
    </row>
    <row r="5" spans="7:9">
      <c r="G5" s="18" t="s">
        <v>1729</v>
      </c>
    </row>
    <row r="6" spans="7:9">
      <c r="G6" s="18" t="s">
        <v>1775</v>
      </c>
    </row>
    <row r="7" spans="7:9">
      <c r="G7" s="18" t="s">
        <v>1872</v>
      </c>
    </row>
    <row r="8" spans="7:9">
      <c r="G8" s="18" t="s">
        <v>1916</v>
      </c>
    </row>
    <row r="9" spans="7:9">
      <c r="G9" s="18" t="s">
        <v>1975</v>
      </c>
    </row>
    <row r="10" spans="7:9">
      <c r="G10" s="18" t="s">
        <v>2068</v>
      </c>
    </row>
    <row r="11" spans="7:9">
      <c r="G11" s="18" t="s">
        <v>2128</v>
      </c>
    </row>
    <row r="12" spans="7:9">
      <c r="G12" s="18" t="s">
        <v>2105</v>
      </c>
    </row>
    <row r="13" spans="7:9">
      <c r="G13" s="18" t="s">
        <v>2145</v>
      </c>
      <c r="I13" t="s">
        <v>2780</v>
      </c>
    </row>
    <row r="14" spans="7:9">
      <c r="G14" s="18" t="s">
        <v>1892</v>
      </c>
    </row>
    <row r="15" spans="7:9">
      <c r="G15" s="18" t="s">
        <v>2092</v>
      </c>
    </row>
    <row r="16" spans="7:9">
      <c r="G16" s="18" t="s">
        <v>1756</v>
      </c>
    </row>
    <row r="17" spans="7:13">
      <c r="G17" s="18" t="s">
        <v>1946</v>
      </c>
    </row>
    <row r="18" spans="7:13">
      <c r="G18" s="18" t="s">
        <v>2120</v>
      </c>
    </row>
    <row r="19" spans="7:13">
      <c r="G19" s="18" t="s">
        <v>1800</v>
      </c>
      <c r="M19" t="s">
        <v>2859</v>
      </c>
    </row>
    <row r="20" spans="7:13">
      <c r="G20" s="18" t="s">
        <v>1847</v>
      </c>
      <c r="M20" t="s">
        <v>2860</v>
      </c>
    </row>
    <row r="21" spans="7:13">
      <c r="G21" s="18" t="s">
        <v>1876</v>
      </c>
      <c r="M21" t="s">
        <v>2861</v>
      </c>
    </row>
    <row r="22" spans="7:13">
      <c r="G22" s="18" t="s">
        <v>2011</v>
      </c>
      <c r="M22" t="s">
        <v>2862</v>
      </c>
    </row>
    <row r="23" spans="7:13">
      <c r="G23" s="18" t="s">
        <v>1885</v>
      </c>
      <c r="M23" t="s">
        <v>2863</v>
      </c>
    </row>
    <row r="24" spans="7:13">
      <c r="G24" s="18" t="s">
        <v>1909</v>
      </c>
      <c r="M24" t="s">
        <v>2864</v>
      </c>
    </row>
    <row r="25" spans="7:13">
      <c r="G25" s="18" t="s">
        <v>2001</v>
      </c>
      <c r="M25" t="s">
        <v>2865</v>
      </c>
    </row>
    <row r="26" spans="7:13">
      <c r="G26" s="18" t="s">
        <v>2207</v>
      </c>
      <c r="M26" t="s">
        <v>2866</v>
      </c>
    </row>
    <row r="27" spans="7:13">
      <c r="G27" s="18" t="s">
        <v>1725</v>
      </c>
      <c r="M27" t="s">
        <v>2867</v>
      </c>
    </row>
    <row r="28" spans="7:13">
      <c r="G28" s="18" t="s">
        <v>1857</v>
      </c>
      <c r="M28" t="s">
        <v>2868</v>
      </c>
    </row>
    <row r="29" spans="7:13">
      <c r="G29" s="19" t="s">
        <v>1770</v>
      </c>
      <c r="M29" t="s">
        <v>2869</v>
      </c>
    </row>
    <row r="30" spans="7:13">
      <c r="G30" s="18" t="s">
        <v>2072</v>
      </c>
      <c r="M30" t="s">
        <v>2870</v>
      </c>
    </row>
    <row r="31" spans="7:13">
      <c r="G31" s="18" t="s">
        <v>2871</v>
      </c>
      <c r="M31" t="s">
        <v>2872</v>
      </c>
    </row>
    <row r="32" spans="7:13">
      <c r="G32" s="16" t="s">
        <v>1712</v>
      </c>
      <c r="M32" t="s">
        <v>2873</v>
      </c>
    </row>
    <row r="33" spans="7:13">
      <c r="G33" s="16" t="s">
        <v>1733</v>
      </c>
      <c r="M33" t="s">
        <v>2874</v>
      </c>
    </row>
    <row r="34" spans="7:13">
      <c r="G34" s="16" t="s">
        <v>1749</v>
      </c>
      <c r="M34" t="s">
        <v>2875</v>
      </c>
    </row>
    <row r="35" spans="7:13">
      <c r="G35" s="16" t="s">
        <v>1830</v>
      </c>
      <c r="M35" t="s">
        <v>2876</v>
      </c>
    </row>
    <row r="36" spans="7:13">
      <c r="G36" s="16" t="s">
        <v>1763</v>
      </c>
      <c r="M36" t="s">
        <v>2877</v>
      </c>
    </row>
    <row r="37" spans="7:13">
      <c r="G37" s="16" t="s">
        <v>2649</v>
      </c>
      <c r="M37" t="s">
        <v>2878</v>
      </c>
    </row>
    <row r="38" spans="7:13">
      <c r="G38" s="16" t="s">
        <v>2830</v>
      </c>
      <c r="M38" t="s">
        <v>2879</v>
      </c>
    </row>
    <row r="39" spans="7:13">
      <c r="G39" s="16" t="s">
        <v>1817</v>
      </c>
      <c r="M39" t="s">
        <v>2880</v>
      </c>
    </row>
    <row r="40" spans="7:13">
      <c r="G40" s="16" t="s">
        <v>2161</v>
      </c>
      <c r="M40" t="s">
        <v>2881</v>
      </c>
    </row>
    <row r="41" spans="7:13">
      <c r="G41" s="16" t="s">
        <v>2015</v>
      </c>
      <c r="M41" t="s">
        <v>2882</v>
      </c>
    </row>
    <row r="42" spans="7:13">
      <c r="G42" s="16" t="s">
        <v>2020</v>
      </c>
      <c r="I42" t="s">
        <v>2883</v>
      </c>
      <c r="M42" t="s">
        <v>2884</v>
      </c>
    </row>
    <row r="43" spans="7:13">
      <c r="G43" s="16" t="s">
        <v>2024</v>
      </c>
      <c r="M43" t="s">
        <v>2885</v>
      </c>
    </row>
    <row r="44" spans="7:13">
      <c r="G44" s="16" t="s">
        <v>2040</v>
      </c>
      <c r="M44" t="s">
        <v>2886</v>
      </c>
    </row>
    <row r="45" spans="7:13">
      <c r="G45" s="16" t="s">
        <v>2060</v>
      </c>
      <c r="M45" t="s">
        <v>2887</v>
      </c>
    </row>
    <row r="46" spans="7:13">
      <c r="G46" s="16" t="s">
        <v>2075</v>
      </c>
      <c r="M46" t="s">
        <v>2888</v>
      </c>
    </row>
    <row r="47" spans="7:13">
      <c r="G47" s="16" t="s">
        <v>2082</v>
      </c>
      <c r="M47" t="s">
        <v>2889</v>
      </c>
    </row>
    <row r="48" spans="7:13">
      <c r="G48" s="16" t="s">
        <v>2169</v>
      </c>
      <c r="M48" t="s">
        <v>2890</v>
      </c>
    </row>
    <row r="49" spans="7:13">
      <c r="G49" s="16" t="s">
        <v>1717</v>
      </c>
      <c r="M49" t="s">
        <v>2891</v>
      </c>
    </row>
    <row r="50" spans="7:13">
      <c r="G50" s="16" t="s">
        <v>1737</v>
      </c>
      <c r="M50" t="s">
        <v>2892</v>
      </c>
    </row>
    <row r="51" spans="7:13">
      <c r="G51" s="16" t="s">
        <v>1780</v>
      </c>
      <c r="M51" t="s">
        <v>2893</v>
      </c>
    </row>
    <row r="52" spans="7:13">
      <c r="G52" s="16" t="s">
        <v>2100</v>
      </c>
      <c r="M52" t="s">
        <v>2894</v>
      </c>
    </row>
    <row r="53" spans="7:13">
      <c r="G53" s="16" t="s">
        <v>1964</v>
      </c>
      <c r="M53" t="s">
        <v>2895</v>
      </c>
    </row>
    <row r="54" spans="7:13">
      <c r="G54" s="16" t="s">
        <v>1813</v>
      </c>
      <c r="M54" t="s">
        <v>2896</v>
      </c>
    </row>
    <row r="55" spans="7:13">
      <c r="G55" s="16" t="s">
        <v>2035</v>
      </c>
      <c r="M55" t="s">
        <v>2897</v>
      </c>
    </row>
    <row r="56" spans="7:13">
      <c r="G56" s="16" t="s">
        <v>1740</v>
      </c>
    </row>
    <row r="57" spans="7:13">
      <c r="G57" s="16" t="s">
        <v>1841</v>
      </c>
    </row>
    <row r="58" spans="7:13">
      <c r="G58" s="16" t="s">
        <v>1897</v>
      </c>
    </row>
    <row r="59" spans="7:13">
      <c r="G59" s="16" t="s">
        <v>1904</v>
      </c>
    </row>
    <row r="60" spans="7:13">
      <c r="G60" s="16" t="s">
        <v>2150</v>
      </c>
    </row>
    <row r="61" spans="7:13">
      <c r="G61" s="16" t="s">
        <v>1960</v>
      </c>
    </row>
    <row r="62" spans="7:13">
      <c r="G62" s="16" t="s">
        <v>1989</v>
      </c>
    </row>
    <row r="63" spans="7:13">
      <c r="G63" s="20"/>
    </row>
    <row r="64" spans="7:13">
      <c r="G64" s="20"/>
    </row>
    <row r="65" spans="7:8">
      <c r="G65" s="20" t="s">
        <v>1821</v>
      </c>
      <c r="H65" t="s">
        <v>2898</v>
      </c>
    </row>
    <row r="66" spans="7:8">
      <c r="G66" s="20" t="s">
        <v>1682</v>
      </c>
      <c r="H66" t="s">
        <v>2898</v>
      </c>
    </row>
    <row r="67" spans="7:8">
      <c r="G67" s="20"/>
    </row>
    <row r="68" spans="7:8">
      <c r="G68" s="20" t="s">
        <v>1721</v>
      </c>
      <c r="H68" t="s">
        <v>2899</v>
      </c>
    </row>
    <row r="69" spans="7:8">
      <c r="G69" s="20"/>
    </row>
    <row r="70" spans="7:8">
      <c r="G70" s="20" t="s">
        <v>1834</v>
      </c>
      <c r="H70" t="s">
        <v>2899</v>
      </c>
    </row>
    <row r="71" spans="7:8">
      <c r="G71" s="20" t="s">
        <v>1880</v>
      </c>
      <c r="H71" t="s">
        <v>2898</v>
      </c>
    </row>
    <row r="72" spans="7:8">
      <c r="G72" s="20" t="s">
        <v>1928</v>
      </c>
      <c r="H72" t="s">
        <v>2899</v>
      </c>
    </row>
    <row r="73" spans="7:8">
      <c r="G73" s="20" t="s">
        <v>1937</v>
      </c>
      <c r="H73" t="s">
        <v>2899</v>
      </c>
    </row>
    <row r="74" spans="7:8">
      <c r="G74" s="20" t="s">
        <v>2006</v>
      </c>
      <c r="H74" t="s">
        <v>2898</v>
      </c>
    </row>
    <row r="75" spans="7:8">
      <c r="G75" s="20" t="s">
        <v>2048</v>
      </c>
      <c r="H75" t="s">
        <v>2898</v>
      </c>
    </row>
    <row r="76" spans="7:8">
      <c r="G76" s="20" t="s">
        <v>2052</v>
      </c>
      <c r="H76" t="s">
        <v>2898</v>
      </c>
    </row>
    <row r="77" spans="7:8">
      <c r="G77" s="20" t="s">
        <v>2087</v>
      </c>
      <c r="H77" t="s">
        <v>2898</v>
      </c>
    </row>
    <row r="78" spans="7:8">
      <c r="G78" s="20" t="s">
        <v>2124</v>
      </c>
      <c r="H78" t="s">
        <v>2898</v>
      </c>
    </row>
    <row r="79" spans="7:8">
      <c r="G79" s="20" t="s">
        <v>2154</v>
      </c>
      <c r="H79" t="s">
        <v>2899</v>
      </c>
    </row>
    <row r="80" spans="7:8">
      <c r="G80" s="20" t="s">
        <v>2116</v>
      </c>
      <c r="H80" t="s">
        <v>2898</v>
      </c>
    </row>
    <row r="81" spans="7:8">
      <c r="G81" s="20" t="s">
        <v>2112</v>
      </c>
      <c r="H81" t="s">
        <v>2898</v>
      </c>
    </row>
    <row r="82" spans="7:8">
      <c r="G82" s="20" t="s">
        <v>1951</v>
      </c>
      <c r="H82" t="s">
        <v>2899</v>
      </c>
    </row>
    <row r="83" spans="7:8">
      <c r="G83" s="20" t="s">
        <v>1956</v>
      </c>
      <c r="H83" t="s">
        <v>2898</v>
      </c>
    </row>
    <row r="84" spans="7:8">
      <c r="G84" s="20" t="s">
        <v>2900</v>
      </c>
      <c r="H84" t="s">
        <v>2899</v>
      </c>
    </row>
    <row r="85" spans="7:8">
      <c r="G85" s="20" t="s">
        <v>1932</v>
      </c>
      <c r="H85" t="s">
        <v>2899</v>
      </c>
    </row>
    <row r="86" spans="7:8">
      <c r="G86" s="20" t="s">
        <v>1968</v>
      </c>
      <c r="H86" t="s">
        <v>2899</v>
      </c>
    </row>
    <row r="87" spans="7:8">
      <c r="G87" s="20" t="s">
        <v>1941</v>
      </c>
      <c r="H87" t="s">
        <v>2898</v>
      </c>
    </row>
    <row r="88" spans="7:8">
      <c r="G88" s="20" t="s">
        <v>2901</v>
      </c>
      <c r="H88" t="s">
        <v>2899</v>
      </c>
    </row>
    <row r="89" spans="7:8">
      <c r="G89" s="20" t="s">
        <v>2902</v>
      </c>
      <c r="H89" t="s">
        <v>2898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8161-7B79-4879-BA9D-BD56CAA1B494}">
  <dimension ref="A1:E12"/>
  <sheetViews>
    <sheetView workbookViewId="0">
      <selection activeCell="C8" sqref="C8"/>
    </sheetView>
  </sheetViews>
  <sheetFormatPr defaultColWidth="9.140625" defaultRowHeight="18" customHeight="1"/>
  <cols>
    <col min="1" max="1" width="15.85546875" style="12" bestFit="1" customWidth="1"/>
    <col min="2" max="2" width="22" style="12" bestFit="1" customWidth="1"/>
    <col min="3" max="3" width="73.42578125" style="12" bestFit="1" customWidth="1"/>
    <col min="4" max="4" width="76.85546875" style="12" bestFit="1" customWidth="1"/>
    <col min="5" max="5" width="255.7109375" style="12" bestFit="1" customWidth="1"/>
    <col min="6" max="16384" width="9.140625" style="12"/>
  </cols>
  <sheetData>
    <row r="1" spans="1:5" ht="18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ht="18" customHeight="1">
      <c r="A2" s="12" t="s">
        <v>2903</v>
      </c>
      <c r="B2" s="12" t="s">
        <v>6</v>
      </c>
      <c r="C2" s="14" t="s">
        <v>10</v>
      </c>
      <c r="D2" s="12" t="s">
        <v>8</v>
      </c>
      <c r="E2" s="26" t="s">
        <v>2904</v>
      </c>
    </row>
    <row r="3" spans="1:5" ht="18" customHeight="1">
      <c r="A3" s="12" t="s">
        <v>2903</v>
      </c>
      <c r="B3" s="12" t="s">
        <v>6</v>
      </c>
      <c r="C3" s="12" t="s">
        <v>13</v>
      </c>
      <c r="D3" s="12" t="s">
        <v>11</v>
      </c>
      <c r="E3" s="12" t="s">
        <v>2905</v>
      </c>
    </row>
    <row r="4" spans="1:5" ht="18" customHeight="1">
      <c r="A4" s="12" t="s">
        <v>2903</v>
      </c>
      <c r="B4" s="12" t="s">
        <v>6</v>
      </c>
      <c r="C4" s="12" t="s">
        <v>15</v>
      </c>
      <c r="D4" s="12" t="s">
        <v>16</v>
      </c>
      <c r="E4" s="12" t="s">
        <v>2906</v>
      </c>
    </row>
    <row r="5" spans="1:5" ht="27.75" customHeight="1">
      <c r="A5" s="12" t="s">
        <v>2903</v>
      </c>
      <c r="B5" s="12" t="s">
        <v>6</v>
      </c>
      <c r="C5" s="12" t="s">
        <v>2907</v>
      </c>
      <c r="D5" s="26" t="s">
        <v>2908</v>
      </c>
      <c r="E5" s="12" t="s">
        <v>2909</v>
      </c>
    </row>
    <row r="6" spans="1:5" ht="18" customHeight="1">
      <c r="A6" s="12" t="s">
        <v>2903</v>
      </c>
      <c r="B6" s="12" t="s">
        <v>6</v>
      </c>
      <c r="C6" s="12" t="s">
        <v>18</v>
      </c>
      <c r="D6" s="12" t="s">
        <v>19</v>
      </c>
      <c r="E6" s="12" t="s">
        <v>20</v>
      </c>
    </row>
    <row r="7" spans="1:5" ht="18" customHeight="1">
      <c r="A7" s="12" t="s">
        <v>2903</v>
      </c>
      <c r="B7" s="12" t="s">
        <v>21</v>
      </c>
      <c r="C7" s="12" t="s">
        <v>2695</v>
      </c>
      <c r="D7" s="12" t="s">
        <v>2910</v>
      </c>
      <c r="E7" s="12" t="s">
        <v>2911</v>
      </c>
    </row>
    <row r="8" spans="1:5" ht="18" customHeight="1">
      <c r="A8" s="12" t="s">
        <v>2903</v>
      </c>
      <c r="B8" s="12" t="s">
        <v>21</v>
      </c>
      <c r="C8" s="12" t="s">
        <v>25</v>
      </c>
      <c r="D8" s="12" t="s">
        <v>26</v>
      </c>
      <c r="E8" s="12" t="s">
        <v>27</v>
      </c>
    </row>
    <row r="9" spans="1:5" ht="18" customHeight="1">
      <c r="A9" s="12" t="s">
        <v>2903</v>
      </c>
      <c r="B9" s="12" t="s">
        <v>21</v>
      </c>
      <c r="C9" s="12" t="s">
        <v>2676</v>
      </c>
      <c r="D9" s="12" t="s">
        <v>2912</v>
      </c>
      <c r="E9" s="26" t="s">
        <v>2913</v>
      </c>
    </row>
    <row r="10" spans="1:5" ht="18" customHeight="1">
      <c r="A10" s="12" t="s">
        <v>2903</v>
      </c>
      <c r="B10" s="12" t="s">
        <v>2914</v>
      </c>
      <c r="C10" s="12" t="s">
        <v>2915</v>
      </c>
      <c r="D10" s="12" t="s">
        <v>2916</v>
      </c>
      <c r="E10" s="26" t="s">
        <v>2917</v>
      </c>
    </row>
    <row r="11" spans="1:5" ht="18" customHeight="1">
      <c r="A11" s="12" t="s">
        <v>2903</v>
      </c>
      <c r="B11" s="12" t="s">
        <v>2914</v>
      </c>
      <c r="C11" s="12" t="s">
        <v>32</v>
      </c>
      <c r="D11" s="12" t="s">
        <v>33</v>
      </c>
      <c r="E11" s="12" t="s">
        <v>34</v>
      </c>
    </row>
    <row r="12" spans="1:5" ht="18" customHeight="1">
      <c r="A12" s="12" t="s">
        <v>2903</v>
      </c>
      <c r="B12" s="12" t="s">
        <v>2914</v>
      </c>
      <c r="C12" s="12" t="s">
        <v>35</v>
      </c>
      <c r="D12" s="12" t="s">
        <v>33</v>
      </c>
      <c r="E12" s="1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F7BD-0D2E-4307-90B5-801282F5B390}">
  <dimension ref="A1:E24"/>
  <sheetViews>
    <sheetView workbookViewId="0">
      <pane ySplit="4" topLeftCell="A5" activePane="bottomLeft" state="frozen"/>
      <selection pane="bottomLeft" activeCell="E12" sqref="E12"/>
    </sheetView>
  </sheetViews>
  <sheetFormatPr defaultRowHeight="15"/>
  <cols>
    <col min="1" max="1" width="57.140625" customWidth="1"/>
    <col min="2" max="5" width="22.85546875" customWidth="1"/>
  </cols>
  <sheetData>
    <row r="1" spans="1:5" ht="18.75">
      <c r="A1" s="420" t="s">
        <v>2918</v>
      </c>
      <c r="B1" s="420"/>
      <c r="C1" s="420"/>
      <c r="D1" s="420"/>
      <c r="E1" s="420"/>
    </row>
    <row r="2" spans="1:5">
      <c r="A2" s="421" t="s">
        <v>2919</v>
      </c>
      <c r="B2" s="421"/>
      <c r="C2" s="421"/>
      <c r="D2" s="421"/>
      <c r="E2" s="421"/>
    </row>
    <row r="4" spans="1:5">
      <c r="A4" s="161" t="s">
        <v>72</v>
      </c>
      <c r="B4" s="161" t="s">
        <v>2742</v>
      </c>
      <c r="C4" s="161" t="s">
        <v>2743</v>
      </c>
      <c r="D4" s="161" t="s">
        <v>2744</v>
      </c>
      <c r="E4" s="161" t="s">
        <v>2920</v>
      </c>
    </row>
    <row r="5" spans="1:5">
      <c r="A5" t="s">
        <v>116</v>
      </c>
      <c r="B5" s="162">
        <f>SUMIFS('GECC 2026'!H$2:H$200,'GECC 2026'!F$2:F$200,$A5)</f>
        <v>40</v>
      </c>
      <c r="C5" s="162">
        <f>SUMIFS('GECC 2026'!I$2:I$200,'GECC 2026'!F$2:F$200,$A5)</f>
        <v>12</v>
      </c>
      <c r="D5" s="162">
        <f>SUMIFS('GECC 2026'!J$2:J$200,'GECC 2026'!F$2:F$200,$A5)</f>
        <v>52</v>
      </c>
      <c r="E5" s="157">
        <f>COUNTIFS('GECC 2026'!F$2:F$200,$A5)</f>
        <v>2</v>
      </c>
    </row>
    <row r="6" spans="1:5">
      <c r="A6" s="158" t="s">
        <v>1105</v>
      </c>
      <c r="B6" s="163">
        <f>SUMIFS('GECC 2026'!H$2:H$200,'GECC 2026'!F$2:F$200,$A6)</f>
        <v>24</v>
      </c>
      <c r="C6" s="163">
        <f>SUMIFS('GECC 2026'!I$2:I$200,'GECC 2026'!F$2:F$200,$A6)</f>
        <v>3.5999999999999996</v>
      </c>
      <c r="D6" s="163">
        <f>SUMIFS('GECC 2026'!J$2:J$200,'GECC 2026'!F$2:F$200,$A6)</f>
        <v>27.6</v>
      </c>
      <c r="E6" s="164">
        <f>COUNTIFS('GECC 2026'!F$2:F$200,$A6)</f>
        <v>2</v>
      </c>
    </row>
    <row r="7" spans="1:5">
      <c r="A7" t="s">
        <v>1345</v>
      </c>
      <c r="B7" s="162">
        <f>SUMIFS('GECC 2026'!H$2:H$200,'GECC 2026'!F$2:F$200,$A7)</f>
        <v>32</v>
      </c>
      <c r="C7" s="162">
        <f>SUMIFS('GECC 2026'!I$2:I$200,'GECC 2026'!F$2:F$200,$A7)</f>
        <v>3.7200000000000006</v>
      </c>
      <c r="D7" s="162">
        <f>SUMIFS('GECC 2026'!J$2:J$200,'GECC 2026'!F$2:F$200,$A7)</f>
        <v>35.720000000000006</v>
      </c>
      <c r="E7" s="157">
        <f>COUNTIFS('GECC 2026'!F$2:F$200,$A7)</f>
        <v>4</v>
      </c>
    </row>
    <row r="8" spans="1:5">
      <c r="A8" s="158" t="s">
        <v>149</v>
      </c>
      <c r="B8" s="163">
        <f>SUMIFS('GECC 2026'!H$2:H$200,'GECC 2026'!F$2:F$200,$A8)</f>
        <v>20</v>
      </c>
      <c r="C8" s="163">
        <f>SUMIFS('GECC 2026'!I$2:I$200,'GECC 2026'!F$2:F$200,$A8)</f>
        <v>3</v>
      </c>
      <c r="D8" s="163">
        <f>SUMIFS('GECC 2026'!J$2:J$200,'GECC 2026'!F$2:F$200,$A8)</f>
        <v>23</v>
      </c>
      <c r="E8" s="164">
        <f>COUNTIFS('GECC 2026'!F$2:F$200,$A8)</f>
        <v>1</v>
      </c>
    </row>
    <row r="9" spans="1:5">
      <c r="A9" t="s">
        <v>2921</v>
      </c>
      <c r="B9" s="162">
        <f>SUMIFS('GECC 2026'!H$2:H$200,'GECC 2026'!F$2:F$200,$A9)</f>
        <v>20</v>
      </c>
      <c r="C9" s="162">
        <f>SUMIFS('GECC 2026'!I$2:I$200,'GECC 2026'!F$2:F$200,$A9)</f>
        <v>2</v>
      </c>
      <c r="D9" s="162">
        <f>SUMIFS('GECC 2026'!J$2:J$200,'GECC 2026'!F$2:F$200,$A9)</f>
        <v>22</v>
      </c>
      <c r="E9" s="157">
        <f>COUNTIFS('GECC 2026'!F$2:F$200,$A9)</f>
        <v>1</v>
      </c>
    </row>
    <row r="10" spans="1:5">
      <c r="A10" s="158" t="s">
        <v>2922</v>
      </c>
      <c r="B10" s="163">
        <f>SUMIFS('GECC 2026'!H$2:H$200,'GECC 2026'!F$2:F$200,$A10)</f>
        <v>20</v>
      </c>
      <c r="C10" s="163">
        <f>SUMIFS('GECC 2026'!I$2:I$200,'GECC 2026'!F$2:F$200,$A10)</f>
        <v>2</v>
      </c>
      <c r="D10" s="163">
        <f>SUMIFS('GECC 2026'!J$2:J$200,'GECC 2026'!F$2:F$200,$A10)</f>
        <v>22</v>
      </c>
      <c r="E10" s="164">
        <f>COUNTIFS('GECC 2026'!F$2:F$200,$A10)</f>
        <v>1</v>
      </c>
    </row>
    <row r="11" spans="1:5">
      <c r="A11" t="s">
        <v>2923</v>
      </c>
      <c r="B11" s="162">
        <f>SUMIFS('GECC 2026'!H$2:H$200,'GECC 2026'!F$2:F$200,$A11)</f>
        <v>20</v>
      </c>
      <c r="C11" s="162">
        <f>SUMIFS('GECC 2026'!I$2:I$200,'GECC 2026'!F$2:F$200,$A11)</f>
        <v>2</v>
      </c>
      <c r="D11" s="162">
        <f>SUMIFS('GECC 2026'!J$2:J$200,'GECC 2026'!F$2:F$200,$A11)</f>
        <v>22</v>
      </c>
      <c r="E11" s="157">
        <f>COUNTIFS('GECC 2026'!F$2:F$200,$A11)</f>
        <v>1</v>
      </c>
    </row>
    <row r="12" spans="1:5">
      <c r="A12" s="158" t="s">
        <v>2678</v>
      </c>
      <c r="B12" s="163">
        <f>SUMIFS('GECC 2026'!H$2:H$200,'GECC 2026'!F$2:F$200,$A12)</f>
        <v>0</v>
      </c>
      <c r="C12" s="163">
        <f>SUMIFS('GECC 2026'!I$2:I$200,'GECC 2026'!F$2:F$200,$A12)</f>
        <v>0</v>
      </c>
      <c r="D12" s="163">
        <f>SUMIFS('GECC 2026'!J$2:J$200,'GECC 2026'!F$2:F$200,$A12)</f>
        <v>0</v>
      </c>
      <c r="E12" s="164">
        <f>COUNTIFS('GECC 2026'!F$2:F$200,$A12)</f>
        <v>3</v>
      </c>
    </row>
    <row r="13" spans="1:5">
      <c r="A13" t="s">
        <v>2924</v>
      </c>
      <c r="B13" s="162">
        <f>SUMIFS('GECC 2026'!H$2:H$200,'GECC 2026'!F$2:F$200,$A13)</f>
        <v>16</v>
      </c>
      <c r="C13" s="162">
        <f>SUMIFS('GECC 2026'!I$2:I$200,'GECC 2026'!F$2:F$200,$A13)</f>
        <v>2.4</v>
      </c>
      <c r="D13" s="162">
        <f>SUMIFS('GECC 2026'!J$2:J$200,'GECC 2026'!F$2:F$200,$A13)</f>
        <v>18.399999999999999</v>
      </c>
      <c r="E13" s="157">
        <f>COUNTIFS('GECC 2026'!F$2:F$200,$A13)</f>
        <v>2</v>
      </c>
    </row>
    <row r="14" spans="1:5">
      <c r="A14" s="158" t="s">
        <v>2925</v>
      </c>
      <c r="B14" s="163">
        <f>SUMIFS('GECC 2026'!H$2:H$200,'GECC 2026'!F$2:F$200,$A14)</f>
        <v>16</v>
      </c>
      <c r="C14" s="163">
        <f>SUMIFS('GECC 2026'!I$2:I$200,'GECC 2026'!F$2:F$200,$A14)</f>
        <v>2.4</v>
      </c>
      <c r="D14" s="163">
        <f>SUMIFS('GECC 2026'!J$2:J$200,'GECC 2026'!F$2:F$200,$A14)</f>
        <v>18.399999999999999</v>
      </c>
      <c r="E14" s="164">
        <f>COUNTIFS('GECC 2026'!F$2:F$200,$A14)</f>
        <v>2</v>
      </c>
    </row>
    <row r="15" spans="1:5">
      <c r="A15" t="s">
        <v>2926</v>
      </c>
      <c r="B15" s="162">
        <f>SUMIFS('GECC 2026'!H$2:H$200,'GECC 2026'!F$2:F$200,$A15)</f>
        <v>12</v>
      </c>
      <c r="C15" s="162">
        <f>SUMIFS('GECC 2026'!I$2:I$200,'GECC 2026'!F$2:F$200,$A15)</f>
        <v>1.7999999999999998</v>
      </c>
      <c r="D15" s="162">
        <f>SUMIFS('GECC 2026'!J$2:J$200,'GECC 2026'!F$2:F$200,$A15)</f>
        <v>13.8</v>
      </c>
      <c r="E15" s="157">
        <f>COUNTIFS('GECC 2026'!F$2:F$200,$A15)</f>
        <v>1</v>
      </c>
    </row>
    <row r="16" spans="1:5">
      <c r="A16" s="158" t="s">
        <v>442</v>
      </c>
      <c r="B16" s="163">
        <f>SUMIFS('GECC 2026'!H$2:H$200,'GECC 2026'!F$2:F$200,$A16)</f>
        <v>12</v>
      </c>
      <c r="C16" s="163">
        <f>SUMIFS('GECC 2026'!I$2:I$200,'GECC 2026'!F$2:F$200,$A16)</f>
        <v>1.7999999999999998</v>
      </c>
      <c r="D16" s="163">
        <f>SUMIFS('GECC 2026'!J$2:J$200,'GECC 2026'!F$2:F$200,$A16)</f>
        <v>13.8</v>
      </c>
      <c r="E16" s="164">
        <f>COUNTIFS('GECC 2026'!F$2:F$200,$A16)</f>
        <v>1</v>
      </c>
    </row>
    <row r="17" spans="1:5">
      <c r="A17" t="s">
        <v>2927</v>
      </c>
      <c r="B17" s="162">
        <f>SUMIFS('GECC 2026'!H$2:H$200,'GECC 2026'!F$2:F$200,$A17)</f>
        <v>12</v>
      </c>
      <c r="C17" s="162">
        <f>SUMIFS('GECC 2026'!I$2:I$200,'GECC 2026'!F$2:F$200,$A17)</f>
        <v>0.72</v>
      </c>
      <c r="D17" s="162">
        <f>SUMIFS('GECC 2026'!J$2:J$200,'GECC 2026'!F$2:F$200,$A17)</f>
        <v>12.72</v>
      </c>
      <c r="E17" s="157">
        <f>COUNTIFS('GECC 2026'!F$2:F$200,$A17)</f>
        <v>3</v>
      </c>
    </row>
    <row r="18" spans="1:5">
      <c r="A18" s="158" t="s">
        <v>2928</v>
      </c>
      <c r="B18" s="163">
        <f>SUMIFS('GECC 2026'!H$2:H$200,'GECC 2026'!F$2:F$200,$A18)</f>
        <v>12</v>
      </c>
      <c r="C18" s="163">
        <f>SUMIFS('GECC 2026'!I$2:I$200,'GECC 2026'!F$2:F$200,$A18)</f>
        <v>0.72</v>
      </c>
      <c r="D18" s="163">
        <f>SUMIFS('GECC 2026'!J$2:J$200,'GECC 2026'!F$2:F$200,$A18)</f>
        <v>12.72</v>
      </c>
      <c r="E18" s="164">
        <f>COUNTIFS('GECC 2026'!F$2:F$200,$A18)</f>
        <v>3</v>
      </c>
    </row>
    <row r="19" spans="1:5">
      <c r="A19" t="s">
        <v>1472</v>
      </c>
      <c r="B19" s="162">
        <f>SUMIFS('GECC 2026'!H$2:H$200,'GECC 2026'!F$2:F$200,$A19)</f>
        <v>8</v>
      </c>
      <c r="C19" s="162">
        <f>SUMIFS('GECC 2026'!I$2:I$200,'GECC 2026'!F$2:F$200,$A19)</f>
        <v>2.4</v>
      </c>
      <c r="D19" s="162">
        <f>SUMIFS('GECC 2026'!J$2:J$200,'GECC 2026'!F$2:F$200,$A19)</f>
        <v>10.4</v>
      </c>
      <c r="E19" s="157">
        <f>COUNTIFS('GECC 2026'!F$2:F$200,$A19)</f>
        <v>1</v>
      </c>
    </row>
    <row r="20" spans="1:5">
      <c r="A20" t="s">
        <v>1033</v>
      </c>
      <c r="B20" s="162">
        <f>SUMIFS('GECC 2026'!H$2:H$200,'GECC 2026'!F$2:F$200,$A20)</f>
        <v>12</v>
      </c>
      <c r="C20" s="162">
        <f>SUMIFS('GECC 2026'!I$2:I$200,'GECC 2026'!F$2:F$200,$A20)</f>
        <v>0.72</v>
      </c>
      <c r="D20" s="162">
        <f>SUMIFS('GECC 2026'!J$2:J$200,'GECC 2026'!F$2:F$200,$A20)</f>
        <v>12.72</v>
      </c>
      <c r="E20" s="157">
        <f>COUNTIFS('GECC 2026'!F$2:F$200,$A20)</f>
        <v>3</v>
      </c>
    </row>
    <row r="21" spans="1:5">
      <c r="A21" s="158" t="s">
        <v>1369</v>
      </c>
      <c r="B21" s="163">
        <f>SUMIFS('GECC 2026'!H$2:H$200,'GECC 2026'!F$2:F$200,$A21)</f>
        <v>12</v>
      </c>
      <c r="C21" s="163">
        <f>SUMIFS('GECC 2026'!I$2:I$200,'GECC 2026'!F$2:F$200,$A21)</f>
        <v>0.72</v>
      </c>
      <c r="D21" s="163">
        <f>SUMIFS('GECC 2026'!J$2:J$200,'GECC 2026'!F$2:F$200,$A21)</f>
        <v>12.72</v>
      </c>
      <c r="E21" s="164">
        <f>COUNTIFS('GECC 2026'!F$2:F$200,$A21)</f>
        <v>3</v>
      </c>
    </row>
    <row r="22" spans="1:5">
      <c r="A22" t="s">
        <v>2716</v>
      </c>
      <c r="B22" s="162">
        <f>SUMIFS('GECC 2026'!H$2:H$200,'GECC 2026'!F$2:F$200,$A22)</f>
        <v>0</v>
      </c>
      <c r="C22" s="162">
        <f>SUMIFS('GECC 2026'!I$2:I$200,'GECC 2026'!F$2:F$200,$A22)</f>
        <v>0</v>
      </c>
      <c r="D22" s="162">
        <f>SUMIFS('GECC 2026'!J$2:J$200,'GECC 2026'!F$2:F$200,$A22)</f>
        <v>0</v>
      </c>
      <c r="E22" s="157">
        <f>COUNTIFS('GECC 2026'!F$2:F$200,$A22)</f>
        <v>1</v>
      </c>
    </row>
    <row r="23" spans="1:5">
      <c r="B23" s="162"/>
      <c r="C23" s="162"/>
      <c r="D23" s="162"/>
      <c r="E23" s="157"/>
    </row>
    <row r="24" spans="1:5">
      <c r="A24" s="159" t="s">
        <v>2929</v>
      </c>
      <c r="B24" s="160">
        <f>SUM(B5:B22)</f>
        <v>288</v>
      </c>
      <c r="C24" s="160">
        <f>SUM(C5:C22)</f>
        <v>41.999999999999986</v>
      </c>
      <c r="D24" s="160">
        <f>SUM(D5:D22)</f>
        <v>330.00000000000011</v>
      </c>
      <c r="E24" s="165">
        <f>SUM(E5:E22)</f>
        <v>35</v>
      </c>
    </row>
  </sheetData>
  <mergeCells count="2">
    <mergeCell ref="A1:E1"/>
    <mergeCell ref="A2:E2"/>
  </mergeCells>
  <conditionalFormatting sqref="D5:D22">
    <cfRule type="colorScale" priority="10">
      <colorScale>
        <cfvo type="min"/>
        <cfvo type="percentile" val="50"/>
        <cfvo type="max"/>
        <color rgb="FFFFFFFF"/>
        <color rgb="FFBDD7EE"/>
        <color rgb="FF2E75B6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FD21-1179-45B5-9735-288730B10DB3}">
  <sheetPr>
    <pageSetUpPr fitToPage="1"/>
  </sheetPr>
  <dimension ref="A1:AF1898"/>
  <sheetViews>
    <sheetView topLeftCell="A716" zoomScaleNormal="100" workbookViewId="0">
      <pane xSplit="4" topLeftCell="E1" activePane="topRight" state="frozen"/>
      <selection pane="topRight" activeCell="D762" sqref="D762"/>
    </sheetView>
  </sheetViews>
  <sheetFormatPr defaultColWidth="9.140625" defaultRowHeight="23.25" customHeight="1"/>
  <cols>
    <col min="1" max="1" width="11" style="2" customWidth="1"/>
    <col min="2" max="2" width="11.5703125" style="3" bestFit="1" customWidth="1"/>
    <col min="3" max="3" width="14.140625" style="3" bestFit="1" customWidth="1"/>
    <col min="4" max="4" width="17.7109375" style="3" customWidth="1"/>
    <col min="5" max="5" width="21.42578125" style="3" customWidth="1"/>
    <col min="6" max="6" width="90.7109375" style="2" customWidth="1"/>
    <col min="7" max="7" width="10.28515625" style="2" hidden="1" customWidth="1"/>
    <col min="8" max="8" width="18.28515625" style="245" hidden="1" customWidth="1"/>
    <col min="9" max="9" width="28.85546875" style="2" customWidth="1"/>
    <col min="10" max="10" width="37.5703125" style="2" customWidth="1"/>
    <col min="11" max="11" width="0.140625" style="2" customWidth="1"/>
    <col min="12" max="12" width="35.7109375" style="3" customWidth="1"/>
    <col min="13" max="13" width="12.7109375" style="1" customWidth="1"/>
    <col min="14" max="14" width="12" style="1" customWidth="1"/>
    <col min="15" max="15" width="22.42578125" style="3" customWidth="1"/>
    <col min="16" max="16" width="18.140625" style="178" customWidth="1"/>
    <col min="17" max="17" width="9.140625" style="2" customWidth="1"/>
    <col min="18" max="18" width="16.28515625" style="2" customWidth="1"/>
    <col min="19" max="19" width="10.85546875" style="2" customWidth="1"/>
    <col min="20" max="20" width="12.7109375" style="4" customWidth="1"/>
    <col min="21" max="21" width="12.42578125" style="4" customWidth="1"/>
    <col min="22" max="22" width="18.42578125" style="4" customWidth="1"/>
    <col min="23" max="23" width="12.42578125" style="4" customWidth="1"/>
    <col min="24" max="24" width="15.140625" style="4" customWidth="1"/>
    <col min="25" max="25" width="9.140625" style="2" customWidth="1"/>
    <col min="26" max="26" width="14.42578125" style="2" customWidth="1"/>
    <col min="27" max="27" width="52.7109375" style="2" customWidth="1"/>
    <col min="28" max="28" width="16.42578125" style="2" customWidth="1"/>
    <col min="29" max="29" width="9.140625" style="2" customWidth="1"/>
    <col min="30" max="30" width="16.42578125" style="2" customWidth="1"/>
    <col min="31" max="16384" width="9.140625" style="2"/>
  </cols>
  <sheetData>
    <row r="1" spans="1:30" ht="23.25" customHeight="1">
      <c r="A1" s="166" t="s">
        <v>2930</v>
      </c>
      <c r="B1" s="5" t="s">
        <v>2931</v>
      </c>
      <c r="C1" s="5" t="s">
        <v>39</v>
      </c>
      <c r="D1" s="5" t="s">
        <v>56</v>
      </c>
      <c r="E1" s="6" t="s">
        <v>57</v>
      </c>
      <c r="F1" s="7" t="s">
        <v>2932</v>
      </c>
      <c r="G1" s="7" t="s">
        <v>2933</v>
      </c>
      <c r="H1" s="167" t="s">
        <v>2934</v>
      </c>
      <c r="I1" s="5" t="s">
        <v>59</v>
      </c>
      <c r="J1" s="5" t="s">
        <v>60</v>
      </c>
      <c r="K1" s="7" t="s">
        <v>2935</v>
      </c>
      <c r="L1" s="7" t="s">
        <v>61</v>
      </c>
      <c r="M1" s="8" t="s">
        <v>62</v>
      </c>
      <c r="N1" s="8" t="s">
        <v>63</v>
      </c>
      <c r="O1" s="5" t="s">
        <v>38</v>
      </c>
      <c r="P1" s="168" t="s">
        <v>2936</v>
      </c>
      <c r="Q1" s="169" t="s">
        <v>2937</v>
      </c>
      <c r="R1" s="9" t="s">
        <v>65</v>
      </c>
      <c r="S1" s="5" t="s">
        <v>2938</v>
      </c>
      <c r="T1" s="10" t="s">
        <v>66</v>
      </c>
      <c r="U1" s="11" t="s">
        <v>67</v>
      </c>
      <c r="V1" s="11" t="s">
        <v>68</v>
      </c>
      <c r="W1" s="11" t="s">
        <v>69</v>
      </c>
      <c r="X1" s="23" t="s">
        <v>70</v>
      </c>
      <c r="Y1" s="6" t="s">
        <v>71</v>
      </c>
      <c r="Z1" s="5" t="s">
        <v>2939</v>
      </c>
      <c r="AA1" s="5" t="s">
        <v>72</v>
      </c>
      <c r="AB1" s="6" t="s">
        <v>2940</v>
      </c>
      <c r="AC1" s="170" t="s">
        <v>2941</v>
      </c>
      <c r="AD1" s="170" t="s">
        <v>2942</v>
      </c>
    </row>
    <row r="2" spans="1:30" ht="23.25" hidden="1" customHeight="1">
      <c r="A2" s="171" t="s">
        <v>2943</v>
      </c>
      <c r="B2" s="171">
        <v>2014</v>
      </c>
      <c r="C2" s="171"/>
      <c r="D2" s="171" t="s">
        <v>52</v>
      </c>
      <c r="E2" s="172"/>
      <c r="F2" s="173" t="s">
        <v>74</v>
      </c>
      <c r="G2" s="173"/>
      <c r="H2" s="173"/>
      <c r="I2" s="174" t="s">
        <v>6</v>
      </c>
      <c r="J2" s="175" t="s">
        <v>2944</v>
      </c>
      <c r="K2" s="176"/>
      <c r="L2" s="177" t="s">
        <v>75</v>
      </c>
      <c r="M2" s="1">
        <v>41715</v>
      </c>
      <c r="N2" s="1">
        <v>41719</v>
      </c>
      <c r="O2" s="3" t="s">
        <v>45</v>
      </c>
      <c r="P2" s="178">
        <v>19500</v>
      </c>
      <c r="Q2" s="179"/>
      <c r="R2" s="180"/>
      <c r="S2" s="180"/>
      <c r="T2" s="180"/>
      <c r="U2" s="181">
        <v>20</v>
      </c>
      <c r="V2" s="181"/>
      <c r="W2" s="182"/>
      <c r="X2" s="182">
        <f t="shared" ref="X2:X65" si="0">SUM(U2:W2)</f>
        <v>20</v>
      </c>
      <c r="Y2" s="3">
        <v>20</v>
      </c>
      <c r="Z2" s="3"/>
      <c r="AA2" s="183"/>
    </row>
    <row r="3" spans="1:30" ht="23.25" hidden="1" customHeight="1">
      <c r="A3" s="171" t="s">
        <v>2943</v>
      </c>
      <c r="B3" s="171">
        <v>2014</v>
      </c>
      <c r="C3" s="171"/>
      <c r="D3" s="171" t="s">
        <v>52</v>
      </c>
      <c r="E3" s="172"/>
      <c r="F3" s="173" t="s">
        <v>2945</v>
      </c>
      <c r="G3" s="173"/>
      <c r="H3" s="173"/>
      <c r="I3" s="174" t="s">
        <v>6</v>
      </c>
      <c r="J3" s="175" t="s">
        <v>2944</v>
      </c>
      <c r="K3" s="176"/>
      <c r="L3" s="177" t="s">
        <v>78</v>
      </c>
      <c r="M3" s="1">
        <v>41743</v>
      </c>
      <c r="N3" s="1">
        <v>41744</v>
      </c>
      <c r="O3" s="3" t="s">
        <v>45</v>
      </c>
      <c r="P3" s="178">
        <v>28000</v>
      </c>
      <c r="Q3" s="179"/>
      <c r="R3" s="180"/>
      <c r="S3" s="180"/>
      <c r="T3" s="180"/>
      <c r="U3" s="181">
        <v>16</v>
      </c>
      <c r="V3" s="181"/>
      <c r="W3" s="182"/>
      <c r="X3" s="182">
        <f t="shared" si="0"/>
        <v>16</v>
      </c>
      <c r="Y3" s="3">
        <v>16</v>
      </c>
      <c r="Z3" s="3"/>
      <c r="AA3" s="183"/>
    </row>
    <row r="4" spans="1:30" ht="23.25" hidden="1" customHeight="1">
      <c r="A4" s="171" t="s">
        <v>2943</v>
      </c>
      <c r="B4" s="171">
        <v>2014</v>
      </c>
      <c r="C4" s="171"/>
      <c r="D4" s="171" t="s">
        <v>52</v>
      </c>
      <c r="E4" s="172"/>
      <c r="F4" s="173" t="s">
        <v>80</v>
      </c>
      <c r="G4" s="173"/>
      <c r="H4" s="173"/>
      <c r="I4" s="174" t="s">
        <v>2946</v>
      </c>
      <c r="J4" s="175" t="s">
        <v>2947</v>
      </c>
      <c r="K4" s="176"/>
      <c r="L4" s="177" t="s">
        <v>81</v>
      </c>
      <c r="M4" s="1">
        <v>41792</v>
      </c>
      <c r="N4" s="1">
        <v>41799</v>
      </c>
      <c r="O4" s="3" t="s">
        <v>41</v>
      </c>
      <c r="P4" s="178">
        <v>2991</v>
      </c>
      <c r="Q4" s="179"/>
      <c r="R4" s="180"/>
      <c r="S4" s="180"/>
      <c r="T4" s="180"/>
      <c r="U4" s="181">
        <v>24</v>
      </c>
      <c r="V4" s="181"/>
      <c r="W4" s="182"/>
      <c r="X4" s="182">
        <f t="shared" si="0"/>
        <v>24</v>
      </c>
      <c r="Y4" s="3">
        <v>24</v>
      </c>
      <c r="Z4" s="3"/>
      <c r="AA4" s="183"/>
    </row>
    <row r="5" spans="1:30" ht="23.25" hidden="1" customHeight="1">
      <c r="A5" s="171" t="s">
        <v>2943</v>
      </c>
      <c r="B5" s="171">
        <v>2014</v>
      </c>
      <c r="C5" s="171"/>
      <c r="D5" s="171" t="s">
        <v>52</v>
      </c>
      <c r="E5" s="172"/>
      <c r="F5" s="173" t="s">
        <v>2948</v>
      </c>
      <c r="G5" s="173"/>
      <c r="H5" s="173"/>
      <c r="I5" s="174" t="s">
        <v>6</v>
      </c>
      <c r="J5" s="175" t="s">
        <v>2949</v>
      </c>
      <c r="K5" s="176"/>
      <c r="L5" s="177" t="s">
        <v>84</v>
      </c>
      <c r="M5" s="1">
        <v>41814</v>
      </c>
      <c r="N5" s="1">
        <v>41815</v>
      </c>
      <c r="O5" s="3" t="s">
        <v>45</v>
      </c>
      <c r="P5" s="178">
        <v>41341.160000000003</v>
      </c>
      <c r="Q5" s="179"/>
      <c r="R5" s="180"/>
      <c r="S5" s="180"/>
      <c r="T5" s="180"/>
      <c r="U5" s="181">
        <v>16</v>
      </c>
      <c r="V5" s="181"/>
      <c r="W5" s="182"/>
      <c r="X5" s="182">
        <f t="shared" si="0"/>
        <v>16</v>
      </c>
      <c r="Y5" s="3">
        <v>16</v>
      </c>
      <c r="Z5" s="3"/>
      <c r="AA5" s="183"/>
    </row>
    <row r="6" spans="1:30" ht="23.25" hidden="1" customHeight="1">
      <c r="A6" s="171" t="s">
        <v>2943</v>
      </c>
      <c r="B6" s="171">
        <v>2014</v>
      </c>
      <c r="C6" s="171"/>
      <c r="D6" s="171" t="s">
        <v>52</v>
      </c>
      <c r="E6" s="172"/>
      <c r="F6" s="173" t="s">
        <v>2950</v>
      </c>
      <c r="G6" s="173"/>
      <c r="H6" s="173"/>
      <c r="I6" s="174" t="s">
        <v>6</v>
      </c>
      <c r="J6" s="175" t="s">
        <v>2944</v>
      </c>
      <c r="K6" s="176"/>
      <c r="L6" s="177" t="s">
        <v>87</v>
      </c>
      <c r="M6" s="1">
        <v>41855</v>
      </c>
      <c r="N6" s="1">
        <v>41859</v>
      </c>
      <c r="O6" s="3" t="s">
        <v>45</v>
      </c>
      <c r="P6" s="178">
        <v>54900</v>
      </c>
      <c r="Q6" s="179"/>
      <c r="R6" s="180"/>
      <c r="S6" s="180"/>
      <c r="T6" s="180"/>
      <c r="U6" s="181">
        <v>40</v>
      </c>
      <c r="V6" s="181"/>
      <c r="W6" s="182"/>
      <c r="X6" s="182">
        <f t="shared" si="0"/>
        <v>40</v>
      </c>
      <c r="Y6" s="3">
        <v>40</v>
      </c>
      <c r="Z6" s="3"/>
      <c r="AA6" s="183"/>
    </row>
    <row r="7" spans="1:30" ht="23.25" hidden="1" customHeight="1">
      <c r="A7" s="171" t="s">
        <v>2943</v>
      </c>
      <c r="B7" s="171">
        <v>2014</v>
      </c>
      <c r="C7" s="171"/>
      <c r="D7" s="171" t="s">
        <v>52</v>
      </c>
      <c r="E7" s="172"/>
      <c r="F7" s="173" t="s">
        <v>89</v>
      </c>
      <c r="G7" s="173"/>
      <c r="H7" s="173"/>
      <c r="I7" s="174" t="s">
        <v>6</v>
      </c>
      <c r="J7" s="175" t="s">
        <v>2944</v>
      </c>
      <c r="K7" s="176"/>
      <c r="L7" s="177" t="s">
        <v>90</v>
      </c>
      <c r="M7" s="1">
        <v>41892</v>
      </c>
      <c r="N7" s="1">
        <v>41892</v>
      </c>
      <c r="O7" s="3" t="s">
        <v>45</v>
      </c>
      <c r="P7" s="178">
        <v>15000</v>
      </c>
      <c r="Q7" s="179"/>
      <c r="R7" s="180"/>
      <c r="S7" s="180"/>
      <c r="T7" s="180"/>
      <c r="U7" s="181">
        <v>30</v>
      </c>
      <c r="V7" s="181"/>
      <c r="W7" s="182"/>
      <c r="X7" s="182">
        <f t="shared" si="0"/>
        <v>30</v>
      </c>
      <c r="Y7" s="3">
        <v>30</v>
      </c>
      <c r="Z7" s="3"/>
      <c r="AA7" s="183"/>
    </row>
    <row r="8" spans="1:30" ht="23.25" hidden="1" customHeight="1">
      <c r="A8" s="171" t="s">
        <v>2943</v>
      </c>
      <c r="B8" s="171">
        <v>2014</v>
      </c>
      <c r="C8" s="171"/>
      <c r="D8" s="171" t="s">
        <v>52</v>
      </c>
      <c r="E8" s="172"/>
      <c r="F8" s="184" t="s">
        <v>2951</v>
      </c>
      <c r="G8" s="173"/>
      <c r="H8" s="173"/>
      <c r="I8" s="174" t="s">
        <v>6</v>
      </c>
      <c r="J8" s="175" t="s">
        <v>2944</v>
      </c>
      <c r="K8" s="176"/>
      <c r="L8" s="177" t="s">
        <v>92</v>
      </c>
      <c r="M8" s="1">
        <v>41943</v>
      </c>
      <c r="N8" s="1">
        <v>41943</v>
      </c>
      <c r="O8" s="3" t="s">
        <v>45</v>
      </c>
      <c r="P8" s="178">
        <v>33260</v>
      </c>
      <c r="Q8" s="179"/>
      <c r="R8" s="180"/>
      <c r="S8" s="180"/>
      <c r="T8" s="180"/>
      <c r="U8" s="181">
        <v>24</v>
      </c>
      <c r="V8" s="181"/>
      <c r="W8" s="182"/>
      <c r="X8" s="182">
        <f t="shared" si="0"/>
        <v>24</v>
      </c>
      <c r="Y8" s="3">
        <v>24</v>
      </c>
      <c r="Z8" s="3"/>
      <c r="AA8" s="183"/>
    </row>
    <row r="9" spans="1:30" ht="23.25" hidden="1" customHeight="1">
      <c r="A9" s="171" t="s">
        <v>2943</v>
      </c>
      <c r="B9" s="171">
        <v>2014</v>
      </c>
      <c r="C9" s="171"/>
      <c r="D9" s="171" t="s">
        <v>52</v>
      </c>
      <c r="E9" s="172"/>
      <c r="F9" s="173" t="s">
        <v>94</v>
      </c>
      <c r="G9" s="173"/>
      <c r="H9" s="173"/>
      <c r="I9" s="174" t="s">
        <v>6</v>
      </c>
      <c r="J9" s="175" t="s">
        <v>2949</v>
      </c>
      <c r="K9" s="176"/>
      <c r="L9" s="177" t="s">
        <v>95</v>
      </c>
      <c r="M9" s="1">
        <v>41953</v>
      </c>
      <c r="N9" s="1">
        <v>41957</v>
      </c>
      <c r="O9" s="3" t="s">
        <v>41</v>
      </c>
      <c r="P9" s="185">
        <v>4353.54</v>
      </c>
      <c r="Q9" s="179"/>
      <c r="R9" s="180"/>
      <c r="S9" s="180"/>
      <c r="T9" s="180"/>
      <c r="U9" s="181"/>
      <c r="V9" s="181">
        <v>37</v>
      </c>
      <c r="W9" s="182"/>
      <c r="X9" s="182">
        <f t="shared" si="0"/>
        <v>37</v>
      </c>
      <c r="Y9" s="171">
        <v>8</v>
      </c>
      <c r="Z9" s="3"/>
      <c r="AA9" s="183"/>
    </row>
    <row r="10" spans="1:30" ht="23.25" hidden="1" customHeight="1">
      <c r="A10" s="171" t="s">
        <v>2943</v>
      </c>
      <c r="B10" s="171">
        <v>2014</v>
      </c>
      <c r="C10" s="171"/>
      <c r="D10" s="171" t="s">
        <v>52</v>
      </c>
      <c r="E10" s="172"/>
      <c r="F10" s="186" t="s">
        <v>97</v>
      </c>
      <c r="G10" s="186"/>
      <c r="H10" s="186"/>
      <c r="I10" s="174" t="s">
        <v>6</v>
      </c>
      <c r="J10" s="175" t="s">
        <v>2944</v>
      </c>
      <c r="K10" s="176"/>
      <c r="L10" s="177" t="s">
        <v>98</v>
      </c>
      <c r="M10" s="1">
        <v>41967</v>
      </c>
      <c r="N10" s="1">
        <v>41971</v>
      </c>
      <c r="O10" s="3" t="s">
        <v>41</v>
      </c>
      <c r="P10" s="187">
        <v>4353.54</v>
      </c>
      <c r="Q10" s="179"/>
      <c r="R10" s="180"/>
      <c r="S10" s="180"/>
      <c r="T10" s="180"/>
      <c r="U10" s="181"/>
      <c r="V10" s="181">
        <v>58</v>
      </c>
      <c r="W10" s="182"/>
      <c r="X10" s="182">
        <f t="shared" si="0"/>
        <v>58</v>
      </c>
      <c r="Y10" s="171">
        <v>20</v>
      </c>
      <c r="Z10" s="3"/>
      <c r="AA10" s="183"/>
    </row>
    <row r="11" spans="1:30" ht="23.25" hidden="1" customHeight="1">
      <c r="A11" s="171" t="s">
        <v>2943</v>
      </c>
      <c r="B11" s="171">
        <v>2015</v>
      </c>
      <c r="C11" s="171"/>
      <c r="D11" s="171" t="s">
        <v>52</v>
      </c>
      <c r="E11" s="3" t="s">
        <v>100</v>
      </c>
      <c r="F11" s="173" t="s">
        <v>101</v>
      </c>
      <c r="G11" s="173"/>
      <c r="H11" s="173"/>
      <c r="I11" s="174" t="s">
        <v>6</v>
      </c>
      <c r="J11" s="175" t="s">
        <v>2944</v>
      </c>
      <c r="K11" s="176"/>
      <c r="L11" s="177" t="s">
        <v>102</v>
      </c>
      <c r="M11" s="1">
        <v>42086</v>
      </c>
      <c r="N11" s="1">
        <v>42090</v>
      </c>
      <c r="O11" s="171" t="s">
        <v>45</v>
      </c>
      <c r="P11" s="178">
        <v>23500</v>
      </c>
      <c r="Q11" s="179"/>
      <c r="R11" s="180"/>
      <c r="S11" s="180"/>
      <c r="T11" s="180"/>
      <c r="U11" s="181">
        <v>25</v>
      </c>
      <c r="V11" s="181"/>
      <c r="W11" s="182"/>
      <c r="X11" s="182">
        <f t="shared" si="0"/>
        <v>25</v>
      </c>
      <c r="Y11" s="171">
        <v>20</v>
      </c>
      <c r="Z11" s="3"/>
      <c r="AA11" s="2" t="s">
        <v>103</v>
      </c>
    </row>
    <row r="12" spans="1:30" ht="23.25" hidden="1" customHeight="1">
      <c r="A12" s="171" t="s">
        <v>2943</v>
      </c>
      <c r="B12" s="171">
        <v>2015</v>
      </c>
      <c r="C12" s="171"/>
      <c r="D12" s="171" t="s">
        <v>52</v>
      </c>
      <c r="E12" s="3" t="s">
        <v>105</v>
      </c>
      <c r="F12" s="173" t="s">
        <v>106</v>
      </c>
      <c r="G12" s="173"/>
      <c r="H12" s="173"/>
      <c r="I12" s="188" t="s">
        <v>44</v>
      </c>
      <c r="J12" s="175" t="s">
        <v>2949</v>
      </c>
      <c r="K12" s="176"/>
      <c r="L12" s="177" t="s">
        <v>107</v>
      </c>
      <c r="M12" s="1">
        <v>42100</v>
      </c>
      <c r="N12" s="1">
        <v>42104</v>
      </c>
      <c r="O12" s="171" t="s">
        <v>41</v>
      </c>
      <c r="P12" s="187">
        <v>4992.74</v>
      </c>
      <c r="Q12" s="179"/>
      <c r="R12" s="180"/>
      <c r="S12" s="180"/>
      <c r="T12" s="180"/>
      <c r="U12" s="181"/>
      <c r="V12" s="181">
        <v>85</v>
      </c>
      <c r="W12" s="182"/>
      <c r="X12" s="182">
        <f t="shared" si="0"/>
        <v>85</v>
      </c>
      <c r="Y12" s="171">
        <v>20</v>
      </c>
      <c r="Z12" s="3"/>
      <c r="AA12" s="189" t="s">
        <v>108</v>
      </c>
    </row>
    <row r="13" spans="1:30" ht="23.25" hidden="1" customHeight="1">
      <c r="A13" s="171" t="s">
        <v>2943</v>
      </c>
      <c r="B13" s="171">
        <v>2015</v>
      </c>
      <c r="C13" s="171"/>
      <c r="D13" s="171" t="s">
        <v>52</v>
      </c>
      <c r="E13" s="171" t="s">
        <v>114</v>
      </c>
      <c r="F13" s="173" t="s">
        <v>97</v>
      </c>
      <c r="G13" s="173"/>
      <c r="H13" s="173"/>
      <c r="I13" s="188" t="s">
        <v>44</v>
      </c>
      <c r="J13" s="2" t="s">
        <v>2952</v>
      </c>
      <c r="K13" s="176"/>
      <c r="L13" s="177" t="s">
        <v>115</v>
      </c>
      <c r="M13" s="1">
        <v>42107</v>
      </c>
      <c r="N13" s="1">
        <v>42111</v>
      </c>
      <c r="O13" s="171" t="s">
        <v>41</v>
      </c>
      <c r="P13" s="178">
        <v>4447.5200000000004</v>
      </c>
      <c r="Q13" s="179"/>
      <c r="R13" s="180"/>
      <c r="S13" s="180"/>
      <c r="T13" s="180"/>
      <c r="U13" s="181"/>
      <c r="V13" s="182">
        <v>89</v>
      </c>
      <c r="W13" s="182"/>
      <c r="X13" s="182">
        <f t="shared" si="0"/>
        <v>89</v>
      </c>
      <c r="Y13" s="171">
        <v>20</v>
      </c>
      <c r="Z13" s="3"/>
      <c r="AA13" s="190" t="s">
        <v>2953</v>
      </c>
    </row>
    <row r="14" spans="1:30" ht="23.25" hidden="1" customHeight="1">
      <c r="A14" s="171" t="s">
        <v>2943</v>
      </c>
      <c r="B14" s="171">
        <v>2015</v>
      </c>
      <c r="C14" s="171"/>
      <c r="D14" s="171" t="s">
        <v>52</v>
      </c>
      <c r="E14" s="3" t="s">
        <v>118</v>
      </c>
      <c r="F14" s="173" t="s">
        <v>119</v>
      </c>
      <c r="G14" s="173"/>
      <c r="H14" s="173"/>
      <c r="I14" s="174" t="s">
        <v>2946</v>
      </c>
      <c r="J14" s="175" t="s">
        <v>2954</v>
      </c>
      <c r="K14" s="176"/>
      <c r="L14" s="177" t="s">
        <v>120</v>
      </c>
      <c r="M14" s="1">
        <v>42110</v>
      </c>
      <c r="N14" s="1">
        <v>42118</v>
      </c>
      <c r="O14" s="171" t="s">
        <v>41</v>
      </c>
      <c r="P14" s="178">
        <v>4447.5200000000004</v>
      </c>
      <c r="Q14" s="179"/>
      <c r="R14" s="180"/>
      <c r="S14" s="180"/>
      <c r="T14" s="180"/>
      <c r="U14" s="181">
        <v>37</v>
      </c>
      <c r="V14" s="181"/>
      <c r="W14" s="182"/>
      <c r="X14" s="182">
        <f t="shared" si="0"/>
        <v>37</v>
      </c>
      <c r="Y14" s="171">
        <v>30</v>
      </c>
      <c r="Z14" s="3"/>
      <c r="AA14" s="190" t="s">
        <v>2953</v>
      </c>
    </row>
    <row r="15" spans="1:30" ht="23.25" hidden="1" customHeight="1">
      <c r="A15" s="171" t="s">
        <v>2943</v>
      </c>
      <c r="B15" s="171">
        <v>2015</v>
      </c>
      <c r="C15" s="171"/>
      <c r="D15" s="171" t="s">
        <v>52</v>
      </c>
      <c r="E15" s="172"/>
      <c r="F15" s="191" t="s">
        <v>122</v>
      </c>
      <c r="G15" s="191"/>
      <c r="H15" s="191"/>
      <c r="I15" s="188" t="s">
        <v>48</v>
      </c>
      <c r="J15" s="175" t="s">
        <v>123</v>
      </c>
      <c r="K15" s="176"/>
      <c r="L15" s="177"/>
      <c r="M15" s="1">
        <v>42122</v>
      </c>
      <c r="N15" s="1">
        <v>42122</v>
      </c>
      <c r="O15" s="3" t="s">
        <v>41</v>
      </c>
      <c r="P15" s="178">
        <v>0</v>
      </c>
      <c r="Q15" s="179"/>
      <c r="R15" s="180"/>
      <c r="S15" s="180"/>
      <c r="T15" s="180"/>
      <c r="U15" s="181"/>
      <c r="V15" s="181"/>
      <c r="W15" s="192"/>
      <c r="X15" s="182">
        <f t="shared" si="0"/>
        <v>0</v>
      </c>
      <c r="Y15" s="171">
        <v>5</v>
      </c>
      <c r="Z15" s="3"/>
    </row>
    <row r="16" spans="1:30" ht="23.25" hidden="1" customHeight="1">
      <c r="A16" s="171" t="s">
        <v>2943</v>
      </c>
      <c r="B16" s="171">
        <v>2015</v>
      </c>
      <c r="C16" s="171"/>
      <c r="D16" s="171" t="s">
        <v>52</v>
      </c>
      <c r="E16" s="3" t="s">
        <v>126</v>
      </c>
      <c r="F16" s="173" t="s">
        <v>127</v>
      </c>
      <c r="G16" s="173"/>
      <c r="H16" s="173"/>
      <c r="I16" s="174" t="s">
        <v>6</v>
      </c>
      <c r="J16" s="175" t="s">
        <v>2944</v>
      </c>
      <c r="K16" s="176"/>
      <c r="L16" s="177" t="s">
        <v>128</v>
      </c>
      <c r="M16" s="1">
        <v>42129</v>
      </c>
      <c r="N16" s="1">
        <v>42132</v>
      </c>
      <c r="O16" s="171" t="s">
        <v>45</v>
      </c>
      <c r="P16" s="178">
        <v>35500</v>
      </c>
      <c r="Q16" s="179"/>
      <c r="R16" s="180"/>
      <c r="S16" s="180"/>
      <c r="T16" s="180"/>
      <c r="U16" s="181">
        <v>30</v>
      </c>
      <c r="V16" s="181"/>
      <c r="W16" s="182"/>
      <c r="X16" s="182">
        <f t="shared" si="0"/>
        <v>30</v>
      </c>
      <c r="Y16" s="171">
        <v>16</v>
      </c>
      <c r="Z16" s="3"/>
      <c r="AA16" s="2" t="s">
        <v>129</v>
      </c>
    </row>
    <row r="17" spans="1:27" ht="23.25" hidden="1" customHeight="1">
      <c r="A17" s="171" t="s">
        <v>2943</v>
      </c>
      <c r="B17" s="171">
        <v>2015</v>
      </c>
      <c r="C17" s="171"/>
      <c r="D17" s="171" t="s">
        <v>52</v>
      </c>
      <c r="E17" s="3" t="s">
        <v>131</v>
      </c>
      <c r="F17" s="173" t="s">
        <v>132</v>
      </c>
      <c r="G17" s="173"/>
      <c r="H17" s="173"/>
      <c r="I17" s="174" t="s">
        <v>2946</v>
      </c>
      <c r="J17" s="175" t="s">
        <v>2954</v>
      </c>
      <c r="K17" s="176"/>
      <c r="L17" s="177" t="s">
        <v>133</v>
      </c>
      <c r="M17" s="1">
        <v>42135</v>
      </c>
      <c r="N17" s="1">
        <v>42139</v>
      </c>
      <c r="O17" s="171" t="s">
        <v>41</v>
      </c>
      <c r="P17" s="178">
        <v>4992.74</v>
      </c>
      <c r="Q17" s="179"/>
      <c r="R17" s="180"/>
      <c r="S17" s="180"/>
      <c r="T17" s="180"/>
      <c r="U17" s="181">
        <v>30</v>
      </c>
      <c r="V17" s="181"/>
      <c r="W17" s="182"/>
      <c r="X17" s="182">
        <f t="shared" si="0"/>
        <v>30</v>
      </c>
      <c r="Y17" s="171">
        <v>20</v>
      </c>
      <c r="Z17" s="3"/>
      <c r="AA17" s="190" t="s">
        <v>2955</v>
      </c>
    </row>
    <row r="18" spans="1:27" ht="23.25" hidden="1" customHeight="1">
      <c r="A18" s="171" t="s">
        <v>2943</v>
      </c>
      <c r="B18" s="171">
        <v>2015</v>
      </c>
      <c r="C18" s="171"/>
      <c r="D18" s="171" t="s">
        <v>52</v>
      </c>
      <c r="E18" s="3" t="s">
        <v>136</v>
      </c>
      <c r="F18" s="173" t="s">
        <v>137</v>
      </c>
      <c r="G18" s="173"/>
      <c r="H18" s="173"/>
      <c r="I18" s="174" t="s">
        <v>2946</v>
      </c>
      <c r="J18" s="175" t="s">
        <v>2954</v>
      </c>
      <c r="K18" s="176"/>
      <c r="L18" s="177" t="s">
        <v>138</v>
      </c>
      <c r="M18" s="1">
        <v>42146</v>
      </c>
      <c r="N18" s="1">
        <v>42146</v>
      </c>
      <c r="O18" s="171" t="s">
        <v>45</v>
      </c>
      <c r="P18" s="187">
        <v>0</v>
      </c>
      <c r="Q18" s="179"/>
      <c r="R18" s="180"/>
      <c r="S18" s="180"/>
      <c r="T18" s="180"/>
      <c r="U18" s="181">
        <v>15</v>
      </c>
      <c r="V18" s="181"/>
      <c r="W18" s="182"/>
      <c r="X18" s="182">
        <f t="shared" si="0"/>
        <v>15</v>
      </c>
      <c r="Y18" s="171">
        <v>8</v>
      </c>
      <c r="Z18" s="3"/>
      <c r="AA18" s="193" t="s">
        <v>139</v>
      </c>
    </row>
    <row r="19" spans="1:27" ht="23.25" hidden="1" customHeight="1">
      <c r="A19" s="171" t="s">
        <v>2943</v>
      </c>
      <c r="B19" s="171">
        <v>2015</v>
      </c>
      <c r="C19" s="171"/>
      <c r="D19" s="171" t="s">
        <v>52</v>
      </c>
      <c r="E19" s="3" t="s">
        <v>141</v>
      </c>
      <c r="F19" s="173" t="s">
        <v>142</v>
      </c>
      <c r="G19" s="173"/>
      <c r="H19" s="173"/>
      <c r="I19" s="174" t="s">
        <v>2946</v>
      </c>
      <c r="J19" s="175" t="s">
        <v>2947</v>
      </c>
      <c r="K19" s="176"/>
      <c r="L19" s="177" t="s">
        <v>2956</v>
      </c>
      <c r="M19" s="1">
        <v>42149</v>
      </c>
      <c r="N19" s="1">
        <v>42156</v>
      </c>
      <c r="O19" s="171" t="s">
        <v>45</v>
      </c>
      <c r="P19" s="178">
        <v>2630</v>
      </c>
      <c r="Q19" s="179"/>
      <c r="R19" s="180"/>
      <c r="S19" s="180"/>
      <c r="T19" s="180"/>
      <c r="U19" s="181">
        <v>14</v>
      </c>
      <c r="V19" s="181"/>
      <c r="W19" s="182"/>
      <c r="X19" s="182">
        <f t="shared" si="0"/>
        <v>14</v>
      </c>
      <c r="Y19" s="171">
        <v>24</v>
      </c>
      <c r="Z19" s="3"/>
      <c r="AA19" s="2" t="s">
        <v>144</v>
      </c>
    </row>
    <row r="20" spans="1:27" ht="23.25" hidden="1" customHeight="1">
      <c r="A20" s="171" t="s">
        <v>2943</v>
      </c>
      <c r="B20" s="171">
        <v>2015</v>
      </c>
      <c r="C20" s="171"/>
      <c r="D20" s="171" t="s">
        <v>52</v>
      </c>
      <c r="E20" s="3" t="s">
        <v>146</v>
      </c>
      <c r="F20" s="173" t="s">
        <v>147</v>
      </c>
      <c r="G20" s="173"/>
      <c r="H20" s="173"/>
      <c r="I20" s="174" t="s">
        <v>2946</v>
      </c>
      <c r="J20" s="175" t="s">
        <v>2949</v>
      </c>
      <c r="K20" s="176"/>
      <c r="L20" s="177" t="s">
        <v>148</v>
      </c>
      <c r="M20" s="1">
        <v>42163</v>
      </c>
      <c r="N20" s="1">
        <v>42167</v>
      </c>
      <c r="O20" s="171" t="s">
        <v>41</v>
      </c>
      <c r="P20" s="187">
        <v>0</v>
      </c>
      <c r="Q20" s="179"/>
      <c r="R20" s="180"/>
      <c r="S20" s="180"/>
      <c r="T20" s="180"/>
      <c r="U20" s="181">
        <v>14</v>
      </c>
      <c r="V20" s="181"/>
      <c r="W20" s="182"/>
      <c r="X20" s="182">
        <f t="shared" si="0"/>
        <v>14</v>
      </c>
      <c r="Y20" s="171">
        <v>20</v>
      </c>
      <c r="Z20" s="3"/>
      <c r="AA20" s="190" t="s">
        <v>2957</v>
      </c>
    </row>
    <row r="21" spans="1:27" ht="23.25" hidden="1" customHeight="1">
      <c r="A21" s="171" t="s">
        <v>2943</v>
      </c>
      <c r="B21" s="171">
        <v>2015</v>
      </c>
      <c r="C21" s="171"/>
      <c r="D21" s="171" t="s">
        <v>52</v>
      </c>
      <c r="E21" s="171" t="s">
        <v>2958</v>
      </c>
      <c r="F21" s="173" t="s">
        <v>152</v>
      </c>
      <c r="G21" s="173"/>
      <c r="H21" s="173"/>
      <c r="I21" s="188" t="s">
        <v>44</v>
      </c>
      <c r="J21" s="2" t="s">
        <v>2952</v>
      </c>
      <c r="K21" s="176"/>
      <c r="L21" s="177" t="s">
        <v>153</v>
      </c>
      <c r="M21" s="1">
        <v>42170</v>
      </c>
      <c r="N21" s="1">
        <v>42174</v>
      </c>
      <c r="O21" s="171" t="s">
        <v>41</v>
      </c>
      <c r="P21" s="178">
        <v>4447.5200000000004</v>
      </c>
      <c r="Q21" s="179"/>
      <c r="R21" s="180"/>
      <c r="S21" s="180"/>
      <c r="T21" s="180"/>
      <c r="U21" s="181"/>
      <c r="V21" s="181">
        <v>49</v>
      </c>
      <c r="W21" s="182"/>
      <c r="X21" s="182">
        <f t="shared" si="0"/>
        <v>49</v>
      </c>
      <c r="Y21" s="171">
        <v>20</v>
      </c>
      <c r="Z21" s="3"/>
      <c r="AA21" s="194" t="s">
        <v>154</v>
      </c>
    </row>
    <row r="22" spans="1:27" ht="23.25" hidden="1" customHeight="1">
      <c r="A22" s="171" t="s">
        <v>2943</v>
      </c>
      <c r="B22" s="171">
        <v>2015</v>
      </c>
      <c r="C22" s="171"/>
      <c r="D22" s="171" t="s">
        <v>52</v>
      </c>
      <c r="E22" s="3" t="s">
        <v>156</v>
      </c>
      <c r="F22" s="186" t="s">
        <v>157</v>
      </c>
      <c r="G22" s="186"/>
      <c r="H22" s="186"/>
      <c r="I22" s="188" t="s">
        <v>2946</v>
      </c>
      <c r="J22" s="175" t="s">
        <v>2954</v>
      </c>
      <c r="K22" s="176"/>
      <c r="L22" s="177" t="s">
        <v>158</v>
      </c>
      <c r="M22" s="1">
        <v>42221</v>
      </c>
      <c r="N22" s="1">
        <v>42223</v>
      </c>
      <c r="O22" s="171" t="s">
        <v>41</v>
      </c>
      <c r="P22" s="187">
        <v>0</v>
      </c>
      <c r="Q22" s="179"/>
      <c r="R22" s="180"/>
      <c r="S22" s="180"/>
      <c r="T22" s="180"/>
      <c r="U22" s="181">
        <v>43</v>
      </c>
      <c r="V22" s="181"/>
      <c r="W22" s="182"/>
      <c r="X22" s="182">
        <f t="shared" si="0"/>
        <v>43</v>
      </c>
      <c r="Y22" s="171">
        <v>8</v>
      </c>
      <c r="Z22" s="3"/>
      <c r="AA22" s="194" t="s">
        <v>2959</v>
      </c>
    </row>
    <row r="23" spans="1:27" ht="23.25" hidden="1" customHeight="1">
      <c r="A23" s="171" t="s">
        <v>2943</v>
      </c>
      <c r="B23" s="171">
        <v>2015</v>
      </c>
      <c r="C23" s="171"/>
      <c r="D23" s="171" t="s">
        <v>52</v>
      </c>
      <c r="E23" s="3" t="s">
        <v>161</v>
      </c>
      <c r="F23" s="173" t="s">
        <v>2960</v>
      </c>
      <c r="G23" s="173"/>
      <c r="H23" s="173"/>
      <c r="I23" s="174" t="s">
        <v>2946</v>
      </c>
      <c r="J23" s="175" t="s">
        <v>2947</v>
      </c>
      <c r="K23" s="176"/>
      <c r="L23" s="177" t="s">
        <v>163</v>
      </c>
      <c r="M23" s="1">
        <v>42240</v>
      </c>
      <c r="N23" s="1">
        <v>42244</v>
      </c>
      <c r="O23" s="171" t="s">
        <v>41</v>
      </c>
      <c r="P23" s="178">
        <v>2702.38</v>
      </c>
      <c r="Q23" s="179"/>
      <c r="R23" s="180"/>
      <c r="S23" s="180"/>
      <c r="T23" s="180"/>
      <c r="U23" s="182">
        <v>25</v>
      </c>
      <c r="V23" s="181"/>
      <c r="W23" s="182"/>
      <c r="X23" s="182">
        <f t="shared" si="0"/>
        <v>25</v>
      </c>
      <c r="Y23" s="171">
        <v>20</v>
      </c>
      <c r="Z23" s="3"/>
      <c r="AA23" s="189" t="s">
        <v>2961</v>
      </c>
    </row>
    <row r="24" spans="1:27" ht="23.25" hidden="1" customHeight="1">
      <c r="A24" s="171" t="s">
        <v>2943</v>
      </c>
      <c r="B24" s="171">
        <v>2015</v>
      </c>
      <c r="C24" s="171"/>
      <c r="D24" s="171" t="s">
        <v>52</v>
      </c>
      <c r="E24" s="3" t="s">
        <v>166</v>
      </c>
      <c r="F24" s="173" t="s">
        <v>167</v>
      </c>
      <c r="G24" s="173"/>
      <c r="H24" s="173"/>
      <c r="I24" s="174" t="s">
        <v>2946</v>
      </c>
      <c r="J24" s="2" t="s">
        <v>2952</v>
      </c>
      <c r="K24" s="176"/>
      <c r="L24" s="177" t="s">
        <v>168</v>
      </c>
      <c r="M24" s="1">
        <v>42247</v>
      </c>
      <c r="N24" s="1">
        <v>42251</v>
      </c>
      <c r="O24" s="171" t="s">
        <v>45</v>
      </c>
      <c r="P24" s="178">
        <v>33600</v>
      </c>
      <c r="Q24" s="179"/>
      <c r="R24" s="180"/>
      <c r="S24" s="180"/>
      <c r="T24" s="180"/>
      <c r="U24" s="182">
        <v>35</v>
      </c>
      <c r="V24" s="181"/>
      <c r="W24" s="182"/>
      <c r="X24" s="182">
        <f t="shared" si="0"/>
        <v>35</v>
      </c>
      <c r="Y24" s="171">
        <v>20</v>
      </c>
      <c r="Z24" s="3"/>
      <c r="AA24" s="2" t="s">
        <v>169</v>
      </c>
    </row>
    <row r="25" spans="1:27" ht="23.25" hidden="1" customHeight="1">
      <c r="A25" s="171" t="s">
        <v>2943</v>
      </c>
      <c r="B25" s="171">
        <v>2015</v>
      </c>
      <c r="C25" s="171"/>
      <c r="D25" s="171" t="s">
        <v>52</v>
      </c>
      <c r="E25" s="3" t="s">
        <v>171</v>
      </c>
      <c r="F25" s="173" t="s">
        <v>172</v>
      </c>
      <c r="G25" s="173"/>
      <c r="H25" s="173"/>
      <c r="I25" s="174" t="s">
        <v>6</v>
      </c>
      <c r="J25" s="175" t="s">
        <v>2944</v>
      </c>
      <c r="K25" s="176"/>
      <c r="L25" s="177" t="s">
        <v>173</v>
      </c>
      <c r="M25" s="1">
        <v>42261</v>
      </c>
      <c r="N25" s="1">
        <v>42265</v>
      </c>
      <c r="O25" s="171" t="s">
        <v>45</v>
      </c>
      <c r="P25" s="178">
        <v>15000</v>
      </c>
      <c r="Q25" s="179"/>
      <c r="R25" s="180"/>
      <c r="S25" s="180"/>
      <c r="T25" s="180"/>
      <c r="U25" s="182">
        <v>35</v>
      </c>
      <c r="V25" s="181"/>
      <c r="W25" s="182"/>
      <c r="X25" s="182">
        <f t="shared" si="0"/>
        <v>35</v>
      </c>
      <c r="Y25" s="171">
        <v>25</v>
      </c>
      <c r="Z25" s="3"/>
      <c r="AA25" s="2" t="s">
        <v>2962</v>
      </c>
    </row>
    <row r="26" spans="1:27" ht="23.25" hidden="1" customHeight="1">
      <c r="A26" s="171" t="s">
        <v>2943</v>
      </c>
      <c r="B26" s="171">
        <v>2015</v>
      </c>
      <c r="C26" s="171"/>
      <c r="D26" s="171" t="s">
        <v>52</v>
      </c>
      <c r="E26" s="172"/>
      <c r="F26" s="191" t="s">
        <v>176</v>
      </c>
      <c r="G26" s="191"/>
      <c r="H26" s="191"/>
      <c r="I26" s="174" t="s">
        <v>44</v>
      </c>
      <c r="J26" s="175" t="s">
        <v>123</v>
      </c>
      <c r="K26" s="176"/>
      <c r="L26" s="177"/>
      <c r="M26" s="1">
        <v>42268</v>
      </c>
      <c r="N26" s="1">
        <v>42272</v>
      </c>
      <c r="O26" s="3" t="s">
        <v>41</v>
      </c>
      <c r="P26" s="178">
        <v>4447.5200000000004</v>
      </c>
      <c r="Q26" s="179"/>
      <c r="R26" s="180"/>
      <c r="S26" s="180"/>
      <c r="T26" s="180"/>
      <c r="U26" s="181">
        <v>87</v>
      </c>
      <c r="V26" s="181"/>
      <c r="W26" s="182"/>
      <c r="X26" s="182">
        <f t="shared" si="0"/>
        <v>87</v>
      </c>
      <c r="Y26" s="195"/>
      <c r="Z26" s="3"/>
    </row>
    <row r="27" spans="1:27" ht="23.25" hidden="1" customHeight="1">
      <c r="A27" s="171" t="s">
        <v>2943</v>
      </c>
      <c r="B27" s="171">
        <v>2015</v>
      </c>
      <c r="C27" s="171"/>
      <c r="D27" s="171" t="s">
        <v>52</v>
      </c>
      <c r="E27" s="171" t="s">
        <v>178</v>
      </c>
      <c r="F27" s="173" t="s">
        <v>179</v>
      </c>
      <c r="G27" s="173"/>
      <c r="H27" s="173"/>
      <c r="I27" s="188" t="s">
        <v>48</v>
      </c>
      <c r="J27" s="2" t="s">
        <v>2952</v>
      </c>
      <c r="K27" s="176"/>
      <c r="L27" s="177" t="s">
        <v>180</v>
      </c>
      <c r="M27" s="1">
        <v>42276</v>
      </c>
      <c r="N27" s="1">
        <v>42279</v>
      </c>
      <c r="O27" s="171" t="s">
        <v>41</v>
      </c>
      <c r="P27" s="187">
        <v>4076.52</v>
      </c>
      <c r="Q27" s="179"/>
      <c r="R27" s="180"/>
      <c r="S27" s="180"/>
      <c r="T27" s="180"/>
      <c r="U27" s="181"/>
      <c r="V27" s="181"/>
      <c r="W27" s="182">
        <v>46</v>
      </c>
      <c r="X27" s="182">
        <f t="shared" si="0"/>
        <v>46</v>
      </c>
      <c r="Y27" s="171">
        <v>20</v>
      </c>
      <c r="Z27" s="3"/>
      <c r="AA27" s="194" t="s">
        <v>2963</v>
      </c>
    </row>
    <row r="28" spans="1:27" ht="23.25" hidden="1" customHeight="1">
      <c r="A28" s="171" t="s">
        <v>2943</v>
      </c>
      <c r="B28" s="171">
        <v>2015</v>
      </c>
      <c r="C28" s="171"/>
      <c r="D28" s="171" t="s">
        <v>52</v>
      </c>
      <c r="E28" s="3" t="s">
        <v>183</v>
      </c>
      <c r="F28" s="173" t="s">
        <v>184</v>
      </c>
      <c r="G28" s="173"/>
      <c r="H28" s="173"/>
      <c r="I28" s="174" t="s">
        <v>2946</v>
      </c>
      <c r="J28" s="175" t="s">
        <v>2947</v>
      </c>
      <c r="K28" s="176"/>
      <c r="L28" s="177" t="s">
        <v>185</v>
      </c>
      <c r="M28" s="1">
        <v>42282</v>
      </c>
      <c r="N28" s="1">
        <v>42286</v>
      </c>
      <c r="O28" s="171" t="s">
        <v>41</v>
      </c>
      <c r="P28" s="187">
        <v>4447.5200000000004</v>
      </c>
      <c r="Q28" s="179"/>
      <c r="R28" s="180"/>
      <c r="S28" s="180"/>
      <c r="T28" s="180"/>
      <c r="U28" s="182">
        <v>15</v>
      </c>
      <c r="V28" s="181"/>
      <c r="W28" s="182"/>
      <c r="X28" s="182">
        <f t="shared" si="0"/>
        <v>15</v>
      </c>
      <c r="Y28" s="171">
        <v>20</v>
      </c>
      <c r="Z28" s="3"/>
      <c r="AA28" s="196" t="s">
        <v>2964</v>
      </c>
    </row>
    <row r="29" spans="1:27" ht="23.25" hidden="1" customHeight="1">
      <c r="A29" s="171" t="s">
        <v>2943</v>
      </c>
      <c r="B29" s="171">
        <v>2015</v>
      </c>
      <c r="C29" s="171"/>
      <c r="D29" s="171" t="s">
        <v>52</v>
      </c>
      <c r="E29" s="171" t="s">
        <v>2958</v>
      </c>
      <c r="F29" s="173" t="s">
        <v>188</v>
      </c>
      <c r="G29" s="173"/>
      <c r="H29" s="173"/>
      <c r="I29" s="188" t="s">
        <v>44</v>
      </c>
      <c r="J29" s="2" t="s">
        <v>2952</v>
      </c>
      <c r="K29" s="176"/>
      <c r="L29" s="177" t="s">
        <v>189</v>
      </c>
      <c r="M29" s="1">
        <v>42296</v>
      </c>
      <c r="N29" s="1">
        <v>42300</v>
      </c>
      <c r="O29" s="171" t="s">
        <v>41</v>
      </c>
      <c r="P29" s="178">
        <v>4447.5200000000004</v>
      </c>
      <c r="Q29" s="179"/>
      <c r="R29" s="180"/>
      <c r="S29" s="180"/>
      <c r="T29" s="180"/>
      <c r="U29" s="181"/>
      <c r="V29" s="181">
        <v>54</v>
      </c>
      <c r="W29" s="182"/>
      <c r="X29" s="182">
        <f t="shared" si="0"/>
        <v>54</v>
      </c>
      <c r="Y29" s="171">
        <v>20</v>
      </c>
      <c r="Z29" s="3"/>
      <c r="AA29" s="194" t="s">
        <v>154</v>
      </c>
    </row>
    <row r="30" spans="1:27" ht="23.25" hidden="1" customHeight="1">
      <c r="A30" s="171" t="s">
        <v>2943</v>
      </c>
      <c r="B30" s="171">
        <v>2015</v>
      </c>
      <c r="C30" s="171"/>
      <c r="D30" s="171" t="s">
        <v>52</v>
      </c>
      <c r="E30" s="172"/>
      <c r="F30" s="191" t="s">
        <v>191</v>
      </c>
      <c r="G30" s="191"/>
      <c r="H30" s="191"/>
      <c r="I30" s="174" t="s">
        <v>44</v>
      </c>
      <c r="J30" s="175" t="s">
        <v>123</v>
      </c>
      <c r="K30" s="176"/>
      <c r="L30" s="177"/>
      <c r="M30" s="1">
        <v>42303</v>
      </c>
      <c r="N30" s="1">
        <v>42305</v>
      </c>
      <c r="O30" s="3" t="s">
        <v>41</v>
      </c>
      <c r="P30" s="178">
        <v>4447.5200000000004</v>
      </c>
      <c r="Q30" s="179"/>
      <c r="R30" s="180"/>
      <c r="S30" s="180"/>
      <c r="T30" s="180"/>
      <c r="U30" s="181">
        <v>52</v>
      </c>
      <c r="V30" s="181"/>
      <c r="W30" s="182"/>
      <c r="X30" s="182">
        <f t="shared" si="0"/>
        <v>52</v>
      </c>
      <c r="Y30" s="197">
        <v>0</v>
      </c>
      <c r="Z30" s="3"/>
    </row>
    <row r="31" spans="1:27" ht="23.25" hidden="1" customHeight="1">
      <c r="A31" s="171" t="s">
        <v>2943</v>
      </c>
      <c r="B31" s="171">
        <v>2015</v>
      </c>
      <c r="C31" s="171"/>
      <c r="D31" s="171" t="s">
        <v>52</v>
      </c>
      <c r="E31" s="171" t="s">
        <v>178</v>
      </c>
      <c r="F31" s="173" t="s">
        <v>193</v>
      </c>
      <c r="G31" s="173"/>
      <c r="H31" s="173"/>
      <c r="I31" s="188" t="s">
        <v>48</v>
      </c>
      <c r="J31" s="2" t="s">
        <v>2952</v>
      </c>
      <c r="K31" s="176"/>
      <c r="L31" s="177" t="s">
        <v>194</v>
      </c>
      <c r="M31" s="1">
        <v>42325</v>
      </c>
      <c r="N31" s="1">
        <v>42328</v>
      </c>
      <c r="O31" s="171" t="s">
        <v>41</v>
      </c>
      <c r="P31" s="187">
        <v>4076.52</v>
      </c>
      <c r="Q31" s="179"/>
      <c r="R31" s="180"/>
      <c r="S31" s="180"/>
      <c r="T31" s="180"/>
      <c r="U31" s="181"/>
      <c r="V31" s="181"/>
      <c r="W31" s="182">
        <v>46</v>
      </c>
      <c r="X31" s="182">
        <f t="shared" si="0"/>
        <v>46</v>
      </c>
      <c r="Y31" s="171">
        <v>20</v>
      </c>
      <c r="Z31" s="3"/>
      <c r="AA31" s="194" t="s">
        <v>2963</v>
      </c>
    </row>
    <row r="32" spans="1:27" ht="23.25" hidden="1" customHeight="1">
      <c r="A32" s="171" t="s">
        <v>2943</v>
      </c>
      <c r="B32" s="171">
        <v>2015</v>
      </c>
      <c r="C32" s="171"/>
      <c r="D32" s="171" t="s">
        <v>52</v>
      </c>
      <c r="E32" s="3" t="s">
        <v>110</v>
      </c>
      <c r="F32" s="173" t="s">
        <v>111</v>
      </c>
      <c r="G32" s="173"/>
      <c r="H32" s="173"/>
      <c r="I32" s="174" t="s">
        <v>6</v>
      </c>
      <c r="J32" s="175" t="s">
        <v>2965</v>
      </c>
      <c r="K32" s="176"/>
      <c r="L32" s="177" t="s">
        <v>107</v>
      </c>
      <c r="M32" s="1">
        <v>42466</v>
      </c>
      <c r="N32" s="1">
        <v>42104</v>
      </c>
      <c r="O32" s="171" t="s">
        <v>45</v>
      </c>
      <c r="P32" s="178">
        <v>29000</v>
      </c>
      <c r="Q32" s="179"/>
      <c r="R32" s="180"/>
      <c r="S32" s="180"/>
      <c r="T32" s="180"/>
      <c r="U32" s="182">
        <v>19</v>
      </c>
      <c r="V32" s="181"/>
      <c r="W32" s="182"/>
      <c r="X32" s="182">
        <f t="shared" si="0"/>
        <v>19</v>
      </c>
      <c r="Y32" s="171">
        <v>40</v>
      </c>
      <c r="Z32" s="3"/>
      <c r="AA32" s="2" t="s">
        <v>112</v>
      </c>
    </row>
    <row r="33" spans="1:27" ht="23.25" hidden="1" customHeight="1">
      <c r="A33" s="171" t="s">
        <v>2943</v>
      </c>
      <c r="B33" s="171">
        <v>2016</v>
      </c>
      <c r="C33" s="171"/>
      <c r="D33" s="171" t="s">
        <v>52</v>
      </c>
      <c r="E33" s="198" t="s">
        <v>196</v>
      </c>
      <c r="F33" s="186" t="s">
        <v>197</v>
      </c>
      <c r="G33" s="186"/>
      <c r="H33" s="186"/>
      <c r="I33" s="174" t="s">
        <v>33</v>
      </c>
      <c r="J33" s="175" t="s">
        <v>123</v>
      </c>
      <c r="K33" s="176"/>
      <c r="L33" s="177"/>
      <c r="M33" s="1">
        <v>42495</v>
      </c>
      <c r="O33" s="3" t="s">
        <v>45</v>
      </c>
      <c r="P33" s="178">
        <v>0</v>
      </c>
      <c r="Q33" s="199"/>
      <c r="R33" s="180"/>
      <c r="S33" s="180"/>
      <c r="T33" s="180"/>
      <c r="U33" s="182">
        <v>14</v>
      </c>
      <c r="V33" s="181"/>
      <c r="W33" s="181"/>
      <c r="X33" s="182">
        <f t="shared" si="0"/>
        <v>14</v>
      </c>
      <c r="Y33" s="3">
        <v>8</v>
      </c>
      <c r="Z33" s="3"/>
      <c r="AA33" s="175" t="s">
        <v>2966</v>
      </c>
    </row>
    <row r="34" spans="1:27" ht="23.25" hidden="1" customHeight="1">
      <c r="A34" s="171" t="s">
        <v>2943</v>
      </c>
      <c r="B34" s="171">
        <v>2016</v>
      </c>
      <c r="C34" s="171"/>
      <c r="D34" s="171" t="s">
        <v>52</v>
      </c>
      <c r="E34" s="200"/>
      <c r="F34" s="201" t="s">
        <v>199</v>
      </c>
      <c r="G34" s="201"/>
      <c r="H34" s="201"/>
      <c r="I34" s="174" t="s">
        <v>33</v>
      </c>
      <c r="J34" s="175" t="s">
        <v>123</v>
      </c>
      <c r="K34" s="176"/>
      <c r="L34" s="177"/>
      <c r="M34" s="1">
        <v>42495</v>
      </c>
      <c r="O34" s="171" t="s">
        <v>45</v>
      </c>
      <c r="P34" s="178">
        <v>22500</v>
      </c>
      <c r="Q34" s="199"/>
      <c r="R34" s="180"/>
      <c r="S34" s="180"/>
      <c r="T34" s="180"/>
      <c r="U34" s="181">
        <v>25</v>
      </c>
      <c r="V34" s="181"/>
      <c r="W34" s="181"/>
      <c r="X34" s="182">
        <f t="shared" si="0"/>
        <v>25</v>
      </c>
      <c r="Y34" s="3">
        <v>20</v>
      </c>
      <c r="Z34" s="3"/>
    </row>
    <row r="35" spans="1:27" ht="23.25" hidden="1" customHeight="1">
      <c r="A35" s="171" t="s">
        <v>2943</v>
      </c>
      <c r="B35" s="171">
        <v>2016</v>
      </c>
      <c r="C35" s="171"/>
      <c r="D35" s="171" t="s">
        <v>52</v>
      </c>
      <c r="E35" s="171" t="s">
        <v>2967</v>
      </c>
      <c r="F35" s="201" t="s">
        <v>202</v>
      </c>
      <c r="G35" s="201"/>
      <c r="H35" s="201"/>
      <c r="I35" s="174" t="s">
        <v>33</v>
      </c>
      <c r="J35" s="175" t="s">
        <v>123</v>
      </c>
      <c r="K35" s="176"/>
      <c r="L35" s="177"/>
      <c r="M35" s="1">
        <v>42495</v>
      </c>
      <c r="O35" s="171" t="s">
        <v>45</v>
      </c>
      <c r="P35" s="178">
        <v>25200</v>
      </c>
      <c r="Q35" s="199"/>
      <c r="R35" s="180"/>
      <c r="S35" s="180"/>
      <c r="T35" s="180"/>
      <c r="U35" s="181">
        <v>17</v>
      </c>
      <c r="V35" s="181"/>
      <c r="W35" s="181"/>
      <c r="X35" s="182">
        <f t="shared" si="0"/>
        <v>17</v>
      </c>
      <c r="Y35" s="3">
        <v>20</v>
      </c>
      <c r="Z35" s="3"/>
      <c r="AA35" s="175" t="s">
        <v>2968</v>
      </c>
    </row>
    <row r="36" spans="1:27" ht="23.25" hidden="1" customHeight="1">
      <c r="A36" s="171" t="s">
        <v>2943</v>
      </c>
      <c r="B36" s="171">
        <v>2016</v>
      </c>
      <c r="C36" s="171"/>
      <c r="D36" s="171" t="s">
        <v>52</v>
      </c>
      <c r="E36" s="171" t="s">
        <v>204</v>
      </c>
      <c r="F36" s="173" t="s">
        <v>205</v>
      </c>
      <c r="G36" s="173"/>
      <c r="H36" s="173"/>
      <c r="I36" s="188" t="s">
        <v>44</v>
      </c>
      <c r="J36" s="2" t="s">
        <v>2952</v>
      </c>
      <c r="K36" s="176"/>
      <c r="L36" s="177" t="s">
        <v>206</v>
      </c>
      <c r="M36" s="1">
        <v>42506</v>
      </c>
      <c r="N36" s="1">
        <v>42510</v>
      </c>
      <c r="O36" s="3" t="s">
        <v>41</v>
      </c>
      <c r="P36" s="178">
        <v>6671.48</v>
      </c>
      <c r="Q36" s="199"/>
      <c r="R36" s="180"/>
      <c r="S36" s="180"/>
      <c r="T36" s="180"/>
      <c r="U36" s="181"/>
      <c r="V36" s="182">
        <v>75</v>
      </c>
      <c r="W36" s="181"/>
      <c r="X36" s="182">
        <f t="shared" si="0"/>
        <v>75</v>
      </c>
      <c r="Y36" s="3">
        <v>20</v>
      </c>
      <c r="Z36" s="3"/>
      <c r="AA36" s="190" t="s">
        <v>2953</v>
      </c>
    </row>
    <row r="37" spans="1:27" ht="23.25" hidden="1" customHeight="1">
      <c r="A37" s="171" t="s">
        <v>2943</v>
      </c>
      <c r="B37" s="171">
        <v>2016</v>
      </c>
      <c r="C37" s="171"/>
      <c r="D37" s="171" t="s">
        <v>52</v>
      </c>
      <c r="E37" s="171" t="s">
        <v>2969</v>
      </c>
      <c r="F37" s="173" t="s">
        <v>209</v>
      </c>
      <c r="G37" s="173"/>
      <c r="H37" s="173"/>
      <c r="I37" s="188" t="s">
        <v>48</v>
      </c>
      <c r="J37" s="2" t="s">
        <v>2952</v>
      </c>
      <c r="K37" s="176"/>
      <c r="L37" s="177" t="s">
        <v>210</v>
      </c>
      <c r="M37" s="1">
        <v>42534</v>
      </c>
      <c r="N37" s="1">
        <v>42534</v>
      </c>
      <c r="O37" s="3" t="s">
        <v>41</v>
      </c>
      <c r="P37" s="178">
        <v>2668.6</v>
      </c>
      <c r="Q37" s="199"/>
      <c r="R37" s="180"/>
      <c r="S37" s="180"/>
      <c r="T37" s="180"/>
      <c r="U37" s="181"/>
      <c r="V37" s="182">
        <v>18</v>
      </c>
      <c r="W37" s="181"/>
      <c r="X37" s="182">
        <f t="shared" si="0"/>
        <v>18</v>
      </c>
      <c r="Y37" s="3">
        <v>3</v>
      </c>
      <c r="Z37" s="3"/>
      <c r="AA37" s="202" t="s">
        <v>2970</v>
      </c>
    </row>
    <row r="38" spans="1:27" ht="23.25" hidden="1" customHeight="1">
      <c r="A38" s="171" t="s">
        <v>2943</v>
      </c>
      <c r="B38" s="171">
        <v>2016</v>
      </c>
      <c r="C38" s="171"/>
      <c r="D38" s="171" t="s">
        <v>52</v>
      </c>
      <c r="E38" s="171" t="s">
        <v>2971</v>
      </c>
      <c r="F38" s="186" t="s">
        <v>214</v>
      </c>
      <c r="G38" s="186"/>
      <c r="H38" s="186"/>
      <c r="I38" s="188" t="s">
        <v>48</v>
      </c>
      <c r="J38" s="2" t="s">
        <v>2952</v>
      </c>
      <c r="K38" s="176"/>
      <c r="L38" s="177" t="s">
        <v>215</v>
      </c>
      <c r="M38" s="1">
        <v>42534</v>
      </c>
      <c r="N38" s="1">
        <v>42535</v>
      </c>
      <c r="O38" s="3" t="s">
        <v>45</v>
      </c>
      <c r="P38" s="178">
        <v>0</v>
      </c>
      <c r="Q38" s="199"/>
      <c r="R38" s="180"/>
      <c r="S38" s="180"/>
      <c r="T38" s="180"/>
      <c r="U38" s="182">
        <v>33</v>
      </c>
      <c r="V38" s="181"/>
      <c r="W38" s="181"/>
      <c r="X38" s="182">
        <f t="shared" si="0"/>
        <v>33</v>
      </c>
      <c r="Y38" s="3">
        <v>10</v>
      </c>
      <c r="Z38" s="3"/>
      <c r="AA38" s="175" t="s">
        <v>2972</v>
      </c>
    </row>
    <row r="39" spans="1:27" ht="23.25" hidden="1" customHeight="1">
      <c r="A39" s="171" t="s">
        <v>2943</v>
      </c>
      <c r="B39" s="171">
        <v>2016</v>
      </c>
      <c r="C39" s="171"/>
      <c r="D39" s="171" t="s">
        <v>52</v>
      </c>
      <c r="E39" s="3" t="s">
        <v>217</v>
      </c>
      <c r="F39" s="173" t="s">
        <v>218</v>
      </c>
      <c r="G39" s="173"/>
      <c r="H39" s="173"/>
      <c r="I39" s="188" t="s">
        <v>44</v>
      </c>
      <c r="J39" s="2" t="s">
        <v>2952</v>
      </c>
      <c r="K39" s="176"/>
      <c r="L39" s="177" t="s">
        <v>219</v>
      </c>
      <c r="M39" s="1">
        <v>42534</v>
      </c>
      <c r="N39" s="1">
        <v>42538</v>
      </c>
      <c r="O39" s="3" t="s">
        <v>41</v>
      </c>
      <c r="P39" s="178">
        <v>6671.48</v>
      </c>
      <c r="Q39" s="199"/>
      <c r="R39" s="180"/>
      <c r="S39" s="180"/>
      <c r="T39" s="180"/>
      <c r="U39" s="181"/>
      <c r="V39" s="181">
        <v>55</v>
      </c>
      <c r="W39" s="181"/>
      <c r="X39" s="182">
        <f t="shared" si="0"/>
        <v>55</v>
      </c>
      <c r="Y39" s="3">
        <v>20</v>
      </c>
      <c r="Z39" s="3"/>
      <c r="AA39" s="189" t="s">
        <v>154</v>
      </c>
    </row>
    <row r="40" spans="1:27" ht="23.25" hidden="1" customHeight="1">
      <c r="A40" s="171" t="s">
        <v>2943</v>
      </c>
      <c r="B40" s="171">
        <v>2016</v>
      </c>
      <c r="C40" s="171"/>
      <c r="D40" s="171" t="s">
        <v>52</v>
      </c>
      <c r="E40" s="171" t="s">
        <v>2973</v>
      </c>
      <c r="F40" s="173" t="s">
        <v>223</v>
      </c>
      <c r="G40" s="173"/>
      <c r="H40" s="173"/>
      <c r="I40" s="188" t="s">
        <v>48</v>
      </c>
      <c r="J40" s="175" t="s">
        <v>2944</v>
      </c>
      <c r="K40" s="176"/>
      <c r="L40" s="177" t="s">
        <v>224</v>
      </c>
      <c r="M40" s="1">
        <v>42548</v>
      </c>
      <c r="N40" s="1">
        <v>42552</v>
      </c>
      <c r="O40" s="3" t="s">
        <v>41</v>
      </c>
      <c r="P40" s="178">
        <v>7080.23</v>
      </c>
      <c r="Q40" s="199"/>
      <c r="R40" s="180"/>
      <c r="S40" s="180"/>
      <c r="T40" s="180"/>
      <c r="U40" s="181"/>
      <c r="V40" s="181"/>
      <c r="W40" s="182">
        <v>45</v>
      </c>
      <c r="X40" s="182">
        <f t="shared" si="0"/>
        <v>45</v>
      </c>
      <c r="Y40" s="3">
        <v>20</v>
      </c>
      <c r="Z40" s="3"/>
      <c r="AA40" s="194" t="s">
        <v>2963</v>
      </c>
    </row>
    <row r="41" spans="1:27" ht="23.25" hidden="1" customHeight="1">
      <c r="A41" s="171" t="s">
        <v>2943</v>
      </c>
      <c r="B41" s="171">
        <v>2016</v>
      </c>
      <c r="C41" s="171"/>
      <c r="D41" s="171" t="s">
        <v>52</v>
      </c>
      <c r="E41" s="3" t="s">
        <v>227</v>
      </c>
      <c r="F41" s="173" t="s">
        <v>228</v>
      </c>
      <c r="G41" s="173"/>
      <c r="H41" s="173"/>
      <c r="I41" s="174" t="s">
        <v>2946</v>
      </c>
      <c r="J41" s="175" t="s">
        <v>2947</v>
      </c>
      <c r="K41" s="176"/>
      <c r="L41" s="177" t="s">
        <v>224</v>
      </c>
      <c r="M41" s="1">
        <v>42548</v>
      </c>
      <c r="N41" s="1">
        <v>42552</v>
      </c>
      <c r="O41" s="3" t="s">
        <v>41</v>
      </c>
      <c r="P41" s="178">
        <v>6671.48</v>
      </c>
      <c r="Q41" s="199"/>
      <c r="R41" s="180"/>
      <c r="S41" s="180"/>
      <c r="T41" s="180"/>
      <c r="U41" s="182">
        <v>15</v>
      </c>
      <c r="V41" s="181"/>
      <c r="W41" s="181"/>
      <c r="X41" s="182">
        <f t="shared" si="0"/>
        <v>15</v>
      </c>
      <c r="Y41" s="3">
        <v>20</v>
      </c>
      <c r="Z41" s="3"/>
      <c r="AA41" s="190" t="s">
        <v>2957</v>
      </c>
    </row>
    <row r="42" spans="1:27" ht="23.25" hidden="1" customHeight="1">
      <c r="A42" s="171" t="s">
        <v>2943</v>
      </c>
      <c r="B42" s="171">
        <v>2016</v>
      </c>
      <c r="C42" s="171"/>
      <c r="D42" s="171" t="s">
        <v>52</v>
      </c>
      <c r="E42" s="171" t="s">
        <v>2974</v>
      </c>
      <c r="F42" s="173" t="s">
        <v>231</v>
      </c>
      <c r="G42" s="173"/>
      <c r="H42" s="173"/>
      <c r="I42" s="188" t="s">
        <v>48</v>
      </c>
      <c r="J42" s="175" t="s">
        <v>2952</v>
      </c>
      <c r="K42" s="176"/>
      <c r="L42" s="177" t="s">
        <v>232</v>
      </c>
      <c r="M42" s="1">
        <v>42549</v>
      </c>
      <c r="N42" s="1">
        <v>42551</v>
      </c>
      <c r="O42" s="3" t="s">
        <v>41</v>
      </c>
      <c r="P42" s="178">
        <v>1334.3</v>
      </c>
      <c r="Q42" s="199"/>
      <c r="R42" s="180"/>
      <c r="S42" s="180"/>
      <c r="T42" s="180"/>
      <c r="U42" s="181"/>
      <c r="V42" s="181"/>
      <c r="W42" s="182">
        <v>21</v>
      </c>
      <c r="X42" s="182">
        <f t="shared" si="0"/>
        <v>21</v>
      </c>
      <c r="Y42" s="3">
        <v>8</v>
      </c>
      <c r="Z42" s="3"/>
      <c r="AA42" s="202" t="s">
        <v>2970</v>
      </c>
    </row>
    <row r="43" spans="1:27" ht="23.25" hidden="1" customHeight="1">
      <c r="A43" s="171" t="s">
        <v>2943</v>
      </c>
      <c r="B43" s="171">
        <v>2016</v>
      </c>
      <c r="C43" s="171"/>
      <c r="D43" s="171" t="s">
        <v>52</v>
      </c>
      <c r="E43" s="171" t="s">
        <v>2975</v>
      </c>
      <c r="F43" s="173" t="s">
        <v>236</v>
      </c>
      <c r="G43" s="173"/>
      <c r="H43" s="173"/>
      <c r="I43" s="174" t="s">
        <v>33</v>
      </c>
      <c r="J43" s="175" t="s">
        <v>2976</v>
      </c>
      <c r="K43" s="176"/>
      <c r="L43" s="177" t="s">
        <v>237</v>
      </c>
      <c r="M43" s="1">
        <v>42571</v>
      </c>
      <c r="N43" s="1">
        <v>42572</v>
      </c>
      <c r="O43" s="3" t="s">
        <v>45</v>
      </c>
      <c r="P43" s="178">
        <v>0</v>
      </c>
      <c r="Q43" s="199"/>
      <c r="R43" s="180"/>
      <c r="S43" s="180"/>
      <c r="T43" s="180"/>
      <c r="U43" s="182">
        <v>40</v>
      </c>
      <c r="V43" s="181"/>
      <c r="W43" s="181"/>
      <c r="X43" s="182">
        <f t="shared" si="0"/>
        <v>40</v>
      </c>
      <c r="Y43" s="3">
        <v>9</v>
      </c>
      <c r="Z43" s="3"/>
      <c r="AA43" s="175" t="s">
        <v>238</v>
      </c>
    </row>
    <row r="44" spans="1:27" ht="23.25" hidden="1" customHeight="1">
      <c r="A44" s="171" t="s">
        <v>2943</v>
      </c>
      <c r="B44" s="171">
        <v>2016</v>
      </c>
      <c r="C44" s="171"/>
      <c r="D44" s="171" t="s">
        <v>52</v>
      </c>
      <c r="E44" s="171" t="s">
        <v>2977</v>
      </c>
      <c r="F44" s="173" t="s">
        <v>241</v>
      </c>
      <c r="G44" s="173"/>
      <c r="H44" s="173"/>
      <c r="I44" s="188" t="s">
        <v>44</v>
      </c>
      <c r="J44" s="2" t="s">
        <v>2952</v>
      </c>
      <c r="K44" s="176"/>
      <c r="L44" s="177" t="s">
        <v>242</v>
      </c>
      <c r="M44" s="1">
        <v>42583</v>
      </c>
      <c r="N44" s="1">
        <v>42584</v>
      </c>
      <c r="O44" s="3" t="s">
        <v>41</v>
      </c>
      <c r="P44" s="178">
        <v>2668.6</v>
      </c>
      <c r="Q44" s="199"/>
      <c r="R44" s="180"/>
      <c r="S44" s="180"/>
      <c r="T44" s="180"/>
      <c r="U44" s="181"/>
      <c r="V44" s="182">
        <v>45</v>
      </c>
      <c r="W44" s="181"/>
      <c r="X44" s="182">
        <f t="shared" si="0"/>
        <v>45</v>
      </c>
      <c r="Y44" s="3">
        <v>8</v>
      </c>
      <c r="Z44" s="3"/>
      <c r="AA44" s="194" t="s">
        <v>2978</v>
      </c>
    </row>
    <row r="45" spans="1:27" ht="23.25" hidden="1" customHeight="1">
      <c r="A45" s="171" t="s">
        <v>2943</v>
      </c>
      <c r="B45" s="171">
        <v>2016</v>
      </c>
      <c r="C45" s="171"/>
      <c r="D45" s="171" t="s">
        <v>52</v>
      </c>
      <c r="E45" s="171" t="s">
        <v>2979</v>
      </c>
      <c r="F45" s="173" t="s">
        <v>246</v>
      </c>
      <c r="G45" s="173"/>
      <c r="H45" s="173"/>
      <c r="I45" s="174" t="s">
        <v>33</v>
      </c>
      <c r="J45" s="175" t="s">
        <v>2947</v>
      </c>
      <c r="K45" s="176"/>
      <c r="L45" s="177" t="s">
        <v>247</v>
      </c>
      <c r="M45" s="1">
        <v>42590</v>
      </c>
      <c r="N45" s="1">
        <v>42594</v>
      </c>
      <c r="O45" s="3" t="s">
        <v>41</v>
      </c>
      <c r="P45" s="178">
        <v>7488.98</v>
      </c>
      <c r="Q45" s="199"/>
      <c r="R45" s="180"/>
      <c r="S45" s="180"/>
      <c r="T45" s="180"/>
      <c r="U45" s="182">
        <v>13</v>
      </c>
      <c r="V45" s="181"/>
      <c r="W45" s="181"/>
      <c r="X45" s="182">
        <f t="shared" si="0"/>
        <v>13</v>
      </c>
      <c r="Y45" s="3">
        <v>20</v>
      </c>
      <c r="Z45" s="3"/>
      <c r="AA45" s="196" t="s">
        <v>2964</v>
      </c>
    </row>
    <row r="46" spans="1:27" ht="23.25" hidden="1" customHeight="1">
      <c r="A46" s="171" t="s">
        <v>2943</v>
      </c>
      <c r="B46" s="171">
        <v>2016</v>
      </c>
      <c r="C46" s="171"/>
      <c r="D46" s="171" t="s">
        <v>52</v>
      </c>
      <c r="E46" s="171" t="s">
        <v>2980</v>
      </c>
      <c r="F46" s="173" t="s">
        <v>251</v>
      </c>
      <c r="G46" s="173"/>
      <c r="H46" s="173"/>
      <c r="I46" s="174" t="s">
        <v>33</v>
      </c>
      <c r="J46" s="175" t="s">
        <v>2976</v>
      </c>
      <c r="K46" s="176"/>
      <c r="L46" s="177" t="s">
        <v>252</v>
      </c>
      <c r="M46" s="1">
        <v>42597</v>
      </c>
      <c r="N46" s="1">
        <v>42601</v>
      </c>
      <c r="O46" s="171" t="s">
        <v>45</v>
      </c>
      <c r="P46" s="178">
        <v>7880</v>
      </c>
      <c r="Q46" s="199"/>
      <c r="R46" s="180"/>
      <c r="S46" s="180"/>
      <c r="T46" s="180"/>
      <c r="U46" s="182">
        <v>35</v>
      </c>
      <c r="V46" s="181"/>
      <c r="W46" s="181"/>
      <c r="X46" s="182">
        <f t="shared" si="0"/>
        <v>35</v>
      </c>
      <c r="Y46" s="3">
        <v>20</v>
      </c>
      <c r="Z46" s="3"/>
      <c r="AA46" s="175" t="s">
        <v>2981</v>
      </c>
    </row>
    <row r="47" spans="1:27" ht="23.25" hidden="1" customHeight="1">
      <c r="A47" s="171" t="s">
        <v>2943</v>
      </c>
      <c r="B47" s="171">
        <v>2016</v>
      </c>
      <c r="C47" s="171"/>
      <c r="D47" s="171" t="s">
        <v>52</v>
      </c>
      <c r="E47" s="171" t="s">
        <v>2982</v>
      </c>
      <c r="F47" s="173" t="s">
        <v>256</v>
      </c>
      <c r="G47" s="173"/>
      <c r="H47" s="173"/>
      <c r="I47" s="188" t="s">
        <v>44</v>
      </c>
      <c r="J47" s="2" t="s">
        <v>2952</v>
      </c>
      <c r="K47" s="176"/>
      <c r="L47" s="177" t="s">
        <v>252</v>
      </c>
      <c r="M47" s="1">
        <v>42597</v>
      </c>
      <c r="N47" s="1">
        <v>42601</v>
      </c>
      <c r="O47" s="3" t="s">
        <v>49</v>
      </c>
      <c r="P47" s="187">
        <v>9556.7000000000007</v>
      </c>
      <c r="Q47" s="199"/>
      <c r="R47" s="180"/>
      <c r="S47" s="180"/>
      <c r="T47" s="180"/>
      <c r="U47" s="182">
        <v>8</v>
      </c>
      <c r="V47" s="182">
        <v>63</v>
      </c>
      <c r="W47" s="181"/>
      <c r="X47" s="182">
        <f t="shared" si="0"/>
        <v>71</v>
      </c>
      <c r="Y47" s="3">
        <v>20</v>
      </c>
      <c r="Z47" s="3"/>
      <c r="AA47" s="194" t="s">
        <v>2983</v>
      </c>
    </row>
    <row r="48" spans="1:27" ht="23.25" hidden="1" customHeight="1">
      <c r="A48" s="171" t="s">
        <v>2943</v>
      </c>
      <c r="B48" s="171">
        <v>2016</v>
      </c>
      <c r="C48" s="171"/>
      <c r="D48" s="171" t="s">
        <v>52</v>
      </c>
      <c r="E48" s="171" t="s">
        <v>259</v>
      </c>
      <c r="F48" s="173" t="s">
        <v>260</v>
      </c>
      <c r="G48" s="173"/>
      <c r="H48" s="173"/>
      <c r="I48" s="174" t="s">
        <v>51</v>
      </c>
      <c r="J48" s="175" t="s">
        <v>2952</v>
      </c>
      <c r="K48" s="176"/>
      <c r="L48" s="177" t="s">
        <v>2984</v>
      </c>
      <c r="M48" s="1">
        <v>42613</v>
      </c>
      <c r="N48" s="1">
        <v>42614</v>
      </c>
      <c r="O48" s="171" t="s">
        <v>45</v>
      </c>
      <c r="P48" s="178">
        <v>44423.6</v>
      </c>
      <c r="Q48" s="199"/>
      <c r="R48" s="180"/>
      <c r="S48" s="180"/>
      <c r="T48" s="180"/>
      <c r="U48" s="182">
        <v>87</v>
      </c>
      <c r="V48" s="181">
        <v>242</v>
      </c>
      <c r="W48" s="181">
        <v>0</v>
      </c>
      <c r="X48" s="182">
        <f t="shared" si="0"/>
        <v>329</v>
      </c>
      <c r="Y48" s="3">
        <v>8</v>
      </c>
      <c r="Z48" s="3"/>
      <c r="AA48" s="175" t="s">
        <v>2985</v>
      </c>
    </row>
    <row r="49" spans="1:27" ht="23.25" hidden="1" customHeight="1">
      <c r="A49" s="171" t="s">
        <v>2943</v>
      </c>
      <c r="B49" s="171">
        <v>2016</v>
      </c>
      <c r="C49" s="171"/>
      <c r="D49" s="171" t="s">
        <v>52</v>
      </c>
      <c r="E49" s="171" t="s">
        <v>2986</v>
      </c>
      <c r="F49" s="173" t="s">
        <v>264</v>
      </c>
      <c r="G49" s="173"/>
      <c r="H49" s="173"/>
      <c r="I49" s="174" t="s">
        <v>33</v>
      </c>
      <c r="J49" s="175" t="s">
        <v>2954</v>
      </c>
      <c r="K49" s="176"/>
      <c r="L49" s="177" t="s">
        <v>265</v>
      </c>
      <c r="M49" s="1">
        <v>42625</v>
      </c>
      <c r="N49" s="1">
        <v>42629</v>
      </c>
      <c r="O49" s="171" t="s">
        <v>45</v>
      </c>
      <c r="P49" s="178">
        <v>9200</v>
      </c>
      <c r="Q49" s="199"/>
      <c r="R49" s="180"/>
      <c r="S49" s="180"/>
      <c r="T49" s="180"/>
      <c r="U49" s="182">
        <v>26</v>
      </c>
      <c r="V49" s="181"/>
      <c r="W49" s="181"/>
      <c r="X49" s="182">
        <f t="shared" si="0"/>
        <v>26</v>
      </c>
      <c r="Y49" s="3">
        <v>20</v>
      </c>
      <c r="Z49" s="3"/>
      <c r="AA49" s="175" t="s">
        <v>2987</v>
      </c>
    </row>
    <row r="50" spans="1:27" ht="23.25" hidden="1" customHeight="1">
      <c r="A50" s="171" t="s">
        <v>2943</v>
      </c>
      <c r="B50" s="171">
        <v>2016</v>
      </c>
      <c r="C50" s="171"/>
      <c r="D50" s="171" t="s">
        <v>52</v>
      </c>
      <c r="E50" s="171" t="s">
        <v>2988</v>
      </c>
      <c r="F50" s="173" t="s">
        <v>268</v>
      </c>
      <c r="G50" s="173"/>
      <c r="H50" s="173"/>
      <c r="I50" s="174" t="s">
        <v>33</v>
      </c>
      <c r="J50" s="175" t="s">
        <v>2949</v>
      </c>
      <c r="K50" s="176"/>
      <c r="L50" s="177" t="s">
        <v>269</v>
      </c>
      <c r="M50" s="1">
        <v>42632</v>
      </c>
      <c r="N50" s="1">
        <v>42636</v>
      </c>
      <c r="O50" s="171" t="s">
        <v>45</v>
      </c>
      <c r="P50" s="178">
        <v>5900</v>
      </c>
      <c r="Q50" s="199"/>
      <c r="R50" s="180"/>
      <c r="S50" s="180"/>
      <c r="T50" s="180"/>
      <c r="U50" s="182">
        <v>35</v>
      </c>
      <c r="V50" s="181"/>
      <c r="W50" s="181"/>
      <c r="X50" s="182">
        <f t="shared" si="0"/>
        <v>35</v>
      </c>
      <c r="Y50" s="3">
        <v>20</v>
      </c>
      <c r="Z50" s="3"/>
      <c r="AA50" s="175" t="s">
        <v>2989</v>
      </c>
    </row>
    <row r="51" spans="1:27" ht="23.25" hidden="1" customHeight="1">
      <c r="A51" s="171" t="s">
        <v>2943</v>
      </c>
      <c r="B51" s="171">
        <v>2016</v>
      </c>
      <c r="C51" s="171"/>
      <c r="D51" s="171" t="s">
        <v>52</v>
      </c>
      <c r="E51" s="3" t="s">
        <v>271</v>
      </c>
      <c r="F51" s="186" t="s">
        <v>272</v>
      </c>
      <c r="G51" s="186"/>
      <c r="H51" s="186"/>
      <c r="I51" s="188" t="s">
        <v>44</v>
      </c>
      <c r="J51" s="2" t="s">
        <v>2952</v>
      </c>
      <c r="K51" s="176"/>
      <c r="L51" s="177" t="s">
        <v>269</v>
      </c>
      <c r="M51" s="1">
        <v>42632</v>
      </c>
      <c r="N51" s="1">
        <v>42636</v>
      </c>
      <c r="O51" s="3" t="s">
        <v>41</v>
      </c>
      <c r="P51" s="178">
        <v>6671.48</v>
      </c>
      <c r="Q51" s="199"/>
      <c r="R51" s="180"/>
      <c r="S51" s="180"/>
      <c r="T51" s="180"/>
      <c r="U51" s="181"/>
      <c r="V51" s="181">
        <v>46</v>
      </c>
      <c r="W51" s="181"/>
      <c r="X51" s="182">
        <f t="shared" si="0"/>
        <v>46</v>
      </c>
      <c r="Y51" s="3">
        <v>20</v>
      </c>
      <c r="Z51" s="3"/>
      <c r="AA51" s="189" t="s">
        <v>154</v>
      </c>
    </row>
    <row r="52" spans="1:27" ht="23.25" hidden="1" customHeight="1">
      <c r="A52" s="171" t="s">
        <v>2943</v>
      </c>
      <c r="B52" s="171">
        <v>2016</v>
      </c>
      <c r="C52" s="171"/>
      <c r="D52" s="171" t="s">
        <v>52</v>
      </c>
      <c r="E52" s="3" t="s">
        <v>271</v>
      </c>
      <c r="F52" s="173" t="s">
        <v>274</v>
      </c>
      <c r="G52" s="173"/>
      <c r="H52" s="173"/>
      <c r="I52" s="188" t="s">
        <v>44</v>
      </c>
      <c r="J52" s="2" t="s">
        <v>2952</v>
      </c>
      <c r="K52" s="176"/>
      <c r="L52" s="177" t="s">
        <v>269</v>
      </c>
      <c r="M52" s="1">
        <v>42632</v>
      </c>
      <c r="N52" s="1">
        <v>42636</v>
      </c>
      <c r="O52" s="3" t="s">
        <v>41</v>
      </c>
      <c r="P52" s="178">
        <v>6671.48</v>
      </c>
      <c r="Q52" s="199"/>
      <c r="R52" s="180"/>
      <c r="S52" s="180"/>
      <c r="T52" s="180"/>
      <c r="U52" s="181"/>
      <c r="V52" s="181">
        <v>52</v>
      </c>
      <c r="W52" s="181"/>
      <c r="X52" s="182">
        <f t="shared" si="0"/>
        <v>52</v>
      </c>
      <c r="Y52" s="3">
        <v>20</v>
      </c>
      <c r="Z52" s="3"/>
      <c r="AA52" s="189" t="s">
        <v>154</v>
      </c>
    </row>
    <row r="53" spans="1:27" ht="23.25" hidden="1" customHeight="1">
      <c r="A53" s="171" t="s">
        <v>2943</v>
      </c>
      <c r="B53" s="171">
        <v>2016</v>
      </c>
      <c r="C53" s="171"/>
      <c r="D53" s="171" t="s">
        <v>52</v>
      </c>
      <c r="E53" s="171" t="s">
        <v>2990</v>
      </c>
      <c r="F53" s="173" t="s">
        <v>277</v>
      </c>
      <c r="G53" s="173"/>
      <c r="H53" s="173"/>
      <c r="I53" s="174" t="s">
        <v>33</v>
      </c>
      <c r="J53" s="175" t="s">
        <v>2976</v>
      </c>
      <c r="K53" s="176"/>
      <c r="L53" s="177" t="s">
        <v>278</v>
      </c>
      <c r="M53" s="1">
        <v>42646</v>
      </c>
      <c r="N53" s="1">
        <v>42650</v>
      </c>
      <c r="O53" s="3" t="s">
        <v>41</v>
      </c>
      <c r="P53" s="178">
        <v>8088.22</v>
      </c>
      <c r="Q53" s="199"/>
      <c r="R53" s="180"/>
      <c r="S53" s="180"/>
      <c r="T53" s="180"/>
      <c r="U53" s="182">
        <v>34</v>
      </c>
      <c r="V53" s="181"/>
      <c r="W53" s="181"/>
      <c r="X53" s="182">
        <f t="shared" si="0"/>
        <v>34</v>
      </c>
      <c r="Y53" s="3">
        <v>20</v>
      </c>
      <c r="Z53" s="3"/>
      <c r="AA53" s="194" t="s">
        <v>2991</v>
      </c>
    </row>
    <row r="54" spans="1:27" ht="23.25" hidden="1" customHeight="1">
      <c r="A54" s="171" t="s">
        <v>2943</v>
      </c>
      <c r="B54" s="171">
        <v>2016</v>
      </c>
      <c r="C54" s="171"/>
      <c r="D54" s="171" t="s">
        <v>52</v>
      </c>
      <c r="E54" s="171" t="s">
        <v>281</v>
      </c>
      <c r="F54" s="173" t="s">
        <v>282</v>
      </c>
      <c r="G54" s="173"/>
      <c r="H54" s="173"/>
      <c r="I54" s="174" t="s">
        <v>6</v>
      </c>
      <c r="J54" s="175" t="s">
        <v>2944</v>
      </c>
      <c r="K54" s="176"/>
      <c r="L54" s="177" t="s">
        <v>283</v>
      </c>
      <c r="M54" s="1">
        <v>42660</v>
      </c>
      <c r="N54" s="1">
        <v>42662</v>
      </c>
      <c r="O54" s="171" t="s">
        <v>45</v>
      </c>
      <c r="P54" s="178">
        <v>54183.63</v>
      </c>
      <c r="Q54" s="199"/>
      <c r="R54" s="180"/>
      <c r="S54" s="180"/>
      <c r="T54" s="180"/>
      <c r="U54" s="182">
        <v>27</v>
      </c>
      <c r="V54" s="181"/>
      <c r="W54" s="181"/>
      <c r="X54" s="182">
        <f t="shared" si="0"/>
        <v>27</v>
      </c>
      <c r="Y54" s="3">
        <v>15</v>
      </c>
      <c r="Z54" s="3"/>
      <c r="AA54" s="175" t="s">
        <v>2992</v>
      </c>
    </row>
    <row r="55" spans="1:27" ht="23.25" hidden="1" customHeight="1">
      <c r="A55" s="171" t="s">
        <v>2943</v>
      </c>
      <c r="B55" s="171">
        <v>2016</v>
      </c>
      <c r="C55" s="171"/>
      <c r="D55" s="171" t="s">
        <v>52</v>
      </c>
      <c r="E55" s="171" t="s">
        <v>2993</v>
      </c>
      <c r="F55" s="203" t="s">
        <v>286</v>
      </c>
      <c r="G55" s="203"/>
      <c r="H55" s="203"/>
      <c r="I55" s="174" t="s">
        <v>2946</v>
      </c>
      <c r="J55" s="175" t="s">
        <v>2954</v>
      </c>
      <c r="K55" s="176"/>
      <c r="L55" s="177" t="s">
        <v>287</v>
      </c>
      <c r="M55" s="1">
        <v>42663</v>
      </c>
      <c r="N55" s="1">
        <v>42671</v>
      </c>
      <c r="O55" s="171" t="s">
        <v>45</v>
      </c>
      <c r="P55" s="204">
        <v>22500</v>
      </c>
      <c r="Q55" s="199"/>
      <c r="R55" s="180"/>
      <c r="S55" s="180"/>
      <c r="T55" s="180"/>
      <c r="U55" s="182">
        <v>16</v>
      </c>
      <c r="V55" s="181"/>
      <c r="W55" s="181"/>
      <c r="X55" s="182">
        <f t="shared" si="0"/>
        <v>16</v>
      </c>
      <c r="Y55" s="3">
        <v>20</v>
      </c>
      <c r="Z55" s="3"/>
      <c r="AA55" s="175" t="s">
        <v>2994</v>
      </c>
    </row>
    <row r="56" spans="1:27" ht="23.25" hidden="1" customHeight="1">
      <c r="A56" s="171" t="s">
        <v>2943</v>
      </c>
      <c r="B56" s="171">
        <v>2016</v>
      </c>
      <c r="C56" s="171"/>
      <c r="D56" s="171" t="s">
        <v>52</v>
      </c>
      <c r="E56" s="3" t="s">
        <v>289</v>
      </c>
      <c r="F56" s="173" t="s">
        <v>290</v>
      </c>
      <c r="G56" s="173"/>
      <c r="H56" s="173"/>
      <c r="I56" s="188" t="s">
        <v>44</v>
      </c>
      <c r="J56" s="2" t="s">
        <v>2952</v>
      </c>
      <c r="K56" s="176"/>
      <c r="L56" s="177" t="s">
        <v>291</v>
      </c>
      <c r="M56" s="1">
        <v>42667</v>
      </c>
      <c r="N56" s="1">
        <v>42669</v>
      </c>
      <c r="O56" s="3" t="s">
        <v>41</v>
      </c>
      <c r="P56" s="178">
        <v>4002.88</v>
      </c>
      <c r="Q56" s="199"/>
      <c r="R56" s="180"/>
      <c r="S56" s="180"/>
      <c r="T56" s="180"/>
      <c r="U56" s="181"/>
      <c r="V56" s="181">
        <v>55</v>
      </c>
      <c r="W56" s="181"/>
      <c r="X56" s="182">
        <f t="shared" si="0"/>
        <v>55</v>
      </c>
      <c r="Y56" s="3">
        <v>12</v>
      </c>
      <c r="Z56" s="3"/>
      <c r="AA56" s="189" t="s">
        <v>292</v>
      </c>
    </row>
    <row r="57" spans="1:27" ht="23.25" hidden="1" customHeight="1">
      <c r="A57" s="171" t="s">
        <v>2943</v>
      </c>
      <c r="B57" s="171">
        <v>2016</v>
      </c>
      <c r="C57" s="171"/>
      <c r="D57" s="171" t="s">
        <v>52</v>
      </c>
      <c r="E57" s="171" t="s">
        <v>294</v>
      </c>
      <c r="F57" s="173" t="s">
        <v>295</v>
      </c>
      <c r="G57" s="173"/>
      <c r="H57" s="173"/>
      <c r="I57" s="174" t="s">
        <v>33</v>
      </c>
      <c r="J57" s="175" t="s">
        <v>2947</v>
      </c>
      <c r="K57" s="176"/>
      <c r="L57" s="177" t="s">
        <v>296</v>
      </c>
      <c r="M57" s="1">
        <v>42681</v>
      </c>
      <c r="N57" s="1">
        <v>42685</v>
      </c>
      <c r="O57" s="3" t="s">
        <v>41</v>
      </c>
      <c r="P57" s="187">
        <v>8088.22</v>
      </c>
      <c r="Q57" s="199"/>
      <c r="R57" s="180"/>
      <c r="S57" s="180"/>
      <c r="T57" s="180"/>
      <c r="U57" s="182">
        <v>14</v>
      </c>
      <c r="V57" s="181"/>
      <c r="W57" s="181"/>
      <c r="X57" s="182">
        <f t="shared" si="0"/>
        <v>14</v>
      </c>
      <c r="Y57" s="3">
        <v>20</v>
      </c>
      <c r="Z57" s="3"/>
      <c r="AA57" s="196" t="s">
        <v>2964</v>
      </c>
    </row>
    <row r="58" spans="1:27" ht="23.25" hidden="1" customHeight="1">
      <c r="A58" s="171" t="s">
        <v>2943</v>
      </c>
      <c r="B58" s="171">
        <v>2016</v>
      </c>
      <c r="C58" s="171"/>
      <c r="D58" s="171" t="s">
        <v>52</v>
      </c>
      <c r="E58" s="171" t="s">
        <v>298</v>
      </c>
      <c r="F58" s="173" t="s">
        <v>299</v>
      </c>
      <c r="G58" s="173"/>
      <c r="H58" s="173"/>
      <c r="I58" s="188" t="s">
        <v>44</v>
      </c>
      <c r="J58" s="2" t="s">
        <v>2952</v>
      </c>
      <c r="K58" s="176"/>
      <c r="L58" s="177" t="s">
        <v>296</v>
      </c>
      <c r="M58" s="1">
        <v>42681</v>
      </c>
      <c r="N58" s="1">
        <v>42685</v>
      </c>
      <c r="O58" s="3" t="s">
        <v>41</v>
      </c>
      <c r="P58" s="178">
        <v>6671.48</v>
      </c>
      <c r="Q58" s="199"/>
      <c r="R58" s="180"/>
      <c r="S58" s="180"/>
      <c r="T58" s="180"/>
      <c r="U58" s="181"/>
      <c r="V58" s="182">
        <v>47</v>
      </c>
      <c r="W58" s="181"/>
      <c r="X58" s="182">
        <f t="shared" si="0"/>
        <v>47</v>
      </c>
      <c r="Y58" s="3">
        <v>20</v>
      </c>
      <c r="Z58" s="3"/>
      <c r="AA58" s="189" t="s">
        <v>2995</v>
      </c>
    </row>
    <row r="59" spans="1:27" ht="23.25" hidden="1" customHeight="1">
      <c r="A59" s="171" t="s">
        <v>2943</v>
      </c>
      <c r="B59" s="171">
        <v>2016</v>
      </c>
      <c r="C59" s="171"/>
      <c r="D59" s="171" t="s">
        <v>52</v>
      </c>
      <c r="E59" s="171" t="s">
        <v>302</v>
      </c>
      <c r="F59" s="173" t="s">
        <v>303</v>
      </c>
      <c r="G59" s="173"/>
      <c r="H59" s="173"/>
      <c r="I59" s="174" t="s">
        <v>33</v>
      </c>
      <c r="J59" s="175" t="s">
        <v>2976</v>
      </c>
      <c r="K59" s="176"/>
      <c r="L59" s="177" t="s">
        <v>304</v>
      </c>
      <c r="M59" s="1">
        <v>42695</v>
      </c>
      <c r="N59" s="1">
        <v>42702</v>
      </c>
      <c r="O59" s="171" t="s">
        <v>45</v>
      </c>
      <c r="P59" s="178">
        <v>7880</v>
      </c>
      <c r="Q59" s="199"/>
      <c r="R59" s="180"/>
      <c r="S59" s="180"/>
      <c r="T59" s="180"/>
      <c r="U59" s="182">
        <v>31</v>
      </c>
      <c r="V59" s="181"/>
      <c r="W59" s="181"/>
      <c r="X59" s="182">
        <f t="shared" si="0"/>
        <v>31</v>
      </c>
      <c r="Y59" s="3">
        <v>20</v>
      </c>
      <c r="Z59" s="3"/>
      <c r="AA59" s="175" t="s">
        <v>2981</v>
      </c>
    </row>
    <row r="60" spans="1:27" ht="23.25" hidden="1" customHeight="1">
      <c r="A60" s="171" t="s">
        <v>2943</v>
      </c>
      <c r="B60" s="171">
        <v>2016</v>
      </c>
      <c r="C60" s="171"/>
      <c r="D60" s="171" t="s">
        <v>52</v>
      </c>
      <c r="E60" s="3" t="s">
        <v>306</v>
      </c>
      <c r="F60" s="173" t="s">
        <v>307</v>
      </c>
      <c r="G60" s="173"/>
      <c r="H60" s="173"/>
      <c r="I60" s="188" t="s">
        <v>44</v>
      </c>
      <c r="J60" s="2" t="s">
        <v>2952</v>
      </c>
      <c r="K60" s="176"/>
      <c r="L60" s="177" t="s">
        <v>308</v>
      </c>
      <c r="M60" s="1">
        <v>42695</v>
      </c>
      <c r="N60" s="1">
        <v>42699</v>
      </c>
      <c r="O60" s="3" t="s">
        <v>41</v>
      </c>
      <c r="P60" s="178">
        <v>5612</v>
      </c>
      <c r="Q60" s="199"/>
      <c r="R60" s="180"/>
      <c r="S60" s="180"/>
      <c r="T60" s="180"/>
      <c r="U60" s="181"/>
      <c r="V60" s="181">
        <v>28</v>
      </c>
      <c r="W60" s="181"/>
      <c r="X60" s="182">
        <f t="shared" si="0"/>
        <v>28</v>
      </c>
      <c r="Y60" s="3">
        <v>20</v>
      </c>
      <c r="Z60" s="3"/>
      <c r="AA60" s="189" t="s">
        <v>154</v>
      </c>
    </row>
    <row r="61" spans="1:27" ht="23.25" hidden="1" customHeight="1">
      <c r="A61" s="171" t="s">
        <v>2943</v>
      </c>
      <c r="B61" s="171">
        <v>2016</v>
      </c>
      <c r="C61" s="171"/>
      <c r="D61" s="171" t="s">
        <v>52</v>
      </c>
      <c r="E61" s="3" t="s">
        <v>306</v>
      </c>
      <c r="F61" s="173" t="s">
        <v>310</v>
      </c>
      <c r="G61" s="173"/>
      <c r="H61" s="173"/>
      <c r="I61" s="188" t="s">
        <v>44</v>
      </c>
      <c r="J61" s="2" t="s">
        <v>2952</v>
      </c>
      <c r="K61" s="176"/>
      <c r="L61" s="177" t="s">
        <v>308</v>
      </c>
      <c r="M61" s="1">
        <v>42695</v>
      </c>
      <c r="N61" s="1">
        <v>42699</v>
      </c>
      <c r="O61" s="3" t="s">
        <v>41</v>
      </c>
      <c r="P61" s="178">
        <v>5612</v>
      </c>
      <c r="Q61" s="199"/>
      <c r="R61" s="180"/>
      <c r="S61" s="180"/>
      <c r="T61" s="180"/>
      <c r="U61" s="181"/>
      <c r="V61" s="181">
        <v>34</v>
      </c>
      <c r="W61" s="181"/>
      <c r="X61" s="182">
        <f t="shared" si="0"/>
        <v>34</v>
      </c>
      <c r="Y61" s="3">
        <v>20</v>
      </c>
      <c r="Z61" s="3"/>
      <c r="AA61" s="189" t="s">
        <v>154</v>
      </c>
    </row>
    <row r="62" spans="1:27" ht="23.25" hidden="1" customHeight="1">
      <c r="A62" s="171" t="s">
        <v>2943</v>
      </c>
      <c r="B62" s="171">
        <v>2016</v>
      </c>
      <c r="C62" s="171"/>
      <c r="D62" s="171" t="s">
        <v>52</v>
      </c>
      <c r="E62" s="3" t="s">
        <v>2996</v>
      </c>
      <c r="F62" s="173" t="s">
        <v>313</v>
      </c>
      <c r="G62" s="173"/>
      <c r="H62" s="173"/>
      <c r="I62" s="188" t="s">
        <v>44</v>
      </c>
      <c r="J62" s="2" t="s">
        <v>2952</v>
      </c>
      <c r="K62" s="176"/>
      <c r="L62" s="177" t="s">
        <v>314</v>
      </c>
      <c r="M62" s="1">
        <v>42709</v>
      </c>
      <c r="N62" s="1">
        <v>42711</v>
      </c>
      <c r="O62" s="3" t="s">
        <v>41</v>
      </c>
      <c r="P62" s="178">
        <v>8000</v>
      </c>
      <c r="Q62" s="199"/>
      <c r="R62" s="180"/>
      <c r="S62" s="180"/>
      <c r="T62" s="180"/>
      <c r="U62" s="181"/>
      <c r="V62" s="181">
        <v>60</v>
      </c>
      <c r="W62" s="181"/>
      <c r="X62" s="182">
        <f t="shared" si="0"/>
        <v>60</v>
      </c>
      <c r="Y62" s="3">
        <v>20</v>
      </c>
      <c r="Z62" s="3"/>
      <c r="AA62" s="189" t="s">
        <v>2997</v>
      </c>
    </row>
    <row r="63" spans="1:27" ht="23.25" hidden="1" customHeight="1">
      <c r="A63" s="171" t="s">
        <v>2943</v>
      </c>
      <c r="B63" s="171">
        <v>2017</v>
      </c>
      <c r="C63" s="171"/>
      <c r="D63" s="171" t="s">
        <v>52</v>
      </c>
      <c r="E63" s="171" t="s">
        <v>285</v>
      </c>
      <c r="F63" s="173" t="s">
        <v>316</v>
      </c>
      <c r="G63" s="173"/>
      <c r="H63" s="173"/>
      <c r="I63" s="174" t="s">
        <v>2946</v>
      </c>
      <c r="J63" s="175" t="s">
        <v>2954</v>
      </c>
      <c r="K63" s="176"/>
      <c r="L63" s="177" t="s">
        <v>2998</v>
      </c>
      <c r="M63" s="1">
        <v>42773</v>
      </c>
      <c r="N63" s="1">
        <v>42788</v>
      </c>
      <c r="O63" s="171" t="s">
        <v>45</v>
      </c>
      <c r="P63" s="204">
        <v>27300</v>
      </c>
      <c r="Q63" s="179"/>
      <c r="R63" s="180"/>
      <c r="S63" s="180"/>
      <c r="T63" s="180"/>
      <c r="U63" s="182">
        <v>29</v>
      </c>
      <c r="V63" s="181"/>
      <c r="W63" s="181"/>
      <c r="X63" s="182">
        <f t="shared" si="0"/>
        <v>29</v>
      </c>
      <c r="Y63" s="171">
        <v>26</v>
      </c>
      <c r="Z63" s="3"/>
      <c r="AA63" s="175" t="s">
        <v>2999</v>
      </c>
    </row>
    <row r="64" spans="1:27" ht="23.25" hidden="1" customHeight="1">
      <c r="A64" s="171" t="s">
        <v>2943</v>
      </c>
      <c r="B64" s="171">
        <v>2017</v>
      </c>
      <c r="C64" s="171"/>
      <c r="D64" s="171" t="s">
        <v>52</v>
      </c>
      <c r="E64" s="171" t="s">
        <v>2993</v>
      </c>
      <c r="F64" s="205" t="s">
        <v>319</v>
      </c>
      <c r="G64" s="205"/>
      <c r="H64" s="205"/>
      <c r="I64" s="174" t="s">
        <v>2946</v>
      </c>
      <c r="J64" s="175" t="s">
        <v>2954</v>
      </c>
      <c r="K64" s="176"/>
      <c r="L64" s="177" t="s">
        <v>320</v>
      </c>
      <c r="M64" s="1">
        <v>42800</v>
      </c>
      <c r="N64" s="1">
        <v>42825</v>
      </c>
      <c r="O64" s="171" t="s">
        <v>45</v>
      </c>
      <c r="P64" s="178">
        <v>54300</v>
      </c>
      <c r="Q64" s="179"/>
      <c r="R64" s="180"/>
      <c r="S64" s="180"/>
      <c r="T64" s="180"/>
      <c r="U64" s="182">
        <v>26</v>
      </c>
      <c r="V64" s="181"/>
      <c r="W64" s="181"/>
      <c r="X64" s="182">
        <f t="shared" si="0"/>
        <v>26</v>
      </c>
      <c r="Y64" s="3">
        <v>30</v>
      </c>
      <c r="Z64" s="3"/>
      <c r="AA64" s="175" t="s">
        <v>2968</v>
      </c>
    </row>
    <row r="65" spans="1:27" ht="23.25" hidden="1" customHeight="1">
      <c r="A65" s="171" t="s">
        <v>2943</v>
      </c>
      <c r="B65" s="171">
        <v>2017</v>
      </c>
      <c r="C65" s="171"/>
      <c r="D65" s="171" t="s">
        <v>52</v>
      </c>
      <c r="E65" s="3" t="s">
        <v>322</v>
      </c>
      <c r="F65" s="173" t="s">
        <v>323</v>
      </c>
      <c r="G65" s="173"/>
      <c r="H65" s="173"/>
      <c r="I65" s="188" t="s">
        <v>44</v>
      </c>
      <c r="J65" s="2" t="s">
        <v>2952</v>
      </c>
      <c r="K65" s="176"/>
      <c r="L65" s="177" t="s">
        <v>324</v>
      </c>
      <c r="M65" s="1">
        <v>42807</v>
      </c>
      <c r="N65" s="1">
        <v>42811</v>
      </c>
      <c r="O65" s="3" t="s">
        <v>41</v>
      </c>
      <c r="P65" s="178">
        <v>6962.15</v>
      </c>
      <c r="Q65" s="179"/>
      <c r="R65" s="180"/>
      <c r="S65" s="180"/>
      <c r="T65" s="180"/>
      <c r="U65" s="181"/>
      <c r="V65" s="181">
        <v>47</v>
      </c>
      <c r="W65" s="181"/>
      <c r="X65" s="182">
        <f t="shared" si="0"/>
        <v>47</v>
      </c>
      <c r="Y65" s="3">
        <v>20</v>
      </c>
      <c r="Z65" s="3"/>
      <c r="AA65" s="189" t="s">
        <v>154</v>
      </c>
    </row>
    <row r="66" spans="1:27" ht="23.25" hidden="1" customHeight="1">
      <c r="A66" s="171" t="s">
        <v>2943</v>
      </c>
      <c r="B66" s="171">
        <v>2017</v>
      </c>
      <c r="C66" s="171"/>
      <c r="D66" s="171" t="s">
        <v>52</v>
      </c>
      <c r="E66" s="171" t="s">
        <v>326</v>
      </c>
      <c r="F66" s="186" t="s">
        <v>327</v>
      </c>
      <c r="G66" s="186"/>
      <c r="H66" s="186"/>
      <c r="I66" s="174" t="s">
        <v>33</v>
      </c>
      <c r="J66" s="175" t="s">
        <v>2947</v>
      </c>
      <c r="K66" s="176"/>
      <c r="L66" s="177" t="s">
        <v>328</v>
      </c>
      <c r="M66" s="1">
        <v>42814</v>
      </c>
      <c r="N66" s="1">
        <v>42818</v>
      </c>
      <c r="O66" s="3" t="s">
        <v>41</v>
      </c>
      <c r="P66" s="178">
        <v>7466.41</v>
      </c>
      <c r="Q66" s="179"/>
      <c r="R66" s="180"/>
      <c r="S66" s="180"/>
      <c r="T66" s="180"/>
      <c r="U66" s="181">
        <v>20</v>
      </c>
      <c r="V66" s="181"/>
      <c r="W66" s="181"/>
      <c r="X66" s="182">
        <f t="shared" ref="X66:X129" si="1">SUM(U66:W66)</f>
        <v>20</v>
      </c>
      <c r="Y66" s="3">
        <v>20</v>
      </c>
      <c r="Z66" s="3"/>
      <c r="AA66" s="196" t="s">
        <v>2964</v>
      </c>
    </row>
    <row r="67" spans="1:27" ht="23.25" hidden="1" customHeight="1">
      <c r="A67" s="171" t="s">
        <v>2943</v>
      </c>
      <c r="B67" s="171">
        <v>2017</v>
      </c>
      <c r="C67" s="171"/>
      <c r="D67" s="171" t="s">
        <v>52</v>
      </c>
      <c r="E67" s="3" t="s">
        <v>330</v>
      </c>
      <c r="F67" s="173" t="s">
        <v>331</v>
      </c>
      <c r="G67" s="173"/>
      <c r="H67" s="173"/>
      <c r="I67" s="188" t="s">
        <v>44</v>
      </c>
      <c r="J67" s="2" t="s">
        <v>2952</v>
      </c>
      <c r="K67" s="176"/>
      <c r="L67" s="177" t="s">
        <v>332</v>
      </c>
      <c r="M67" s="1">
        <v>42821</v>
      </c>
      <c r="N67" s="1">
        <v>42825</v>
      </c>
      <c r="O67" s="3" t="s">
        <v>41</v>
      </c>
      <c r="P67" s="178">
        <v>6962.15</v>
      </c>
      <c r="Q67" s="179"/>
      <c r="R67" s="180"/>
      <c r="S67" s="180"/>
      <c r="T67" s="180"/>
      <c r="U67" s="181"/>
      <c r="V67" s="181">
        <v>43</v>
      </c>
      <c r="W67" s="181"/>
      <c r="X67" s="182">
        <f t="shared" si="1"/>
        <v>43</v>
      </c>
      <c r="Y67" s="3">
        <v>20</v>
      </c>
      <c r="Z67" s="3"/>
      <c r="AA67" s="190" t="s">
        <v>2953</v>
      </c>
    </row>
    <row r="68" spans="1:27" ht="23.25" hidden="1" customHeight="1">
      <c r="A68" s="171" t="s">
        <v>2943</v>
      </c>
      <c r="B68" s="171">
        <v>2017</v>
      </c>
      <c r="C68" s="171"/>
      <c r="D68" s="171" t="s">
        <v>52</v>
      </c>
      <c r="E68" s="171" t="s">
        <v>3000</v>
      </c>
      <c r="F68" s="173" t="s">
        <v>335</v>
      </c>
      <c r="G68" s="173"/>
      <c r="H68" s="173"/>
      <c r="I68" s="174" t="s">
        <v>33</v>
      </c>
      <c r="J68" s="175" t="s">
        <v>2976</v>
      </c>
      <c r="K68" s="176"/>
      <c r="L68" s="177" t="s">
        <v>332</v>
      </c>
      <c r="M68" s="1">
        <v>42821</v>
      </c>
      <c r="N68" s="1">
        <v>42825</v>
      </c>
      <c r="O68" s="3" t="s">
        <v>41</v>
      </c>
      <c r="P68" s="178">
        <v>7241.74</v>
      </c>
      <c r="Q68" s="179"/>
      <c r="R68" s="180"/>
      <c r="S68" s="180"/>
      <c r="T68" s="180"/>
      <c r="U68" s="182">
        <v>15</v>
      </c>
      <c r="V68" s="181"/>
      <c r="W68" s="181"/>
      <c r="X68" s="182">
        <f t="shared" si="1"/>
        <v>15</v>
      </c>
      <c r="Y68" s="3">
        <v>20</v>
      </c>
      <c r="Z68" s="3"/>
      <c r="AA68" s="194" t="s">
        <v>279</v>
      </c>
    </row>
    <row r="69" spans="1:27" ht="23.25" hidden="1" customHeight="1">
      <c r="A69" s="171" t="s">
        <v>2943</v>
      </c>
      <c r="B69" s="171">
        <v>2017</v>
      </c>
      <c r="C69" s="171"/>
      <c r="D69" s="171" t="s">
        <v>52</v>
      </c>
      <c r="E69" s="171" t="s">
        <v>3001</v>
      </c>
      <c r="F69" s="173" t="s">
        <v>338</v>
      </c>
      <c r="G69" s="173"/>
      <c r="H69" s="173"/>
      <c r="I69" s="174" t="s">
        <v>6</v>
      </c>
      <c r="J69" s="175" t="s">
        <v>2965</v>
      </c>
      <c r="K69" s="176"/>
      <c r="L69" s="177" t="s">
        <v>339</v>
      </c>
      <c r="M69" s="1">
        <v>42828</v>
      </c>
      <c r="N69" s="1">
        <v>42832</v>
      </c>
      <c r="O69" s="171" t="s">
        <v>45</v>
      </c>
      <c r="P69" s="178">
        <v>7950</v>
      </c>
      <c r="Q69" s="179"/>
      <c r="R69" s="180"/>
      <c r="S69" s="180"/>
      <c r="T69" s="180"/>
      <c r="U69" s="182">
        <v>29</v>
      </c>
      <c r="V69" s="181"/>
      <c r="W69" s="181"/>
      <c r="X69" s="182">
        <f t="shared" si="1"/>
        <v>29</v>
      </c>
      <c r="Y69" s="3">
        <v>20</v>
      </c>
      <c r="Z69" s="3"/>
      <c r="AA69" s="175" t="s">
        <v>340</v>
      </c>
    </row>
    <row r="70" spans="1:27" ht="23.25" hidden="1" customHeight="1">
      <c r="A70" s="171" t="s">
        <v>2943</v>
      </c>
      <c r="B70" s="171">
        <v>2017</v>
      </c>
      <c r="C70" s="171"/>
      <c r="D70" s="171" t="s">
        <v>52</v>
      </c>
      <c r="E70" s="3" t="s">
        <v>322</v>
      </c>
      <c r="F70" s="173" t="s">
        <v>342</v>
      </c>
      <c r="G70" s="173"/>
      <c r="H70" s="173"/>
      <c r="I70" s="188" t="s">
        <v>44</v>
      </c>
      <c r="J70" s="2" t="s">
        <v>2952</v>
      </c>
      <c r="K70" s="176"/>
      <c r="L70" s="177" t="s">
        <v>343</v>
      </c>
      <c r="M70" s="1">
        <v>42849</v>
      </c>
      <c r="N70" s="1">
        <v>42853</v>
      </c>
      <c r="O70" s="3" t="s">
        <v>41</v>
      </c>
      <c r="P70" s="178">
        <v>6962.15</v>
      </c>
      <c r="Q70" s="179"/>
      <c r="R70" s="180"/>
      <c r="S70" s="180"/>
      <c r="T70" s="180"/>
      <c r="U70" s="181"/>
      <c r="V70" s="181">
        <v>46</v>
      </c>
      <c r="W70" s="181"/>
      <c r="X70" s="182">
        <f t="shared" si="1"/>
        <v>46</v>
      </c>
      <c r="Y70" s="3">
        <v>20</v>
      </c>
      <c r="Z70" s="3"/>
      <c r="AA70" s="189" t="s">
        <v>154</v>
      </c>
    </row>
    <row r="71" spans="1:27" ht="23.25" hidden="1" customHeight="1">
      <c r="A71" s="171" t="s">
        <v>2943</v>
      </c>
      <c r="B71" s="171">
        <v>2017</v>
      </c>
      <c r="C71" s="171"/>
      <c r="D71" s="171" t="s">
        <v>52</v>
      </c>
      <c r="E71" s="198" t="s">
        <v>345</v>
      </c>
      <c r="F71" s="173" t="s">
        <v>346</v>
      </c>
      <c r="G71" s="173"/>
      <c r="H71" s="173"/>
      <c r="I71" s="174" t="s">
        <v>33</v>
      </c>
      <c r="J71" s="175" t="s">
        <v>123</v>
      </c>
      <c r="K71" s="176"/>
      <c r="L71" s="177"/>
      <c r="M71" s="1">
        <v>42860</v>
      </c>
      <c r="N71" s="1">
        <v>42860</v>
      </c>
      <c r="O71" s="171" t="s">
        <v>45</v>
      </c>
      <c r="P71" s="204">
        <v>27300</v>
      </c>
      <c r="Q71" s="179"/>
      <c r="R71" s="180"/>
      <c r="S71" s="180"/>
      <c r="T71" s="180"/>
      <c r="U71" s="182">
        <v>14</v>
      </c>
      <c r="V71" s="181"/>
      <c r="W71" s="181"/>
      <c r="X71" s="182">
        <f t="shared" si="1"/>
        <v>14</v>
      </c>
      <c r="Y71" s="171">
        <v>26</v>
      </c>
      <c r="Z71" s="3"/>
      <c r="AA71" s="2" t="s">
        <v>2999</v>
      </c>
    </row>
    <row r="72" spans="1:27" ht="23.25" hidden="1" customHeight="1">
      <c r="A72" s="171" t="s">
        <v>2943</v>
      </c>
      <c r="B72" s="171">
        <v>2017</v>
      </c>
      <c r="C72" s="171"/>
      <c r="D72" s="171" t="s">
        <v>52</v>
      </c>
      <c r="E72" s="198" t="s">
        <v>348</v>
      </c>
      <c r="F72" s="186" t="s">
        <v>349</v>
      </c>
      <c r="G72" s="186"/>
      <c r="H72" s="186"/>
      <c r="I72" s="174" t="s">
        <v>33</v>
      </c>
      <c r="J72" s="175" t="s">
        <v>123</v>
      </c>
      <c r="K72" s="176"/>
      <c r="L72" s="177"/>
      <c r="M72" s="1">
        <v>42860</v>
      </c>
      <c r="N72" s="1">
        <v>42860</v>
      </c>
      <c r="O72" s="171" t="s">
        <v>45</v>
      </c>
      <c r="P72" s="187">
        <v>0</v>
      </c>
      <c r="Q72" s="199"/>
      <c r="R72" s="180"/>
      <c r="S72" s="180"/>
      <c r="T72" s="180"/>
      <c r="U72" s="182">
        <v>12</v>
      </c>
      <c r="V72" s="181"/>
      <c r="W72" s="181"/>
      <c r="X72" s="182">
        <f t="shared" si="1"/>
        <v>12</v>
      </c>
      <c r="Y72" s="171">
        <v>8</v>
      </c>
      <c r="Z72" s="3"/>
      <c r="AA72" s="175" t="s">
        <v>2966</v>
      </c>
    </row>
    <row r="73" spans="1:27" ht="23.25" hidden="1" customHeight="1">
      <c r="A73" s="171" t="s">
        <v>2943</v>
      </c>
      <c r="B73" s="171">
        <v>2017</v>
      </c>
      <c r="C73" s="171"/>
      <c r="D73" s="171" t="s">
        <v>52</v>
      </c>
      <c r="E73" s="171" t="s">
        <v>3002</v>
      </c>
      <c r="F73" s="186" t="s">
        <v>352</v>
      </c>
      <c r="G73" s="186"/>
      <c r="H73" s="186"/>
      <c r="I73" s="174" t="s">
        <v>33</v>
      </c>
      <c r="J73" s="175" t="s">
        <v>2947</v>
      </c>
      <c r="K73" s="176"/>
      <c r="L73" s="177" t="s">
        <v>353</v>
      </c>
      <c r="M73" s="1">
        <v>42863</v>
      </c>
      <c r="N73" s="1">
        <v>42136</v>
      </c>
      <c r="O73" s="3" t="s">
        <v>41</v>
      </c>
      <c r="P73" s="178">
        <v>7241.74</v>
      </c>
      <c r="Q73" s="179"/>
      <c r="R73" s="180"/>
      <c r="S73" s="180"/>
      <c r="T73" s="180"/>
      <c r="U73" s="181">
        <v>18</v>
      </c>
      <c r="V73" s="181"/>
      <c r="W73" s="181"/>
      <c r="X73" s="182">
        <f t="shared" si="1"/>
        <v>18</v>
      </c>
      <c r="Y73" s="3">
        <v>20</v>
      </c>
      <c r="Z73" s="3"/>
      <c r="AA73" s="196" t="s">
        <v>2964</v>
      </c>
    </row>
    <row r="74" spans="1:27" ht="23.25" hidden="1" customHeight="1">
      <c r="A74" s="171" t="s">
        <v>2943</v>
      </c>
      <c r="B74" s="171">
        <v>2017</v>
      </c>
      <c r="C74" s="171"/>
      <c r="D74" s="171" t="s">
        <v>52</v>
      </c>
      <c r="E74" s="171" t="s">
        <v>3003</v>
      </c>
      <c r="F74" s="173" t="s">
        <v>356</v>
      </c>
      <c r="G74" s="173"/>
      <c r="H74" s="173"/>
      <c r="I74" s="174" t="s">
        <v>33</v>
      </c>
      <c r="J74" s="175" t="s">
        <v>2944</v>
      </c>
      <c r="K74" s="176"/>
      <c r="L74" s="177" t="s">
        <v>357</v>
      </c>
      <c r="M74" s="1">
        <v>42870</v>
      </c>
      <c r="N74" s="1">
        <v>42874</v>
      </c>
      <c r="O74" s="171" t="s">
        <v>45</v>
      </c>
      <c r="P74" s="178">
        <v>33600</v>
      </c>
      <c r="Q74" s="179"/>
      <c r="R74" s="180"/>
      <c r="S74" s="180"/>
      <c r="T74" s="180"/>
      <c r="U74" s="182">
        <v>30</v>
      </c>
      <c r="V74" s="181"/>
      <c r="W74" s="181"/>
      <c r="X74" s="182">
        <f t="shared" si="1"/>
        <v>30</v>
      </c>
      <c r="Y74" s="3">
        <v>20</v>
      </c>
      <c r="Z74" s="3"/>
      <c r="AA74" s="175" t="s">
        <v>129</v>
      </c>
    </row>
    <row r="75" spans="1:27" ht="23.25" hidden="1" customHeight="1">
      <c r="A75" s="171" t="s">
        <v>2943</v>
      </c>
      <c r="B75" s="171">
        <v>2017</v>
      </c>
      <c r="C75" s="171"/>
      <c r="D75" s="171" t="s">
        <v>52</v>
      </c>
      <c r="E75" s="171" t="s">
        <v>359</v>
      </c>
      <c r="F75" s="173" t="s">
        <v>360</v>
      </c>
      <c r="G75" s="173"/>
      <c r="H75" s="173"/>
      <c r="I75" s="188" t="s">
        <v>48</v>
      </c>
      <c r="J75" s="2" t="s">
        <v>2952</v>
      </c>
      <c r="K75" s="176"/>
      <c r="L75" s="177" t="s">
        <v>361</v>
      </c>
      <c r="M75" s="1">
        <v>42877</v>
      </c>
      <c r="N75" s="1">
        <v>42881</v>
      </c>
      <c r="O75" s="3" t="s">
        <v>41</v>
      </c>
      <c r="P75" s="178">
        <v>0</v>
      </c>
      <c r="Q75" s="179"/>
      <c r="R75" s="180"/>
      <c r="S75" s="180"/>
      <c r="T75" s="180"/>
      <c r="U75" s="181"/>
      <c r="V75" s="181"/>
      <c r="W75" s="182">
        <v>37</v>
      </c>
      <c r="X75" s="182">
        <f t="shared" si="1"/>
        <v>37</v>
      </c>
      <c r="Y75" s="3">
        <v>20</v>
      </c>
      <c r="Z75" s="3"/>
      <c r="AA75" s="194" t="s">
        <v>362</v>
      </c>
    </row>
    <row r="76" spans="1:27" ht="23.25" hidden="1" customHeight="1">
      <c r="A76" s="171" t="s">
        <v>2943</v>
      </c>
      <c r="B76" s="171">
        <v>2017</v>
      </c>
      <c r="C76" s="171"/>
      <c r="D76" s="171" t="s">
        <v>52</v>
      </c>
      <c r="E76" s="3" t="s">
        <v>364</v>
      </c>
      <c r="F76" s="173" t="s">
        <v>365</v>
      </c>
      <c r="G76" s="173"/>
      <c r="H76" s="173"/>
      <c r="I76" s="188" t="s">
        <v>44</v>
      </c>
      <c r="J76" s="2" t="s">
        <v>2952</v>
      </c>
      <c r="K76" s="176"/>
      <c r="L76" s="177" t="s">
        <v>361</v>
      </c>
      <c r="M76" s="1">
        <v>42877</v>
      </c>
      <c r="N76" s="1">
        <v>42881</v>
      </c>
      <c r="O76" s="3" t="s">
        <v>41</v>
      </c>
      <c r="P76" s="178">
        <v>6962.15</v>
      </c>
      <c r="Q76" s="179"/>
      <c r="R76" s="180"/>
      <c r="S76" s="180"/>
      <c r="T76" s="180"/>
      <c r="U76" s="181"/>
      <c r="V76" s="181">
        <v>47</v>
      </c>
      <c r="W76" s="181"/>
      <c r="X76" s="182">
        <f t="shared" si="1"/>
        <v>47</v>
      </c>
      <c r="Y76" s="3">
        <v>20</v>
      </c>
      <c r="Z76" s="3"/>
      <c r="AA76" s="189" t="s">
        <v>2995</v>
      </c>
    </row>
    <row r="77" spans="1:27" ht="23.25" hidden="1" customHeight="1">
      <c r="A77" s="171" t="s">
        <v>2943</v>
      </c>
      <c r="B77" s="171">
        <v>2017</v>
      </c>
      <c r="C77" s="171"/>
      <c r="D77" s="171" t="s">
        <v>52</v>
      </c>
      <c r="E77" s="171" t="s">
        <v>367</v>
      </c>
      <c r="F77" s="173" t="s">
        <v>368</v>
      </c>
      <c r="G77" s="173"/>
      <c r="H77" s="173"/>
      <c r="I77" s="174" t="s">
        <v>6</v>
      </c>
      <c r="J77" s="175" t="s">
        <v>2944</v>
      </c>
      <c r="K77" s="176"/>
      <c r="L77" s="177" t="s">
        <v>369</v>
      </c>
      <c r="M77" s="1">
        <v>42880</v>
      </c>
      <c r="N77" s="1">
        <v>42881</v>
      </c>
      <c r="O77" s="171" t="s">
        <v>45</v>
      </c>
      <c r="P77" s="178">
        <v>8000</v>
      </c>
      <c r="Q77" s="179"/>
      <c r="R77" s="180"/>
      <c r="S77" s="180"/>
      <c r="T77" s="180"/>
      <c r="U77" s="182">
        <v>30</v>
      </c>
      <c r="V77" s="181"/>
      <c r="W77" s="181"/>
      <c r="X77" s="182">
        <f t="shared" si="1"/>
        <v>30</v>
      </c>
      <c r="Y77" s="3">
        <v>16</v>
      </c>
      <c r="Z77" s="3"/>
      <c r="AA77" s="2" t="s">
        <v>370</v>
      </c>
    </row>
    <row r="78" spans="1:27" ht="23.25" hidden="1" customHeight="1">
      <c r="A78" s="171" t="s">
        <v>2943</v>
      </c>
      <c r="B78" s="171">
        <v>2017</v>
      </c>
      <c r="C78" s="171"/>
      <c r="D78" s="171" t="s">
        <v>52</v>
      </c>
      <c r="E78" s="171" t="s">
        <v>372</v>
      </c>
      <c r="F78" s="186" t="s">
        <v>373</v>
      </c>
      <c r="G78" s="186"/>
      <c r="H78" s="186"/>
      <c r="I78" s="174" t="s">
        <v>33</v>
      </c>
      <c r="J78" s="175" t="s">
        <v>2976</v>
      </c>
      <c r="K78" s="176"/>
      <c r="L78" s="177" t="s">
        <v>374</v>
      </c>
      <c r="M78" s="1">
        <v>42880</v>
      </c>
      <c r="N78" s="1">
        <v>42881</v>
      </c>
      <c r="O78" s="171" t="s">
        <v>45</v>
      </c>
      <c r="P78" s="178">
        <v>7880</v>
      </c>
      <c r="Q78" s="179"/>
      <c r="R78" s="180"/>
      <c r="S78" s="180"/>
      <c r="T78" s="180"/>
      <c r="U78" s="182">
        <v>19</v>
      </c>
      <c r="V78" s="181"/>
      <c r="W78" s="181"/>
      <c r="X78" s="182">
        <f t="shared" si="1"/>
        <v>19</v>
      </c>
      <c r="Y78" s="3">
        <v>20</v>
      </c>
      <c r="Z78" s="3"/>
      <c r="AA78" s="175" t="s">
        <v>211</v>
      </c>
    </row>
    <row r="79" spans="1:27" ht="23.25" hidden="1" customHeight="1">
      <c r="A79" s="171" t="s">
        <v>2943</v>
      </c>
      <c r="B79" s="171">
        <v>2017</v>
      </c>
      <c r="C79" s="171"/>
      <c r="D79" s="171" t="s">
        <v>52</v>
      </c>
      <c r="E79" s="3" t="s">
        <v>376</v>
      </c>
      <c r="F79" s="173" t="s">
        <v>377</v>
      </c>
      <c r="G79" s="173"/>
      <c r="H79" s="173"/>
      <c r="I79" s="188" t="s">
        <v>44</v>
      </c>
      <c r="J79" s="2" t="s">
        <v>2952</v>
      </c>
      <c r="K79" s="176"/>
      <c r="L79" s="177" t="s">
        <v>378</v>
      </c>
      <c r="M79" s="1">
        <v>42881</v>
      </c>
      <c r="N79" s="1">
        <v>42884</v>
      </c>
      <c r="O79" s="3" t="s">
        <v>41</v>
      </c>
      <c r="P79" s="178">
        <v>5569.72</v>
      </c>
      <c r="Q79" s="179"/>
      <c r="R79" s="180"/>
      <c r="S79" s="180"/>
      <c r="T79" s="180"/>
      <c r="U79" s="181"/>
      <c r="V79" s="181">
        <v>37</v>
      </c>
      <c r="W79" s="181"/>
      <c r="X79" s="182">
        <f t="shared" si="1"/>
        <v>37</v>
      </c>
      <c r="Y79" s="3">
        <v>16</v>
      </c>
      <c r="Z79" s="3"/>
      <c r="AA79" s="189" t="s">
        <v>3004</v>
      </c>
    </row>
    <row r="80" spans="1:27" ht="23.25" hidden="1" customHeight="1">
      <c r="A80" s="171" t="s">
        <v>2943</v>
      </c>
      <c r="B80" s="171">
        <v>2017</v>
      </c>
      <c r="C80" s="171"/>
      <c r="D80" s="171" t="s">
        <v>52</v>
      </c>
      <c r="E80" s="3" t="s">
        <v>372</v>
      </c>
      <c r="F80" s="173" t="s">
        <v>381</v>
      </c>
      <c r="G80" s="173"/>
      <c r="H80" s="173"/>
      <c r="I80" s="174" t="s">
        <v>33</v>
      </c>
      <c r="J80" s="175" t="s">
        <v>2976</v>
      </c>
      <c r="K80" s="176"/>
      <c r="L80" s="177" t="s">
        <v>382</v>
      </c>
      <c r="M80" s="1">
        <v>42891</v>
      </c>
      <c r="N80" s="1">
        <v>42895</v>
      </c>
      <c r="O80" s="171" t="s">
        <v>45</v>
      </c>
      <c r="P80" s="178">
        <v>7880</v>
      </c>
      <c r="Q80" s="179"/>
      <c r="R80" s="180"/>
      <c r="S80" s="180"/>
      <c r="T80" s="180"/>
      <c r="U80" s="182">
        <v>19</v>
      </c>
      <c r="V80" s="181"/>
      <c r="W80" s="181"/>
      <c r="X80" s="182">
        <f t="shared" si="1"/>
        <v>19</v>
      </c>
      <c r="Y80" s="3">
        <v>20</v>
      </c>
      <c r="Z80" s="3"/>
      <c r="AA80" s="175" t="s">
        <v>211</v>
      </c>
    </row>
    <row r="81" spans="1:27" ht="23.25" hidden="1" customHeight="1">
      <c r="A81" s="171" t="s">
        <v>2943</v>
      </c>
      <c r="B81" s="171">
        <v>2017</v>
      </c>
      <c r="C81" s="171"/>
      <c r="D81" s="171" t="s">
        <v>52</v>
      </c>
      <c r="E81" s="171" t="s">
        <v>384</v>
      </c>
      <c r="F81" s="173" t="s">
        <v>385</v>
      </c>
      <c r="G81" s="173"/>
      <c r="H81" s="173"/>
      <c r="I81" s="174" t="s">
        <v>33</v>
      </c>
      <c r="J81" s="175" t="s">
        <v>2947</v>
      </c>
      <c r="K81" s="176"/>
      <c r="L81" s="177" t="s">
        <v>386</v>
      </c>
      <c r="M81" s="1">
        <v>42905</v>
      </c>
      <c r="N81" s="1">
        <v>42909</v>
      </c>
      <c r="O81" s="3" t="s">
        <v>41</v>
      </c>
      <c r="P81" s="178">
        <v>8547.4</v>
      </c>
      <c r="Q81" s="179"/>
      <c r="R81" s="180"/>
      <c r="S81" s="180"/>
      <c r="T81" s="180"/>
      <c r="U81" s="182">
        <v>20</v>
      </c>
      <c r="V81" s="181"/>
      <c r="W81" s="181"/>
      <c r="X81" s="182">
        <f t="shared" si="1"/>
        <v>20</v>
      </c>
      <c r="Y81" s="3">
        <v>20</v>
      </c>
      <c r="Z81" s="3"/>
      <c r="AA81" s="194" t="s">
        <v>3005</v>
      </c>
    </row>
    <row r="82" spans="1:27" ht="23.25" hidden="1" customHeight="1">
      <c r="A82" s="171" t="s">
        <v>2943</v>
      </c>
      <c r="B82" s="171">
        <v>2017</v>
      </c>
      <c r="C82" s="171"/>
      <c r="D82" s="171" t="s">
        <v>52</v>
      </c>
      <c r="E82" s="171" t="s">
        <v>389</v>
      </c>
      <c r="F82" s="186" t="s">
        <v>390</v>
      </c>
      <c r="G82" s="186"/>
      <c r="H82" s="186"/>
      <c r="I82" s="174" t="s">
        <v>33</v>
      </c>
      <c r="J82" s="175" t="s">
        <v>3006</v>
      </c>
      <c r="K82" s="176"/>
      <c r="L82" s="177" t="s">
        <v>3007</v>
      </c>
      <c r="M82" s="1">
        <v>42909</v>
      </c>
      <c r="N82" s="1">
        <v>42963</v>
      </c>
      <c r="O82" s="171" t="s">
        <v>41</v>
      </c>
      <c r="P82" s="187">
        <v>11567.86</v>
      </c>
      <c r="Q82" s="179"/>
      <c r="R82" s="180"/>
      <c r="S82" s="180"/>
      <c r="T82" s="180"/>
      <c r="U82" s="181">
        <v>50</v>
      </c>
      <c r="V82" s="181"/>
      <c r="W82" s="181"/>
      <c r="X82" s="182">
        <f t="shared" si="1"/>
        <v>50</v>
      </c>
      <c r="Y82" s="171">
        <v>20</v>
      </c>
      <c r="Z82" s="3"/>
      <c r="AA82" s="379" t="s">
        <v>3008</v>
      </c>
    </row>
    <row r="83" spans="1:27" ht="23.25" hidden="1" customHeight="1">
      <c r="A83" s="171" t="s">
        <v>2943</v>
      </c>
      <c r="B83" s="171">
        <v>2017</v>
      </c>
      <c r="C83" s="171"/>
      <c r="D83" s="171" t="s">
        <v>52</v>
      </c>
      <c r="E83" s="171" t="s">
        <v>3009</v>
      </c>
      <c r="F83" s="173" t="s">
        <v>264</v>
      </c>
      <c r="G83" s="173"/>
      <c r="H83" s="173"/>
      <c r="I83" s="174" t="s">
        <v>33</v>
      </c>
      <c r="J83" s="175" t="s">
        <v>2954</v>
      </c>
      <c r="K83" s="176"/>
      <c r="L83" s="177" t="s">
        <v>394</v>
      </c>
      <c r="M83" s="1">
        <v>42912</v>
      </c>
      <c r="N83" s="1">
        <v>42916</v>
      </c>
      <c r="O83" s="171" t="s">
        <v>45</v>
      </c>
      <c r="P83" s="178">
        <v>9780</v>
      </c>
      <c r="Q83" s="179"/>
      <c r="R83" s="180"/>
      <c r="S83" s="180"/>
      <c r="T83" s="180"/>
      <c r="U83" s="182">
        <v>17</v>
      </c>
      <c r="V83" s="181"/>
      <c r="W83" s="181"/>
      <c r="X83" s="182">
        <f t="shared" si="1"/>
        <v>17</v>
      </c>
      <c r="Y83" s="3">
        <v>20</v>
      </c>
      <c r="Z83" s="3"/>
      <c r="AA83" s="175" t="s">
        <v>225</v>
      </c>
    </row>
    <row r="84" spans="1:27" ht="23.25" hidden="1" customHeight="1">
      <c r="A84" s="171" t="s">
        <v>2943</v>
      </c>
      <c r="B84" s="171">
        <v>2017</v>
      </c>
      <c r="C84" s="171"/>
      <c r="D84" s="171" t="s">
        <v>52</v>
      </c>
      <c r="E84" s="171" t="s">
        <v>3010</v>
      </c>
      <c r="F84" s="173" t="s">
        <v>223</v>
      </c>
      <c r="G84" s="173"/>
      <c r="H84" s="173"/>
      <c r="I84" s="188" t="s">
        <v>48</v>
      </c>
      <c r="J84" s="2" t="s">
        <v>2952</v>
      </c>
      <c r="K84" s="176"/>
      <c r="L84" s="177" t="s">
        <v>3011</v>
      </c>
      <c r="M84" s="1">
        <v>42919</v>
      </c>
      <c r="N84" s="1">
        <v>42923</v>
      </c>
      <c r="O84" s="3" t="s">
        <v>41</v>
      </c>
      <c r="P84" s="178">
        <v>7231.26</v>
      </c>
      <c r="Q84" s="179"/>
      <c r="R84" s="180"/>
      <c r="S84" s="180"/>
      <c r="T84" s="180"/>
      <c r="U84" s="181"/>
      <c r="V84" s="181"/>
      <c r="W84" s="182">
        <v>49</v>
      </c>
      <c r="X84" s="182">
        <f t="shared" si="1"/>
        <v>49</v>
      </c>
      <c r="Y84" s="3">
        <v>20</v>
      </c>
      <c r="Z84" s="3"/>
      <c r="AA84" s="194" t="s">
        <v>2963</v>
      </c>
    </row>
    <row r="85" spans="1:27" ht="23.25" hidden="1" customHeight="1">
      <c r="A85" s="171" t="s">
        <v>2943</v>
      </c>
      <c r="B85" s="171">
        <v>2017</v>
      </c>
      <c r="C85" s="171"/>
      <c r="D85" s="171" t="s">
        <v>52</v>
      </c>
      <c r="E85" s="3" t="s">
        <v>3012</v>
      </c>
      <c r="F85" s="173" t="s">
        <v>403</v>
      </c>
      <c r="G85" s="173"/>
      <c r="H85" s="173"/>
      <c r="I85" s="188" t="s">
        <v>44</v>
      </c>
      <c r="J85" s="175" t="s">
        <v>2952</v>
      </c>
      <c r="K85" s="176"/>
      <c r="L85" s="177" t="s">
        <v>404</v>
      </c>
      <c r="M85" s="1">
        <v>42940</v>
      </c>
      <c r="N85" s="1">
        <v>42944</v>
      </c>
      <c r="O85" s="3" t="s">
        <v>41</v>
      </c>
      <c r="P85" s="178">
        <v>6008.6</v>
      </c>
      <c r="Q85" s="179"/>
      <c r="R85" s="180"/>
      <c r="S85" s="180"/>
      <c r="T85" s="180"/>
      <c r="U85" s="181"/>
      <c r="V85" s="181">
        <v>34</v>
      </c>
      <c r="W85" s="181"/>
      <c r="X85" s="182">
        <f t="shared" si="1"/>
        <v>34</v>
      </c>
      <c r="Y85" s="3">
        <v>20</v>
      </c>
      <c r="Z85" s="3"/>
      <c r="AA85" s="190" t="s">
        <v>2953</v>
      </c>
    </row>
    <row r="86" spans="1:27" ht="23.25" hidden="1" customHeight="1">
      <c r="A86" s="171" t="s">
        <v>2943</v>
      </c>
      <c r="B86" s="171">
        <v>2017</v>
      </c>
      <c r="C86" s="171"/>
      <c r="D86" s="171" t="s">
        <v>52</v>
      </c>
      <c r="E86" s="3" t="s">
        <v>396</v>
      </c>
      <c r="F86" s="173" t="s">
        <v>397</v>
      </c>
      <c r="G86" s="173"/>
      <c r="H86" s="173"/>
      <c r="I86" s="188" t="s">
        <v>44</v>
      </c>
      <c r="J86" s="2" t="s">
        <v>2952</v>
      </c>
      <c r="K86" s="176"/>
      <c r="L86" s="177" t="s">
        <v>394</v>
      </c>
      <c r="M86" s="1">
        <v>42942</v>
      </c>
      <c r="N86" s="1">
        <v>42916</v>
      </c>
      <c r="O86" s="3" t="s">
        <v>41</v>
      </c>
      <c r="P86" s="178">
        <v>6962.15</v>
      </c>
      <c r="Q86" s="179"/>
      <c r="R86" s="180"/>
      <c r="S86" s="180"/>
      <c r="T86" s="180"/>
      <c r="U86" s="181"/>
      <c r="V86" s="181">
        <v>25</v>
      </c>
      <c r="W86" s="181"/>
      <c r="X86" s="182">
        <f t="shared" si="1"/>
        <v>25</v>
      </c>
      <c r="Y86" s="3">
        <v>20</v>
      </c>
      <c r="Z86" s="3"/>
      <c r="AA86" s="190" t="s">
        <v>2953</v>
      </c>
    </row>
    <row r="87" spans="1:27" ht="23.25" hidden="1" customHeight="1">
      <c r="A87" s="171" t="s">
        <v>2943</v>
      </c>
      <c r="B87" s="171">
        <v>2017</v>
      </c>
      <c r="C87" s="171"/>
      <c r="D87" s="171" t="s">
        <v>52</v>
      </c>
      <c r="E87" s="171" t="s">
        <v>406</v>
      </c>
      <c r="F87" s="186" t="s">
        <v>407</v>
      </c>
      <c r="G87" s="186"/>
      <c r="H87" s="186"/>
      <c r="I87" s="174" t="s">
        <v>33</v>
      </c>
      <c r="J87" s="175" t="s">
        <v>2947</v>
      </c>
      <c r="K87" s="176"/>
      <c r="L87" s="177" t="s">
        <v>408</v>
      </c>
      <c r="M87" s="1">
        <v>42968</v>
      </c>
      <c r="N87" s="1">
        <v>42972</v>
      </c>
      <c r="O87" s="3" t="s">
        <v>41</v>
      </c>
      <c r="P87" s="178">
        <v>7603.8</v>
      </c>
      <c r="Q87" s="179"/>
      <c r="R87" s="180"/>
      <c r="S87" s="180"/>
      <c r="T87" s="180"/>
      <c r="U87" s="181">
        <v>19</v>
      </c>
      <c r="V87" s="181"/>
      <c r="W87" s="181"/>
      <c r="X87" s="182">
        <f t="shared" si="1"/>
        <v>19</v>
      </c>
      <c r="Y87" s="3">
        <v>20</v>
      </c>
      <c r="Z87" s="3"/>
      <c r="AA87" s="196" t="s">
        <v>2964</v>
      </c>
    </row>
    <row r="88" spans="1:27" ht="23.25" hidden="1" customHeight="1">
      <c r="A88" s="171" t="s">
        <v>2943</v>
      </c>
      <c r="B88" s="171">
        <v>2017</v>
      </c>
      <c r="C88" s="171"/>
      <c r="D88" s="171" t="s">
        <v>52</v>
      </c>
      <c r="E88" s="3" t="s">
        <v>410</v>
      </c>
      <c r="F88" s="173" t="s">
        <v>411</v>
      </c>
      <c r="G88" s="173"/>
      <c r="H88" s="173"/>
      <c r="I88" s="188" t="s">
        <v>44</v>
      </c>
      <c r="J88" s="175" t="s">
        <v>2952</v>
      </c>
      <c r="K88" s="176"/>
      <c r="L88" s="177" t="s">
        <v>3013</v>
      </c>
      <c r="M88" s="1">
        <v>42976</v>
      </c>
      <c r="N88" s="1">
        <v>42977</v>
      </c>
      <c r="O88" s="171" t="s">
        <v>45</v>
      </c>
      <c r="P88" s="178">
        <v>40881.51</v>
      </c>
      <c r="Q88" s="179"/>
      <c r="R88" s="180"/>
      <c r="S88" s="180"/>
      <c r="T88" s="180"/>
      <c r="U88" s="206">
        <v>100</v>
      </c>
      <c r="V88" s="206">
        <v>212</v>
      </c>
      <c r="W88" s="206">
        <v>0</v>
      </c>
      <c r="X88" s="182">
        <f t="shared" si="1"/>
        <v>312</v>
      </c>
      <c r="Y88" s="3">
        <v>8</v>
      </c>
      <c r="Z88" s="3"/>
      <c r="AA88" s="175" t="s">
        <v>3014</v>
      </c>
    </row>
    <row r="89" spans="1:27" ht="23.25" hidden="1" customHeight="1">
      <c r="A89" s="171" t="s">
        <v>2943</v>
      </c>
      <c r="B89" s="171">
        <v>2017</v>
      </c>
      <c r="C89" s="171"/>
      <c r="D89" s="171" t="s">
        <v>52</v>
      </c>
      <c r="E89" s="3" t="s">
        <v>414</v>
      </c>
      <c r="F89" s="173" t="s">
        <v>415</v>
      </c>
      <c r="G89" s="173"/>
      <c r="H89" s="173"/>
      <c r="I89" s="188" t="s">
        <v>44</v>
      </c>
      <c r="J89" s="2" t="s">
        <v>2952</v>
      </c>
      <c r="K89" s="176"/>
      <c r="L89" s="177" t="s">
        <v>416</v>
      </c>
      <c r="M89" s="1">
        <v>42989</v>
      </c>
      <c r="N89" s="1">
        <v>42993</v>
      </c>
      <c r="O89" s="3" t="s">
        <v>41</v>
      </c>
      <c r="P89" s="178">
        <v>7452.02</v>
      </c>
      <c r="Q89" s="179"/>
      <c r="R89" s="180"/>
      <c r="S89" s="180"/>
      <c r="T89" s="180"/>
      <c r="U89" s="181"/>
      <c r="V89" s="181">
        <v>57</v>
      </c>
      <c r="W89" s="181"/>
      <c r="X89" s="182">
        <f t="shared" si="1"/>
        <v>57</v>
      </c>
      <c r="Y89" s="3">
        <v>20</v>
      </c>
      <c r="Z89" s="3"/>
      <c r="AA89" s="189" t="s">
        <v>154</v>
      </c>
    </row>
    <row r="90" spans="1:27" ht="23.25" hidden="1" customHeight="1">
      <c r="A90" s="171" t="s">
        <v>2943</v>
      </c>
      <c r="B90" s="171">
        <v>2017</v>
      </c>
      <c r="C90" s="171"/>
      <c r="D90" s="171" t="s">
        <v>52</v>
      </c>
      <c r="E90" s="3" t="s">
        <v>418</v>
      </c>
      <c r="F90" s="173" t="s">
        <v>419</v>
      </c>
      <c r="G90" s="173"/>
      <c r="H90" s="173"/>
      <c r="I90" s="188" t="s">
        <v>44</v>
      </c>
      <c r="J90" s="2" t="s">
        <v>2952</v>
      </c>
      <c r="K90" s="176"/>
      <c r="L90" s="177" t="s">
        <v>420</v>
      </c>
      <c r="M90" s="1">
        <v>43003</v>
      </c>
      <c r="N90" s="1">
        <v>43007</v>
      </c>
      <c r="O90" s="3" t="s">
        <v>41</v>
      </c>
      <c r="P90" s="178">
        <v>7510.44</v>
      </c>
      <c r="Q90" s="179"/>
      <c r="R90" s="180"/>
      <c r="S90" s="180"/>
      <c r="T90" s="180"/>
      <c r="U90" s="181"/>
      <c r="V90" s="181">
        <v>50</v>
      </c>
      <c r="W90" s="181"/>
      <c r="X90" s="182">
        <f t="shared" si="1"/>
        <v>50</v>
      </c>
      <c r="Y90" s="3">
        <v>20</v>
      </c>
      <c r="Z90" s="3"/>
      <c r="AA90" s="189" t="s">
        <v>154</v>
      </c>
    </row>
    <row r="91" spans="1:27" ht="23.25" hidden="1" customHeight="1">
      <c r="A91" s="171" t="s">
        <v>2943</v>
      </c>
      <c r="B91" s="171">
        <v>2017</v>
      </c>
      <c r="C91" s="171"/>
      <c r="D91" s="171" t="s">
        <v>52</v>
      </c>
      <c r="E91" s="171" t="s">
        <v>422</v>
      </c>
      <c r="F91" s="173" t="s">
        <v>423</v>
      </c>
      <c r="G91" s="173"/>
      <c r="H91" s="173"/>
      <c r="I91" s="174" t="s">
        <v>6</v>
      </c>
      <c r="J91" s="175" t="s">
        <v>2965</v>
      </c>
      <c r="K91" s="176"/>
      <c r="L91" s="177" t="s">
        <v>424</v>
      </c>
      <c r="M91" s="1">
        <v>43025</v>
      </c>
      <c r="N91" s="1">
        <v>43026</v>
      </c>
      <c r="O91" s="171" t="s">
        <v>45</v>
      </c>
      <c r="P91" s="178">
        <v>19780</v>
      </c>
      <c r="Q91" s="179"/>
      <c r="R91" s="180"/>
      <c r="S91" s="180"/>
      <c r="T91" s="180"/>
      <c r="U91" s="182">
        <v>18</v>
      </c>
      <c r="V91" s="181"/>
      <c r="W91" s="181"/>
      <c r="X91" s="182">
        <f t="shared" si="1"/>
        <v>18</v>
      </c>
      <c r="Y91" s="3">
        <v>20</v>
      </c>
      <c r="Z91" s="3"/>
      <c r="AA91" s="175" t="s">
        <v>3015</v>
      </c>
    </row>
    <row r="92" spans="1:27" ht="23.25" hidden="1" customHeight="1">
      <c r="A92" s="171" t="s">
        <v>2943</v>
      </c>
      <c r="B92" s="171">
        <v>2017</v>
      </c>
      <c r="C92" s="171"/>
      <c r="D92" s="171" t="s">
        <v>52</v>
      </c>
      <c r="E92" s="171" t="s">
        <v>426</v>
      </c>
      <c r="F92" s="173" t="s">
        <v>427</v>
      </c>
      <c r="G92" s="173"/>
      <c r="H92" s="173"/>
      <c r="I92" s="174" t="s">
        <v>2946</v>
      </c>
      <c r="J92" s="175" t="s">
        <v>2954</v>
      </c>
      <c r="K92" s="176"/>
      <c r="L92" s="177" t="s">
        <v>428</v>
      </c>
      <c r="M92" s="1">
        <v>43031</v>
      </c>
      <c r="N92" s="1">
        <v>43035</v>
      </c>
      <c r="O92" s="3" t="s">
        <v>41</v>
      </c>
      <c r="P92" s="178">
        <v>7452.02</v>
      </c>
      <c r="Q92" s="179"/>
      <c r="R92" s="180"/>
      <c r="S92" s="180"/>
      <c r="T92" s="180"/>
      <c r="U92" s="181">
        <v>18</v>
      </c>
      <c r="V92" s="181"/>
      <c r="W92" s="181"/>
      <c r="X92" s="182">
        <f t="shared" si="1"/>
        <v>18</v>
      </c>
      <c r="Y92" s="3">
        <v>20</v>
      </c>
      <c r="Z92" s="3"/>
      <c r="AA92" s="194" t="s">
        <v>3016</v>
      </c>
    </row>
    <row r="93" spans="1:27" ht="23.25" hidden="1" customHeight="1">
      <c r="A93" s="171" t="s">
        <v>2943</v>
      </c>
      <c r="B93" s="171">
        <v>2017</v>
      </c>
      <c r="C93" s="171"/>
      <c r="D93" s="171" t="s">
        <v>52</v>
      </c>
      <c r="E93" s="3" t="s">
        <v>431</v>
      </c>
      <c r="F93" s="173" t="s">
        <v>432</v>
      </c>
      <c r="G93" s="173"/>
      <c r="H93" s="173"/>
      <c r="I93" s="188" t="s">
        <v>44</v>
      </c>
      <c r="J93" s="175" t="s">
        <v>2952</v>
      </c>
      <c r="K93" s="176"/>
      <c r="L93" s="177" t="s">
        <v>428</v>
      </c>
      <c r="M93" s="1">
        <v>43031</v>
      </c>
      <c r="N93" s="1">
        <v>43035</v>
      </c>
      <c r="O93" s="3" t="s">
        <v>49</v>
      </c>
      <c r="P93" s="178">
        <v>10272.4</v>
      </c>
      <c r="Q93" s="179"/>
      <c r="R93" s="180"/>
      <c r="S93" s="180"/>
      <c r="T93" s="180"/>
      <c r="U93" s="181"/>
      <c r="V93" s="181">
        <v>40</v>
      </c>
      <c r="W93" s="181"/>
      <c r="X93" s="182">
        <f t="shared" si="1"/>
        <v>40</v>
      </c>
      <c r="Y93" s="3">
        <v>20</v>
      </c>
      <c r="Z93" s="3"/>
      <c r="AA93" s="207" t="s">
        <v>3017</v>
      </c>
    </row>
    <row r="94" spans="1:27" ht="23.25" hidden="1" customHeight="1">
      <c r="A94" s="171" t="s">
        <v>2943</v>
      </c>
      <c r="B94" s="171">
        <v>2017</v>
      </c>
      <c r="C94" s="171"/>
      <c r="D94" s="171" t="s">
        <v>52</v>
      </c>
      <c r="E94" s="171" t="s">
        <v>435</v>
      </c>
      <c r="F94" s="173" t="s">
        <v>436</v>
      </c>
      <c r="G94" s="173"/>
      <c r="H94" s="173"/>
      <c r="I94" s="188" t="s">
        <v>44</v>
      </c>
      <c r="J94" s="2" t="s">
        <v>2952</v>
      </c>
      <c r="K94" s="176"/>
      <c r="L94" s="177" t="s">
        <v>437</v>
      </c>
      <c r="M94" s="1">
        <v>43045</v>
      </c>
      <c r="N94" s="1">
        <v>43048</v>
      </c>
      <c r="O94" s="3" t="s">
        <v>41</v>
      </c>
      <c r="P94" s="178">
        <v>5961.61</v>
      </c>
      <c r="Q94" s="179"/>
      <c r="R94" s="180"/>
      <c r="S94" s="180"/>
      <c r="T94" s="180"/>
      <c r="U94" s="181"/>
      <c r="V94" s="181">
        <v>37</v>
      </c>
      <c r="W94" s="181"/>
      <c r="X94" s="182">
        <f t="shared" si="1"/>
        <v>37</v>
      </c>
      <c r="Y94" s="3">
        <v>16</v>
      </c>
      <c r="Z94" s="3"/>
      <c r="AA94" s="189" t="s">
        <v>3004</v>
      </c>
    </row>
    <row r="95" spans="1:27" ht="23.25" hidden="1" customHeight="1">
      <c r="A95" s="171" t="s">
        <v>2943</v>
      </c>
      <c r="B95" s="171">
        <v>2018</v>
      </c>
      <c r="C95" s="171"/>
      <c r="D95" s="171" t="s">
        <v>52</v>
      </c>
      <c r="E95" s="171" t="s">
        <v>3018</v>
      </c>
      <c r="F95" s="173" t="s">
        <v>223</v>
      </c>
      <c r="G95" s="173"/>
      <c r="H95" s="173"/>
      <c r="I95" s="188" t="s">
        <v>48</v>
      </c>
      <c r="J95" s="175" t="s">
        <v>2952</v>
      </c>
      <c r="K95" s="176"/>
      <c r="L95" s="177" t="s">
        <v>441</v>
      </c>
      <c r="M95" s="1">
        <v>43179</v>
      </c>
      <c r="N95" s="1">
        <v>43180</v>
      </c>
      <c r="O95" s="3" t="s">
        <v>41</v>
      </c>
      <c r="P95" s="178">
        <v>5647.92</v>
      </c>
      <c r="Q95" s="179"/>
      <c r="R95" s="180"/>
      <c r="S95" s="180"/>
      <c r="T95" s="180"/>
      <c r="U95" s="181"/>
      <c r="V95" s="181"/>
      <c r="W95" s="181">
        <v>96</v>
      </c>
      <c r="X95" s="182">
        <f t="shared" si="1"/>
        <v>96</v>
      </c>
      <c r="Y95" s="3">
        <v>20</v>
      </c>
      <c r="Z95" s="3"/>
      <c r="AA95" s="208" t="s">
        <v>3019</v>
      </c>
    </row>
    <row r="96" spans="1:27" ht="23.25" hidden="1" customHeight="1">
      <c r="A96" s="171" t="s">
        <v>2943</v>
      </c>
      <c r="B96" s="171">
        <v>2018</v>
      </c>
      <c r="C96" s="171"/>
      <c r="D96" s="171" t="s">
        <v>52</v>
      </c>
      <c r="E96" s="171" t="s">
        <v>3020</v>
      </c>
      <c r="F96" s="173" t="s">
        <v>445</v>
      </c>
      <c r="G96" s="173"/>
      <c r="H96" s="173"/>
      <c r="I96" s="174" t="s">
        <v>33</v>
      </c>
      <c r="J96" s="175" t="s">
        <v>2947</v>
      </c>
      <c r="K96" s="176"/>
      <c r="L96" s="177" t="s">
        <v>446</v>
      </c>
      <c r="M96" s="1">
        <v>43192</v>
      </c>
      <c r="N96" s="1">
        <v>43196</v>
      </c>
      <c r="O96" s="3" t="s">
        <v>41</v>
      </c>
      <c r="P96" s="178">
        <v>13018.48</v>
      </c>
      <c r="Q96" s="179"/>
      <c r="R96" s="180"/>
      <c r="S96" s="180"/>
      <c r="T96" s="180"/>
      <c r="U96" s="182">
        <v>19</v>
      </c>
      <c r="V96" s="181"/>
      <c r="W96" s="181"/>
      <c r="X96" s="182">
        <f t="shared" si="1"/>
        <v>19</v>
      </c>
      <c r="Y96" s="3">
        <v>20</v>
      </c>
      <c r="Z96" s="3"/>
      <c r="AA96" s="190" t="s">
        <v>2957</v>
      </c>
    </row>
    <row r="97" spans="1:27" ht="23.25" hidden="1" customHeight="1">
      <c r="A97" s="171" t="s">
        <v>2943</v>
      </c>
      <c r="B97" s="171">
        <v>2018</v>
      </c>
      <c r="C97" s="171"/>
      <c r="D97" s="171" t="s">
        <v>52</v>
      </c>
      <c r="E97" s="3" t="s">
        <v>3021</v>
      </c>
      <c r="F97" s="173" t="s">
        <v>449</v>
      </c>
      <c r="G97" s="173"/>
      <c r="H97" s="173"/>
      <c r="I97" s="188" t="s">
        <v>44</v>
      </c>
      <c r="J97" s="175" t="s">
        <v>2952</v>
      </c>
      <c r="K97" s="176"/>
      <c r="L97" s="177" t="s">
        <v>450</v>
      </c>
      <c r="M97" s="1">
        <v>43199</v>
      </c>
      <c r="N97" s="1">
        <v>43203</v>
      </c>
      <c r="O97" s="3" t="s">
        <v>41</v>
      </c>
      <c r="P97" s="178">
        <v>7310.2</v>
      </c>
      <c r="Q97" s="179"/>
      <c r="R97" s="180"/>
      <c r="S97" s="180"/>
      <c r="T97" s="180"/>
      <c r="U97" s="181"/>
      <c r="V97" s="181">
        <v>65</v>
      </c>
      <c r="W97" s="181"/>
      <c r="X97" s="182">
        <f t="shared" si="1"/>
        <v>65</v>
      </c>
      <c r="Y97" s="3">
        <v>20</v>
      </c>
      <c r="Z97" s="3"/>
      <c r="AA97" s="189" t="s">
        <v>154</v>
      </c>
    </row>
    <row r="98" spans="1:27" ht="23.25" hidden="1" customHeight="1">
      <c r="A98" s="171" t="s">
        <v>2943</v>
      </c>
      <c r="B98" s="171">
        <v>2018</v>
      </c>
      <c r="C98" s="171"/>
      <c r="D98" s="171" t="s">
        <v>52</v>
      </c>
      <c r="E98" s="171" t="s">
        <v>452</v>
      </c>
      <c r="F98" s="173" t="s">
        <v>453</v>
      </c>
      <c r="G98" s="173"/>
      <c r="H98" s="173"/>
      <c r="I98" s="174" t="s">
        <v>33</v>
      </c>
      <c r="J98" s="175" t="s">
        <v>123</v>
      </c>
      <c r="K98" s="176" t="s">
        <v>3022</v>
      </c>
      <c r="L98" s="177"/>
      <c r="M98" s="1">
        <v>43225</v>
      </c>
      <c r="N98" s="1">
        <v>43225</v>
      </c>
      <c r="O98" s="171" t="s">
        <v>45</v>
      </c>
      <c r="P98" s="178">
        <v>0</v>
      </c>
      <c r="Q98" s="179"/>
      <c r="R98" s="180"/>
      <c r="S98" s="180"/>
      <c r="T98" s="180"/>
      <c r="U98" s="182">
        <v>19</v>
      </c>
      <c r="V98" s="181"/>
      <c r="W98" s="181"/>
      <c r="X98" s="182">
        <f t="shared" si="1"/>
        <v>19</v>
      </c>
      <c r="Y98" s="3">
        <v>8</v>
      </c>
      <c r="Z98" s="3"/>
      <c r="AA98" s="190" t="s">
        <v>2957</v>
      </c>
    </row>
    <row r="99" spans="1:27" ht="23.25" hidden="1" customHeight="1">
      <c r="A99" s="171" t="s">
        <v>2943</v>
      </c>
      <c r="B99" s="171">
        <v>2018</v>
      </c>
      <c r="C99" s="171"/>
      <c r="D99" s="171" t="s">
        <v>52</v>
      </c>
      <c r="E99" s="171" t="s">
        <v>455</v>
      </c>
      <c r="F99" s="173" t="s">
        <v>456</v>
      </c>
      <c r="G99" s="173"/>
      <c r="H99" s="173"/>
      <c r="I99" s="174" t="s">
        <v>33</v>
      </c>
      <c r="J99" s="175" t="s">
        <v>2976</v>
      </c>
      <c r="K99" s="176"/>
      <c r="L99" s="177" t="s">
        <v>457</v>
      </c>
      <c r="M99" s="1">
        <v>43227</v>
      </c>
      <c r="N99" s="1">
        <v>43231</v>
      </c>
      <c r="O99" s="171" t="s">
        <v>45</v>
      </c>
      <c r="P99" s="178">
        <v>7690</v>
      </c>
      <c r="Q99" s="179"/>
      <c r="R99" s="180"/>
      <c r="S99" s="180"/>
      <c r="T99" s="180"/>
      <c r="U99" s="182">
        <v>19</v>
      </c>
      <c r="V99" s="181"/>
      <c r="W99" s="181"/>
      <c r="X99" s="182">
        <f t="shared" si="1"/>
        <v>19</v>
      </c>
      <c r="Y99" s="3">
        <v>16</v>
      </c>
      <c r="Z99" s="3"/>
      <c r="AA99" s="175" t="s">
        <v>211</v>
      </c>
    </row>
    <row r="100" spans="1:27" ht="23.25" hidden="1" customHeight="1">
      <c r="A100" s="171" t="s">
        <v>2943</v>
      </c>
      <c r="B100" s="171">
        <v>2018</v>
      </c>
      <c r="C100" s="171"/>
      <c r="D100" s="171" t="s">
        <v>52</v>
      </c>
      <c r="E100" s="171" t="s">
        <v>3023</v>
      </c>
      <c r="F100" s="173" t="s">
        <v>460</v>
      </c>
      <c r="G100" s="173"/>
      <c r="H100" s="173"/>
      <c r="I100" s="174" t="s">
        <v>33</v>
      </c>
      <c r="J100" s="175" t="s">
        <v>2947</v>
      </c>
      <c r="K100" s="176"/>
      <c r="L100" s="177" t="s">
        <v>461</v>
      </c>
      <c r="M100" s="1">
        <v>43234</v>
      </c>
      <c r="N100" s="1">
        <v>43238</v>
      </c>
      <c r="O100" s="3" t="s">
        <v>41</v>
      </c>
      <c r="P100" s="178">
        <v>7510.44</v>
      </c>
      <c r="Q100" s="179"/>
      <c r="R100" s="180"/>
      <c r="S100" s="180"/>
      <c r="T100" s="180"/>
      <c r="U100" s="182">
        <v>20</v>
      </c>
      <c r="V100" s="181"/>
      <c r="W100" s="181"/>
      <c r="X100" s="182">
        <f t="shared" si="1"/>
        <v>20</v>
      </c>
      <c r="Y100" s="3">
        <v>20</v>
      </c>
      <c r="Z100" s="3"/>
      <c r="AA100" s="190" t="s">
        <v>2957</v>
      </c>
    </row>
    <row r="101" spans="1:27" ht="23.25" hidden="1" customHeight="1">
      <c r="A101" s="171" t="s">
        <v>2943</v>
      </c>
      <c r="B101" s="171">
        <v>2018</v>
      </c>
      <c r="C101" s="171"/>
      <c r="D101" s="171" t="s">
        <v>52</v>
      </c>
      <c r="E101" s="171" t="s">
        <v>3024</v>
      </c>
      <c r="F101" s="173" t="s">
        <v>464</v>
      </c>
      <c r="G101" s="173"/>
      <c r="H101" s="173"/>
      <c r="I101" s="188" t="s">
        <v>44</v>
      </c>
      <c r="J101" s="2" t="s">
        <v>2952</v>
      </c>
      <c r="K101" s="176"/>
      <c r="L101" s="177" t="s">
        <v>465</v>
      </c>
      <c r="M101" s="1">
        <v>43255</v>
      </c>
      <c r="N101" s="1">
        <v>43259</v>
      </c>
      <c r="O101" s="3" t="s">
        <v>49</v>
      </c>
      <c r="P101" s="178">
        <v>6612.08</v>
      </c>
      <c r="Q101" s="179"/>
      <c r="R101" s="180"/>
      <c r="S101" s="180"/>
      <c r="T101" s="180"/>
      <c r="U101" s="181"/>
      <c r="V101" s="181">
        <v>63</v>
      </c>
      <c r="W101" s="181"/>
      <c r="X101" s="182">
        <f t="shared" si="1"/>
        <v>63</v>
      </c>
      <c r="Y101" s="3">
        <v>20</v>
      </c>
      <c r="Z101" s="3"/>
      <c r="AA101" s="207" t="s">
        <v>3025</v>
      </c>
    </row>
    <row r="102" spans="1:27" ht="23.25" hidden="1" customHeight="1">
      <c r="A102" s="171" t="s">
        <v>2943</v>
      </c>
      <c r="B102" s="171">
        <v>2018</v>
      </c>
      <c r="C102" s="171"/>
      <c r="D102" s="171" t="s">
        <v>52</v>
      </c>
      <c r="E102" s="171" t="s">
        <v>444</v>
      </c>
      <c r="F102" s="173" t="s">
        <v>467</v>
      </c>
      <c r="G102" s="173"/>
      <c r="H102" s="173"/>
      <c r="I102" s="209" t="s">
        <v>33</v>
      </c>
      <c r="J102" s="210" t="s">
        <v>2947</v>
      </c>
      <c r="K102" s="211"/>
      <c r="L102" s="212" t="s">
        <v>465</v>
      </c>
      <c r="M102" s="213">
        <v>43255</v>
      </c>
      <c r="N102" s="213">
        <v>43259</v>
      </c>
      <c r="O102" s="3" t="s">
        <v>41</v>
      </c>
      <c r="P102" s="178">
        <v>6509.24</v>
      </c>
      <c r="Q102" s="179"/>
      <c r="R102" s="180"/>
      <c r="S102" s="180"/>
      <c r="T102" s="180"/>
      <c r="U102" s="182">
        <v>18</v>
      </c>
      <c r="V102" s="181"/>
      <c r="W102" s="181"/>
      <c r="X102" s="182">
        <f t="shared" si="1"/>
        <v>18</v>
      </c>
      <c r="Y102" s="3">
        <v>20</v>
      </c>
      <c r="Z102" s="3"/>
      <c r="AA102" s="190" t="s">
        <v>2957</v>
      </c>
    </row>
    <row r="103" spans="1:27" ht="23.25" hidden="1" customHeight="1">
      <c r="A103" s="171" t="s">
        <v>2943</v>
      </c>
      <c r="B103" s="171">
        <v>2018</v>
      </c>
      <c r="C103" s="171"/>
      <c r="D103" s="171" t="s">
        <v>52</v>
      </c>
      <c r="E103" s="171" t="s">
        <v>3026</v>
      </c>
      <c r="F103" s="173" t="s">
        <v>470</v>
      </c>
      <c r="G103" s="173"/>
      <c r="H103" s="173"/>
      <c r="I103" s="174" t="s">
        <v>2946</v>
      </c>
      <c r="J103" s="175" t="s">
        <v>2949</v>
      </c>
      <c r="K103" s="176"/>
      <c r="L103" s="177" t="s">
        <v>471</v>
      </c>
      <c r="M103" s="1">
        <v>43262</v>
      </c>
      <c r="N103" s="1">
        <v>43266</v>
      </c>
      <c r="O103" s="171" t="s">
        <v>45</v>
      </c>
      <c r="P103" s="178">
        <v>20000</v>
      </c>
      <c r="Q103" s="179"/>
      <c r="R103" s="180"/>
      <c r="S103" s="180"/>
      <c r="T103" s="180"/>
      <c r="U103" s="182">
        <v>31</v>
      </c>
      <c r="V103" s="181"/>
      <c r="W103" s="181"/>
      <c r="X103" s="182">
        <f t="shared" si="1"/>
        <v>31</v>
      </c>
      <c r="Y103" s="3">
        <v>20</v>
      </c>
      <c r="Z103" s="3"/>
      <c r="AA103" s="2" t="s">
        <v>496</v>
      </c>
    </row>
    <row r="104" spans="1:27" ht="23.25" hidden="1" customHeight="1">
      <c r="A104" s="171" t="s">
        <v>2943</v>
      </c>
      <c r="B104" s="171">
        <v>2018</v>
      </c>
      <c r="C104" s="171"/>
      <c r="D104" s="171" t="s">
        <v>52</v>
      </c>
      <c r="E104" s="171" t="s">
        <v>3027</v>
      </c>
      <c r="F104" s="173" t="s">
        <v>474</v>
      </c>
      <c r="G104" s="173"/>
      <c r="H104" s="173"/>
      <c r="I104" s="188" t="s">
        <v>44</v>
      </c>
      <c r="J104" s="2" t="s">
        <v>2952</v>
      </c>
      <c r="K104" s="176"/>
      <c r="L104" s="177" t="s">
        <v>475</v>
      </c>
      <c r="M104" s="1">
        <v>43269</v>
      </c>
      <c r="N104" s="1">
        <v>43273</v>
      </c>
      <c r="O104" s="3" t="s">
        <v>41</v>
      </c>
      <c r="P104" s="178">
        <v>7310.2</v>
      </c>
      <c r="Q104" s="179"/>
      <c r="R104" s="180"/>
      <c r="S104" s="180"/>
      <c r="T104" s="180"/>
      <c r="U104" s="181"/>
      <c r="V104" s="182">
        <v>59</v>
      </c>
      <c r="W104" s="181"/>
      <c r="X104" s="182">
        <f t="shared" si="1"/>
        <v>59</v>
      </c>
      <c r="Y104" s="3">
        <v>20</v>
      </c>
      <c r="Z104" s="3"/>
      <c r="AA104" s="189" t="s">
        <v>2995</v>
      </c>
    </row>
    <row r="105" spans="1:27" ht="23.25" hidden="1" customHeight="1">
      <c r="A105" s="171" t="s">
        <v>2943</v>
      </c>
      <c r="B105" s="171">
        <v>2018</v>
      </c>
      <c r="C105" s="171"/>
      <c r="D105" s="171" t="s">
        <v>52</v>
      </c>
      <c r="E105" s="171" t="s">
        <v>3028</v>
      </c>
      <c r="F105" s="173" t="s">
        <v>478</v>
      </c>
      <c r="G105" s="173"/>
      <c r="H105" s="173"/>
      <c r="I105" s="174" t="s">
        <v>33</v>
      </c>
      <c r="J105" s="175" t="s">
        <v>3029</v>
      </c>
      <c r="K105" s="176"/>
      <c r="L105" s="177" t="s">
        <v>479</v>
      </c>
      <c r="M105" s="1">
        <v>43272</v>
      </c>
      <c r="N105" s="1">
        <v>43277</v>
      </c>
      <c r="O105" s="171" t="s">
        <v>45</v>
      </c>
      <c r="P105" s="178">
        <v>17625</v>
      </c>
      <c r="Q105" s="179"/>
      <c r="R105" s="180"/>
      <c r="S105" s="180"/>
      <c r="T105" s="180"/>
      <c r="U105" s="182">
        <v>25</v>
      </c>
      <c r="V105" s="181"/>
      <c r="W105" s="181"/>
      <c r="X105" s="182">
        <f t="shared" si="1"/>
        <v>25</v>
      </c>
      <c r="Y105" s="3">
        <v>24</v>
      </c>
      <c r="Z105" s="3"/>
      <c r="AA105" s="175" t="s">
        <v>3030</v>
      </c>
    </row>
    <row r="106" spans="1:27" ht="23.25" hidden="1" customHeight="1">
      <c r="A106" s="171" t="s">
        <v>2943</v>
      </c>
      <c r="B106" s="171">
        <v>2018</v>
      </c>
      <c r="C106" s="171"/>
      <c r="D106" s="171" t="s">
        <v>52</v>
      </c>
      <c r="E106" s="3" t="s">
        <v>3031</v>
      </c>
      <c r="F106" s="173" t="s">
        <v>482</v>
      </c>
      <c r="G106" s="173"/>
      <c r="H106" s="173"/>
      <c r="I106" s="188" t="s">
        <v>44</v>
      </c>
      <c r="J106" s="175" t="s">
        <v>2952</v>
      </c>
      <c r="K106" s="176"/>
      <c r="L106" s="177" t="s">
        <v>483</v>
      </c>
      <c r="M106" s="1">
        <v>43297</v>
      </c>
      <c r="N106" s="1">
        <v>43301</v>
      </c>
      <c r="O106" s="3" t="s">
        <v>41</v>
      </c>
      <c r="P106" s="178">
        <v>7510.44</v>
      </c>
      <c r="Q106" s="179"/>
      <c r="R106" s="180"/>
      <c r="S106" s="180"/>
      <c r="T106" s="180"/>
      <c r="U106" s="181"/>
      <c r="V106" s="181">
        <v>34</v>
      </c>
      <c r="W106" s="181"/>
      <c r="X106" s="182">
        <f t="shared" si="1"/>
        <v>34</v>
      </c>
      <c r="Y106" s="3">
        <v>20</v>
      </c>
      <c r="Z106" s="3"/>
      <c r="AA106" s="189" t="s">
        <v>3032</v>
      </c>
    </row>
    <row r="107" spans="1:27" ht="23.25" hidden="1" customHeight="1">
      <c r="A107" s="171" t="s">
        <v>2943</v>
      </c>
      <c r="B107" s="171">
        <v>2018</v>
      </c>
      <c r="C107" s="171"/>
      <c r="D107" s="171" t="s">
        <v>52</v>
      </c>
      <c r="E107" s="171" t="s">
        <v>455</v>
      </c>
      <c r="F107" s="173" t="s">
        <v>486</v>
      </c>
      <c r="G107" s="173"/>
      <c r="H107" s="173"/>
      <c r="I107" s="174" t="s">
        <v>33</v>
      </c>
      <c r="J107" s="175" t="s">
        <v>2976</v>
      </c>
      <c r="K107" s="176"/>
      <c r="L107" s="177" t="s">
        <v>487</v>
      </c>
      <c r="M107" s="1">
        <v>43325</v>
      </c>
      <c r="N107" s="1">
        <v>43329</v>
      </c>
      <c r="O107" s="171" t="s">
        <v>45</v>
      </c>
      <c r="P107" s="178">
        <v>7690</v>
      </c>
      <c r="Q107" s="179"/>
      <c r="R107" s="180"/>
      <c r="S107" s="180"/>
      <c r="T107" s="180"/>
      <c r="U107" s="182">
        <v>19</v>
      </c>
      <c r="V107" s="181"/>
      <c r="W107" s="181"/>
      <c r="X107" s="182">
        <f t="shared" si="1"/>
        <v>19</v>
      </c>
      <c r="Y107" s="3">
        <v>16</v>
      </c>
      <c r="Z107" s="3"/>
      <c r="AA107" s="175" t="s">
        <v>211</v>
      </c>
    </row>
    <row r="108" spans="1:27" ht="23.25" hidden="1" customHeight="1">
      <c r="A108" s="171" t="s">
        <v>2943</v>
      </c>
      <c r="B108" s="171">
        <v>2018</v>
      </c>
      <c r="C108" s="171"/>
      <c r="D108" s="171" t="s">
        <v>52</v>
      </c>
      <c r="E108" s="171" t="s">
        <v>489</v>
      </c>
      <c r="F108" s="173" t="s">
        <v>490</v>
      </c>
      <c r="G108" s="173"/>
      <c r="H108" s="173"/>
      <c r="I108" s="188" t="s">
        <v>3033</v>
      </c>
      <c r="J108" s="175" t="s">
        <v>2952</v>
      </c>
      <c r="K108" s="176"/>
      <c r="L108" s="177" t="s">
        <v>491</v>
      </c>
      <c r="M108" s="1">
        <v>43333</v>
      </c>
      <c r="N108" s="1">
        <v>43334</v>
      </c>
      <c r="O108" s="171" t="s">
        <v>45</v>
      </c>
      <c r="P108" s="178">
        <v>25096.14</v>
      </c>
      <c r="Q108" s="179"/>
      <c r="R108" s="180"/>
      <c r="S108" s="180"/>
      <c r="T108" s="180"/>
      <c r="U108" s="206">
        <v>79</v>
      </c>
      <c r="V108" s="214">
        <v>274</v>
      </c>
      <c r="W108" s="206">
        <v>0</v>
      </c>
      <c r="X108" s="182">
        <f t="shared" si="1"/>
        <v>353</v>
      </c>
      <c r="Y108" s="3">
        <v>8</v>
      </c>
      <c r="Z108" s="3"/>
      <c r="AA108" s="2" t="s">
        <v>492</v>
      </c>
    </row>
    <row r="109" spans="1:27" ht="23.25" hidden="1" customHeight="1">
      <c r="A109" s="171" t="s">
        <v>2943</v>
      </c>
      <c r="B109" s="171">
        <v>2018</v>
      </c>
      <c r="C109" s="171"/>
      <c r="D109" s="171" t="s">
        <v>52</v>
      </c>
      <c r="E109" s="171" t="s">
        <v>3026</v>
      </c>
      <c r="F109" s="173" t="s">
        <v>494</v>
      </c>
      <c r="G109" s="173"/>
      <c r="H109" s="173"/>
      <c r="I109" s="174" t="s">
        <v>2946</v>
      </c>
      <c r="J109" s="175" t="s">
        <v>2949</v>
      </c>
      <c r="K109" s="176"/>
      <c r="L109" s="177" t="s">
        <v>495</v>
      </c>
      <c r="M109" s="1">
        <v>43339</v>
      </c>
      <c r="N109" s="1">
        <v>43343</v>
      </c>
      <c r="O109" s="171" t="s">
        <v>45</v>
      </c>
      <c r="P109" s="178">
        <v>20000</v>
      </c>
      <c r="Q109" s="179"/>
      <c r="R109" s="180"/>
      <c r="S109" s="180"/>
      <c r="T109" s="180"/>
      <c r="U109" s="182">
        <v>28</v>
      </c>
      <c r="V109" s="181"/>
      <c r="W109" s="181"/>
      <c r="X109" s="182">
        <f t="shared" si="1"/>
        <v>28</v>
      </c>
      <c r="Y109" s="3">
        <v>20</v>
      </c>
      <c r="Z109" s="3"/>
      <c r="AA109" s="2" t="s">
        <v>496</v>
      </c>
    </row>
    <row r="110" spans="1:27" ht="23.25" hidden="1" customHeight="1">
      <c r="A110" s="171" t="s">
        <v>2943</v>
      </c>
      <c r="B110" s="171">
        <v>2018</v>
      </c>
      <c r="C110" s="171"/>
      <c r="D110" s="171" t="s">
        <v>52</v>
      </c>
      <c r="E110" s="172" t="s">
        <v>498</v>
      </c>
      <c r="F110" s="173" t="s">
        <v>499</v>
      </c>
      <c r="G110" s="173"/>
      <c r="H110" s="173"/>
      <c r="I110" s="174" t="s">
        <v>33</v>
      </c>
      <c r="J110" s="175" t="s">
        <v>3029</v>
      </c>
      <c r="K110" s="176"/>
      <c r="L110" s="177" t="s">
        <v>500</v>
      </c>
      <c r="M110" s="1">
        <v>43343</v>
      </c>
      <c r="N110" s="1">
        <v>43343</v>
      </c>
      <c r="O110" s="171" t="s">
        <v>45</v>
      </c>
      <c r="P110" s="178">
        <v>43000</v>
      </c>
      <c r="Q110" s="179"/>
      <c r="R110" s="180"/>
      <c r="S110" s="180"/>
      <c r="T110" s="180"/>
      <c r="U110" s="181">
        <v>215</v>
      </c>
      <c r="V110" s="181"/>
      <c r="W110" s="181"/>
      <c r="X110" s="182">
        <f t="shared" si="1"/>
        <v>215</v>
      </c>
      <c r="Y110" s="3">
        <v>2</v>
      </c>
      <c r="Z110" s="3"/>
      <c r="AA110" s="2" t="s">
        <v>501</v>
      </c>
    </row>
    <row r="111" spans="1:27" ht="23.25" hidden="1" customHeight="1">
      <c r="A111" s="171" t="s">
        <v>2943</v>
      </c>
      <c r="B111" s="171">
        <v>2018</v>
      </c>
      <c r="C111" s="171"/>
      <c r="D111" s="171" t="s">
        <v>52</v>
      </c>
      <c r="E111" s="172" t="s">
        <v>503</v>
      </c>
      <c r="F111" s="173" t="s">
        <v>504</v>
      </c>
      <c r="G111" s="173"/>
      <c r="H111" s="173"/>
      <c r="I111" s="174" t="s">
        <v>3034</v>
      </c>
      <c r="J111" s="175" t="s">
        <v>3029</v>
      </c>
      <c r="K111" s="176"/>
      <c r="L111" s="177" t="s">
        <v>505</v>
      </c>
      <c r="M111" s="1">
        <v>43369</v>
      </c>
      <c r="N111" s="1">
        <v>43424</v>
      </c>
      <c r="O111" s="171" t="s">
        <v>45</v>
      </c>
      <c r="P111" s="178">
        <v>31960</v>
      </c>
      <c r="Q111" s="179"/>
      <c r="R111" s="180"/>
      <c r="S111" s="180"/>
      <c r="T111" s="180"/>
      <c r="U111" s="181">
        <v>55</v>
      </c>
      <c r="V111" s="181"/>
      <c r="W111" s="181"/>
      <c r="X111" s="182">
        <f t="shared" si="1"/>
        <v>55</v>
      </c>
      <c r="Y111" s="3">
        <v>47</v>
      </c>
      <c r="Z111" s="3"/>
      <c r="AA111" s="207" t="s">
        <v>3035</v>
      </c>
    </row>
    <row r="112" spans="1:27" ht="23.25" hidden="1" customHeight="1">
      <c r="A112" s="171" t="s">
        <v>2943</v>
      </c>
      <c r="B112" s="171">
        <v>2018</v>
      </c>
      <c r="C112" s="171"/>
      <c r="D112" s="171" t="s">
        <v>52</v>
      </c>
      <c r="E112" s="172" t="s">
        <v>508</v>
      </c>
      <c r="F112" s="173" t="s">
        <v>509</v>
      </c>
      <c r="G112" s="173"/>
      <c r="H112" s="173"/>
      <c r="I112" s="174" t="s">
        <v>33</v>
      </c>
      <c r="J112" s="175" t="s">
        <v>3029</v>
      </c>
      <c r="K112" s="176"/>
      <c r="L112" s="177" t="s">
        <v>510</v>
      </c>
      <c r="M112" s="1">
        <v>43397</v>
      </c>
      <c r="N112" s="1">
        <v>43397</v>
      </c>
      <c r="O112" s="171" t="s">
        <v>45</v>
      </c>
      <c r="P112" s="178">
        <v>2419.23</v>
      </c>
      <c r="Q112" s="179"/>
      <c r="R112" s="180"/>
      <c r="S112" s="180"/>
      <c r="T112" s="180"/>
      <c r="U112" s="181">
        <v>11</v>
      </c>
      <c r="V112" s="181"/>
      <c r="W112" s="181"/>
      <c r="X112" s="182">
        <f t="shared" si="1"/>
        <v>11</v>
      </c>
      <c r="Y112" s="3">
        <v>3.5</v>
      </c>
      <c r="Z112" s="3"/>
      <c r="AA112" s="2" t="s">
        <v>511</v>
      </c>
    </row>
    <row r="113" spans="1:27" ht="23.25" hidden="1" customHeight="1">
      <c r="A113" s="171" t="s">
        <v>2943</v>
      </c>
      <c r="B113" s="171">
        <v>2018</v>
      </c>
      <c r="C113" s="171"/>
      <c r="D113" s="171" t="s">
        <v>52</v>
      </c>
      <c r="E113" s="172" t="s">
        <v>513</v>
      </c>
      <c r="F113" s="173" t="s">
        <v>3036</v>
      </c>
      <c r="G113" s="173"/>
      <c r="H113" s="173"/>
      <c r="I113" s="174" t="s">
        <v>33</v>
      </c>
      <c r="J113" s="175" t="s">
        <v>2954</v>
      </c>
      <c r="K113" s="176"/>
      <c r="L113" s="177" t="s">
        <v>515</v>
      </c>
      <c r="M113" s="1">
        <v>43423</v>
      </c>
      <c r="N113" s="1">
        <v>43425</v>
      </c>
      <c r="O113" s="3" t="s">
        <v>41</v>
      </c>
      <c r="P113" s="178">
        <v>2585.36</v>
      </c>
      <c r="Q113" s="179"/>
      <c r="R113" s="180"/>
      <c r="S113" s="180"/>
      <c r="T113" s="180"/>
      <c r="U113" s="181">
        <v>26</v>
      </c>
      <c r="V113" s="181"/>
      <c r="W113" s="181"/>
      <c r="X113" s="182">
        <f t="shared" si="1"/>
        <v>26</v>
      </c>
      <c r="Y113" s="3">
        <v>14</v>
      </c>
      <c r="Z113" s="3"/>
      <c r="AA113" s="189" t="s">
        <v>3037</v>
      </c>
    </row>
    <row r="114" spans="1:27" ht="23.25" hidden="1" customHeight="1">
      <c r="A114" s="171" t="s">
        <v>2943</v>
      </c>
      <c r="B114" s="171">
        <v>2018</v>
      </c>
      <c r="C114" s="171"/>
      <c r="D114" s="171" t="s">
        <v>52</v>
      </c>
      <c r="E114" s="172" t="s">
        <v>508</v>
      </c>
      <c r="F114" s="173" t="s">
        <v>518</v>
      </c>
      <c r="G114" s="173"/>
      <c r="H114" s="173"/>
      <c r="I114" s="174" t="s">
        <v>33</v>
      </c>
      <c r="J114" s="175" t="s">
        <v>3029</v>
      </c>
      <c r="K114" s="176"/>
      <c r="L114" s="177" t="s">
        <v>519</v>
      </c>
      <c r="M114" s="1">
        <v>43431</v>
      </c>
      <c r="N114" s="1">
        <v>43431</v>
      </c>
      <c r="O114" s="171" t="s">
        <v>45</v>
      </c>
      <c r="P114" s="178">
        <v>1760.48</v>
      </c>
      <c r="Q114" s="179"/>
      <c r="R114" s="180"/>
      <c r="S114" s="180"/>
      <c r="T114" s="180"/>
      <c r="U114" s="181">
        <v>8</v>
      </c>
      <c r="V114" s="181"/>
      <c r="W114" s="181"/>
      <c r="X114" s="182">
        <f t="shared" si="1"/>
        <v>8</v>
      </c>
      <c r="Y114" s="3">
        <v>3.5</v>
      </c>
      <c r="Z114" s="3"/>
      <c r="AA114" s="2" t="s">
        <v>520</v>
      </c>
    </row>
    <row r="115" spans="1:27" ht="23.25" hidden="1" customHeight="1">
      <c r="A115" s="171" t="s">
        <v>2943</v>
      </c>
      <c r="B115" s="171">
        <v>2018</v>
      </c>
      <c r="C115" s="171"/>
      <c r="D115" s="171" t="s">
        <v>52</v>
      </c>
      <c r="E115" s="172" t="s">
        <v>522</v>
      </c>
      <c r="F115" s="173" t="s">
        <v>523</v>
      </c>
      <c r="G115" s="173"/>
      <c r="H115" s="173"/>
      <c r="I115" s="174" t="s">
        <v>33</v>
      </c>
      <c r="J115" s="175" t="s">
        <v>2954</v>
      </c>
      <c r="K115" s="176"/>
      <c r="L115" s="177" t="s">
        <v>524</v>
      </c>
      <c r="M115" s="1">
        <v>43437</v>
      </c>
      <c r="N115" s="1">
        <v>43437</v>
      </c>
      <c r="O115" s="171" t="s">
        <v>45</v>
      </c>
      <c r="P115" s="178">
        <v>3000</v>
      </c>
      <c r="Q115" s="179"/>
      <c r="R115" s="180"/>
      <c r="S115" s="180"/>
      <c r="T115" s="180"/>
      <c r="U115" s="181">
        <v>38</v>
      </c>
      <c r="V115" s="181">
        <v>0</v>
      </c>
      <c r="W115" s="181">
        <v>0</v>
      </c>
      <c r="X115" s="182">
        <f t="shared" si="1"/>
        <v>38</v>
      </c>
      <c r="Y115" s="3">
        <v>4</v>
      </c>
      <c r="Z115" s="3"/>
      <c r="AA115" s="2" t="s">
        <v>3038</v>
      </c>
    </row>
    <row r="116" spans="1:27" ht="23.25" hidden="1" customHeight="1">
      <c r="A116" s="171" t="s">
        <v>2943</v>
      </c>
      <c r="B116" s="171">
        <v>2019</v>
      </c>
      <c r="C116" s="171"/>
      <c r="D116" s="171" t="s">
        <v>52</v>
      </c>
      <c r="E116" s="3" t="s">
        <v>527</v>
      </c>
      <c r="F116" s="186" t="s">
        <v>528</v>
      </c>
      <c r="G116" s="186"/>
      <c r="H116" s="186"/>
      <c r="I116" s="188" t="s">
        <v>6</v>
      </c>
      <c r="J116" s="175" t="s">
        <v>3006</v>
      </c>
      <c r="K116" s="215" t="s">
        <v>3022</v>
      </c>
      <c r="L116" s="215" t="s">
        <v>3039</v>
      </c>
      <c r="M116" s="216">
        <v>43542</v>
      </c>
      <c r="N116" s="216">
        <v>43717</v>
      </c>
      <c r="O116" s="171" t="s">
        <v>41</v>
      </c>
      <c r="P116" s="187">
        <v>6624.6</v>
      </c>
      <c r="Q116" s="179"/>
      <c r="R116" s="217">
        <v>4.5999999999999996</v>
      </c>
      <c r="S116" s="218">
        <f t="shared" ref="S116:S155" si="2">R116/5</f>
        <v>0.91999999999999993</v>
      </c>
      <c r="T116" s="180">
        <v>20</v>
      </c>
      <c r="U116" s="182">
        <v>18</v>
      </c>
      <c r="V116" s="182">
        <v>0</v>
      </c>
      <c r="W116" s="182"/>
      <c r="X116" s="182">
        <f t="shared" si="1"/>
        <v>18</v>
      </c>
      <c r="Y116" s="3">
        <v>20</v>
      </c>
      <c r="Z116" s="171" t="s">
        <v>3040</v>
      </c>
      <c r="AA116" s="189" t="s">
        <v>530</v>
      </c>
    </row>
    <row r="117" spans="1:27" ht="23.25" hidden="1" customHeight="1">
      <c r="A117" s="171" t="s">
        <v>2943</v>
      </c>
      <c r="B117" s="171">
        <v>2019</v>
      </c>
      <c r="C117" s="171"/>
      <c r="D117" s="171" t="s">
        <v>52</v>
      </c>
      <c r="E117" s="3" t="s">
        <v>532</v>
      </c>
      <c r="F117" s="186" t="s">
        <v>533</v>
      </c>
      <c r="G117" s="186"/>
      <c r="H117" s="186"/>
      <c r="I117" s="188" t="s">
        <v>44</v>
      </c>
      <c r="J117" s="175" t="s">
        <v>2952</v>
      </c>
      <c r="K117" s="215" t="s">
        <v>3041</v>
      </c>
      <c r="L117" s="215" t="s">
        <v>3042</v>
      </c>
      <c r="M117" s="1">
        <v>43546</v>
      </c>
      <c r="N117" s="1">
        <v>43571</v>
      </c>
      <c r="O117" s="171" t="s">
        <v>45</v>
      </c>
      <c r="P117" s="187">
        <v>48000</v>
      </c>
      <c r="Q117" s="219"/>
      <c r="R117" s="220">
        <v>0</v>
      </c>
      <c r="S117" s="221">
        <f t="shared" si="2"/>
        <v>0</v>
      </c>
      <c r="T117" s="180">
        <v>60</v>
      </c>
      <c r="U117" s="182">
        <v>35</v>
      </c>
      <c r="V117" s="182">
        <v>10</v>
      </c>
      <c r="W117" s="182"/>
      <c r="X117" s="182">
        <f t="shared" si="1"/>
        <v>45</v>
      </c>
      <c r="Y117" s="3">
        <v>18</v>
      </c>
      <c r="Z117" s="3" t="s">
        <v>3043</v>
      </c>
      <c r="AA117" s="2" t="s">
        <v>535</v>
      </c>
    </row>
    <row r="118" spans="1:27" ht="23.25" hidden="1" customHeight="1">
      <c r="A118" s="171" t="s">
        <v>2943</v>
      </c>
      <c r="B118" s="171">
        <v>2019</v>
      </c>
      <c r="C118" s="171"/>
      <c r="D118" s="3" t="s">
        <v>52</v>
      </c>
      <c r="E118" s="3" t="s">
        <v>537</v>
      </c>
      <c r="F118" s="186" t="s">
        <v>538</v>
      </c>
      <c r="G118" s="186"/>
      <c r="H118" s="186"/>
      <c r="I118" s="188" t="s">
        <v>2946</v>
      </c>
      <c r="J118" s="175" t="s">
        <v>3006</v>
      </c>
      <c r="K118" s="215" t="s">
        <v>3022</v>
      </c>
      <c r="L118" s="215" t="s">
        <v>3044</v>
      </c>
      <c r="M118" s="216">
        <v>43549</v>
      </c>
      <c r="N118" s="1">
        <v>43728</v>
      </c>
      <c r="O118" s="171" t="s">
        <v>41</v>
      </c>
      <c r="P118" s="187">
        <v>7886.16</v>
      </c>
      <c r="Q118" s="179"/>
      <c r="R118" s="217">
        <v>4.5999999999999996</v>
      </c>
      <c r="S118" s="218">
        <f t="shared" si="2"/>
        <v>0.91999999999999993</v>
      </c>
      <c r="T118" s="180">
        <v>47</v>
      </c>
      <c r="U118" s="182">
        <v>45</v>
      </c>
      <c r="V118" s="182">
        <v>0</v>
      </c>
      <c r="W118" s="182"/>
      <c r="X118" s="182">
        <f t="shared" si="1"/>
        <v>45</v>
      </c>
      <c r="Y118" s="3">
        <v>20</v>
      </c>
      <c r="Z118" s="3" t="s">
        <v>2784</v>
      </c>
      <c r="AA118" s="189" t="s">
        <v>3045</v>
      </c>
    </row>
    <row r="119" spans="1:27" ht="23.25" hidden="1" customHeight="1">
      <c r="A119" s="171" t="s">
        <v>2943</v>
      </c>
      <c r="B119" s="171">
        <v>2019</v>
      </c>
      <c r="C119" s="171"/>
      <c r="D119" s="3" t="s">
        <v>52</v>
      </c>
      <c r="E119" s="3" t="s">
        <v>542</v>
      </c>
      <c r="F119" s="186" t="s">
        <v>543</v>
      </c>
      <c r="G119" s="186"/>
      <c r="H119" s="186"/>
      <c r="I119" s="188" t="s">
        <v>6</v>
      </c>
      <c r="J119" s="175" t="s">
        <v>2944</v>
      </c>
      <c r="K119" s="215" t="s">
        <v>3022</v>
      </c>
      <c r="L119" s="215" t="s">
        <v>3046</v>
      </c>
      <c r="M119" s="1">
        <v>43577</v>
      </c>
      <c r="N119" s="1">
        <v>43585</v>
      </c>
      <c r="O119" s="171" t="s">
        <v>41</v>
      </c>
      <c r="P119" s="187">
        <v>0</v>
      </c>
      <c r="Q119" s="179"/>
      <c r="R119" s="217">
        <v>4.5</v>
      </c>
      <c r="S119" s="218">
        <f t="shared" si="2"/>
        <v>0.9</v>
      </c>
      <c r="T119" s="180">
        <v>60</v>
      </c>
      <c r="U119" s="182">
        <v>44</v>
      </c>
      <c r="V119" s="182">
        <v>0</v>
      </c>
      <c r="W119" s="182"/>
      <c r="X119" s="182">
        <f t="shared" si="1"/>
        <v>44</v>
      </c>
      <c r="Y119" s="3">
        <v>12</v>
      </c>
      <c r="Z119" s="171" t="s">
        <v>2784</v>
      </c>
      <c r="AA119" s="189" t="s">
        <v>3047</v>
      </c>
    </row>
    <row r="120" spans="1:27" ht="23.25" hidden="1" customHeight="1">
      <c r="A120" s="171" t="s">
        <v>2943</v>
      </c>
      <c r="B120" s="171">
        <v>2019</v>
      </c>
      <c r="C120" s="171"/>
      <c r="D120" s="3" t="s">
        <v>52</v>
      </c>
      <c r="E120" s="3" t="s">
        <v>546</v>
      </c>
      <c r="F120" s="186" t="s">
        <v>547</v>
      </c>
      <c r="G120" s="186"/>
      <c r="H120" s="186"/>
      <c r="I120" s="188" t="s">
        <v>44</v>
      </c>
      <c r="J120" s="175" t="s">
        <v>2952</v>
      </c>
      <c r="K120" s="215" t="s">
        <v>3041</v>
      </c>
      <c r="L120" s="215" t="s">
        <v>548</v>
      </c>
      <c r="M120" s="1">
        <v>43578</v>
      </c>
      <c r="N120" s="1">
        <v>43578</v>
      </c>
      <c r="O120" s="171" t="s">
        <v>41</v>
      </c>
      <c r="P120" s="187">
        <v>1386.78</v>
      </c>
      <c r="Q120" s="219"/>
      <c r="R120" s="220">
        <v>0</v>
      </c>
      <c r="S120" s="221">
        <f t="shared" si="2"/>
        <v>0</v>
      </c>
      <c r="T120" s="180">
        <v>60</v>
      </c>
      <c r="U120" s="182">
        <v>0</v>
      </c>
      <c r="V120" s="182">
        <v>50</v>
      </c>
      <c r="W120" s="182"/>
      <c r="X120" s="182">
        <f t="shared" si="1"/>
        <v>50</v>
      </c>
      <c r="Y120" s="3">
        <v>4</v>
      </c>
      <c r="Z120" s="3" t="s">
        <v>3043</v>
      </c>
      <c r="AA120" s="189" t="s">
        <v>3048</v>
      </c>
    </row>
    <row r="121" spans="1:27" ht="23.25" hidden="1" customHeight="1">
      <c r="A121" s="171" t="s">
        <v>2943</v>
      </c>
      <c r="B121" s="171">
        <v>2019</v>
      </c>
      <c r="C121" s="171"/>
      <c r="D121" s="3" t="s">
        <v>52</v>
      </c>
      <c r="E121" s="3" t="s">
        <v>542</v>
      </c>
      <c r="F121" s="186" t="s">
        <v>551</v>
      </c>
      <c r="G121" s="186"/>
      <c r="H121" s="186"/>
      <c r="I121" s="188" t="s">
        <v>6</v>
      </c>
      <c r="J121" s="175" t="s">
        <v>2944</v>
      </c>
      <c r="K121" s="215" t="s">
        <v>3022</v>
      </c>
      <c r="L121" s="215" t="s">
        <v>3049</v>
      </c>
      <c r="M121" s="1">
        <v>43598</v>
      </c>
      <c r="N121" s="1">
        <v>43602</v>
      </c>
      <c r="O121" s="171" t="s">
        <v>41</v>
      </c>
      <c r="P121" s="187">
        <v>4831.82</v>
      </c>
      <c r="Q121" s="219"/>
      <c r="R121" s="217">
        <v>4.5</v>
      </c>
      <c r="S121" s="218">
        <f t="shared" si="2"/>
        <v>0.9</v>
      </c>
      <c r="T121" s="180">
        <v>60</v>
      </c>
      <c r="U121" s="182">
        <v>41</v>
      </c>
      <c r="V121" s="182">
        <v>0</v>
      </c>
      <c r="W121" s="182"/>
      <c r="X121" s="182">
        <f t="shared" si="1"/>
        <v>41</v>
      </c>
      <c r="Y121" s="3">
        <v>12</v>
      </c>
      <c r="Z121" s="171" t="s">
        <v>2784</v>
      </c>
      <c r="AA121" s="189" t="s">
        <v>3047</v>
      </c>
    </row>
    <row r="122" spans="1:27" ht="23.25" hidden="1" customHeight="1">
      <c r="A122" s="171" t="s">
        <v>2943</v>
      </c>
      <c r="B122" s="171">
        <v>2019</v>
      </c>
      <c r="C122" s="171"/>
      <c r="D122" s="171" t="s">
        <v>52</v>
      </c>
      <c r="E122" s="3" t="s">
        <v>546</v>
      </c>
      <c r="F122" s="186" t="s">
        <v>555</v>
      </c>
      <c r="G122" s="186"/>
      <c r="H122" s="186"/>
      <c r="I122" s="188" t="s">
        <v>44</v>
      </c>
      <c r="J122" s="175" t="s">
        <v>2952</v>
      </c>
      <c r="K122" s="215" t="s">
        <v>3041</v>
      </c>
      <c r="L122" s="177" t="s">
        <v>556</v>
      </c>
      <c r="M122" s="1">
        <v>43605</v>
      </c>
      <c r="N122" s="1">
        <v>43605</v>
      </c>
      <c r="O122" s="171" t="s">
        <v>41</v>
      </c>
      <c r="P122" s="187">
        <v>1386.78</v>
      </c>
      <c r="Q122" s="179"/>
      <c r="R122" s="220">
        <v>0</v>
      </c>
      <c r="S122" s="221">
        <f t="shared" si="2"/>
        <v>0</v>
      </c>
      <c r="T122" s="180">
        <v>60</v>
      </c>
      <c r="U122" s="182">
        <v>0</v>
      </c>
      <c r="V122" s="182">
        <v>44</v>
      </c>
      <c r="W122" s="182"/>
      <c r="X122" s="182">
        <f t="shared" si="1"/>
        <v>44</v>
      </c>
      <c r="Y122" s="3">
        <v>4</v>
      </c>
      <c r="Z122" s="3" t="s">
        <v>3043</v>
      </c>
      <c r="AA122" s="189" t="s">
        <v>3048</v>
      </c>
    </row>
    <row r="123" spans="1:27" ht="23.25" hidden="1" customHeight="1">
      <c r="A123" s="171" t="s">
        <v>2943</v>
      </c>
      <c r="B123" s="171">
        <v>2019</v>
      </c>
      <c r="C123" s="171"/>
      <c r="D123" s="171" t="s">
        <v>52</v>
      </c>
      <c r="E123" s="3" t="s">
        <v>546</v>
      </c>
      <c r="F123" s="186" t="s">
        <v>558</v>
      </c>
      <c r="G123" s="186"/>
      <c r="H123" s="186"/>
      <c r="I123" s="188" t="s">
        <v>44</v>
      </c>
      <c r="J123" s="175" t="s">
        <v>2952</v>
      </c>
      <c r="K123" s="215" t="s">
        <v>3041</v>
      </c>
      <c r="L123" s="177" t="s">
        <v>559</v>
      </c>
      <c r="M123" s="1">
        <v>43606</v>
      </c>
      <c r="N123" s="1">
        <v>43606</v>
      </c>
      <c r="O123" s="171" t="s">
        <v>41</v>
      </c>
      <c r="P123" s="187">
        <v>1386.78</v>
      </c>
      <c r="Q123" s="179"/>
      <c r="R123" s="220">
        <v>0</v>
      </c>
      <c r="S123" s="221">
        <f t="shared" si="2"/>
        <v>0</v>
      </c>
      <c r="T123" s="180">
        <v>60</v>
      </c>
      <c r="U123" s="182">
        <v>0</v>
      </c>
      <c r="V123" s="182">
        <v>40</v>
      </c>
      <c r="W123" s="182"/>
      <c r="X123" s="182">
        <f t="shared" si="1"/>
        <v>40</v>
      </c>
      <c r="Y123" s="3">
        <v>4</v>
      </c>
      <c r="Z123" s="3" t="s">
        <v>3043</v>
      </c>
      <c r="AA123" s="189" t="s">
        <v>3048</v>
      </c>
    </row>
    <row r="124" spans="1:27" ht="23.25" hidden="1" customHeight="1">
      <c r="A124" s="171" t="s">
        <v>2943</v>
      </c>
      <c r="B124" s="171">
        <v>2019</v>
      </c>
      <c r="C124" s="171"/>
      <c r="D124" s="171" t="s">
        <v>52</v>
      </c>
      <c r="E124" s="3" t="s">
        <v>561</v>
      </c>
      <c r="F124" s="186" t="s">
        <v>562</v>
      </c>
      <c r="G124" s="186"/>
      <c r="H124" s="186"/>
      <c r="I124" s="188" t="s">
        <v>6</v>
      </c>
      <c r="J124" s="175" t="s">
        <v>2944</v>
      </c>
      <c r="K124" s="215" t="s">
        <v>3022</v>
      </c>
      <c r="L124" s="215" t="s">
        <v>3050</v>
      </c>
      <c r="M124" s="1">
        <v>43606</v>
      </c>
      <c r="N124" s="1">
        <v>43608</v>
      </c>
      <c r="O124" s="171" t="s">
        <v>41</v>
      </c>
      <c r="P124" s="187">
        <v>3433.24</v>
      </c>
      <c r="Q124" s="179"/>
      <c r="R124" s="180">
        <v>4.7</v>
      </c>
      <c r="S124" s="218">
        <f t="shared" si="2"/>
        <v>0.94000000000000006</v>
      </c>
      <c r="T124" s="180">
        <v>20</v>
      </c>
      <c r="U124" s="182">
        <v>12</v>
      </c>
      <c r="V124" s="182">
        <v>0</v>
      </c>
      <c r="W124" s="182"/>
      <c r="X124" s="182">
        <f t="shared" si="1"/>
        <v>12</v>
      </c>
      <c r="Y124" s="3">
        <v>8</v>
      </c>
      <c r="Z124" s="3" t="s">
        <v>2780</v>
      </c>
      <c r="AA124" s="189" t="s">
        <v>564</v>
      </c>
    </row>
    <row r="125" spans="1:27" ht="23.25" hidden="1" customHeight="1">
      <c r="A125" s="171" t="s">
        <v>2943</v>
      </c>
      <c r="B125" s="171">
        <v>2019</v>
      </c>
      <c r="C125" s="171"/>
      <c r="D125" s="3" t="s">
        <v>52</v>
      </c>
      <c r="E125" s="3" t="s">
        <v>566</v>
      </c>
      <c r="F125" s="186" t="s">
        <v>567</v>
      </c>
      <c r="G125" s="186"/>
      <c r="H125" s="186"/>
      <c r="I125" s="188" t="s">
        <v>6</v>
      </c>
      <c r="J125" s="175" t="s">
        <v>2965</v>
      </c>
      <c r="K125" s="215" t="s">
        <v>3022</v>
      </c>
      <c r="L125" s="215" t="s">
        <v>3051</v>
      </c>
      <c r="M125" s="1">
        <v>43607</v>
      </c>
      <c r="N125" s="1">
        <v>43614</v>
      </c>
      <c r="O125" s="171" t="s">
        <v>41</v>
      </c>
      <c r="P125" s="187">
        <v>5384.88</v>
      </c>
      <c r="Q125" s="179"/>
      <c r="R125" s="180">
        <v>4.5</v>
      </c>
      <c r="S125" s="218">
        <f t="shared" si="2"/>
        <v>0.9</v>
      </c>
      <c r="T125" s="180">
        <v>20</v>
      </c>
      <c r="U125" s="182">
        <v>19</v>
      </c>
      <c r="V125" s="182">
        <v>0</v>
      </c>
      <c r="W125" s="182"/>
      <c r="X125" s="182">
        <f t="shared" si="1"/>
        <v>19</v>
      </c>
      <c r="Y125" s="3">
        <v>12</v>
      </c>
      <c r="Z125" s="3" t="s">
        <v>3052</v>
      </c>
      <c r="AA125" s="189" t="s">
        <v>569</v>
      </c>
    </row>
    <row r="126" spans="1:27" ht="23.25" hidden="1" customHeight="1">
      <c r="A126" s="171" t="s">
        <v>2943</v>
      </c>
      <c r="B126" s="171">
        <v>2019</v>
      </c>
      <c r="C126" s="171"/>
      <c r="D126" s="3" t="s">
        <v>52</v>
      </c>
      <c r="E126" s="3" t="s">
        <v>571</v>
      </c>
      <c r="F126" s="173" t="s">
        <v>572</v>
      </c>
      <c r="G126" s="173"/>
      <c r="H126" s="173"/>
      <c r="I126" s="188" t="s">
        <v>2946</v>
      </c>
      <c r="J126" s="175" t="s">
        <v>3053</v>
      </c>
      <c r="K126" s="215" t="s">
        <v>3022</v>
      </c>
      <c r="L126" s="215" t="s">
        <v>3054</v>
      </c>
      <c r="M126" s="1">
        <v>43612</v>
      </c>
      <c r="N126" s="1">
        <v>43619</v>
      </c>
      <c r="O126" s="171" t="s">
        <v>41</v>
      </c>
      <c r="P126" s="187">
        <v>2875.02</v>
      </c>
      <c r="Q126" s="179"/>
      <c r="R126" s="180">
        <v>4.4000000000000004</v>
      </c>
      <c r="S126" s="218">
        <f t="shared" si="2"/>
        <v>0.88000000000000012</v>
      </c>
      <c r="T126" s="180">
        <v>20</v>
      </c>
      <c r="U126" s="182">
        <v>14</v>
      </c>
      <c r="V126" s="182">
        <v>0</v>
      </c>
      <c r="W126" s="182"/>
      <c r="X126" s="182">
        <f t="shared" si="1"/>
        <v>14</v>
      </c>
      <c r="Y126" s="3">
        <v>12</v>
      </c>
      <c r="Z126" s="171" t="s">
        <v>2784</v>
      </c>
      <c r="AA126" s="189" t="s">
        <v>3055</v>
      </c>
    </row>
    <row r="127" spans="1:27" ht="23.25" hidden="1" customHeight="1">
      <c r="A127" s="171" t="s">
        <v>2943</v>
      </c>
      <c r="B127" s="171">
        <v>2019</v>
      </c>
      <c r="C127" s="171"/>
      <c r="D127" s="3" t="s">
        <v>52</v>
      </c>
      <c r="E127" s="3" t="s">
        <v>566</v>
      </c>
      <c r="F127" s="186" t="s">
        <v>576</v>
      </c>
      <c r="G127" s="186"/>
      <c r="H127" s="186"/>
      <c r="I127" s="188" t="s">
        <v>6</v>
      </c>
      <c r="J127" s="175" t="s">
        <v>2965</v>
      </c>
      <c r="K127" s="215" t="s">
        <v>3022</v>
      </c>
      <c r="L127" s="215" t="s">
        <v>3056</v>
      </c>
      <c r="M127" s="216">
        <v>43622</v>
      </c>
      <c r="N127" s="1">
        <v>43626</v>
      </c>
      <c r="O127" s="171" t="s">
        <v>41</v>
      </c>
      <c r="P127" s="187">
        <v>5236.26</v>
      </c>
      <c r="Q127" s="179"/>
      <c r="R127" s="180">
        <v>5</v>
      </c>
      <c r="S127" s="218">
        <f t="shared" si="2"/>
        <v>1</v>
      </c>
      <c r="T127" s="180">
        <v>20</v>
      </c>
      <c r="U127" s="182">
        <v>19</v>
      </c>
      <c r="V127" s="182">
        <v>0</v>
      </c>
      <c r="W127" s="182"/>
      <c r="X127" s="182">
        <f t="shared" si="1"/>
        <v>19</v>
      </c>
      <c r="Y127" s="3">
        <v>12</v>
      </c>
      <c r="Z127" s="3" t="s">
        <v>3052</v>
      </c>
      <c r="AA127" s="189" t="s">
        <v>569</v>
      </c>
    </row>
    <row r="128" spans="1:27" ht="23.25" hidden="1" customHeight="1">
      <c r="A128" s="171" t="s">
        <v>2943</v>
      </c>
      <c r="B128" s="171">
        <v>2019</v>
      </c>
      <c r="C128" s="171"/>
      <c r="D128" s="3" t="s">
        <v>52</v>
      </c>
      <c r="E128" s="3" t="s">
        <v>561</v>
      </c>
      <c r="F128" s="186" t="s">
        <v>579</v>
      </c>
      <c r="G128" s="186"/>
      <c r="H128" s="186"/>
      <c r="I128" s="188" t="s">
        <v>6</v>
      </c>
      <c r="J128" s="175" t="s">
        <v>2944</v>
      </c>
      <c r="K128" s="215" t="s">
        <v>3022</v>
      </c>
      <c r="L128" s="215" t="s">
        <v>3057</v>
      </c>
      <c r="M128" s="1">
        <v>43633</v>
      </c>
      <c r="N128" s="1">
        <v>43635</v>
      </c>
      <c r="O128" s="171" t="s">
        <v>41</v>
      </c>
      <c r="P128" s="187">
        <v>3280.6</v>
      </c>
      <c r="Q128" s="179"/>
      <c r="R128" s="217">
        <v>4.7</v>
      </c>
      <c r="S128" s="218">
        <f t="shared" si="2"/>
        <v>0.94000000000000006</v>
      </c>
      <c r="T128" s="180">
        <v>20</v>
      </c>
      <c r="U128" s="182">
        <v>9</v>
      </c>
      <c r="V128" s="182">
        <v>0</v>
      </c>
      <c r="W128" s="182"/>
      <c r="X128" s="182">
        <f t="shared" si="1"/>
        <v>9</v>
      </c>
      <c r="Y128" s="3">
        <v>8</v>
      </c>
      <c r="Z128" s="3" t="s">
        <v>2780</v>
      </c>
      <c r="AA128" s="189" t="s">
        <v>564</v>
      </c>
    </row>
    <row r="129" spans="1:27" ht="23.25" hidden="1" customHeight="1">
      <c r="A129" s="171" t="s">
        <v>2943</v>
      </c>
      <c r="B129" s="171">
        <v>2019</v>
      </c>
      <c r="C129" s="171"/>
      <c r="D129" s="3" t="s">
        <v>52</v>
      </c>
      <c r="E129" s="3" t="s">
        <v>546</v>
      </c>
      <c r="F129" s="186" t="s">
        <v>582</v>
      </c>
      <c r="G129" s="186"/>
      <c r="H129" s="186"/>
      <c r="I129" s="188" t="s">
        <v>44</v>
      </c>
      <c r="J129" s="175" t="s">
        <v>2952</v>
      </c>
      <c r="K129" s="215" t="s">
        <v>3041</v>
      </c>
      <c r="L129" s="177" t="s">
        <v>583</v>
      </c>
      <c r="M129" s="1">
        <v>43634</v>
      </c>
      <c r="N129" s="1">
        <v>43634</v>
      </c>
      <c r="O129" s="171" t="s">
        <v>41</v>
      </c>
      <c r="P129" s="187">
        <v>1386.78</v>
      </c>
      <c r="Q129" s="179"/>
      <c r="R129" s="220">
        <v>0</v>
      </c>
      <c r="S129" s="221">
        <f t="shared" si="2"/>
        <v>0</v>
      </c>
      <c r="T129" s="180">
        <v>60</v>
      </c>
      <c r="U129" s="182">
        <v>0</v>
      </c>
      <c r="V129" s="182">
        <v>45</v>
      </c>
      <c r="W129" s="182"/>
      <c r="X129" s="182">
        <f t="shared" si="1"/>
        <v>45</v>
      </c>
      <c r="Y129" s="3">
        <v>4</v>
      </c>
      <c r="Z129" s="3" t="s">
        <v>3043</v>
      </c>
      <c r="AA129" s="189" t="s">
        <v>3048</v>
      </c>
    </row>
    <row r="130" spans="1:27" ht="23.25" hidden="1" customHeight="1">
      <c r="A130" s="171" t="s">
        <v>2943</v>
      </c>
      <c r="B130" s="171">
        <v>2019</v>
      </c>
      <c r="C130" s="171"/>
      <c r="D130" s="3" t="s">
        <v>52</v>
      </c>
      <c r="E130" s="3" t="s">
        <v>566</v>
      </c>
      <c r="F130" s="186" t="s">
        <v>585</v>
      </c>
      <c r="G130" s="186"/>
      <c r="H130" s="186"/>
      <c r="I130" s="188" t="s">
        <v>44</v>
      </c>
      <c r="J130" s="175" t="s">
        <v>2965</v>
      </c>
      <c r="K130" s="215" t="s">
        <v>3041</v>
      </c>
      <c r="L130" s="215" t="s">
        <v>3058</v>
      </c>
      <c r="M130" s="1">
        <v>43643</v>
      </c>
      <c r="N130" s="1">
        <v>43651</v>
      </c>
      <c r="O130" s="171" t="s">
        <v>41</v>
      </c>
      <c r="P130" s="187">
        <v>5236.26</v>
      </c>
      <c r="Q130" s="179"/>
      <c r="R130" s="217">
        <v>4.5999999999999996</v>
      </c>
      <c r="S130" s="218">
        <f t="shared" si="2"/>
        <v>0.91999999999999993</v>
      </c>
      <c r="T130" s="180">
        <v>30</v>
      </c>
      <c r="U130" s="182">
        <v>0</v>
      </c>
      <c r="V130" s="182">
        <v>25</v>
      </c>
      <c r="W130" s="182"/>
      <c r="X130" s="182">
        <f t="shared" ref="X130:X193" si="3">SUM(U130:W130)</f>
        <v>25</v>
      </c>
      <c r="Y130" s="171">
        <v>12</v>
      </c>
      <c r="Z130" s="3" t="s">
        <v>3052</v>
      </c>
      <c r="AA130" s="189" t="s">
        <v>569</v>
      </c>
    </row>
    <row r="131" spans="1:27" ht="23.25" hidden="1" customHeight="1">
      <c r="A131" s="171" t="s">
        <v>2943</v>
      </c>
      <c r="B131" s="171">
        <v>2019</v>
      </c>
      <c r="C131" s="171"/>
      <c r="D131" s="3" t="s">
        <v>52</v>
      </c>
      <c r="E131" s="3" t="s">
        <v>588</v>
      </c>
      <c r="F131" s="186" t="s">
        <v>589</v>
      </c>
      <c r="G131" s="186"/>
      <c r="H131" s="186"/>
      <c r="I131" s="188" t="s">
        <v>6</v>
      </c>
      <c r="J131" s="175" t="s">
        <v>2944</v>
      </c>
      <c r="K131" s="215" t="s">
        <v>3022</v>
      </c>
      <c r="L131" s="215" t="s">
        <v>3059</v>
      </c>
      <c r="M131" s="1">
        <v>43647</v>
      </c>
      <c r="N131" s="1">
        <v>43654</v>
      </c>
      <c r="O131" s="171" t="s">
        <v>41</v>
      </c>
      <c r="P131" s="187">
        <v>4731.7</v>
      </c>
      <c r="Q131" s="179"/>
      <c r="R131" s="217">
        <v>4.3</v>
      </c>
      <c r="S131" s="218">
        <f t="shared" si="2"/>
        <v>0.86</v>
      </c>
      <c r="T131" s="180">
        <v>20</v>
      </c>
      <c r="U131" s="182">
        <v>15</v>
      </c>
      <c r="V131" s="182">
        <v>0</v>
      </c>
      <c r="W131" s="182"/>
      <c r="X131" s="182">
        <f t="shared" si="3"/>
        <v>15</v>
      </c>
      <c r="Y131" s="3">
        <v>12</v>
      </c>
      <c r="Z131" s="3" t="s">
        <v>2780</v>
      </c>
      <c r="AA131" s="189" t="s">
        <v>3060</v>
      </c>
    </row>
    <row r="132" spans="1:27" ht="23.25" hidden="1" customHeight="1">
      <c r="A132" s="171" t="s">
        <v>2943</v>
      </c>
      <c r="B132" s="171">
        <v>2019</v>
      </c>
      <c r="C132" s="171"/>
      <c r="D132" s="3" t="s">
        <v>52</v>
      </c>
      <c r="E132" s="3" t="s">
        <v>593</v>
      </c>
      <c r="F132" s="186" t="s">
        <v>594</v>
      </c>
      <c r="G132" s="186"/>
      <c r="H132" s="186"/>
      <c r="I132" s="188" t="s">
        <v>44</v>
      </c>
      <c r="J132" s="175" t="s">
        <v>2965</v>
      </c>
      <c r="K132" s="215" t="s">
        <v>3041</v>
      </c>
      <c r="L132" s="215" t="s">
        <v>3061</v>
      </c>
      <c r="M132" s="1">
        <v>43654</v>
      </c>
      <c r="N132" s="1">
        <v>43657</v>
      </c>
      <c r="O132" s="171" t="s">
        <v>41</v>
      </c>
      <c r="P132" s="187">
        <v>6140.72</v>
      </c>
      <c r="Q132" s="179"/>
      <c r="R132" s="217">
        <v>4.5999999999999996</v>
      </c>
      <c r="S132" s="218">
        <f t="shared" si="2"/>
        <v>0.91999999999999993</v>
      </c>
      <c r="T132" s="180">
        <v>40</v>
      </c>
      <c r="U132" s="182">
        <v>0</v>
      </c>
      <c r="V132" s="182">
        <v>26</v>
      </c>
      <c r="W132" s="182"/>
      <c r="X132" s="182">
        <f t="shared" si="3"/>
        <v>26</v>
      </c>
      <c r="Y132" s="3">
        <v>16</v>
      </c>
      <c r="Z132" s="171" t="s">
        <v>2784</v>
      </c>
      <c r="AA132" s="189" t="s">
        <v>3032</v>
      </c>
    </row>
    <row r="133" spans="1:27" ht="23.25" hidden="1" customHeight="1">
      <c r="A133" s="171" t="s">
        <v>2943</v>
      </c>
      <c r="B133" s="171">
        <v>2019</v>
      </c>
      <c r="C133" s="171"/>
      <c r="D133" s="3" t="s">
        <v>52</v>
      </c>
      <c r="E133" s="3" t="s">
        <v>597</v>
      </c>
      <c r="F133" s="186" t="s">
        <v>598</v>
      </c>
      <c r="G133" s="186"/>
      <c r="H133" s="186"/>
      <c r="I133" s="188" t="s">
        <v>6</v>
      </c>
      <c r="J133" s="175" t="s">
        <v>2944</v>
      </c>
      <c r="K133" s="215" t="s">
        <v>3022</v>
      </c>
      <c r="L133" s="215" t="s">
        <v>3062</v>
      </c>
      <c r="M133" s="1">
        <v>43658</v>
      </c>
      <c r="N133" s="1">
        <v>43661</v>
      </c>
      <c r="O133" s="171" t="s">
        <v>41</v>
      </c>
      <c r="P133" s="222">
        <v>3260.66</v>
      </c>
      <c r="Q133" s="219"/>
      <c r="R133" s="217">
        <v>4.5999999999999996</v>
      </c>
      <c r="S133" s="218">
        <f t="shared" si="2"/>
        <v>0.91999999999999993</v>
      </c>
      <c r="T133" s="180">
        <v>20</v>
      </c>
      <c r="U133" s="182">
        <v>16</v>
      </c>
      <c r="V133" s="182">
        <v>0</v>
      </c>
      <c r="W133" s="182"/>
      <c r="X133" s="182">
        <f t="shared" si="3"/>
        <v>16</v>
      </c>
      <c r="Y133" s="3">
        <v>8</v>
      </c>
      <c r="Z133" s="3" t="s">
        <v>3052</v>
      </c>
      <c r="AA133" s="189" t="s">
        <v>3063</v>
      </c>
    </row>
    <row r="134" spans="1:27" ht="23.25" hidden="1" customHeight="1">
      <c r="A134" s="171" t="s">
        <v>2943</v>
      </c>
      <c r="B134" s="171">
        <v>2019</v>
      </c>
      <c r="C134" s="171"/>
      <c r="D134" s="171" t="s">
        <v>52</v>
      </c>
      <c r="E134" s="171" t="s">
        <v>597</v>
      </c>
      <c r="F134" s="186" t="s">
        <v>602</v>
      </c>
      <c r="G134" s="186"/>
      <c r="H134" s="186"/>
      <c r="I134" s="188" t="s">
        <v>6</v>
      </c>
      <c r="J134" s="175" t="s">
        <v>2944</v>
      </c>
      <c r="K134" s="215" t="s">
        <v>3022</v>
      </c>
      <c r="L134" s="215" t="s">
        <v>3064</v>
      </c>
      <c r="M134" s="216">
        <v>43678</v>
      </c>
      <c r="N134" s="216">
        <v>43683</v>
      </c>
      <c r="O134" s="171" t="s">
        <v>41</v>
      </c>
      <c r="P134" s="222">
        <v>3260.66</v>
      </c>
      <c r="Q134" s="219"/>
      <c r="R134" s="217">
        <v>4.8</v>
      </c>
      <c r="S134" s="218">
        <f t="shared" si="2"/>
        <v>0.96</v>
      </c>
      <c r="T134" s="180">
        <v>20</v>
      </c>
      <c r="U134" s="182">
        <v>15</v>
      </c>
      <c r="V134" s="182">
        <v>0</v>
      </c>
      <c r="W134" s="182"/>
      <c r="X134" s="182">
        <f t="shared" si="3"/>
        <v>15</v>
      </c>
      <c r="Y134" s="171">
        <v>8</v>
      </c>
      <c r="Z134" s="171" t="s">
        <v>2784</v>
      </c>
      <c r="AA134" s="189" t="s">
        <v>3063</v>
      </c>
    </row>
    <row r="135" spans="1:27" ht="23.25" hidden="1" customHeight="1">
      <c r="A135" s="171" t="s">
        <v>2943</v>
      </c>
      <c r="B135" s="171">
        <v>2019</v>
      </c>
      <c r="C135" s="171"/>
      <c r="D135" s="3" t="s">
        <v>52</v>
      </c>
      <c r="E135" s="3" t="s">
        <v>588</v>
      </c>
      <c r="F135" s="186" t="s">
        <v>606</v>
      </c>
      <c r="G135" s="186"/>
      <c r="H135" s="186"/>
      <c r="I135" s="188" t="s">
        <v>6</v>
      </c>
      <c r="J135" s="175" t="s">
        <v>2944</v>
      </c>
      <c r="K135" s="215" t="s">
        <v>3022</v>
      </c>
      <c r="L135" s="215" t="s">
        <v>3065</v>
      </c>
      <c r="M135" s="1">
        <v>43690</v>
      </c>
      <c r="N135" s="1">
        <v>43697</v>
      </c>
      <c r="O135" s="171" t="s">
        <v>41</v>
      </c>
      <c r="P135" s="187">
        <v>4605.54</v>
      </c>
      <c r="Q135" s="179"/>
      <c r="R135" s="217">
        <v>4.4000000000000004</v>
      </c>
      <c r="S135" s="218">
        <f t="shared" si="2"/>
        <v>0.88000000000000012</v>
      </c>
      <c r="T135" s="180">
        <v>20</v>
      </c>
      <c r="U135" s="182">
        <v>14</v>
      </c>
      <c r="V135" s="182">
        <v>0</v>
      </c>
      <c r="W135" s="182"/>
      <c r="X135" s="182">
        <f t="shared" si="3"/>
        <v>14</v>
      </c>
      <c r="Y135" s="3">
        <v>12</v>
      </c>
      <c r="Z135" s="3" t="s">
        <v>2780</v>
      </c>
      <c r="AA135" s="189" t="s">
        <v>3060</v>
      </c>
    </row>
    <row r="136" spans="1:27" ht="23.25" hidden="1" customHeight="1">
      <c r="A136" s="171" t="s">
        <v>2943</v>
      </c>
      <c r="B136" s="171">
        <v>2019</v>
      </c>
      <c r="C136" s="171"/>
      <c r="D136" s="171" t="s">
        <v>52</v>
      </c>
      <c r="E136" s="171" t="s">
        <v>609</v>
      </c>
      <c r="F136" s="186" t="s">
        <v>610</v>
      </c>
      <c r="G136" s="186"/>
      <c r="H136" s="186"/>
      <c r="I136" s="188" t="s">
        <v>44</v>
      </c>
      <c r="J136" s="175" t="s">
        <v>2952</v>
      </c>
      <c r="K136" s="215" t="s">
        <v>3041</v>
      </c>
      <c r="L136" s="215" t="s">
        <v>3066</v>
      </c>
      <c r="M136" s="216">
        <v>43696</v>
      </c>
      <c r="N136" s="216">
        <v>43698</v>
      </c>
      <c r="O136" s="171" t="s">
        <v>41</v>
      </c>
      <c r="P136" s="187">
        <v>0</v>
      </c>
      <c r="Q136" s="219"/>
      <c r="R136" s="223">
        <v>4.5</v>
      </c>
      <c r="S136" s="221">
        <f t="shared" si="2"/>
        <v>0.9</v>
      </c>
      <c r="T136" s="180">
        <v>450</v>
      </c>
      <c r="U136" s="182">
        <v>46</v>
      </c>
      <c r="V136" s="182">
        <v>136</v>
      </c>
      <c r="W136" s="182"/>
      <c r="X136" s="182">
        <f t="shared" si="3"/>
        <v>182</v>
      </c>
      <c r="Y136" s="171">
        <v>8</v>
      </c>
      <c r="Z136" s="171" t="s">
        <v>3043</v>
      </c>
      <c r="AA136" s="224" t="s">
        <v>3067</v>
      </c>
    </row>
    <row r="137" spans="1:27" ht="23.25" hidden="1" customHeight="1">
      <c r="A137" s="171" t="s">
        <v>2943</v>
      </c>
      <c r="B137" s="171">
        <v>2019</v>
      </c>
      <c r="C137" s="171"/>
      <c r="D137" s="3" t="s">
        <v>52</v>
      </c>
      <c r="E137" s="3" t="s">
        <v>593</v>
      </c>
      <c r="F137" s="186" t="s">
        <v>614</v>
      </c>
      <c r="G137" s="186"/>
      <c r="H137" s="186"/>
      <c r="I137" s="188" t="s">
        <v>44</v>
      </c>
      <c r="J137" s="175" t="s">
        <v>2965</v>
      </c>
      <c r="K137" s="215" t="s">
        <v>3041</v>
      </c>
      <c r="L137" s="215" t="s">
        <v>3068</v>
      </c>
      <c r="M137" s="1">
        <v>43703</v>
      </c>
      <c r="N137" s="1">
        <v>43706</v>
      </c>
      <c r="O137" s="171" t="s">
        <v>41</v>
      </c>
      <c r="P137" s="187">
        <v>5299.68</v>
      </c>
      <c r="Q137" s="179"/>
      <c r="R137" s="217">
        <v>4.5999999999999996</v>
      </c>
      <c r="S137" s="218">
        <f t="shared" si="2"/>
        <v>0.91999999999999993</v>
      </c>
      <c r="T137" s="180">
        <v>40</v>
      </c>
      <c r="U137" s="182">
        <v>0</v>
      </c>
      <c r="V137" s="182">
        <v>34</v>
      </c>
      <c r="W137" s="182"/>
      <c r="X137" s="182">
        <f t="shared" si="3"/>
        <v>34</v>
      </c>
      <c r="Y137" s="3">
        <v>16</v>
      </c>
      <c r="Z137" s="3" t="s">
        <v>2784</v>
      </c>
      <c r="AA137" s="189" t="s">
        <v>3032</v>
      </c>
    </row>
    <row r="138" spans="1:27" ht="23.25" hidden="1" customHeight="1">
      <c r="A138" s="171" t="s">
        <v>2943</v>
      </c>
      <c r="B138" s="171">
        <v>2019</v>
      </c>
      <c r="C138" s="171"/>
      <c r="D138" s="3" t="s">
        <v>52</v>
      </c>
      <c r="E138" s="3" t="s">
        <v>617</v>
      </c>
      <c r="F138" s="173" t="s">
        <v>618</v>
      </c>
      <c r="G138" s="173"/>
      <c r="H138" s="173"/>
      <c r="I138" s="188" t="s">
        <v>33</v>
      </c>
      <c r="J138" s="175" t="s">
        <v>2976</v>
      </c>
      <c r="K138" s="215" t="s">
        <v>3022</v>
      </c>
      <c r="L138" s="215" t="s">
        <v>3068</v>
      </c>
      <c r="M138" s="216">
        <v>43703</v>
      </c>
      <c r="N138" s="1">
        <v>43737</v>
      </c>
      <c r="O138" s="171" t="s">
        <v>45</v>
      </c>
      <c r="P138" s="187">
        <v>7980</v>
      </c>
      <c r="Q138" s="179"/>
      <c r="R138" s="217">
        <v>4.7</v>
      </c>
      <c r="S138" s="218">
        <f t="shared" si="2"/>
        <v>0.94000000000000006</v>
      </c>
      <c r="T138" s="180">
        <v>20</v>
      </c>
      <c r="U138" s="182">
        <v>17</v>
      </c>
      <c r="V138" s="182">
        <v>0</v>
      </c>
      <c r="W138" s="181">
        <v>0</v>
      </c>
      <c r="X138" s="182">
        <f t="shared" si="3"/>
        <v>17</v>
      </c>
      <c r="Y138" s="3">
        <v>16</v>
      </c>
      <c r="Z138" s="3" t="s">
        <v>2784</v>
      </c>
      <c r="AA138" s="2" t="s">
        <v>3069</v>
      </c>
    </row>
    <row r="139" spans="1:27" ht="23.25" hidden="1" customHeight="1">
      <c r="A139" s="171" t="s">
        <v>2943</v>
      </c>
      <c r="B139" s="171">
        <v>2019</v>
      </c>
      <c r="C139" s="171"/>
      <c r="D139" s="3" t="s">
        <v>52</v>
      </c>
      <c r="E139" s="3" t="s">
        <v>527</v>
      </c>
      <c r="F139" s="186" t="s">
        <v>622</v>
      </c>
      <c r="G139" s="186"/>
      <c r="H139" s="186"/>
      <c r="I139" s="188" t="s">
        <v>6</v>
      </c>
      <c r="J139" s="175" t="s">
        <v>3006</v>
      </c>
      <c r="K139" s="215" t="s">
        <v>3022</v>
      </c>
      <c r="L139" s="215" t="s">
        <v>3070</v>
      </c>
      <c r="M139" s="216">
        <v>43710</v>
      </c>
      <c r="N139" s="1">
        <v>43717</v>
      </c>
      <c r="O139" s="171" t="s">
        <v>41</v>
      </c>
      <c r="P139" s="187">
        <v>6624.6</v>
      </c>
      <c r="Q139" s="219"/>
      <c r="R139" s="217">
        <v>4.7</v>
      </c>
      <c r="S139" s="218">
        <f t="shared" si="2"/>
        <v>0.94000000000000006</v>
      </c>
      <c r="T139" s="180">
        <v>21</v>
      </c>
      <c r="U139" s="182">
        <v>20</v>
      </c>
      <c r="V139" s="182">
        <v>0</v>
      </c>
      <c r="W139" s="182"/>
      <c r="X139" s="182">
        <f t="shared" si="3"/>
        <v>20</v>
      </c>
      <c r="Y139" s="171">
        <v>20</v>
      </c>
      <c r="Z139" s="171" t="s">
        <v>2784</v>
      </c>
      <c r="AA139" s="189" t="s">
        <v>530</v>
      </c>
    </row>
    <row r="140" spans="1:27" ht="23.25" hidden="1" customHeight="1">
      <c r="A140" s="171" t="s">
        <v>2943</v>
      </c>
      <c r="B140" s="171">
        <v>2019</v>
      </c>
      <c r="C140" s="171"/>
      <c r="D140" s="3" t="s">
        <v>52</v>
      </c>
      <c r="E140" s="3" t="s">
        <v>537</v>
      </c>
      <c r="F140" s="186" t="s">
        <v>625</v>
      </c>
      <c r="G140" s="186"/>
      <c r="H140" s="186"/>
      <c r="I140" s="188" t="s">
        <v>2946</v>
      </c>
      <c r="J140" s="175" t="s">
        <v>3006</v>
      </c>
      <c r="K140" s="215" t="s">
        <v>3022</v>
      </c>
      <c r="L140" s="215" t="s">
        <v>3071</v>
      </c>
      <c r="M140" s="1">
        <v>43719</v>
      </c>
      <c r="N140" s="1">
        <v>43728</v>
      </c>
      <c r="O140" s="171" t="s">
        <v>41</v>
      </c>
      <c r="P140" s="187">
        <v>7675.9</v>
      </c>
      <c r="Q140" s="179"/>
      <c r="R140" s="180">
        <v>4.5</v>
      </c>
      <c r="S140" s="218">
        <f t="shared" si="2"/>
        <v>0.9</v>
      </c>
      <c r="T140" s="180">
        <v>41</v>
      </c>
      <c r="U140" s="182">
        <v>40</v>
      </c>
      <c r="V140" s="182">
        <v>0</v>
      </c>
      <c r="W140" s="182"/>
      <c r="X140" s="182">
        <f t="shared" si="3"/>
        <v>40</v>
      </c>
      <c r="Y140" s="3">
        <v>20</v>
      </c>
      <c r="Z140" s="171" t="s">
        <v>3040</v>
      </c>
      <c r="AA140" s="189" t="s">
        <v>3045</v>
      </c>
    </row>
    <row r="141" spans="1:27" ht="23.25" hidden="1" customHeight="1">
      <c r="A141" s="171" t="s">
        <v>2943</v>
      </c>
      <c r="B141" s="171">
        <v>2019</v>
      </c>
      <c r="C141" s="171"/>
      <c r="D141" s="171" t="s">
        <v>52</v>
      </c>
      <c r="E141" s="3" t="s">
        <v>628</v>
      </c>
      <c r="F141" s="173" t="s">
        <v>629</v>
      </c>
      <c r="G141" s="173"/>
      <c r="H141" s="173"/>
      <c r="I141" s="188" t="s">
        <v>3033</v>
      </c>
      <c r="J141" s="175" t="s">
        <v>2976</v>
      </c>
      <c r="K141" s="215" t="s">
        <v>3022</v>
      </c>
      <c r="L141" s="215" t="s">
        <v>3072</v>
      </c>
      <c r="M141" s="1">
        <v>43719</v>
      </c>
      <c r="N141" s="1">
        <v>43747</v>
      </c>
      <c r="O141" s="171" t="s">
        <v>41</v>
      </c>
      <c r="P141" s="187">
        <v>4731.7</v>
      </c>
      <c r="Q141" s="179"/>
      <c r="R141" s="217">
        <v>4.5999999999999996</v>
      </c>
      <c r="S141" s="218">
        <f t="shared" si="2"/>
        <v>0.91999999999999993</v>
      </c>
      <c r="T141" s="180">
        <v>15</v>
      </c>
      <c r="U141" s="182">
        <v>12</v>
      </c>
      <c r="V141" s="182">
        <v>0</v>
      </c>
      <c r="W141" s="181">
        <v>0</v>
      </c>
      <c r="X141" s="182">
        <f t="shared" si="3"/>
        <v>12</v>
      </c>
      <c r="Y141" s="3">
        <v>12</v>
      </c>
      <c r="Z141" s="171" t="s">
        <v>2780</v>
      </c>
      <c r="AA141" s="189" t="s">
        <v>3073</v>
      </c>
    </row>
    <row r="142" spans="1:27" ht="23.25" hidden="1" customHeight="1">
      <c r="A142" s="171" t="s">
        <v>2943</v>
      </c>
      <c r="B142" s="171">
        <v>2019</v>
      </c>
      <c r="C142" s="171"/>
      <c r="D142" s="3" t="s">
        <v>52</v>
      </c>
      <c r="E142" s="3" t="s">
        <v>3074</v>
      </c>
      <c r="F142" s="186" t="s">
        <v>633</v>
      </c>
      <c r="G142" s="186"/>
      <c r="H142" s="186"/>
      <c r="I142" s="188" t="s">
        <v>2946</v>
      </c>
      <c r="J142" s="175" t="s">
        <v>123</v>
      </c>
      <c r="K142" s="215" t="s">
        <v>3022</v>
      </c>
      <c r="L142" s="215" t="s">
        <v>3075</v>
      </c>
      <c r="M142" s="216">
        <v>43724</v>
      </c>
      <c r="N142" s="1">
        <v>43717</v>
      </c>
      <c r="O142" s="171" t="s">
        <v>45</v>
      </c>
      <c r="P142" s="187">
        <v>6065.18</v>
      </c>
      <c r="Q142" s="219"/>
      <c r="R142" s="217">
        <v>4.5999999999999996</v>
      </c>
      <c r="S142" s="218">
        <f t="shared" si="2"/>
        <v>0.91999999999999993</v>
      </c>
      <c r="T142" s="180">
        <v>31</v>
      </c>
      <c r="U142" s="182">
        <v>12</v>
      </c>
      <c r="V142" s="182">
        <v>0</v>
      </c>
      <c r="W142" s="182"/>
      <c r="X142" s="182">
        <f t="shared" si="3"/>
        <v>12</v>
      </c>
      <c r="Y142" s="3">
        <v>16</v>
      </c>
      <c r="Z142" s="3" t="s">
        <v>2780</v>
      </c>
      <c r="AA142" s="175" t="s">
        <v>3076</v>
      </c>
    </row>
    <row r="143" spans="1:27" ht="23.25" hidden="1" customHeight="1">
      <c r="A143" s="171" t="s">
        <v>2943</v>
      </c>
      <c r="B143" s="171">
        <v>2019</v>
      </c>
      <c r="C143" s="171"/>
      <c r="D143" s="3" t="s">
        <v>52</v>
      </c>
      <c r="E143" s="3" t="s">
        <v>566</v>
      </c>
      <c r="F143" s="186" t="s">
        <v>636</v>
      </c>
      <c r="G143" s="186"/>
      <c r="H143" s="186"/>
      <c r="I143" s="188" t="s">
        <v>6</v>
      </c>
      <c r="J143" s="175" t="s">
        <v>2965</v>
      </c>
      <c r="K143" s="215" t="s">
        <v>3022</v>
      </c>
      <c r="L143" s="215" t="s">
        <v>3077</v>
      </c>
      <c r="M143" s="1">
        <v>43726</v>
      </c>
      <c r="N143" s="1">
        <v>43731</v>
      </c>
      <c r="O143" s="171" t="s">
        <v>41</v>
      </c>
      <c r="P143" s="187">
        <v>5236.26</v>
      </c>
      <c r="Q143" s="179"/>
      <c r="R143" s="217">
        <v>4.5</v>
      </c>
      <c r="S143" s="218">
        <f t="shared" si="2"/>
        <v>0.9</v>
      </c>
      <c r="T143" s="180">
        <v>20</v>
      </c>
      <c r="U143" s="182">
        <v>19</v>
      </c>
      <c r="V143" s="182">
        <v>0</v>
      </c>
      <c r="W143" s="182"/>
      <c r="X143" s="182">
        <f t="shared" si="3"/>
        <v>19</v>
      </c>
      <c r="Y143" s="3">
        <v>12</v>
      </c>
      <c r="Z143" s="3" t="s">
        <v>3052</v>
      </c>
      <c r="AA143" s="189" t="s">
        <v>569</v>
      </c>
    </row>
    <row r="144" spans="1:27" ht="23.25" hidden="1" customHeight="1">
      <c r="A144" s="171" t="s">
        <v>2943</v>
      </c>
      <c r="B144" s="171">
        <v>2019</v>
      </c>
      <c r="C144" s="171"/>
      <c r="D144" s="3" t="s">
        <v>52</v>
      </c>
      <c r="E144" s="3" t="s">
        <v>639</v>
      </c>
      <c r="F144" s="173" t="s">
        <v>640</v>
      </c>
      <c r="G144" s="173"/>
      <c r="H144" s="173"/>
      <c r="I144" s="188" t="s">
        <v>2946</v>
      </c>
      <c r="J144" s="175" t="s">
        <v>2965</v>
      </c>
      <c r="K144" s="215" t="s">
        <v>3022</v>
      </c>
      <c r="L144" s="215" t="s">
        <v>3078</v>
      </c>
      <c r="M144" s="1">
        <v>43731</v>
      </c>
      <c r="N144" s="1">
        <v>43735</v>
      </c>
      <c r="O144" s="171" t="s">
        <v>41</v>
      </c>
      <c r="P144" s="187">
        <v>8727.1</v>
      </c>
      <c r="Q144" s="179"/>
      <c r="R144" s="217">
        <v>4.5999999999999996</v>
      </c>
      <c r="S144" s="218">
        <f t="shared" si="2"/>
        <v>0.91999999999999993</v>
      </c>
      <c r="T144" s="180">
        <v>15</v>
      </c>
      <c r="U144" s="182">
        <v>12</v>
      </c>
      <c r="V144" s="182">
        <v>0</v>
      </c>
      <c r="W144" s="182"/>
      <c r="X144" s="182">
        <f t="shared" si="3"/>
        <v>12</v>
      </c>
      <c r="Y144" s="3">
        <v>20</v>
      </c>
      <c r="Z144" s="3" t="s">
        <v>2784</v>
      </c>
      <c r="AA144" s="190" t="s">
        <v>2953</v>
      </c>
    </row>
    <row r="145" spans="1:27" ht="23.25" hidden="1" customHeight="1">
      <c r="A145" s="171" t="s">
        <v>2943</v>
      </c>
      <c r="B145" s="171">
        <v>2019</v>
      </c>
      <c r="C145" s="171"/>
      <c r="D145" s="3" t="s">
        <v>52</v>
      </c>
      <c r="E145" s="3" t="s">
        <v>643</v>
      </c>
      <c r="F145" s="173" t="s">
        <v>644</v>
      </c>
      <c r="G145" s="173"/>
      <c r="H145" s="173"/>
      <c r="I145" s="188" t="s">
        <v>3033</v>
      </c>
      <c r="J145" s="175" t="s">
        <v>2976</v>
      </c>
      <c r="K145" s="215" t="s">
        <v>3022</v>
      </c>
      <c r="L145" s="215" t="s">
        <v>3079</v>
      </c>
      <c r="M145" s="1">
        <v>43739</v>
      </c>
      <c r="N145" s="1">
        <v>43741</v>
      </c>
      <c r="O145" s="171" t="s">
        <v>45</v>
      </c>
      <c r="P145" s="222">
        <v>9240.5</v>
      </c>
      <c r="Q145" s="179"/>
      <c r="R145" s="217">
        <v>4.5999999999999996</v>
      </c>
      <c r="S145" s="218">
        <f t="shared" si="2"/>
        <v>0.91999999999999993</v>
      </c>
      <c r="T145" s="3">
        <v>35</v>
      </c>
      <c r="U145" s="181">
        <v>31</v>
      </c>
      <c r="V145" s="181">
        <v>0</v>
      </c>
      <c r="W145" s="181">
        <v>0</v>
      </c>
      <c r="X145" s="182">
        <f t="shared" si="3"/>
        <v>31</v>
      </c>
      <c r="Y145" s="3">
        <v>12</v>
      </c>
      <c r="Z145" s="3" t="s">
        <v>2780</v>
      </c>
      <c r="AA145" s="175" t="s">
        <v>646</v>
      </c>
    </row>
    <row r="146" spans="1:27" ht="23.25" hidden="1" customHeight="1">
      <c r="A146" s="171" t="s">
        <v>2943</v>
      </c>
      <c r="B146" s="171">
        <v>2019</v>
      </c>
      <c r="C146" s="171"/>
      <c r="D146" s="3" t="s">
        <v>52</v>
      </c>
      <c r="E146" s="3" t="s">
        <v>593</v>
      </c>
      <c r="F146" s="186" t="s">
        <v>648</v>
      </c>
      <c r="G146" s="186"/>
      <c r="H146" s="186"/>
      <c r="I146" s="188" t="s">
        <v>44</v>
      </c>
      <c r="J146" s="175" t="s">
        <v>2965</v>
      </c>
      <c r="K146" s="215" t="s">
        <v>3041</v>
      </c>
      <c r="L146" s="215" t="s">
        <v>3080</v>
      </c>
      <c r="M146" s="1">
        <v>43745</v>
      </c>
      <c r="N146" s="1">
        <v>43748</v>
      </c>
      <c r="O146" s="171" t="s">
        <v>41</v>
      </c>
      <c r="P146" s="187">
        <v>5299.68</v>
      </c>
      <c r="Q146" s="179"/>
      <c r="R146" s="217">
        <v>4.7</v>
      </c>
      <c r="S146" s="218">
        <f t="shared" si="2"/>
        <v>0.94000000000000006</v>
      </c>
      <c r="T146" s="180">
        <v>40</v>
      </c>
      <c r="U146" s="182">
        <v>0</v>
      </c>
      <c r="V146" s="182">
        <v>27</v>
      </c>
      <c r="W146" s="182"/>
      <c r="X146" s="182">
        <f t="shared" si="3"/>
        <v>27</v>
      </c>
      <c r="Y146" s="3">
        <v>16</v>
      </c>
      <c r="Z146" s="171" t="s">
        <v>2784</v>
      </c>
      <c r="AA146" s="189" t="s">
        <v>3032</v>
      </c>
    </row>
    <row r="147" spans="1:27" ht="23.25" hidden="1" customHeight="1">
      <c r="A147" s="171" t="s">
        <v>2943</v>
      </c>
      <c r="B147" s="171">
        <v>2019</v>
      </c>
      <c r="C147" s="171"/>
      <c r="D147" s="3" t="s">
        <v>52</v>
      </c>
      <c r="E147" s="3" t="s">
        <v>3081</v>
      </c>
      <c r="F147" s="173" t="s">
        <v>651</v>
      </c>
      <c r="G147" s="173"/>
      <c r="H147" s="173"/>
      <c r="I147" s="188" t="s">
        <v>33</v>
      </c>
      <c r="J147" s="175" t="s">
        <v>2965</v>
      </c>
      <c r="K147" s="215" t="s">
        <v>3022</v>
      </c>
      <c r="L147" s="215" t="s">
        <v>652</v>
      </c>
      <c r="M147" s="1">
        <v>43749</v>
      </c>
      <c r="N147" s="1">
        <v>43749</v>
      </c>
      <c r="O147" s="171" t="s">
        <v>45</v>
      </c>
      <c r="P147" s="187">
        <v>0</v>
      </c>
      <c r="Q147" s="179"/>
      <c r="R147" s="220">
        <v>0</v>
      </c>
      <c r="S147" s="221">
        <f t="shared" si="2"/>
        <v>0</v>
      </c>
      <c r="T147" s="180">
        <v>60</v>
      </c>
      <c r="U147" s="182">
        <v>54</v>
      </c>
      <c r="V147" s="181">
        <v>0</v>
      </c>
      <c r="W147" s="182">
        <v>0</v>
      </c>
      <c r="X147" s="182">
        <f t="shared" si="3"/>
        <v>54</v>
      </c>
      <c r="Y147" s="3">
        <v>1.5</v>
      </c>
      <c r="Z147" s="171" t="s">
        <v>3040</v>
      </c>
      <c r="AA147" s="175" t="s">
        <v>3082</v>
      </c>
    </row>
    <row r="148" spans="1:27" ht="23.25" hidden="1" customHeight="1">
      <c r="A148" s="171" t="s">
        <v>2943</v>
      </c>
      <c r="B148" s="171">
        <v>2019</v>
      </c>
      <c r="C148" s="171"/>
      <c r="D148" s="3" t="s">
        <v>52</v>
      </c>
      <c r="E148" s="3" t="s">
        <v>654</v>
      </c>
      <c r="F148" s="186" t="s">
        <v>655</v>
      </c>
      <c r="G148" s="186"/>
      <c r="H148" s="186"/>
      <c r="I148" s="188" t="s">
        <v>2946</v>
      </c>
      <c r="J148" s="175" t="s">
        <v>3053</v>
      </c>
      <c r="K148" s="215" t="s">
        <v>3022</v>
      </c>
      <c r="L148" s="215" t="s">
        <v>3083</v>
      </c>
      <c r="M148" s="1">
        <v>43752</v>
      </c>
      <c r="N148" s="1">
        <v>43756</v>
      </c>
      <c r="O148" s="171" t="s">
        <v>41</v>
      </c>
      <c r="P148" s="187">
        <v>0</v>
      </c>
      <c r="Q148" s="179"/>
      <c r="R148" s="217">
        <v>4.33</v>
      </c>
      <c r="S148" s="218">
        <f t="shared" si="2"/>
        <v>0.86599999999999999</v>
      </c>
      <c r="T148" s="180">
        <v>20</v>
      </c>
      <c r="U148" s="182">
        <v>9</v>
      </c>
      <c r="V148" s="182">
        <v>0</v>
      </c>
      <c r="W148" s="182"/>
      <c r="X148" s="182">
        <f t="shared" si="3"/>
        <v>9</v>
      </c>
      <c r="Y148" s="3">
        <v>12</v>
      </c>
      <c r="Z148" s="171" t="s">
        <v>2784</v>
      </c>
      <c r="AA148" s="189" t="s">
        <v>657</v>
      </c>
    </row>
    <row r="149" spans="1:27" ht="23.25" hidden="1" customHeight="1">
      <c r="A149" s="171" t="s">
        <v>2943</v>
      </c>
      <c r="B149" s="171">
        <v>2019</v>
      </c>
      <c r="C149" s="171"/>
      <c r="D149" s="171" t="s">
        <v>52</v>
      </c>
      <c r="E149" s="3" t="s">
        <v>546</v>
      </c>
      <c r="F149" s="186" t="s">
        <v>659</v>
      </c>
      <c r="G149" s="186"/>
      <c r="H149" s="186"/>
      <c r="I149" s="188" t="s">
        <v>44</v>
      </c>
      <c r="J149" s="175" t="s">
        <v>2952</v>
      </c>
      <c r="K149" s="215" t="s">
        <v>3041</v>
      </c>
      <c r="L149" s="215" t="s">
        <v>660</v>
      </c>
      <c r="M149" s="216">
        <v>43767</v>
      </c>
      <c r="N149" s="1">
        <v>43767</v>
      </c>
      <c r="O149" s="171" t="s">
        <v>41</v>
      </c>
      <c r="P149" s="187">
        <v>1386.78</v>
      </c>
      <c r="Q149" s="179"/>
      <c r="R149" s="217">
        <v>4.4000000000000004</v>
      </c>
      <c r="S149" s="218">
        <f t="shared" si="2"/>
        <v>0.88000000000000012</v>
      </c>
      <c r="T149" s="180">
        <v>60</v>
      </c>
      <c r="U149" s="182">
        <v>0</v>
      </c>
      <c r="V149" s="182">
        <v>38</v>
      </c>
      <c r="W149" s="182"/>
      <c r="X149" s="182">
        <f t="shared" si="3"/>
        <v>38</v>
      </c>
      <c r="Y149" s="3">
        <v>4</v>
      </c>
      <c r="Z149" s="171" t="s">
        <v>2784</v>
      </c>
      <c r="AA149" s="189" t="s">
        <v>661</v>
      </c>
    </row>
    <row r="150" spans="1:27" ht="23.25" hidden="1" customHeight="1">
      <c r="A150" s="171" t="s">
        <v>2943</v>
      </c>
      <c r="B150" s="171">
        <v>2019</v>
      </c>
      <c r="C150" s="171"/>
      <c r="D150" s="171" t="s">
        <v>52</v>
      </c>
      <c r="E150" s="3" t="s">
        <v>546</v>
      </c>
      <c r="F150" s="186" t="s">
        <v>663</v>
      </c>
      <c r="G150" s="186"/>
      <c r="H150" s="186"/>
      <c r="I150" s="188" t="s">
        <v>44</v>
      </c>
      <c r="J150" s="175" t="s">
        <v>2952</v>
      </c>
      <c r="K150" s="215" t="s">
        <v>3041</v>
      </c>
      <c r="L150" s="215" t="s">
        <v>664</v>
      </c>
      <c r="M150" s="216">
        <v>43774</v>
      </c>
      <c r="N150" s="1">
        <v>43774</v>
      </c>
      <c r="O150" s="171" t="s">
        <v>41</v>
      </c>
      <c r="P150" s="187">
        <v>1386.78</v>
      </c>
      <c r="Q150" s="179"/>
      <c r="R150" s="217">
        <v>3.88</v>
      </c>
      <c r="S150" s="218">
        <f t="shared" si="2"/>
        <v>0.77600000000000002</v>
      </c>
      <c r="T150" s="180">
        <v>60</v>
      </c>
      <c r="U150" s="182">
        <v>0</v>
      </c>
      <c r="V150" s="182">
        <v>62</v>
      </c>
      <c r="W150" s="182"/>
      <c r="X150" s="182">
        <f t="shared" si="3"/>
        <v>62</v>
      </c>
      <c r="Y150" s="3">
        <v>4</v>
      </c>
      <c r="Z150" s="171" t="s">
        <v>2784</v>
      </c>
      <c r="AA150" s="189" t="s">
        <v>661</v>
      </c>
    </row>
    <row r="151" spans="1:27" ht="23.25" hidden="1" customHeight="1">
      <c r="A151" s="171" t="s">
        <v>2943</v>
      </c>
      <c r="B151" s="171">
        <v>2019</v>
      </c>
      <c r="C151" s="171"/>
      <c r="D151" s="171" t="s">
        <v>52</v>
      </c>
      <c r="E151" s="3" t="s">
        <v>588</v>
      </c>
      <c r="F151" s="186" t="s">
        <v>666</v>
      </c>
      <c r="G151" s="186"/>
      <c r="H151" s="186"/>
      <c r="I151" s="188" t="s">
        <v>44</v>
      </c>
      <c r="J151" s="175" t="s">
        <v>2944</v>
      </c>
      <c r="K151" s="215" t="s">
        <v>3041</v>
      </c>
      <c r="L151" s="215" t="s">
        <v>3084</v>
      </c>
      <c r="M151" s="216">
        <v>43774</v>
      </c>
      <c r="N151" s="216">
        <v>43788</v>
      </c>
      <c r="O151" s="171" t="s">
        <v>41</v>
      </c>
      <c r="P151" s="187">
        <v>6140.72</v>
      </c>
      <c r="Q151" s="199"/>
      <c r="R151" s="180">
        <v>3.8</v>
      </c>
      <c r="S151" s="218">
        <f t="shared" si="2"/>
        <v>0.76</v>
      </c>
      <c r="T151" s="180">
        <v>20</v>
      </c>
      <c r="U151" s="182">
        <v>0</v>
      </c>
      <c r="V151" s="182">
        <v>13</v>
      </c>
      <c r="W151" s="182"/>
      <c r="X151" s="182">
        <f t="shared" si="3"/>
        <v>13</v>
      </c>
      <c r="Y151" s="171">
        <v>16</v>
      </c>
      <c r="Z151" s="171" t="s">
        <v>2780</v>
      </c>
      <c r="AA151" s="189" t="s">
        <v>3060</v>
      </c>
    </row>
    <row r="152" spans="1:27" ht="23.25" hidden="1" customHeight="1">
      <c r="A152" s="171" t="s">
        <v>2943</v>
      </c>
      <c r="B152" s="171">
        <v>2019</v>
      </c>
      <c r="C152" s="171"/>
      <c r="D152" s="171" t="s">
        <v>52</v>
      </c>
      <c r="E152" s="3" t="s">
        <v>654</v>
      </c>
      <c r="F152" s="186" t="s">
        <v>669</v>
      </c>
      <c r="G152" s="186"/>
      <c r="H152" s="186"/>
      <c r="I152" s="188" t="s">
        <v>2946</v>
      </c>
      <c r="J152" s="175" t="s">
        <v>3053</v>
      </c>
      <c r="K152" s="215" t="s">
        <v>3022</v>
      </c>
      <c r="L152" s="215" t="s">
        <v>3085</v>
      </c>
      <c r="M152" s="1">
        <v>43787</v>
      </c>
      <c r="N152" s="1">
        <v>43791</v>
      </c>
      <c r="O152" s="171" t="s">
        <v>41</v>
      </c>
      <c r="P152" s="187">
        <v>0</v>
      </c>
      <c r="Q152" s="179"/>
      <c r="R152" s="217">
        <v>4.3</v>
      </c>
      <c r="S152" s="218">
        <f t="shared" si="2"/>
        <v>0.86</v>
      </c>
      <c r="T152" s="180">
        <v>20</v>
      </c>
      <c r="U152" s="182">
        <v>8</v>
      </c>
      <c r="V152" s="182">
        <v>0</v>
      </c>
      <c r="W152" s="182"/>
      <c r="X152" s="182">
        <f t="shared" si="3"/>
        <v>8</v>
      </c>
      <c r="Y152" s="3">
        <v>12</v>
      </c>
      <c r="Z152" s="171" t="s">
        <v>2780</v>
      </c>
      <c r="AA152" s="189" t="s">
        <v>657</v>
      </c>
    </row>
    <row r="153" spans="1:27" ht="23.25" hidden="1" customHeight="1">
      <c r="A153" s="171" t="s">
        <v>2943</v>
      </c>
      <c r="B153" s="171">
        <v>2019</v>
      </c>
      <c r="C153" s="171"/>
      <c r="D153" s="171" t="s">
        <v>52</v>
      </c>
      <c r="E153" s="3" t="s">
        <v>672</v>
      </c>
      <c r="F153" s="186" t="s">
        <v>673</v>
      </c>
      <c r="G153" s="186"/>
      <c r="H153" s="186"/>
      <c r="I153" s="188" t="s">
        <v>2946</v>
      </c>
      <c r="J153" s="175" t="s">
        <v>2965</v>
      </c>
      <c r="K153" s="215" t="s">
        <v>3022</v>
      </c>
      <c r="L153" s="215" t="s">
        <v>3086</v>
      </c>
      <c r="M153" s="216">
        <v>43788</v>
      </c>
      <c r="N153" s="1">
        <v>43798</v>
      </c>
      <c r="O153" s="171" t="s">
        <v>41</v>
      </c>
      <c r="P153" s="187">
        <v>7493.04</v>
      </c>
      <c r="Q153" s="179"/>
      <c r="R153" s="217">
        <v>4.7699999999999996</v>
      </c>
      <c r="S153" s="218">
        <f t="shared" si="2"/>
        <v>0.95399999999999996</v>
      </c>
      <c r="T153" s="180">
        <v>30</v>
      </c>
      <c r="U153" s="182">
        <v>20</v>
      </c>
      <c r="V153" s="182">
        <v>0</v>
      </c>
      <c r="W153" s="182"/>
      <c r="X153" s="182">
        <f t="shared" si="3"/>
        <v>20</v>
      </c>
      <c r="Y153" s="3">
        <v>20</v>
      </c>
      <c r="Z153" s="171" t="s">
        <v>2784</v>
      </c>
      <c r="AA153" s="189" t="s">
        <v>3087</v>
      </c>
    </row>
    <row r="154" spans="1:27" ht="23.25" hidden="1" customHeight="1">
      <c r="A154" s="171" t="s">
        <v>2943</v>
      </c>
      <c r="B154" s="171">
        <v>2019</v>
      </c>
      <c r="C154" s="171"/>
      <c r="D154" s="171" t="s">
        <v>52</v>
      </c>
      <c r="E154" s="171" t="s">
        <v>677</v>
      </c>
      <c r="F154" s="186" t="s">
        <v>678</v>
      </c>
      <c r="G154" s="186"/>
      <c r="H154" s="186"/>
      <c r="I154" s="188" t="s">
        <v>33</v>
      </c>
      <c r="J154" s="175" t="s">
        <v>2976</v>
      </c>
      <c r="K154" s="215" t="s">
        <v>3022</v>
      </c>
      <c r="L154" s="215" t="s">
        <v>679</v>
      </c>
      <c r="M154" s="216">
        <v>43795</v>
      </c>
      <c r="N154" s="216">
        <v>43795</v>
      </c>
      <c r="O154" s="171" t="s">
        <v>41</v>
      </c>
      <c r="P154" s="187">
        <v>0</v>
      </c>
      <c r="Q154" s="219"/>
      <c r="R154" s="180">
        <v>5</v>
      </c>
      <c r="S154" s="218">
        <f t="shared" si="2"/>
        <v>1</v>
      </c>
      <c r="T154" s="180">
        <v>90</v>
      </c>
      <c r="U154" s="182">
        <v>74</v>
      </c>
      <c r="V154" s="182">
        <v>0</v>
      </c>
      <c r="W154" s="181">
        <v>0</v>
      </c>
      <c r="X154" s="182">
        <f t="shared" si="3"/>
        <v>74</v>
      </c>
      <c r="Y154" s="3">
        <v>1.5</v>
      </c>
      <c r="Z154" s="171" t="s">
        <v>2784</v>
      </c>
      <c r="AA154" s="189" t="s">
        <v>680</v>
      </c>
    </row>
    <row r="155" spans="1:27" ht="23.25" hidden="1" customHeight="1">
      <c r="A155" s="171" t="s">
        <v>2943</v>
      </c>
      <c r="B155" s="171">
        <v>2019</v>
      </c>
      <c r="C155" s="171"/>
      <c r="D155" s="171" t="s">
        <v>52</v>
      </c>
      <c r="E155" s="3" t="s">
        <v>672</v>
      </c>
      <c r="F155" s="186" t="s">
        <v>682</v>
      </c>
      <c r="G155" s="186"/>
      <c r="H155" s="186"/>
      <c r="I155" s="188" t="s">
        <v>2946</v>
      </c>
      <c r="J155" s="175" t="s">
        <v>2965</v>
      </c>
      <c r="K155" s="215" t="s">
        <v>3022</v>
      </c>
      <c r="L155" s="215" t="s">
        <v>3088</v>
      </c>
      <c r="M155" s="216">
        <v>43801</v>
      </c>
      <c r="N155" s="216">
        <v>43811</v>
      </c>
      <c r="O155" s="171" t="s">
        <v>41</v>
      </c>
      <c r="P155" s="187">
        <v>7493.04</v>
      </c>
      <c r="Q155" s="199"/>
      <c r="R155" s="217">
        <v>4.4000000000000004</v>
      </c>
      <c r="S155" s="218">
        <f t="shared" si="2"/>
        <v>0.88000000000000012</v>
      </c>
      <c r="T155" s="180">
        <v>30</v>
      </c>
      <c r="U155" s="182">
        <v>24</v>
      </c>
      <c r="V155" s="182">
        <v>0</v>
      </c>
      <c r="W155" s="182"/>
      <c r="X155" s="182">
        <f t="shared" si="3"/>
        <v>24</v>
      </c>
      <c r="Y155" s="171">
        <v>20</v>
      </c>
      <c r="Z155" s="171" t="s">
        <v>2784</v>
      </c>
      <c r="AA155" s="189" t="s">
        <v>3087</v>
      </c>
    </row>
    <row r="156" spans="1:27" ht="23.25" hidden="1" customHeight="1">
      <c r="A156" s="171" t="s">
        <v>2943</v>
      </c>
      <c r="B156" s="171">
        <v>2020</v>
      </c>
      <c r="C156" s="171"/>
      <c r="D156" s="171" t="s">
        <v>50</v>
      </c>
      <c r="E156" s="171" t="s">
        <v>3089</v>
      </c>
      <c r="F156" s="186" t="s">
        <v>3090</v>
      </c>
      <c r="G156" s="186"/>
      <c r="H156" s="186"/>
      <c r="I156" s="225" t="s">
        <v>2946</v>
      </c>
      <c r="J156" s="210" t="s">
        <v>2954</v>
      </c>
      <c r="K156" s="215"/>
      <c r="L156" s="215" t="s">
        <v>3091</v>
      </c>
      <c r="M156" s="1">
        <v>43831</v>
      </c>
      <c r="O156" s="171" t="s">
        <v>45</v>
      </c>
      <c r="P156" s="187">
        <v>5800</v>
      </c>
      <c r="Q156" s="179"/>
      <c r="R156" s="217"/>
      <c r="S156" s="226"/>
      <c r="T156" s="226">
        <v>24</v>
      </c>
      <c r="U156" s="181"/>
      <c r="V156" s="181"/>
      <c r="W156" s="182"/>
      <c r="X156" s="181">
        <f t="shared" si="3"/>
        <v>0</v>
      </c>
      <c r="Y156" s="171">
        <v>14</v>
      </c>
      <c r="Z156" s="171" t="s">
        <v>2784</v>
      </c>
      <c r="AA156" s="175" t="s">
        <v>827</v>
      </c>
    </row>
    <row r="157" spans="1:27" ht="23.25" hidden="1" customHeight="1">
      <c r="A157" s="171" t="s">
        <v>2943</v>
      </c>
      <c r="B157" s="171">
        <v>2020</v>
      </c>
      <c r="C157" s="171"/>
      <c r="D157" s="171" t="s">
        <v>50</v>
      </c>
      <c r="E157" s="171" t="s">
        <v>3092</v>
      </c>
      <c r="F157" s="186" t="s">
        <v>3093</v>
      </c>
      <c r="G157" s="186"/>
      <c r="H157" s="186"/>
      <c r="I157" s="225" t="s">
        <v>2946</v>
      </c>
      <c r="J157" s="210" t="s">
        <v>3053</v>
      </c>
      <c r="K157" s="227"/>
      <c r="L157" s="215" t="s">
        <v>3091</v>
      </c>
      <c r="M157" s="1">
        <v>43832</v>
      </c>
      <c r="O157" s="171" t="s">
        <v>41</v>
      </c>
      <c r="Q157" s="179"/>
      <c r="R157" s="180"/>
      <c r="S157" s="226"/>
      <c r="T157" s="226">
        <v>20</v>
      </c>
      <c r="U157" s="181"/>
      <c r="V157" s="181"/>
      <c r="W157" s="182"/>
      <c r="X157" s="181">
        <f t="shared" si="3"/>
        <v>0</v>
      </c>
      <c r="Y157" s="171">
        <v>12</v>
      </c>
      <c r="Z157" s="171" t="s">
        <v>3052</v>
      </c>
      <c r="AA157" s="194" t="s">
        <v>3094</v>
      </c>
    </row>
    <row r="158" spans="1:27" ht="23.25" hidden="1" customHeight="1">
      <c r="A158" s="171" t="s">
        <v>2943</v>
      </c>
      <c r="B158" s="171">
        <v>2020</v>
      </c>
      <c r="C158" s="171"/>
      <c r="D158" s="171" t="s">
        <v>50</v>
      </c>
      <c r="E158" s="171" t="s">
        <v>3095</v>
      </c>
      <c r="F158" s="186" t="s">
        <v>3096</v>
      </c>
      <c r="G158" s="186"/>
      <c r="H158" s="186"/>
      <c r="I158" s="225" t="s">
        <v>2946</v>
      </c>
      <c r="J158" s="210" t="s">
        <v>3053</v>
      </c>
      <c r="K158" s="227"/>
      <c r="L158" s="215" t="s">
        <v>3091</v>
      </c>
      <c r="M158" s="1">
        <v>43833</v>
      </c>
      <c r="O158" s="171" t="s">
        <v>41</v>
      </c>
      <c r="Q158" s="179"/>
      <c r="R158" s="180"/>
      <c r="S158" s="226"/>
      <c r="T158" s="226">
        <v>80</v>
      </c>
      <c r="U158" s="181"/>
      <c r="V158" s="181"/>
      <c r="W158" s="182"/>
      <c r="X158" s="181">
        <f t="shared" si="3"/>
        <v>0</v>
      </c>
      <c r="Y158" s="171">
        <v>3</v>
      </c>
      <c r="Z158" s="171" t="s">
        <v>3043</v>
      </c>
      <c r="AA158" s="194" t="s">
        <v>3094</v>
      </c>
    </row>
    <row r="159" spans="1:27" ht="23.25" hidden="1" customHeight="1">
      <c r="A159" s="171" t="s">
        <v>2943</v>
      </c>
      <c r="B159" s="171">
        <v>2020</v>
      </c>
      <c r="C159" s="171"/>
      <c r="D159" s="171" t="s">
        <v>50</v>
      </c>
      <c r="E159" s="171" t="s">
        <v>3097</v>
      </c>
      <c r="F159" s="186" t="s">
        <v>629</v>
      </c>
      <c r="G159" s="186"/>
      <c r="H159" s="186"/>
      <c r="I159" s="225" t="s">
        <v>33</v>
      </c>
      <c r="J159" s="210" t="s">
        <v>2976</v>
      </c>
      <c r="K159" s="215"/>
      <c r="L159" s="215" t="s">
        <v>3091</v>
      </c>
      <c r="M159" s="1">
        <v>43834</v>
      </c>
      <c r="O159" s="171" t="s">
        <v>41</v>
      </c>
      <c r="Q159" s="179"/>
      <c r="R159" s="217"/>
      <c r="S159" s="226"/>
      <c r="T159" s="226">
        <v>15</v>
      </c>
      <c r="U159" s="181"/>
      <c r="V159" s="181"/>
      <c r="W159" s="182"/>
      <c r="X159" s="181">
        <f t="shared" si="3"/>
        <v>0</v>
      </c>
      <c r="Y159" s="171">
        <v>12</v>
      </c>
      <c r="Z159" s="171" t="s">
        <v>3052</v>
      </c>
      <c r="AA159" s="189" t="s">
        <v>3073</v>
      </c>
    </row>
    <row r="160" spans="1:27" ht="23.25" hidden="1" customHeight="1">
      <c r="A160" s="171" t="s">
        <v>2943</v>
      </c>
      <c r="B160" s="171">
        <v>2020</v>
      </c>
      <c r="C160" s="171"/>
      <c r="D160" s="171" t="s">
        <v>50</v>
      </c>
      <c r="E160" s="171" t="s">
        <v>735</v>
      </c>
      <c r="F160" s="186" t="s">
        <v>3098</v>
      </c>
      <c r="G160" s="186"/>
      <c r="H160" s="186"/>
      <c r="I160" s="225" t="s">
        <v>33</v>
      </c>
      <c r="J160" s="210" t="s">
        <v>2947</v>
      </c>
      <c r="K160" s="215"/>
      <c r="L160" s="215" t="s">
        <v>3091</v>
      </c>
      <c r="M160" s="1">
        <v>43835</v>
      </c>
      <c r="O160" s="171" t="s">
        <v>41</v>
      </c>
      <c r="Q160" s="179"/>
      <c r="R160" s="217"/>
      <c r="S160" s="226"/>
      <c r="T160" s="226">
        <v>20</v>
      </c>
      <c r="U160" s="181"/>
      <c r="V160" s="181"/>
      <c r="W160" s="182"/>
      <c r="X160" s="181">
        <f t="shared" si="3"/>
        <v>0</v>
      </c>
      <c r="Y160" s="171">
        <v>16</v>
      </c>
      <c r="Z160" s="171" t="s">
        <v>2780</v>
      </c>
      <c r="AA160" s="196" t="s">
        <v>2964</v>
      </c>
    </row>
    <row r="161" spans="1:28" ht="23.25" hidden="1" customHeight="1">
      <c r="A161" s="171" t="s">
        <v>2943</v>
      </c>
      <c r="B161" s="171">
        <v>2020</v>
      </c>
      <c r="C161" s="171"/>
      <c r="D161" s="171" t="s">
        <v>50</v>
      </c>
      <c r="E161" s="171" t="s">
        <v>3099</v>
      </c>
      <c r="F161" s="186" t="s">
        <v>3100</v>
      </c>
      <c r="G161" s="186"/>
      <c r="H161" s="186"/>
      <c r="I161" s="225" t="s">
        <v>6</v>
      </c>
      <c r="J161" s="210" t="s">
        <v>2949</v>
      </c>
      <c r="K161" s="215"/>
      <c r="L161" s="215" t="s">
        <v>3091</v>
      </c>
      <c r="M161" s="1">
        <v>43836</v>
      </c>
      <c r="O161" s="171" t="s">
        <v>41</v>
      </c>
      <c r="Q161" s="179"/>
      <c r="R161" s="217"/>
      <c r="S161" s="226"/>
      <c r="T161" s="226">
        <v>20</v>
      </c>
      <c r="U161" s="181"/>
      <c r="V161" s="181"/>
      <c r="W161" s="181"/>
      <c r="X161" s="181">
        <f t="shared" si="3"/>
        <v>0</v>
      </c>
      <c r="Y161" s="171">
        <v>8</v>
      </c>
      <c r="Z161" s="171" t="s">
        <v>3043</v>
      </c>
      <c r="AA161" s="194" t="s">
        <v>3101</v>
      </c>
    </row>
    <row r="162" spans="1:28" ht="23.25" hidden="1" customHeight="1">
      <c r="A162" s="171" t="s">
        <v>2943</v>
      </c>
      <c r="B162" s="171">
        <v>2020</v>
      </c>
      <c r="C162" s="171"/>
      <c r="D162" s="171" t="s">
        <v>50</v>
      </c>
      <c r="E162" s="171" t="s">
        <v>3099</v>
      </c>
      <c r="F162" s="186" t="s">
        <v>3102</v>
      </c>
      <c r="G162" s="186"/>
      <c r="H162" s="186"/>
      <c r="I162" s="225" t="s">
        <v>6</v>
      </c>
      <c r="J162" s="210" t="s">
        <v>2949</v>
      </c>
      <c r="K162" s="215"/>
      <c r="L162" s="215" t="s">
        <v>3091</v>
      </c>
      <c r="M162" s="1">
        <v>43837</v>
      </c>
      <c r="O162" s="171" t="s">
        <v>41</v>
      </c>
      <c r="Q162" s="179"/>
      <c r="R162" s="217"/>
      <c r="S162" s="226"/>
      <c r="T162" s="226">
        <v>20</v>
      </c>
      <c r="U162" s="181"/>
      <c r="V162" s="181"/>
      <c r="W162" s="181"/>
      <c r="X162" s="181">
        <f t="shared" si="3"/>
        <v>0</v>
      </c>
      <c r="Y162" s="171">
        <v>8</v>
      </c>
      <c r="Z162" s="171" t="s">
        <v>3043</v>
      </c>
      <c r="AA162" s="194" t="s">
        <v>3101</v>
      </c>
    </row>
    <row r="163" spans="1:28" ht="23.25" hidden="1" customHeight="1">
      <c r="A163" s="171" t="s">
        <v>2943</v>
      </c>
      <c r="B163" s="171">
        <v>2020</v>
      </c>
      <c r="C163" s="171"/>
      <c r="D163" s="171" t="s">
        <v>52</v>
      </c>
      <c r="E163" s="171" t="s">
        <v>685</v>
      </c>
      <c r="F163" s="186" t="s">
        <v>3103</v>
      </c>
      <c r="G163" s="186"/>
      <c r="H163" s="186"/>
      <c r="I163" s="225" t="s">
        <v>2946</v>
      </c>
      <c r="J163" s="210" t="s">
        <v>2954</v>
      </c>
      <c r="K163" s="215" t="s">
        <v>3022</v>
      </c>
      <c r="L163" s="215" t="s">
        <v>687</v>
      </c>
      <c r="M163" s="216">
        <v>43854</v>
      </c>
      <c r="N163" s="216">
        <v>43854</v>
      </c>
      <c r="O163" s="171" t="s">
        <v>45</v>
      </c>
      <c r="P163" s="187">
        <v>0</v>
      </c>
      <c r="Q163" s="219">
        <v>0</v>
      </c>
      <c r="R163" s="228">
        <v>5</v>
      </c>
      <c r="S163" s="221">
        <f t="shared" ref="S163:S170" si="4">R163/5</f>
        <v>1</v>
      </c>
      <c r="T163" s="180">
        <v>20</v>
      </c>
      <c r="U163" s="182">
        <v>21</v>
      </c>
      <c r="V163" s="181">
        <v>0</v>
      </c>
      <c r="W163" s="182">
        <v>0</v>
      </c>
      <c r="X163" s="182">
        <f t="shared" si="3"/>
        <v>21</v>
      </c>
      <c r="Y163" s="171">
        <v>2</v>
      </c>
      <c r="Z163" s="171" t="s">
        <v>3043</v>
      </c>
      <c r="AA163" s="175" t="s">
        <v>688</v>
      </c>
    </row>
    <row r="164" spans="1:28" ht="23.25" hidden="1" customHeight="1">
      <c r="A164" s="171" t="s">
        <v>2943</v>
      </c>
      <c r="B164" s="171">
        <v>2020</v>
      </c>
      <c r="C164" s="171"/>
      <c r="D164" s="171" t="s">
        <v>52</v>
      </c>
      <c r="E164" s="171" t="s">
        <v>690</v>
      </c>
      <c r="F164" s="186" t="s">
        <v>691</v>
      </c>
      <c r="G164" s="186"/>
      <c r="H164" s="186"/>
      <c r="I164" s="225" t="s">
        <v>2946</v>
      </c>
      <c r="J164" s="210" t="s">
        <v>2947</v>
      </c>
      <c r="K164" s="215" t="s">
        <v>3022</v>
      </c>
      <c r="L164" s="215" t="s">
        <v>692</v>
      </c>
      <c r="M164" s="216">
        <v>43857</v>
      </c>
      <c r="N164" s="216">
        <v>43861</v>
      </c>
      <c r="O164" s="171" t="s">
        <v>45</v>
      </c>
      <c r="P164" s="187">
        <v>2470.54</v>
      </c>
      <c r="Q164" s="219">
        <v>1170</v>
      </c>
      <c r="R164" s="217">
        <v>4.7300000000000004</v>
      </c>
      <c r="S164" s="218">
        <f t="shared" si="4"/>
        <v>0.94600000000000006</v>
      </c>
      <c r="T164" s="180">
        <v>20</v>
      </c>
      <c r="U164" s="182">
        <v>21</v>
      </c>
      <c r="V164" s="181">
        <v>0</v>
      </c>
      <c r="W164" s="182">
        <v>0</v>
      </c>
      <c r="X164" s="182">
        <f t="shared" si="3"/>
        <v>21</v>
      </c>
      <c r="Y164" s="171">
        <v>20</v>
      </c>
      <c r="Z164" s="171" t="s">
        <v>2784</v>
      </c>
      <c r="AA164" s="175" t="s">
        <v>693</v>
      </c>
    </row>
    <row r="165" spans="1:28" ht="23.25" hidden="1" customHeight="1">
      <c r="A165" s="171" t="s">
        <v>2943</v>
      </c>
      <c r="B165" s="171">
        <v>2020</v>
      </c>
      <c r="C165" s="171"/>
      <c r="D165" s="171" t="s">
        <v>52</v>
      </c>
      <c r="E165" s="171" t="s">
        <v>695</v>
      </c>
      <c r="F165" s="227" t="s">
        <v>696</v>
      </c>
      <c r="G165" s="227"/>
      <c r="H165" s="227"/>
      <c r="I165" s="225" t="s">
        <v>2946</v>
      </c>
      <c r="J165" s="210" t="s">
        <v>2954</v>
      </c>
      <c r="K165" s="215" t="s">
        <v>3022</v>
      </c>
      <c r="L165" s="215" t="s">
        <v>697</v>
      </c>
      <c r="M165" s="216">
        <v>43859</v>
      </c>
      <c r="N165" s="216">
        <v>43859</v>
      </c>
      <c r="O165" s="171" t="s">
        <v>45</v>
      </c>
      <c r="P165" s="187">
        <v>0</v>
      </c>
      <c r="Q165" s="219">
        <v>0</v>
      </c>
      <c r="R165" s="217">
        <v>4.8499999999999996</v>
      </c>
      <c r="S165" s="218">
        <f t="shared" si="4"/>
        <v>0.97</v>
      </c>
      <c r="T165" s="180">
        <v>30</v>
      </c>
      <c r="U165" s="182">
        <v>13</v>
      </c>
      <c r="V165" s="182">
        <v>0</v>
      </c>
      <c r="W165" s="182">
        <v>0</v>
      </c>
      <c r="X165" s="182">
        <f t="shared" si="3"/>
        <v>13</v>
      </c>
      <c r="Y165" s="171">
        <v>2</v>
      </c>
      <c r="Z165" s="171" t="s">
        <v>3043</v>
      </c>
      <c r="AA165" s="175" t="s">
        <v>698</v>
      </c>
    </row>
    <row r="166" spans="1:28" ht="23.25" hidden="1" customHeight="1">
      <c r="A166" s="171" t="s">
        <v>2943</v>
      </c>
      <c r="B166" s="171">
        <v>2020</v>
      </c>
      <c r="C166" s="171"/>
      <c r="D166" s="171" t="s">
        <v>52</v>
      </c>
      <c r="E166" s="171" t="s">
        <v>700</v>
      </c>
      <c r="F166" s="186" t="s">
        <v>701</v>
      </c>
      <c r="G166" s="186"/>
      <c r="H166" s="186"/>
      <c r="I166" s="225" t="s">
        <v>6</v>
      </c>
      <c r="J166" s="210" t="s">
        <v>2944</v>
      </c>
      <c r="K166" s="215" t="s">
        <v>51</v>
      </c>
      <c r="L166" s="215" t="s">
        <v>702</v>
      </c>
      <c r="M166" s="216">
        <v>43894</v>
      </c>
      <c r="N166" s="216">
        <v>43895</v>
      </c>
      <c r="O166" s="3" t="s">
        <v>41</v>
      </c>
      <c r="P166" s="187">
        <v>0</v>
      </c>
      <c r="Q166" s="219">
        <v>2808</v>
      </c>
      <c r="R166" s="217">
        <v>4.32</v>
      </c>
      <c r="S166" s="218">
        <f t="shared" si="4"/>
        <v>0.8640000000000001</v>
      </c>
      <c r="T166" s="226">
        <v>100</v>
      </c>
      <c r="U166" s="182">
        <v>39</v>
      </c>
      <c r="V166" s="182">
        <v>0</v>
      </c>
      <c r="W166" s="182">
        <v>78</v>
      </c>
      <c r="X166" s="182">
        <f t="shared" si="3"/>
        <v>117</v>
      </c>
      <c r="Y166" s="171">
        <v>14</v>
      </c>
      <c r="Z166" s="171" t="s">
        <v>3043</v>
      </c>
      <c r="AA166" s="175" t="s">
        <v>492</v>
      </c>
    </row>
    <row r="167" spans="1:28" ht="23.25" hidden="1" customHeight="1">
      <c r="A167" s="171" t="s">
        <v>2943</v>
      </c>
      <c r="B167" s="171">
        <v>2020</v>
      </c>
      <c r="C167" s="171"/>
      <c r="D167" s="171" t="s">
        <v>52</v>
      </c>
      <c r="E167" s="171" t="s">
        <v>690</v>
      </c>
      <c r="F167" s="186" t="s">
        <v>704</v>
      </c>
      <c r="G167" s="186"/>
      <c r="H167" s="186"/>
      <c r="I167" s="225" t="s">
        <v>2946</v>
      </c>
      <c r="J167" s="210" t="s">
        <v>2947</v>
      </c>
      <c r="K167" s="215" t="s">
        <v>3022</v>
      </c>
      <c r="L167" s="215" t="s">
        <v>3104</v>
      </c>
      <c r="M167" s="216">
        <v>43899</v>
      </c>
      <c r="N167" s="216">
        <v>43951</v>
      </c>
      <c r="O167" s="171" t="s">
        <v>45</v>
      </c>
      <c r="P167" s="187">
        <v>1780.95</v>
      </c>
      <c r="Q167" s="219">
        <v>936</v>
      </c>
      <c r="R167" s="217">
        <v>4.2</v>
      </c>
      <c r="S167" s="218">
        <f t="shared" si="4"/>
        <v>0.84000000000000008</v>
      </c>
      <c r="T167" s="226">
        <v>20</v>
      </c>
      <c r="U167" s="182">
        <v>20</v>
      </c>
      <c r="V167" s="181">
        <v>0</v>
      </c>
      <c r="W167" s="182">
        <v>0</v>
      </c>
      <c r="X167" s="182">
        <f t="shared" si="3"/>
        <v>20</v>
      </c>
      <c r="Y167" s="171">
        <v>20</v>
      </c>
      <c r="Z167" s="171" t="s">
        <v>2784</v>
      </c>
      <c r="AA167" s="175" t="s">
        <v>693</v>
      </c>
      <c r="AB167" s="175"/>
    </row>
    <row r="168" spans="1:28" ht="23.25" hidden="1" customHeight="1">
      <c r="A168" s="171" t="s">
        <v>2943</v>
      </c>
      <c r="B168" s="171">
        <v>2020</v>
      </c>
      <c r="C168" s="171"/>
      <c r="D168" s="171" t="s">
        <v>52</v>
      </c>
      <c r="E168" s="171" t="s">
        <v>707</v>
      </c>
      <c r="F168" s="186" t="s">
        <v>708</v>
      </c>
      <c r="G168" s="186"/>
      <c r="H168" s="186"/>
      <c r="I168" s="225" t="s">
        <v>6</v>
      </c>
      <c r="J168" s="210" t="s">
        <v>2965</v>
      </c>
      <c r="K168" s="215" t="s">
        <v>3022</v>
      </c>
      <c r="L168" s="215" t="s">
        <v>709</v>
      </c>
      <c r="M168" s="216">
        <v>43927</v>
      </c>
      <c r="N168" s="216">
        <v>43943</v>
      </c>
      <c r="O168" s="171" t="s">
        <v>41</v>
      </c>
      <c r="P168" s="178">
        <f>4731.54+5384.88</f>
        <v>10116.42</v>
      </c>
      <c r="Q168" s="219">
        <v>0</v>
      </c>
      <c r="R168" s="217">
        <v>4.49</v>
      </c>
      <c r="S168" s="218">
        <f t="shared" si="4"/>
        <v>0.89800000000000002</v>
      </c>
      <c r="T168" s="226">
        <v>20</v>
      </c>
      <c r="U168" s="182">
        <v>22</v>
      </c>
      <c r="V168" s="182">
        <v>0</v>
      </c>
      <c r="W168" s="182">
        <v>0</v>
      </c>
      <c r="X168" s="182">
        <f t="shared" si="3"/>
        <v>22</v>
      </c>
      <c r="Y168" s="171">
        <v>24</v>
      </c>
      <c r="Z168" s="171" t="s">
        <v>3043</v>
      </c>
      <c r="AA168" s="194" t="s">
        <v>3105</v>
      </c>
    </row>
    <row r="169" spans="1:28" ht="23.25" hidden="1" customHeight="1">
      <c r="A169" s="171" t="s">
        <v>2943</v>
      </c>
      <c r="B169" s="171">
        <v>2020</v>
      </c>
      <c r="C169" s="171"/>
      <c r="D169" s="171" t="s">
        <v>52</v>
      </c>
      <c r="E169" s="171" t="s">
        <v>712</v>
      </c>
      <c r="F169" s="186" t="s">
        <v>713</v>
      </c>
      <c r="G169" s="186"/>
      <c r="H169" s="186"/>
      <c r="I169" s="225" t="s">
        <v>2946</v>
      </c>
      <c r="J169" s="210" t="s">
        <v>2947</v>
      </c>
      <c r="K169" s="215" t="s">
        <v>3022</v>
      </c>
      <c r="L169" s="215" t="s">
        <v>714</v>
      </c>
      <c r="M169" s="216">
        <v>43941</v>
      </c>
      <c r="N169" s="216">
        <v>43945</v>
      </c>
      <c r="O169" s="171" t="s">
        <v>41</v>
      </c>
      <c r="P169" s="187">
        <v>5384.88</v>
      </c>
      <c r="Q169" s="219">
        <v>0</v>
      </c>
      <c r="R169" s="217">
        <v>4.1100000000000003</v>
      </c>
      <c r="S169" s="218">
        <f t="shared" si="4"/>
        <v>0.82200000000000006</v>
      </c>
      <c r="T169" s="226">
        <v>20</v>
      </c>
      <c r="U169" s="182">
        <v>21</v>
      </c>
      <c r="V169" s="182">
        <v>0</v>
      </c>
      <c r="W169" s="182">
        <v>0</v>
      </c>
      <c r="X169" s="182">
        <f t="shared" si="3"/>
        <v>21</v>
      </c>
      <c r="Y169" s="171">
        <v>12</v>
      </c>
      <c r="Z169" s="171" t="s">
        <v>2780</v>
      </c>
      <c r="AA169" s="196" t="s">
        <v>2964</v>
      </c>
    </row>
    <row r="170" spans="1:28" ht="23.25" hidden="1" customHeight="1">
      <c r="A170" s="171" t="s">
        <v>2943</v>
      </c>
      <c r="B170" s="171">
        <v>2020</v>
      </c>
      <c r="C170" s="171"/>
      <c r="D170" s="171" t="s">
        <v>52</v>
      </c>
      <c r="E170" s="171" t="s">
        <v>716</v>
      </c>
      <c r="F170" s="186" t="s">
        <v>717</v>
      </c>
      <c r="G170" s="186"/>
      <c r="H170" s="186"/>
      <c r="I170" s="225" t="s">
        <v>33</v>
      </c>
      <c r="J170" s="210" t="s">
        <v>2976</v>
      </c>
      <c r="K170" s="215" t="s">
        <v>3022</v>
      </c>
      <c r="L170" s="215" t="s">
        <v>718</v>
      </c>
      <c r="M170" s="216">
        <v>43966</v>
      </c>
      <c r="N170" s="216">
        <v>43966</v>
      </c>
      <c r="O170" s="171" t="s">
        <v>41</v>
      </c>
      <c r="P170" s="187">
        <v>591.44000000000005</v>
      </c>
      <c r="Q170" s="179"/>
      <c r="R170" s="229">
        <v>5</v>
      </c>
      <c r="S170" s="218">
        <f t="shared" si="4"/>
        <v>1</v>
      </c>
      <c r="T170" s="226">
        <v>59</v>
      </c>
      <c r="U170" s="182">
        <v>59</v>
      </c>
      <c r="V170" s="182">
        <v>0</v>
      </c>
      <c r="W170" s="182">
        <v>0</v>
      </c>
      <c r="X170" s="182">
        <f t="shared" si="3"/>
        <v>59</v>
      </c>
      <c r="Y170" s="171">
        <v>1.5</v>
      </c>
      <c r="Z170" s="171" t="s">
        <v>2780</v>
      </c>
      <c r="AA170" s="189" t="s">
        <v>3073</v>
      </c>
    </row>
    <row r="171" spans="1:28" ht="23.25" hidden="1" customHeight="1">
      <c r="A171" s="171" t="s">
        <v>2943</v>
      </c>
      <c r="B171" s="171">
        <v>2020</v>
      </c>
      <c r="C171" s="171"/>
      <c r="D171" s="171" t="s">
        <v>50</v>
      </c>
      <c r="E171" s="171" t="s">
        <v>3095</v>
      </c>
      <c r="F171" s="186" t="s">
        <v>3106</v>
      </c>
      <c r="G171" s="186"/>
      <c r="H171" s="186"/>
      <c r="I171" s="225" t="s">
        <v>2946</v>
      </c>
      <c r="J171" s="210" t="s">
        <v>3053</v>
      </c>
      <c r="K171" s="227"/>
      <c r="L171" s="215" t="s">
        <v>3107</v>
      </c>
      <c r="M171" s="216">
        <v>43969</v>
      </c>
      <c r="N171" s="216">
        <v>43969</v>
      </c>
      <c r="O171" s="171" t="s">
        <v>41</v>
      </c>
      <c r="Q171" s="179"/>
      <c r="R171" s="180"/>
      <c r="S171" s="226"/>
      <c r="T171" s="226">
        <v>80</v>
      </c>
      <c r="U171" s="181"/>
      <c r="V171" s="181"/>
      <c r="W171" s="182"/>
      <c r="X171" s="181">
        <f t="shared" si="3"/>
        <v>0</v>
      </c>
      <c r="Y171" s="171">
        <v>3</v>
      </c>
      <c r="Z171" s="171" t="s">
        <v>3043</v>
      </c>
      <c r="AA171" s="194" t="s">
        <v>3094</v>
      </c>
    </row>
    <row r="172" spans="1:28" ht="23.25" hidden="1" customHeight="1">
      <c r="A172" s="171" t="s">
        <v>2943</v>
      </c>
      <c r="B172" s="171">
        <v>2020</v>
      </c>
      <c r="C172" s="171"/>
      <c r="D172" s="171" t="s">
        <v>52</v>
      </c>
      <c r="E172" s="171" t="s">
        <v>720</v>
      </c>
      <c r="F172" s="186" t="s">
        <v>721</v>
      </c>
      <c r="G172" s="186"/>
      <c r="H172" s="186"/>
      <c r="I172" s="225" t="s">
        <v>2946</v>
      </c>
      <c r="J172" s="210" t="s">
        <v>2947</v>
      </c>
      <c r="K172" s="215" t="s">
        <v>3022</v>
      </c>
      <c r="L172" s="215" t="s">
        <v>722</v>
      </c>
      <c r="M172" s="216">
        <v>43969</v>
      </c>
      <c r="N172" s="216">
        <v>43977</v>
      </c>
      <c r="O172" s="171" t="s">
        <v>45</v>
      </c>
      <c r="P172" s="187">
        <v>2125.29</v>
      </c>
      <c r="Q172" s="219">
        <v>0</v>
      </c>
      <c r="R172" s="217">
        <v>4.8</v>
      </c>
      <c r="S172" s="218">
        <f t="shared" ref="S172:S184" si="5">R172/5</f>
        <v>0.96</v>
      </c>
      <c r="T172" s="226">
        <v>20</v>
      </c>
      <c r="U172" s="182">
        <v>24</v>
      </c>
      <c r="V172" s="181">
        <v>0</v>
      </c>
      <c r="W172" s="182">
        <v>0</v>
      </c>
      <c r="X172" s="182">
        <f t="shared" si="3"/>
        <v>24</v>
      </c>
      <c r="Y172" s="171">
        <v>20</v>
      </c>
      <c r="Z172" s="171" t="s">
        <v>3052</v>
      </c>
      <c r="AA172" s="175" t="s">
        <v>693</v>
      </c>
      <c r="AB172" s="175"/>
    </row>
    <row r="173" spans="1:28" ht="23.25" hidden="1" customHeight="1">
      <c r="A173" s="171" t="s">
        <v>2943</v>
      </c>
      <c r="B173" s="171">
        <v>2020</v>
      </c>
      <c r="C173" s="171"/>
      <c r="D173" s="171" t="s">
        <v>50</v>
      </c>
      <c r="E173" s="171" t="s">
        <v>3092</v>
      </c>
      <c r="F173" s="186" t="s">
        <v>3108</v>
      </c>
      <c r="G173" s="186"/>
      <c r="H173" s="186"/>
      <c r="I173" s="225" t="s">
        <v>2946</v>
      </c>
      <c r="J173" s="210" t="s">
        <v>3053</v>
      </c>
      <c r="K173" s="227"/>
      <c r="L173" s="215" t="s">
        <v>3109</v>
      </c>
      <c r="M173" s="216">
        <v>43976</v>
      </c>
      <c r="N173" s="216">
        <v>43980</v>
      </c>
      <c r="O173" s="171" t="s">
        <v>41</v>
      </c>
      <c r="Q173" s="179"/>
      <c r="R173" s="180"/>
      <c r="S173" s="218">
        <f t="shared" si="5"/>
        <v>0</v>
      </c>
      <c r="T173" s="226">
        <v>20</v>
      </c>
      <c r="U173" s="181"/>
      <c r="V173" s="181"/>
      <c r="W173" s="182"/>
      <c r="X173" s="181">
        <f t="shared" si="3"/>
        <v>0</v>
      </c>
      <c r="Y173" s="171">
        <v>12</v>
      </c>
      <c r="Z173" s="171" t="s">
        <v>3052</v>
      </c>
      <c r="AA173" s="194" t="s">
        <v>3094</v>
      </c>
    </row>
    <row r="174" spans="1:28" ht="23.25" hidden="1" customHeight="1">
      <c r="A174" s="171" t="s">
        <v>2943</v>
      </c>
      <c r="B174" s="171">
        <v>2020</v>
      </c>
      <c r="C174" s="171"/>
      <c r="D174" s="171" t="s">
        <v>52</v>
      </c>
      <c r="E174" s="171" t="s">
        <v>716</v>
      </c>
      <c r="F174" s="186" t="s">
        <v>724</v>
      </c>
      <c r="G174" s="186"/>
      <c r="H174" s="186"/>
      <c r="I174" s="225" t="s">
        <v>33</v>
      </c>
      <c r="J174" s="210" t="s">
        <v>2976</v>
      </c>
      <c r="K174" s="215" t="s">
        <v>3022</v>
      </c>
      <c r="L174" s="215" t="s">
        <v>725</v>
      </c>
      <c r="M174" s="216">
        <v>43980</v>
      </c>
      <c r="N174" s="216">
        <v>43980</v>
      </c>
      <c r="O174" s="171" t="s">
        <v>41</v>
      </c>
      <c r="P174" s="187">
        <v>591.44000000000005</v>
      </c>
      <c r="Q174" s="179"/>
      <c r="R174" s="229">
        <v>5</v>
      </c>
      <c r="S174" s="218">
        <f t="shared" si="5"/>
        <v>1</v>
      </c>
      <c r="T174" s="226">
        <v>41</v>
      </c>
      <c r="U174" s="182">
        <v>41</v>
      </c>
      <c r="V174" s="182">
        <v>0</v>
      </c>
      <c r="W174" s="182">
        <v>0</v>
      </c>
      <c r="X174" s="182">
        <f t="shared" si="3"/>
        <v>41</v>
      </c>
      <c r="Y174" s="171">
        <v>1.5</v>
      </c>
      <c r="Z174" s="171" t="s">
        <v>2780</v>
      </c>
      <c r="AA174" s="189" t="s">
        <v>3073</v>
      </c>
    </row>
    <row r="175" spans="1:28" ht="23.25" hidden="1" customHeight="1">
      <c r="A175" s="171" t="s">
        <v>2943</v>
      </c>
      <c r="B175" s="171">
        <v>2020</v>
      </c>
      <c r="C175" s="171"/>
      <c r="D175" s="171" t="s">
        <v>52</v>
      </c>
      <c r="E175" s="171" t="s">
        <v>685</v>
      </c>
      <c r="F175" s="230" t="s">
        <v>728</v>
      </c>
      <c r="G175" s="230"/>
      <c r="H175" s="230"/>
      <c r="I175" s="225" t="s">
        <v>3034</v>
      </c>
      <c r="J175" s="210" t="s">
        <v>3029</v>
      </c>
      <c r="K175" s="215" t="s">
        <v>3022</v>
      </c>
      <c r="L175" s="215" t="s">
        <v>729</v>
      </c>
      <c r="M175" s="216">
        <v>43987</v>
      </c>
      <c r="N175" s="216">
        <v>43987</v>
      </c>
      <c r="O175" s="171" t="s">
        <v>45</v>
      </c>
      <c r="P175" s="187">
        <v>0</v>
      </c>
      <c r="Q175" s="179"/>
      <c r="R175" s="229">
        <v>5</v>
      </c>
      <c r="S175" s="218">
        <f t="shared" si="5"/>
        <v>1</v>
      </c>
      <c r="T175" s="226">
        <v>35</v>
      </c>
      <c r="U175" s="182">
        <v>35</v>
      </c>
      <c r="V175" s="181">
        <v>0</v>
      </c>
      <c r="W175" s="182">
        <v>0</v>
      </c>
      <c r="X175" s="182">
        <f t="shared" si="3"/>
        <v>35</v>
      </c>
      <c r="Y175" s="171">
        <v>1.5</v>
      </c>
      <c r="Z175" s="171" t="s">
        <v>3052</v>
      </c>
      <c r="AA175" s="175" t="s">
        <v>3110</v>
      </c>
    </row>
    <row r="176" spans="1:28" ht="23.25" hidden="1" customHeight="1">
      <c r="A176" s="171" t="s">
        <v>2943</v>
      </c>
      <c r="B176" s="171">
        <v>2020</v>
      </c>
      <c r="C176" s="171"/>
      <c r="D176" s="171" t="s">
        <v>52</v>
      </c>
      <c r="E176" s="171" t="s">
        <v>731</v>
      </c>
      <c r="F176" s="186" t="s">
        <v>732</v>
      </c>
      <c r="G176" s="186"/>
      <c r="H176" s="186"/>
      <c r="I176" s="225" t="s">
        <v>6</v>
      </c>
      <c r="J176" s="210" t="s">
        <v>2944</v>
      </c>
      <c r="K176" s="215" t="s">
        <v>3022</v>
      </c>
      <c r="L176" s="215" t="s">
        <v>3111</v>
      </c>
      <c r="M176" s="216">
        <v>43990</v>
      </c>
      <c r="N176" s="216">
        <v>43994</v>
      </c>
      <c r="O176" s="171" t="s">
        <v>41</v>
      </c>
      <c r="P176" s="187">
        <v>6308.72</v>
      </c>
      <c r="Q176" s="179"/>
      <c r="R176" s="217">
        <v>4.6500000000000004</v>
      </c>
      <c r="S176" s="218">
        <f t="shared" si="5"/>
        <v>0.93</v>
      </c>
      <c r="T176" s="226">
        <v>20</v>
      </c>
      <c r="U176" s="182">
        <v>15</v>
      </c>
      <c r="V176" s="182">
        <v>0</v>
      </c>
      <c r="W176" s="182">
        <v>0</v>
      </c>
      <c r="X176" s="182">
        <f t="shared" si="3"/>
        <v>15</v>
      </c>
      <c r="Y176" s="171">
        <v>16</v>
      </c>
      <c r="Z176" s="171" t="s">
        <v>2780</v>
      </c>
      <c r="AA176" s="189" t="s">
        <v>3060</v>
      </c>
    </row>
    <row r="177" spans="1:27" ht="23.25" hidden="1" customHeight="1">
      <c r="A177" s="171" t="s">
        <v>2943</v>
      </c>
      <c r="B177" s="171">
        <v>2020</v>
      </c>
      <c r="C177" s="171"/>
      <c r="D177" s="171" t="s">
        <v>52</v>
      </c>
      <c r="E177" s="171" t="s">
        <v>735</v>
      </c>
      <c r="F177" s="186" t="s">
        <v>736</v>
      </c>
      <c r="G177" s="186"/>
      <c r="H177" s="186"/>
      <c r="I177" s="225" t="s">
        <v>2946</v>
      </c>
      <c r="J177" s="210" t="s">
        <v>2947</v>
      </c>
      <c r="K177" s="215" t="s">
        <v>3022</v>
      </c>
      <c r="L177" s="215" t="s">
        <v>3112</v>
      </c>
      <c r="M177" s="216">
        <v>43997</v>
      </c>
      <c r="N177" s="216">
        <v>44006</v>
      </c>
      <c r="O177" s="171" t="s">
        <v>41</v>
      </c>
      <c r="P177" s="187">
        <v>7179.84</v>
      </c>
      <c r="Q177" s="179"/>
      <c r="R177" s="217">
        <v>3.82</v>
      </c>
      <c r="S177" s="218">
        <f t="shared" si="5"/>
        <v>0.76400000000000001</v>
      </c>
      <c r="T177" s="226">
        <v>20</v>
      </c>
      <c r="U177" s="182">
        <v>23</v>
      </c>
      <c r="V177" s="182">
        <v>0</v>
      </c>
      <c r="W177" s="182">
        <v>0</v>
      </c>
      <c r="X177" s="182">
        <f t="shared" si="3"/>
        <v>23</v>
      </c>
      <c r="Y177" s="171">
        <v>16</v>
      </c>
      <c r="Z177" s="171" t="s">
        <v>2780</v>
      </c>
      <c r="AA177" s="196" t="s">
        <v>2964</v>
      </c>
    </row>
    <row r="178" spans="1:27" ht="23.25" hidden="1" customHeight="1">
      <c r="A178" s="171" t="s">
        <v>2943</v>
      </c>
      <c r="B178" s="171">
        <v>2020</v>
      </c>
      <c r="C178" s="171"/>
      <c r="D178" s="171" t="s">
        <v>52</v>
      </c>
      <c r="E178" s="171" t="s">
        <v>739</v>
      </c>
      <c r="F178" s="186" t="s">
        <v>740</v>
      </c>
      <c r="G178" s="186"/>
      <c r="H178" s="186"/>
      <c r="I178" s="188" t="s">
        <v>6</v>
      </c>
      <c r="J178" s="175" t="s">
        <v>2965</v>
      </c>
      <c r="K178" s="215" t="s">
        <v>3022</v>
      </c>
      <c r="L178" s="215" t="s">
        <v>741</v>
      </c>
      <c r="M178" s="216">
        <v>43998</v>
      </c>
      <c r="N178" s="216">
        <v>43998</v>
      </c>
      <c r="O178" s="171" t="s">
        <v>45</v>
      </c>
      <c r="P178" s="187">
        <v>0</v>
      </c>
      <c r="Q178" s="179"/>
      <c r="R178" s="217">
        <v>4.8</v>
      </c>
      <c r="S178" s="218">
        <f t="shared" si="5"/>
        <v>0.96</v>
      </c>
      <c r="T178" s="226">
        <v>36</v>
      </c>
      <c r="U178" s="182">
        <v>36</v>
      </c>
      <c r="V178" s="182">
        <v>0</v>
      </c>
      <c r="W178" s="182">
        <v>0</v>
      </c>
      <c r="X178" s="182">
        <f t="shared" si="3"/>
        <v>36</v>
      </c>
      <c r="Y178" s="171">
        <v>1.5</v>
      </c>
      <c r="Z178" s="171" t="s">
        <v>2780</v>
      </c>
      <c r="AA178" s="175" t="s">
        <v>742</v>
      </c>
    </row>
    <row r="179" spans="1:27" ht="23.25" hidden="1" customHeight="1">
      <c r="A179" s="171" t="s">
        <v>2943</v>
      </c>
      <c r="B179" s="171">
        <v>2020</v>
      </c>
      <c r="C179" s="171"/>
      <c r="D179" s="171" t="s">
        <v>52</v>
      </c>
      <c r="E179" s="171" t="s">
        <v>739</v>
      </c>
      <c r="F179" s="186" t="s">
        <v>744</v>
      </c>
      <c r="G179" s="186"/>
      <c r="H179" s="186"/>
      <c r="I179" s="188" t="s">
        <v>6</v>
      </c>
      <c r="J179" s="175" t="s">
        <v>2965</v>
      </c>
      <c r="K179" s="215" t="s">
        <v>3022</v>
      </c>
      <c r="L179" s="215" t="s">
        <v>745</v>
      </c>
      <c r="M179" s="216">
        <v>44012</v>
      </c>
      <c r="N179" s="216">
        <v>44012</v>
      </c>
      <c r="O179" s="171" t="s">
        <v>45</v>
      </c>
      <c r="P179" s="187">
        <v>0</v>
      </c>
      <c r="Q179" s="179"/>
      <c r="R179" s="217">
        <v>4.8600000000000003</v>
      </c>
      <c r="S179" s="218">
        <f t="shared" si="5"/>
        <v>0.97200000000000009</v>
      </c>
      <c r="T179" s="226">
        <v>42</v>
      </c>
      <c r="U179" s="4">
        <v>84</v>
      </c>
      <c r="V179" s="182">
        <v>0</v>
      </c>
      <c r="W179" s="182">
        <v>0</v>
      </c>
      <c r="X179" s="182">
        <f t="shared" si="3"/>
        <v>84</v>
      </c>
      <c r="Y179" s="171">
        <v>1.5</v>
      </c>
      <c r="Z179" s="171" t="s">
        <v>2780</v>
      </c>
      <c r="AA179" s="175" t="s">
        <v>742</v>
      </c>
    </row>
    <row r="180" spans="1:27" ht="23.25" hidden="1" customHeight="1">
      <c r="A180" s="171" t="s">
        <v>2943</v>
      </c>
      <c r="B180" s="171">
        <v>2020</v>
      </c>
      <c r="C180" s="171"/>
      <c r="D180" s="171" t="s">
        <v>52</v>
      </c>
      <c r="E180" s="171" t="s">
        <v>739</v>
      </c>
      <c r="F180" s="186" t="s">
        <v>747</v>
      </c>
      <c r="G180" s="186"/>
      <c r="H180" s="186"/>
      <c r="I180" s="225" t="s">
        <v>6</v>
      </c>
      <c r="J180" s="210" t="s">
        <v>2965</v>
      </c>
      <c r="K180" s="215" t="s">
        <v>3022</v>
      </c>
      <c r="L180" s="215" t="s">
        <v>748</v>
      </c>
      <c r="M180" s="216">
        <v>44019</v>
      </c>
      <c r="N180" s="216">
        <v>44019</v>
      </c>
      <c r="O180" s="171" t="s">
        <v>45</v>
      </c>
      <c r="P180" s="187">
        <v>0</v>
      </c>
      <c r="Q180" s="179"/>
      <c r="R180" s="217">
        <v>4.76</v>
      </c>
      <c r="S180" s="218">
        <f t="shared" si="5"/>
        <v>0.95199999999999996</v>
      </c>
      <c r="T180" s="226">
        <v>40</v>
      </c>
      <c r="U180" s="182">
        <v>40</v>
      </c>
      <c r="V180" s="182">
        <v>0</v>
      </c>
      <c r="W180" s="182">
        <v>0</v>
      </c>
      <c r="X180" s="182">
        <f t="shared" si="3"/>
        <v>40</v>
      </c>
      <c r="Y180" s="171">
        <v>1.5</v>
      </c>
      <c r="Z180" s="171" t="s">
        <v>2780</v>
      </c>
      <c r="AA180" s="175" t="s">
        <v>749</v>
      </c>
    </row>
    <row r="181" spans="1:27" ht="23.25" hidden="1" customHeight="1">
      <c r="A181" s="171" t="s">
        <v>2943</v>
      </c>
      <c r="B181" s="171">
        <v>2020</v>
      </c>
      <c r="C181" s="171"/>
      <c r="D181" s="171" t="s">
        <v>52</v>
      </c>
      <c r="E181" s="171" t="s">
        <v>739</v>
      </c>
      <c r="F181" s="186" t="s">
        <v>751</v>
      </c>
      <c r="G181" s="186"/>
      <c r="H181" s="186"/>
      <c r="I181" s="225" t="s">
        <v>6</v>
      </c>
      <c r="J181" s="210" t="s">
        <v>2965</v>
      </c>
      <c r="K181" s="215" t="s">
        <v>3022</v>
      </c>
      <c r="L181" s="215" t="s">
        <v>752</v>
      </c>
      <c r="M181" s="216">
        <v>44047</v>
      </c>
      <c r="N181" s="216">
        <v>44047</v>
      </c>
      <c r="O181" s="171" t="s">
        <v>45</v>
      </c>
      <c r="P181" s="187">
        <v>0</v>
      </c>
      <c r="Q181" s="179"/>
      <c r="R181" s="217">
        <v>4.5</v>
      </c>
      <c r="S181" s="218">
        <f t="shared" si="5"/>
        <v>0.9</v>
      </c>
      <c r="T181" s="226">
        <v>40</v>
      </c>
      <c r="U181" s="182">
        <v>40</v>
      </c>
      <c r="V181" s="182">
        <v>0</v>
      </c>
      <c r="W181" s="182">
        <v>0</v>
      </c>
      <c r="X181" s="182">
        <f t="shared" si="3"/>
        <v>40</v>
      </c>
      <c r="Y181" s="171">
        <v>1.5</v>
      </c>
      <c r="Z181" s="171" t="s">
        <v>2780</v>
      </c>
      <c r="AA181" s="175" t="s">
        <v>753</v>
      </c>
    </row>
    <row r="182" spans="1:27" ht="23.25" hidden="1" customHeight="1">
      <c r="A182" s="171" t="s">
        <v>2943</v>
      </c>
      <c r="B182" s="171">
        <v>2020</v>
      </c>
      <c r="C182" s="171"/>
      <c r="D182" s="171" t="s">
        <v>52</v>
      </c>
      <c r="E182" s="171" t="s">
        <v>739</v>
      </c>
      <c r="F182" s="186" t="s">
        <v>755</v>
      </c>
      <c r="G182" s="186"/>
      <c r="H182" s="186"/>
      <c r="I182" s="225" t="s">
        <v>6</v>
      </c>
      <c r="J182" s="210" t="s">
        <v>2965</v>
      </c>
      <c r="K182" s="215" t="s">
        <v>3022</v>
      </c>
      <c r="L182" s="215" t="s">
        <v>756</v>
      </c>
      <c r="M182" s="216">
        <v>44054</v>
      </c>
      <c r="N182" s="216">
        <v>44054</v>
      </c>
      <c r="O182" s="171" t="s">
        <v>45</v>
      </c>
      <c r="P182" s="187">
        <v>0</v>
      </c>
      <c r="Q182" s="179"/>
      <c r="R182" s="217">
        <v>4.9000000000000004</v>
      </c>
      <c r="S182" s="218">
        <f t="shared" si="5"/>
        <v>0.98000000000000009</v>
      </c>
      <c r="T182" s="226">
        <v>44</v>
      </c>
      <c r="U182" s="182">
        <v>44</v>
      </c>
      <c r="V182" s="182">
        <v>0</v>
      </c>
      <c r="W182" s="182">
        <v>0</v>
      </c>
      <c r="X182" s="182">
        <f t="shared" si="3"/>
        <v>44</v>
      </c>
      <c r="Y182" s="171">
        <v>1.5</v>
      </c>
      <c r="Z182" s="171" t="s">
        <v>2780</v>
      </c>
      <c r="AA182" s="175" t="s">
        <v>757</v>
      </c>
    </row>
    <row r="183" spans="1:27" ht="23.25" hidden="1" customHeight="1">
      <c r="A183" s="171" t="s">
        <v>2943</v>
      </c>
      <c r="B183" s="171">
        <v>2020</v>
      </c>
      <c r="C183" s="171"/>
      <c r="D183" s="171" t="s">
        <v>52</v>
      </c>
      <c r="E183" s="171" t="s">
        <v>759</v>
      </c>
      <c r="F183" s="230" t="s">
        <v>760</v>
      </c>
      <c r="G183" s="230"/>
      <c r="H183" s="230"/>
      <c r="I183" s="225" t="s">
        <v>6</v>
      </c>
      <c r="J183" s="210" t="s">
        <v>2965</v>
      </c>
      <c r="K183" s="215" t="s">
        <v>3022</v>
      </c>
      <c r="L183" s="177" t="s">
        <v>3113</v>
      </c>
      <c r="M183" s="216">
        <v>44063</v>
      </c>
      <c r="N183" s="216">
        <v>44078</v>
      </c>
      <c r="O183" s="171" t="s">
        <v>45</v>
      </c>
      <c r="P183" s="187">
        <v>18000</v>
      </c>
      <c r="Q183" s="179"/>
      <c r="R183" s="217">
        <v>4.1500000000000004</v>
      </c>
      <c r="S183" s="218">
        <f t="shared" si="5"/>
        <v>0.83000000000000007</v>
      </c>
      <c r="T183" s="226">
        <v>30</v>
      </c>
      <c r="U183" s="181">
        <v>31</v>
      </c>
      <c r="V183" s="181">
        <v>0</v>
      </c>
      <c r="W183" s="181">
        <v>0</v>
      </c>
      <c r="X183" s="182">
        <f t="shared" si="3"/>
        <v>31</v>
      </c>
      <c r="Y183" s="171">
        <v>24</v>
      </c>
      <c r="Z183" s="171" t="s">
        <v>2780</v>
      </c>
      <c r="AA183" s="175" t="s">
        <v>762</v>
      </c>
    </row>
    <row r="184" spans="1:27" ht="23.25" hidden="1" customHeight="1">
      <c r="A184" s="171" t="s">
        <v>2943</v>
      </c>
      <c r="B184" s="171">
        <v>2020</v>
      </c>
      <c r="C184" s="171"/>
      <c r="D184" s="171" t="s">
        <v>52</v>
      </c>
      <c r="E184" s="171" t="s">
        <v>764</v>
      </c>
      <c r="F184" s="186" t="s">
        <v>3114</v>
      </c>
      <c r="G184" s="186"/>
      <c r="H184" s="186"/>
      <c r="I184" s="225" t="s">
        <v>2946</v>
      </c>
      <c r="J184" s="210" t="s">
        <v>2954</v>
      </c>
      <c r="K184" s="215" t="s">
        <v>3022</v>
      </c>
      <c r="L184" s="215" t="s">
        <v>3115</v>
      </c>
      <c r="M184" s="216">
        <v>44102</v>
      </c>
      <c r="N184" s="216">
        <v>44112</v>
      </c>
      <c r="O184" s="171" t="s">
        <v>41</v>
      </c>
      <c r="P184" s="178">
        <v>6500</v>
      </c>
      <c r="Q184" s="179"/>
      <c r="R184" s="217">
        <v>4.68</v>
      </c>
      <c r="S184" s="218">
        <f t="shared" si="5"/>
        <v>0.93599999999999994</v>
      </c>
      <c r="T184" s="226">
        <v>20</v>
      </c>
      <c r="U184" s="181">
        <v>29</v>
      </c>
      <c r="V184" s="181">
        <v>0</v>
      </c>
      <c r="W184" s="182">
        <v>0</v>
      </c>
      <c r="X184" s="182">
        <f t="shared" si="3"/>
        <v>29</v>
      </c>
      <c r="Y184" s="171">
        <v>15</v>
      </c>
      <c r="Z184" s="171" t="s">
        <v>2780</v>
      </c>
      <c r="AA184" s="190" t="s">
        <v>2953</v>
      </c>
    </row>
    <row r="185" spans="1:27" ht="23.25" hidden="1" customHeight="1">
      <c r="A185" s="171" t="s">
        <v>2943</v>
      </c>
      <c r="B185" s="171">
        <v>2020</v>
      </c>
      <c r="C185" s="171"/>
      <c r="D185" s="171" t="s">
        <v>50</v>
      </c>
      <c r="E185" s="3" t="s">
        <v>3116</v>
      </c>
      <c r="F185" s="230" t="s">
        <v>3117</v>
      </c>
      <c r="G185" s="230"/>
      <c r="H185" s="230"/>
      <c r="I185" s="225" t="s">
        <v>33</v>
      </c>
      <c r="J185" s="210" t="s">
        <v>2976</v>
      </c>
      <c r="K185" s="176"/>
      <c r="L185" s="177" t="s">
        <v>3118</v>
      </c>
      <c r="M185" s="1">
        <v>44117</v>
      </c>
      <c r="N185" s="1">
        <v>44120</v>
      </c>
      <c r="O185" s="171" t="s">
        <v>45</v>
      </c>
      <c r="P185" s="178">
        <v>5980</v>
      </c>
      <c r="Q185" s="179"/>
      <c r="R185" s="180"/>
      <c r="S185" s="180"/>
      <c r="T185" s="180">
        <v>30</v>
      </c>
      <c r="U185" s="181"/>
      <c r="V185" s="181"/>
      <c r="W185" s="181"/>
      <c r="X185" s="181">
        <f t="shared" si="3"/>
        <v>0</v>
      </c>
      <c r="Y185" s="3">
        <v>16</v>
      </c>
      <c r="Z185" s="3" t="s">
        <v>3052</v>
      </c>
      <c r="AA185" s="2" t="s">
        <v>3119</v>
      </c>
    </row>
    <row r="186" spans="1:27" ht="23.25" hidden="1" customHeight="1">
      <c r="A186" s="171" t="s">
        <v>2943</v>
      </c>
      <c r="B186" s="171">
        <v>2020</v>
      </c>
      <c r="C186" s="171"/>
      <c r="D186" s="171" t="s">
        <v>50</v>
      </c>
      <c r="E186" s="171" t="s">
        <v>712</v>
      </c>
      <c r="F186" s="186" t="s">
        <v>3120</v>
      </c>
      <c r="G186" s="186"/>
      <c r="H186" s="186"/>
      <c r="I186" s="225" t="s">
        <v>2946</v>
      </c>
      <c r="J186" s="210" t="s">
        <v>2947</v>
      </c>
      <c r="K186" s="227"/>
      <c r="L186" s="215" t="s">
        <v>3121</v>
      </c>
      <c r="M186" s="1">
        <v>44123</v>
      </c>
      <c r="N186" s="1">
        <v>44126</v>
      </c>
      <c r="O186" s="171" t="s">
        <v>41</v>
      </c>
      <c r="Q186" s="179"/>
      <c r="R186" s="180"/>
      <c r="S186" s="226"/>
      <c r="T186" s="226">
        <v>20</v>
      </c>
      <c r="U186" s="181"/>
      <c r="V186" s="181"/>
      <c r="W186" s="182"/>
      <c r="X186" s="181">
        <f t="shared" si="3"/>
        <v>0</v>
      </c>
      <c r="Y186" s="171">
        <v>12</v>
      </c>
      <c r="Z186" s="171" t="s">
        <v>2780</v>
      </c>
      <c r="AA186" s="196" t="s">
        <v>2964</v>
      </c>
    </row>
    <row r="187" spans="1:27" ht="23.25" hidden="1" customHeight="1">
      <c r="A187" s="171" t="s">
        <v>2943</v>
      </c>
      <c r="B187" s="171">
        <v>2020</v>
      </c>
      <c r="C187" s="171"/>
      <c r="D187" s="171" t="s">
        <v>50</v>
      </c>
      <c r="E187" s="3" t="s">
        <v>3116</v>
      </c>
      <c r="F187" s="230" t="s">
        <v>3122</v>
      </c>
      <c r="G187" s="230"/>
      <c r="H187" s="230"/>
      <c r="I187" s="225" t="s">
        <v>33</v>
      </c>
      <c r="J187" s="210" t="s">
        <v>2976</v>
      </c>
      <c r="K187" s="176"/>
      <c r="L187" s="177" t="s">
        <v>3123</v>
      </c>
      <c r="M187" s="1">
        <v>44138</v>
      </c>
      <c r="N187" s="1">
        <v>44146</v>
      </c>
      <c r="O187" s="171" t="s">
        <v>45</v>
      </c>
      <c r="P187" s="178">
        <v>5980</v>
      </c>
      <c r="Q187" s="179"/>
      <c r="R187" s="180"/>
      <c r="S187" s="180"/>
      <c r="T187" s="180">
        <v>30</v>
      </c>
      <c r="U187" s="181"/>
      <c r="V187" s="181"/>
      <c r="W187" s="181"/>
      <c r="X187" s="181">
        <f t="shared" si="3"/>
        <v>0</v>
      </c>
      <c r="Y187" s="3">
        <v>16</v>
      </c>
      <c r="Z187" s="3" t="s">
        <v>3052</v>
      </c>
      <c r="AA187" s="2" t="s">
        <v>3119</v>
      </c>
    </row>
    <row r="188" spans="1:27" ht="23.25" hidden="1" customHeight="1">
      <c r="A188" s="171" t="s">
        <v>2943</v>
      </c>
      <c r="B188" s="171">
        <v>2020</v>
      </c>
      <c r="C188" s="171"/>
      <c r="D188" s="171" t="s">
        <v>50</v>
      </c>
      <c r="E188" s="3" t="s">
        <v>3124</v>
      </c>
      <c r="F188" s="230" t="s">
        <v>3125</v>
      </c>
      <c r="G188" s="230"/>
      <c r="H188" s="230"/>
      <c r="I188" s="225" t="s">
        <v>2946</v>
      </c>
      <c r="J188" s="210" t="s">
        <v>2976</v>
      </c>
      <c r="K188" s="176"/>
      <c r="L188" s="177" t="s">
        <v>3126</v>
      </c>
      <c r="M188" s="1">
        <v>44140</v>
      </c>
      <c r="N188" s="1">
        <v>44148</v>
      </c>
      <c r="O188" s="171" t="s">
        <v>45</v>
      </c>
      <c r="P188" s="178">
        <v>5490</v>
      </c>
      <c r="Q188" s="179"/>
      <c r="R188" s="180"/>
      <c r="S188" s="180"/>
      <c r="T188" s="180">
        <v>30</v>
      </c>
      <c r="U188" s="181"/>
      <c r="V188" s="181"/>
      <c r="W188" s="181"/>
      <c r="X188" s="181">
        <f t="shared" si="3"/>
        <v>0</v>
      </c>
      <c r="Y188" s="3">
        <v>12</v>
      </c>
      <c r="Z188" s="3" t="s">
        <v>2780</v>
      </c>
      <c r="AA188" s="2" t="s">
        <v>3119</v>
      </c>
    </row>
    <row r="189" spans="1:27" ht="23.25" hidden="1" customHeight="1">
      <c r="A189" s="171" t="s">
        <v>2943</v>
      </c>
      <c r="B189" s="171">
        <v>2020</v>
      </c>
      <c r="C189" s="171"/>
      <c r="D189" s="171" t="s">
        <v>50</v>
      </c>
      <c r="E189" s="171" t="s">
        <v>3127</v>
      </c>
      <c r="F189" s="186" t="s">
        <v>1250</v>
      </c>
      <c r="G189" s="186"/>
      <c r="H189" s="186"/>
      <c r="I189" s="225" t="s">
        <v>6</v>
      </c>
      <c r="J189" s="210" t="s">
        <v>2944</v>
      </c>
      <c r="K189" s="227"/>
      <c r="L189" s="215" t="s">
        <v>3128</v>
      </c>
      <c r="M189" s="1">
        <v>44151</v>
      </c>
      <c r="N189" s="1">
        <v>44154</v>
      </c>
      <c r="O189" s="171" t="s">
        <v>41</v>
      </c>
      <c r="Q189" s="179"/>
      <c r="R189" s="180"/>
      <c r="S189" s="226"/>
      <c r="T189" s="226">
        <v>20</v>
      </c>
      <c r="U189" s="181"/>
      <c r="V189" s="181"/>
      <c r="W189" s="182"/>
      <c r="X189" s="181">
        <f t="shared" si="3"/>
        <v>0</v>
      </c>
      <c r="Y189" s="171">
        <v>12</v>
      </c>
      <c r="Z189" s="171" t="s">
        <v>3043</v>
      </c>
      <c r="AA189" s="194" t="s">
        <v>569</v>
      </c>
    </row>
    <row r="190" spans="1:27" ht="23.25" hidden="1" customHeight="1">
      <c r="A190" s="171" t="s">
        <v>2943</v>
      </c>
      <c r="B190" s="171">
        <v>2020</v>
      </c>
      <c r="C190" s="171"/>
      <c r="D190" s="171" t="s">
        <v>52</v>
      </c>
      <c r="E190" s="3" t="s">
        <v>768</v>
      </c>
      <c r="F190" s="230" t="s">
        <v>769</v>
      </c>
      <c r="G190" s="230"/>
      <c r="H190" s="230"/>
      <c r="I190" s="225" t="s">
        <v>48</v>
      </c>
      <c r="J190" s="210" t="s">
        <v>2965</v>
      </c>
      <c r="K190" s="177" t="s">
        <v>3041</v>
      </c>
      <c r="L190" s="177" t="s">
        <v>3129</v>
      </c>
      <c r="M190" s="1">
        <v>44158</v>
      </c>
      <c r="N190" s="1">
        <v>44162</v>
      </c>
      <c r="O190" s="171" t="s">
        <v>45</v>
      </c>
      <c r="P190" s="178">
        <v>0</v>
      </c>
      <c r="Q190" s="179"/>
      <c r="R190" s="217">
        <v>4.9000000000000004</v>
      </c>
      <c r="S190" s="218">
        <f t="shared" ref="S190:S209" si="6">R190/5</f>
        <v>0.98000000000000009</v>
      </c>
      <c r="T190" s="180">
        <v>100</v>
      </c>
      <c r="U190" s="181">
        <v>22</v>
      </c>
      <c r="V190" s="181">
        <v>0</v>
      </c>
      <c r="W190" s="181">
        <v>97</v>
      </c>
      <c r="X190" s="182">
        <f t="shared" si="3"/>
        <v>119</v>
      </c>
      <c r="Y190" s="3">
        <v>10</v>
      </c>
      <c r="Z190" s="3" t="s">
        <v>2784</v>
      </c>
      <c r="AA190" s="2" t="s">
        <v>492</v>
      </c>
    </row>
    <row r="191" spans="1:27" ht="23.25" hidden="1" customHeight="1">
      <c r="A191" s="171" t="s">
        <v>2943</v>
      </c>
      <c r="B191" s="171">
        <v>2021</v>
      </c>
      <c r="C191" s="171"/>
      <c r="D191" s="3" t="s">
        <v>52</v>
      </c>
      <c r="E191" s="3" t="s">
        <v>772</v>
      </c>
      <c r="F191" s="230" t="s">
        <v>773</v>
      </c>
      <c r="G191" s="230"/>
      <c r="H191" s="230"/>
      <c r="I191" s="225" t="s">
        <v>51</v>
      </c>
      <c r="J191" s="210" t="s">
        <v>2944</v>
      </c>
      <c r="K191" s="177" t="s">
        <v>51</v>
      </c>
      <c r="L191" s="177" t="s">
        <v>3130</v>
      </c>
      <c r="M191" s="1">
        <v>44229</v>
      </c>
      <c r="N191" s="1">
        <v>44229</v>
      </c>
      <c r="O191" s="3" t="s">
        <v>41</v>
      </c>
      <c r="P191" s="178">
        <f>1577.18/4</f>
        <v>394.29500000000002</v>
      </c>
      <c r="Q191" s="179"/>
      <c r="R191" s="217">
        <v>4.9000000000000004</v>
      </c>
      <c r="S191" s="218">
        <f t="shared" si="6"/>
        <v>0.98000000000000009</v>
      </c>
      <c r="T191" s="180">
        <v>122</v>
      </c>
      <c r="U191" s="181">
        <v>55</v>
      </c>
      <c r="V191" s="181">
        <v>67</v>
      </c>
      <c r="W191" s="181">
        <v>0</v>
      </c>
      <c r="X191" s="182">
        <f t="shared" si="3"/>
        <v>122</v>
      </c>
      <c r="Y191" s="3">
        <v>1</v>
      </c>
      <c r="Z191" s="3" t="s">
        <v>2780</v>
      </c>
      <c r="AA191" s="189" t="s">
        <v>3131</v>
      </c>
    </row>
    <row r="192" spans="1:27" ht="23.25" hidden="1" customHeight="1">
      <c r="A192" s="171" t="s">
        <v>2943</v>
      </c>
      <c r="B192" s="171">
        <v>2021</v>
      </c>
      <c r="C192" s="171"/>
      <c r="D192" s="3" t="s">
        <v>52</v>
      </c>
      <c r="E192" s="3" t="s">
        <v>772</v>
      </c>
      <c r="F192" s="230" t="s">
        <v>777</v>
      </c>
      <c r="G192" s="230"/>
      <c r="H192" s="230"/>
      <c r="I192" s="225" t="s">
        <v>51</v>
      </c>
      <c r="J192" s="210" t="s">
        <v>2944</v>
      </c>
      <c r="K192" s="177" t="s">
        <v>51</v>
      </c>
      <c r="L192" s="177" t="s">
        <v>3130</v>
      </c>
      <c r="M192" s="1">
        <v>44236</v>
      </c>
      <c r="N192" s="1">
        <v>44236</v>
      </c>
      <c r="O192" s="3" t="s">
        <v>41</v>
      </c>
      <c r="P192" s="178">
        <f>1577.18/4</f>
        <v>394.29500000000002</v>
      </c>
      <c r="Q192" s="179"/>
      <c r="R192" s="217">
        <v>4.9000000000000004</v>
      </c>
      <c r="S192" s="218">
        <f t="shared" si="6"/>
        <v>0.98000000000000009</v>
      </c>
      <c r="T192" s="180">
        <v>116</v>
      </c>
      <c r="U192" s="181">
        <v>54</v>
      </c>
      <c r="V192" s="181">
        <v>62</v>
      </c>
      <c r="W192" s="181">
        <v>0</v>
      </c>
      <c r="X192" s="182">
        <f t="shared" si="3"/>
        <v>116</v>
      </c>
      <c r="Y192" s="3">
        <v>1</v>
      </c>
      <c r="Z192" s="3" t="s">
        <v>2780</v>
      </c>
      <c r="AA192" s="189" t="s">
        <v>3131</v>
      </c>
    </row>
    <row r="193" spans="1:27" ht="23.25" hidden="1" customHeight="1">
      <c r="A193" s="171" t="s">
        <v>2943</v>
      </c>
      <c r="B193" s="171">
        <v>2021</v>
      </c>
      <c r="C193" s="171"/>
      <c r="D193" s="3" t="s">
        <v>52</v>
      </c>
      <c r="E193" s="3" t="s">
        <v>772</v>
      </c>
      <c r="F193" s="230" t="s">
        <v>780</v>
      </c>
      <c r="G193" s="230"/>
      <c r="H193" s="230"/>
      <c r="I193" s="225" t="s">
        <v>51</v>
      </c>
      <c r="J193" s="210" t="s">
        <v>2944</v>
      </c>
      <c r="K193" s="177" t="s">
        <v>51</v>
      </c>
      <c r="L193" s="177" t="s">
        <v>3130</v>
      </c>
      <c r="M193" s="1">
        <v>44250</v>
      </c>
      <c r="N193" s="1">
        <v>44250</v>
      </c>
      <c r="O193" s="3" t="s">
        <v>41</v>
      </c>
      <c r="P193" s="178">
        <f>1577.18/4</f>
        <v>394.29500000000002</v>
      </c>
      <c r="Q193" s="179"/>
      <c r="R193" s="217">
        <v>4.9000000000000004</v>
      </c>
      <c r="S193" s="218">
        <f t="shared" si="6"/>
        <v>0.98000000000000009</v>
      </c>
      <c r="T193" s="180">
        <v>83</v>
      </c>
      <c r="U193" s="181">
        <v>48</v>
      </c>
      <c r="V193" s="181">
        <v>35</v>
      </c>
      <c r="W193" s="181">
        <v>0</v>
      </c>
      <c r="X193" s="182">
        <f t="shared" si="3"/>
        <v>83</v>
      </c>
      <c r="Y193" s="3">
        <v>1</v>
      </c>
      <c r="Z193" s="3" t="s">
        <v>2780</v>
      </c>
      <c r="AA193" s="189" t="s">
        <v>3131</v>
      </c>
    </row>
    <row r="194" spans="1:27" ht="23.25" hidden="1" customHeight="1">
      <c r="A194" s="171" t="s">
        <v>2943</v>
      </c>
      <c r="B194" s="171">
        <v>2021</v>
      </c>
      <c r="C194" s="171"/>
      <c r="D194" s="3" t="s">
        <v>52</v>
      </c>
      <c r="E194" s="3" t="s">
        <v>772</v>
      </c>
      <c r="F194" s="230" t="s">
        <v>783</v>
      </c>
      <c r="G194" s="230"/>
      <c r="H194" s="230"/>
      <c r="I194" s="225" t="s">
        <v>51</v>
      </c>
      <c r="J194" s="210" t="s">
        <v>2944</v>
      </c>
      <c r="K194" s="177" t="s">
        <v>51</v>
      </c>
      <c r="L194" s="177" t="s">
        <v>3130</v>
      </c>
      <c r="M194" s="1">
        <v>44257</v>
      </c>
      <c r="N194" s="1">
        <v>44257</v>
      </c>
      <c r="O194" s="3" t="s">
        <v>41</v>
      </c>
      <c r="P194" s="178">
        <v>1577.18</v>
      </c>
      <c r="Q194" s="179"/>
      <c r="R194" s="217">
        <v>4.7</v>
      </c>
      <c r="S194" s="218">
        <f t="shared" si="6"/>
        <v>0.94000000000000006</v>
      </c>
      <c r="T194" s="180">
        <v>69</v>
      </c>
      <c r="U194" s="181">
        <v>47</v>
      </c>
      <c r="V194" s="181">
        <v>22</v>
      </c>
      <c r="W194" s="181">
        <v>0</v>
      </c>
      <c r="X194" s="182">
        <f t="shared" ref="X194:X257" si="7">SUM(U194:W194)</f>
        <v>69</v>
      </c>
      <c r="Y194" s="3">
        <v>1</v>
      </c>
      <c r="Z194" s="3" t="s">
        <v>2780</v>
      </c>
      <c r="AA194" s="189" t="s">
        <v>3131</v>
      </c>
    </row>
    <row r="195" spans="1:27" ht="23.25" hidden="1" customHeight="1">
      <c r="A195" s="171" t="s">
        <v>2943</v>
      </c>
      <c r="B195" s="171">
        <v>2021</v>
      </c>
      <c r="C195" s="171"/>
      <c r="D195" s="3" t="s">
        <v>52</v>
      </c>
      <c r="E195" s="3" t="s">
        <v>786</v>
      </c>
      <c r="F195" s="186" t="s">
        <v>787</v>
      </c>
      <c r="G195" s="186"/>
      <c r="H195" s="186"/>
      <c r="I195" s="225" t="s">
        <v>6</v>
      </c>
      <c r="J195" s="210" t="s">
        <v>2965</v>
      </c>
      <c r="K195" s="177" t="s">
        <v>3022</v>
      </c>
      <c r="L195" s="177" t="s">
        <v>788</v>
      </c>
      <c r="M195" s="1">
        <v>44259</v>
      </c>
      <c r="N195" s="1">
        <v>44260</v>
      </c>
      <c r="O195" s="3" t="s">
        <v>41</v>
      </c>
      <c r="P195" s="178">
        <v>813.65</v>
      </c>
      <c r="Q195" s="179"/>
      <c r="R195" s="217">
        <v>4.9000000000000004</v>
      </c>
      <c r="S195" s="218">
        <f t="shared" si="6"/>
        <v>0.98000000000000009</v>
      </c>
      <c r="T195" s="180">
        <v>48</v>
      </c>
      <c r="U195" s="181">
        <v>48</v>
      </c>
      <c r="V195" s="181">
        <v>0</v>
      </c>
      <c r="W195" s="181">
        <v>0</v>
      </c>
      <c r="X195" s="182">
        <f t="shared" si="7"/>
        <v>48</v>
      </c>
      <c r="Y195" s="3">
        <v>2.5</v>
      </c>
      <c r="Z195" s="3" t="s">
        <v>2784</v>
      </c>
      <c r="AA195" s="189" t="s">
        <v>3132</v>
      </c>
    </row>
    <row r="196" spans="1:27" ht="23.25" hidden="1" customHeight="1">
      <c r="A196" s="171" t="s">
        <v>2943</v>
      </c>
      <c r="B196" s="171">
        <v>2021</v>
      </c>
      <c r="C196" s="171"/>
      <c r="D196" s="3" t="s">
        <v>52</v>
      </c>
      <c r="E196" s="3" t="s">
        <v>685</v>
      </c>
      <c r="F196" s="186" t="s">
        <v>791</v>
      </c>
      <c r="G196" s="186"/>
      <c r="H196" s="186"/>
      <c r="I196" s="174" t="s">
        <v>33</v>
      </c>
      <c r="J196" s="2" t="s">
        <v>3053</v>
      </c>
      <c r="K196" s="177" t="s">
        <v>3022</v>
      </c>
      <c r="L196" s="177" t="s">
        <v>792</v>
      </c>
      <c r="M196" s="1">
        <v>44265</v>
      </c>
      <c r="N196" s="1">
        <v>44265</v>
      </c>
      <c r="O196" s="171" t="s">
        <v>45</v>
      </c>
      <c r="P196" s="178">
        <v>0</v>
      </c>
      <c r="Q196" s="179"/>
      <c r="R196" s="217">
        <v>4.9000000000000004</v>
      </c>
      <c r="S196" s="218">
        <f t="shared" si="6"/>
        <v>0.98000000000000009</v>
      </c>
      <c r="T196" s="180">
        <v>19</v>
      </c>
      <c r="U196" s="181">
        <v>19</v>
      </c>
      <c r="V196" s="181">
        <v>0</v>
      </c>
      <c r="W196" s="181">
        <v>0</v>
      </c>
      <c r="X196" s="182">
        <f t="shared" si="7"/>
        <v>19</v>
      </c>
      <c r="Y196" s="3">
        <v>1.5</v>
      </c>
      <c r="Z196" s="3" t="s">
        <v>2780</v>
      </c>
      <c r="AA196" s="231" t="s">
        <v>793</v>
      </c>
    </row>
    <row r="197" spans="1:27" ht="23.25" hidden="1" customHeight="1">
      <c r="A197" s="171" t="s">
        <v>2943</v>
      </c>
      <c r="B197" s="171">
        <v>2021</v>
      </c>
      <c r="C197" s="171"/>
      <c r="D197" s="3" t="s">
        <v>52</v>
      </c>
      <c r="E197" s="3" t="s">
        <v>795</v>
      </c>
      <c r="F197" s="173" t="s">
        <v>796</v>
      </c>
      <c r="G197" s="173"/>
      <c r="H197" s="173"/>
      <c r="I197" s="174" t="s">
        <v>48</v>
      </c>
      <c r="J197" s="2" t="s">
        <v>2952</v>
      </c>
      <c r="K197" s="177" t="s">
        <v>3041</v>
      </c>
      <c r="L197" s="177" t="s">
        <v>797</v>
      </c>
      <c r="M197" s="1">
        <v>44280</v>
      </c>
      <c r="N197" s="1">
        <v>44280</v>
      </c>
      <c r="O197" s="3" t="s">
        <v>41</v>
      </c>
      <c r="P197" s="178">
        <v>600</v>
      </c>
      <c r="Q197" s="179"/>
      <c r="R197" s="217">
        <v>5</v>
      </c>
      <c r="S197" s="218">
        <f t="shared" si="6"/>
        <v>1</v>
      </c>
      <c r="T197" s="180">
        <v>73</v>
      </c>
      <c r="U197" s="181">
        <v>0</v>
      </c>
      <c r="V197" s="181">
        <v>0</v>
      </c>
      <c r="W197" s="181">
        <v>73</v>
      </c>
      <c r="X197" s="182">
        <f t="shared" si="7"/>
        <v>73</v>
      </c>
      <c r="Y197" s="3">
        <v>1.5</v>
      </c>
      <c r="Z197" s="3" t="s">
        <v>2780</v>
      </c>
      <c r="AA197" s="189" t="s">
        <v>2955</v>
      </c>
    </row>
    <row r="198" spans="1:27" ht="23.25" hidden="1" customHeight="1">
      <c r="A198" s="171" t="s">
        <v>2943</v>
      </c>
      <c r="B198" s="171">
        <v>2021</v>
      </c>
      <c r="C198" s="171"/>
      <c r="D198" s="3" t="s">
        <v>52</v>
      </c>
      <c r="E198" s="3" t="s">
        <v>799</v>
      </c>
      <c r="F198" s="173" t="s">
        <v>800</v>
      </c>
      <c r="G198" s="173"/>
      <c r="H198" s="173"/>
      <c r="I198" s="174" t="s">
        <v>33</v>
      </c>
      <c r="J198" s="2" t="s">
        <v>3029</v>
      </c>
      <c r="K198" s="177" t="s">
        <v>3022</v>
      </c>
      <c r="L198" s="177" t="s">
        <v>801</v>
      </c>
      <c r="M198" s="1">
        <v>44285</v>
      </c>
      <c r="N198" s="1">
        <v>44286</v>
      </c>
      <c r="O198" s="3" t="s">
        <v>41</v>
      </c>
      <c r="P198" s="178">
        <v>0</v>
      </c>
      <c r="Q198" s="179"/>
      <c r="R198" s="217">
        <v>4.5999999999999996</v>
      </c>
      <c r="S198" s="218">
        <f t="shared" si="6"/>
        <v>0.91999999999999993</v>
      </c>
      <c r="T198" s="180">
        <v>94</v>
      </c>
      <c r="U198" s="181">
        <v>94</v>
      </c>
      <c r="V198" s="181">
        <v>0</v>
      </c>
      <c r="W198" s="181">
        <v>0</v>
      </c>
      <c r="X198" s="182">
        <f t="shared" si="7"/>
        <v>94</v>
      </c>
      <c r="Y198" s="3">
        <v>1</v>
      </c>
      <c r="Z198" s="3" t="s">
        <v>2780</v>
      </c>
      <c r="AA198" s="189" t="s">
        <v>3133</v>
      </c>
    </row>
    <row r="199" spans="1:27" ht="23.25" hidden="1" customHeight="1">
      <c r="A199" s="171" t="s">
        <v>2943</v>
      </c>
      <c r="B199" s="171">
        <v>2021</v>
      </c>
      <c r="C199" s="171"/>
      <c r="D199" s="3" t="s">
        <v>52</v>
      </c>
      <c r="E199" s="3" t="s">
        <v>804</v>
      </c>
      <c r="F199" s="173" t="s">
        <v>390</v>
      </c>
      <c r="G199" s="173"/>
      <c r="H199" s="173"/>
      <c r="I199" s="174" t="s">
        <v>6</v>
      </c>
      <c r="J199" s="2" t="s">
        <v>3006</v>
      </c>
      <c r="K199" s="177" t="s">
        <v>3022</v>
      </c>
      <c r="L199" s="177" t="s">
        <v>3134</v>
      </c>
      <c r="M199" s="1">
        <v>44298</v>
      </c>
      <c r="N199" s="1">
        <v>44308</v>
      </c>
      <c r="O199" s="3" t="s">
        <v>41</v>
      </c>
      <c r="P199" s="178">
        <v>7885.9</v>
      </c>
      <c r="Q199" s="179"/>
      <c r="R199" s="217">
        <v>4.3</v>
      </c>
      <c r="S199" s="218">
        <f t="shared" si="6"/>
        <v>0.86</v>
      </c>
      <c r="T199" s="180">
        <v>42</v>
      </c>
      <c r="U199" s="181">
        <v>42</v>
      </c>
      <c r="V199" s="181">
        <v>0</v>
      </c>
      <c r="W199" s="181">
        <v>0</v>
      </c>
      <c r="X199" s="182">
        <f t="shared" si="7"/>
        <v>42</v>
      </c>
      <c r="Y199" s="3">
        <v>20</v>
      </c>
      <c r="Z199" s="3" t="s">
        <v>3052</v>
      </c>
      <c r="AA199" s="189" t="s">
        <v>3135</v>
      </c>
    </row>
    <row r="200" spans="1:27" ht="23.25" hidden="1" customHeight="1">
      <c r="A200" s="171" t="s">
        <v>2943</v>
      </c>
      <c r="B200" s="171">
        <v>2021</v>
      </c>
      <c r="C200" s="171"/>
      <c r="D200" s="3" t="s">
        <v>52</v>
      </c>
      <c r="E200" s="3" t="s">
        <v>807</v>
      </c>
      <c r="F200" s="173" t="s">
        <v>808</v>
      </c>
      <c r="G200" s="173"/>
      <c r="H200" s="173"/>
      <c r="I200" s="174" t="s">
        <v>33</v>
      </c>
      <c r="J200" s="2" t="s">
        <v>2976</v>
      </c>
      <c r="K200" s="177" t="s">
        <v>3022</v>
      </c>
      <c r="L200" s="177" t="s">
        <v>809</v>
      </c>
      <c r="M200" s="1">
        <v>44298</v>
      </c>
      <c r="N200" s="1">
        <v>44302</v>
      </c>
      <c r="O200" s="171" t="s">
        <v>45</v>
      </c>
      <c r="P200" s="178">
        <v>5980</v>
      </c>
      <c r="Q200" s="179"/>
      <c r="R200" s="217">
        <v>4.5999999999999996</v>
      </c>
      <c r="S200" s="218">
        <f t="shared" si="6"/>
        <v>0.91999999999999993</v>
      </c>
      <c r="T200" s="180">
        <v>30</v>
      </c>
      <c r="U200" s="181">
        <v>32</v>
      </c>
      <c r="V200" s="181">
        <v>0</v>
      </c>
      <c r="W200" s="181">
        <v>0</v>
      </c>
      <c r="X200" s="182">
        <f t="shared" si="7"/>
        <v>32</v>
      </c>
      <c r="Y200" s="3">
        <v>15</v>
      </c>
      <c r="Z200" s="3" t="s">
        <v>3052</v>
      </c>
      <c r="AA200" s="2" t="s">
        <v>3136</v>
      </c>
    </row>
    <row r="201" spans="1:27" ht="23.25" hidden="1" customHeight="1">
      <c r="A201" s="171" t="s">
        <v>2943</v>
      </c>
      <c r="B201" s="171">
        <v>2021</v>
      </c>
      <c r="C201" s="171"/>
      <c r="D201" s="3" t="s">
        <v>52</v>
      </c>
      <c r="E201" s="3" t="s">
        <v>812</v>
      </c>
      <c r="F201" s="173" t="s">
        <v>813</v>
      </c>
      <c r="G201" s="173"/>
      <c r="H201" s="173"/>
      <c r="I201" s="174" t="s">
        <v>33</v>
      </c>
      <c r="J201" s="2" t="s">
        <v>2965</v>
      </c>
      <c r="K201" s="177" t="s">
        <v>3022</v>
      </c>
      <c r="L201" s="177" t="s">
        <v>814</v>
      </c>
      <c r="M201" s="1">
        <v>44312</v>
      </c>
      <c r="N201" s="1">
        <v>44316</v>
      </c>
      <c r="O201" s="3" t="s">
        <v>41</v>
      </c>
      <c r="P201" s="178">
        <v>5384.72</v>
      </c>
      <c r="Q201" s="179"/>
      <c r="R201" s="217">
        <v>4.5999999999999996</v>
      </c>
      <c r="S201" s="218">
        <f t="shared" si="6"/>
        <v>0.91999999999999993</v>
      </c>
      <c r="T201" s="180">
        <v>20</v>
      </c>
      <c r="U201" s="181">
        <v>12</v>
      </c>
      <c r="V201" s="181">
        <v>10</v>
      </c>
      <c r="W201" s="181">
        <v>0</v>
      </c>
      <c r="X201" s="182">
        <f t="shared" si="7"/>
        <v>22</v>
      </c>
      <c r="Y201" s="3">
        <v>12</v>
      </c>
      <c r="Z201" s="3" t="s">
        <v>3052</v>
      </c>
      <c r="AA201" s="189" t="s">
        <v>569</v>
      </c>
    </row>
    <row r="202" spans="1:27" ht="23.25" hidden="1" customHeight="1">
      <c r="A202" s="171" t="s">
        <v>2943</v>
      </c>
      <c r="B202" s="171">
        <v>2021</v>
      </c>
      <c r="C202" s="171"/>
      <c r="D202" s="3" t="s">
        <v>52</v>
      </c>
      <c r="E202" s="3" t="s">
        <v>816</v>
      </c>
      <c r="F202" s="173" t="s">
        <v>817</v>
      </c>
      <c r="G202" s="173"/>
      <c r="H202" s="173"/>
      <c r="I202" s="174" t="s">
        <v>44</v>
      </c>
      <c r="J202" s="2" t="s">
        <v>2952</v>
      </c>
      <c r="K202" s="177" t="s">
        <v>3041</v>
      </c>
      <c r="L202" s="177" t="s">
        <v>3137</v>
      </c>
      <c r="M202" s="1">
        <v>44313</v>
      </c>
      <c r="N202" s="1">
        <v>44322</v>
      </c>
      <c r="O202" s="3" t="s">
        <v>41</v>
      </c>
      <c r="P202" s="178">
        <f>435.64+3285.26</f>
        <v>3720.9</v>
      </c>
      <c r="Q202" s="179"/>
      <c r="R202" s="217">
        <v>4.5</v>
      </c>
      <c r="S202" s="218">
        <f t="shared" si="6"/>
        <v>0.9</v>
      </c>
      <c r="T202" s="180">
        <v>590</v>
      </c>
      <c r="U202" s="181">
        <v>0</v>
      </c>
      <c r="V202" s="181">
        <v>590</v>
      </c>
      <c r="W202" s="181">
        <v>0</v>
      </c>
      <c r="X202" s="182">
        <f t="shared" si="7"/>
        <v>590</v>
      </c>
      <c r="Y202" s="3">
        <v>20</v>
      </c>
      <c r="Z202" s="3" t="s">
        <v>2780</v>
      </c>
      <c r="AA202" s="207" t="s">
        <v>819</v>
      </c>
    </row>
    <row r="203" spans="1:27" ht="23.25" hidden="1" customHeight="1">
      <c r="A203" s="171" t="s">
        <v>2943</v>
      </c>
      <c r="B203" s="171">
        <v>2021</v>
      </c>
      <c r="C203" s="171"/>
      <c r="D203" s="3" t="s">
        <v>52</v>
      </c>
      <c r="E203" s="3" t="s">
        <v>821</v>
      </c>
      <c r="F203" s="186" t="s">
        <v>673</v>
      </c>
      <c r="G203" s="186"/>
      <c r="H203" s="186"/>
      <c r="I203" s="188" t="s">
        <v>2946</v>
      </c>
      <c r="J203" s="175" t="s">
        <v>2965</v>
      </c>
      <c r="K203" s="177" t="s">
        <v>3022</v>
      </c>
      <c r="L203" s="177" t="s">
        <v>3138</v>
      </c>
      <c r="M203" s="1">
        <v>44319</v>
      </c>
      <c r="N203" s="1">
        <v>44344</v>
      </c>
      <c r="O203" s="3" t="s">
        <v>41</v>
      </c>
      <c r="P203" s="178">
        <f>394*20</f>
        <v>7880</v>
      </c>
      <c r="Q203" s="179"/>
      <c r="R203" s="217">
        <v>4.7</v>
      </c>
      <c r="S203" s="218">
        <f t="shared" si="6"/>
        <v>0.94000000000000006</v>
      </c>
      <c r="T203" s="180">
        <v>40</v>
      </c>
      <c r="U203" s="181">
        <v>41</v>
      </c>
      <c r="V203" s="181">
        <v>0</v>
      </c>
      <c r="W203" s="181">
        <v>0</v>
      </c>
      <c r="X203" s="182">
        <f t="shared" si="7"/>
        <v>41</v>
      </c>
      <c r="Y203" s="3">
        <v>20</v>
      </c>
      <c r="Z203" s="3" t="s">
        <v>2780</v>
      </c>
      <c r="AA203" s="189" t="s">
        <v>3139</v>
      </c>
    </row>
    <row r="204" spans="1:27" ht="23.25" hidden="1" customHeight="1">
      <c r="A204" s="171" t="s">
        <v>2943</v>
      </c>
      <c r="B204" s="171">
        <v>2021</v>
      </c>
      <c r="C204" s="171"/>
      <c r="D204" s="171" t="s">
        <v>50</v>
      </c>
      <c r="E204" s="3" t="s">
        <v>3140</v>
      </c>
      <c r="F204" s="186" t="s">
        <v>562</v>
      </c>
      <c r="G204" s="186"/>
      <c r="H204" s="186"/>
      <c r="I204" s="174" t="s">
        <v>33</v>
      </c>
      <c r="J204" s="2" t="s">
        <v>2944</v>
      </c>
      <c r="K204" s="177" t="s">
        <v>3022</v>
      </c>
      <c r="L204" s="177" t="s">
        <v>3141</v>
      </c>
      <c r="M204" s="1">
        <v>44322</v>
      </c>
      <c r="N204" s="1">
        <v>44323</v>
      </c>
      <c r="O204" s="3" t="s">
        <v>41</v>
      </c>
      <c r="Q204" s="179"/>
      <c r="R204" s="180"/>
      <c r="S204" s="218">
        <f t="shared" si="6"/>
        <v>0</v>
      </c>
      <c r="T204" s="180">
        <v>20</v>
      </c>
      <c r="U204" s="181"/>
      <c r="V204" s="181"/>
      <c r="W204" s="181"/>
      <c r="X204" s="181">
        <f t="shared" si="7"/>
        <v>0</v>
      </c>
      <c r="Y204" s="3">
        <v>8</v>
      </c>
      <c r="Z204" s="3" t="s">
        <v>2780</v>
      </c>
      <c r="AA204" s="189" t="s">
        <v>564</v>
      </c>
    </row>
    <row r="205" spans="1:27" ht="23.25" hidden="1" customHeight="1">
      <c r="A205" s="171" t="s">
        <v>2943</v>
      </c>
      <c r="B205" s="171">
        <v>2021</v>
      </c>
      <c r="C205" s="171"/>
      <c r="D205" s="171" t="s">
        <v>50</v>
      </c>
      <c r="E205" s="3" t="s">
        <v>3140</v>
      </c>
      <c r="F205" s="186" t="s">
        <v>579</v>
      </c>
      <c r="G205" s="186"/>
      <c r="H205" s="186"/>
      <c r="I205" s="174" t="s">
        <v>33</v>
      </c>
      <c r="J205" s="2" t="s">
        <v>2944</v>
      </c>
      <c r="K205" s="177"/>
      <c r="L205" s="177" t="s">
        <v>3091</v>
      </c>
      <c r="M205" s="1">
        <v>44322</v>
      </c>
      <c r="N205" s="1">
        <v>44322</v>
      </c>
      <c r="O205" s="3" t="s">
        <v>41</v>
      </c>
      <c r="Q205" s="179"/>
      <c r="R205" s="180"/>
      <c r="S205" s="218">
        <f t="shared" si="6"/>
        <v>0</v>
      </c>
      <c r="T205" s="180">
        <v>20</v>
      </c>
      <c r="U205" s="181"/>
      <c r="V205" s="181"/>
      <c r="W205" s="181"/>
      <c r="X205" s="181">
        <f t="shared" si="7"/>
        <v>0</v>
      </c>
      <c r="Y205" s="3">
        <v>8</v>
      </c>
      <c r="Z205" s="3" t="s">
        <v>2780</v>
      </c>
      <c r="AA205" s="189" t="s">
        <v>564</v>
      </c>
    </row>
    <row r="206" spans="1:27" ht="23.25" hidden="1" customHeight="1">
      <c r="A206" s="171" t="s">
        <v>2943</v>
      </c>
      <c r="B206" s="171">
        <v>2021</v>
      </c>
      <c r="C206" s="171"/>
      <c r="D206" s="171" t="s">
        <v>50</v>
      </c>
      <c r="E206" s="3" t="s">
        <v>857</v>
      </c>
      <c r="F206" s="173" t="s">
        <v>3142</v>
      </c>
      <c r="G206" s="173"/>
      <c r="H206" s="173"/>
      <c r="I206" s="174" t="s">
        <v>33</v>
      </c>
      <c r="J206" s="2" t="s">
        <v>2944</v>
      </c>
      <c r="K206" s="177"/>
      <c r="L206" s="177" t="s">
        <v>3091</v>
      </c>
      <c r="M206" s="1">
        <v>44322</v>
      </c>
      <c r="N206" s="1">
        <v>44322</v>
      </c>
      <c r="O206" s="3" t="s">
        <v>41</v>
      </c>
      <c r="Q206" s="179"/>
      <c r="R206" s="180"/>
      <c r="S206" s="218">
        <f t="shared" si="6"/>
        <v>0</v>
      </c>
      <c r="T206" s="180">
        <v>20</v>
      </c>
      <c r="U206" s="181"/>
      <c r="V206" s="181"/>
      <c r="W206" s="181"/>
      <c r="X206" s="181">
        <f t="shared" si="7"/>
        <v>0</v>
      </c>
      <c r="Y206" s="3">
        <v>8</v>
      </c>
      <c r="Z206" s="3" t="s">
        <v>3052</v>
      </c>
      <c r="AA206" s="189" t="s">
        <v>3063</v>
      </c>
    </row>
    <row r="207" spans="1:27" ht="23.25" hidden="1" customHeight="1">
      <c r="A207" s="171" t="s">
        <v>2943</v>
      </c>
      <c r="B207" s="171">
        <v>2021</v>
      </c>
      <c r="C207" s="171"/>
      <c r="D207" s="171" t="s">
        <v>50</v>
      </c>
      <c r="E207" s="3" t="s">
        <v>812</v>
      </c>
      <c r="F207" s="173" t="s">
        <v>3143</v>
      </c>
      <c r="G207" s="173"/>
      <c r="H207" s="173"/>
      <c r="I207" s="174" t="s">
        <v>33</v>
      </c>
      <c r="J207" s="2" t="s">
        <v>2965</v>
      </c>
      <c r="K207" s="177"/>
      <c r="L207" s="177" t="s">
        <v>3091</v>
      </c>
      <c r="M207" s="1">
        <v>44322</v>
      </c>
      <c r="N207" s="1">
        <v>44322</v>
      </c>
      <c r="O207" s="3" t="s">
        <v>41</v>
      </c>
      <c r="P207" s="178">
        <v>5384.72</v>
      </c>
      <c r="Q207" s="179"/>
      <c r="R207" s="217"/>
      <c r="S207" s="218">
        <f t="shared" si="6"/>
        <v>0</v>
      </c>
      <c r="T207" s="180">
        <v>20</v>
      </c>
      <c r="U207" s="181"/>
      <c r="V207" s="181"/>
      <c r="W207" s="181"/>
      <c r="X207" s="181">
        <f t="shared" si="7"/>
        <v>0</v>
      </c>
      <c r="Y207" s="3">
        <v>12</v>
      </c>
      <c r="Z207" s="3"/>
      <c r="AA207" s="189" t="s">
        <v>569</v>
      </c>
    </row>
    <row r="208" spans="1:27" ht="23.25" hidden="1" customHeight="1">
      <c r="A208" s="171" t="s">
        <v>2943</v>
      </c>
      <c r="B208" s="171">
        <v>2021</v>
      </c>
      <c r="C208" s="171"/>
      <c r="D208" s="171" t="s">
        <v>50</v>
      </c>
      <c r="E208" s="3" t="s">
        <v>901</v>
      </c>
      <c r="F208" s="173" t="s">
        <v>721</v>
      </c>
      <c r="G208" s="173"/>
      <c r="H208" s="173"/>
      <c r="I208" s="174" t="s">
        <v>33</v>
      </c>
      <c r="J208" s="2" t="s">
        <v>2947</v>
      </c>
      <c r="K208" s="177"/>
      <c r="L208" s="177" t="s">
        <v>3091</v>
      </c>
      <c r="M208" s="1">
        <v>44322</v>
      </c>
      <c r="N208" s="1">
        <v>44322</v>
      </c>
      <c r="O208" s="171" t="s">
        <v>45</v>
      </c>
      <c r="Q208" s="179"/>
      <c r="R208" s="217"/>
      <c r="S208" s="218">
        <f t="shared" si="6"/>
        <v>0</v>
      </c>
      <c r="T208" s="180">
        <v>20</v>
      </c>
      <c r="U208" s="181"/>
      <c r="V208" s="181"/>
      <c r="W208" s="181"/>
      <c r="X208" s="181">
        <f t="shared" si="7"/>
        <v>0</v>
      </c>
      <c r="Y208" s="3">
        <v>20</v>
      </c>
      <c r="Z208" s="3" t="s">
        <v>2780</v>
      </c>
      <c r="AA208" s="175" t="s">
        <v>693</v>
      </c>
    </row>
    <row r="209" spans="1:28" ht="23.25" hidden="1" customHeight="1">
      <c r="A209" s="171" t="s">
        <v>2943</v>
      </c>
      <c r="B209" s="171">
        <v>2021</v>
      </c>
      <c r="C209" s="171"/>
      <c r="D209" s="171" t="s">
        <v>50</v>
      </c>
      <c r="E209" s="3" t="s">
        <v>901</v>
      </c>
      <c r="F209" s="173" t="s">
        <v>3144</v>
      </c>
      <c r="G209" s="173"/>
      <c r="H209" s="173"/>
      <c r="I209" s="174" t="s">
        <v>33</v>
      </c>
      <c r="J209" s="2" t="s">
        <v>2947</v>
      </c>
      <c r="K209" s="177"/>
      <c r="L209" s="177" t="s">
        <v>3091</v>
      </c>
      <c r="M209" s="1">
        <v>44322</v>
      </c>
      <c r="N209" s="1">
        <v>44322</v>
      </c>
      <c r="O209" s="171" t="s">
        <v>45</v>
      </c>
      <c r="Q209" s="179"/>
      <c r="R209" s="217"/>
      <c r="S209" s="218">
        <f t="shared" si="6"/>
        <v>0</v>
      </c>
      <c r="T209" s="180">
        <v>20</v>
      </c>
      <c r="U209" s="181"/>
      <c r="V209" s="181"/>
      <c r="W209" s="181"/>
      <c r="X209" s="181">
        <f t="shared" si="7"/>
        <v>0</v>
      </c>
      <c r="Y209" s="3">
        <v>20</v>
      </c>
      <c r="Z209" s="3" t="s">
        <v>2780</v>
      </c>
      <c r="AA209" s="175" t="s">
        <v>693</v>
      </c>
    </row>
    <row r="210" spans="1:28" ht="23.25" hidden="1" customHeight="1">
      <c r="A210" s="171" t="s">
        <v>2943</v>
      </c>
      <c r="B210" s="171">
        <v>2021</v>
      </c>
      <c r="C210" s="171"/>
      <c r="D210" s="171" t="s">
        <v>50</v>
      </c>
      <c r="E210" s="3" t="s">
        <v>3145</v>
      </c>
      <c r="F210" s="173" t="s">
        <v>3146</v>
      </c>
      <c r="G210" s="173"/>
      <c r="H210" s="173"/>
      <c r="I210" s="174" t="s">
        <v>44</v>
      </c>
      <c r="J210" s="2" t="s">
        <v>2952</v>
      </c>
      <c r="K210" s="177" t="s">
        <v>3022</v>
      </c>
      <c r="L210" s="215" t="s">
        <v>123</v>
      </c>
      <c r="M210" s="1">
        <v>44323</v>
      </c>
      <c r="N210" s="1">
        <v>44323</v>
      </c>
      <c r="O210" s="3" t="s">
        <v>41</v>
      </c>
      <c r="Q210" s="179"/>
      <c r="R210" s="217"/>
      <c r="S210" s="218"/>
      <c r="T210" s="180"/>
      <c r="U210" s="181"/>
      <c r="V210" s="181"/>
      <c r="W210" s="181"/>
      <c r="X210" s="181">
        <f t="shared" si="7"/>
        <v>0</v>
      </c>
      <c r="Y210" s="3">
        <v>10</v>
      </c>
      <c r="Z210" s="3" t="s">
        <v>3052</v>
      </c>
      <c r="AA210" s="189" t="s">
        <v>3032</v>
      </c>
    </row>
    <row r="211" spans="1:28" ht="23.25" hidden="1" customHeight="1">
      <c r="A211" s="171" t="s">
        <v>2943</v>
      </c>
      <c r="B211" s="171">
        <v>2021</v>
      </c>
      <c r="C211" s="171"/>
      <c r="D211" s="3" t="s">
        <v>52</v>
      </c>
      <c r="E211" s="3" t="s">
        <v>825</v>
      </c>
      <c r="F211" s="186" t="s">
        <v>3147</v>
      </c>
      <c r="G211" s="186"/>
      <c r="H211" s="186"/>
      <c r="I211" s="225" t="s">
        <v>2946</v>
      </c>
      <c r="J211" s="210" t="s">
        <v>3029</v>
      </c>
      <c r="K211" s="177" t="s">
        <v>3022</v>
      </c>
      <c r="L211" s="1">
        <v>44323</v>
      </c>
      <c r="M211" s="1">
        <v>44323</v>
      </c>
      <c r="N211" s="1">
        <v>44323</v>
      </c>
      <c r="O211" s="171" t="s">
        <v>45</v>
      </c>
      <c r="P211" s="178">
        <v>0</v>
      </c>
      <c r="Q211" s="179"/>
      <c r="R211" s="217">
        <v>4.5999999999999996</v>
      </c>
      <c r="S211" s="218">
        <f>R211/5</f>
        <v>0.91999999999999993</v>
      </c>
      <c r="T211" s="180">
        <v>80</v>
      </c>
      <c r="U211" s="181">
        <v>80</v>
      </c>
      <c r="V211" s="181">
        <v>0</v>
      </c>
      <c r="W211" s="181">
        <v>0</v>
      </c>
      <c r="X211" s="182">
        <f t="shared" si="7"/>
        <v>80</v>
      </c>
      <c r="Y211" s="3">
        <v>1.5</v>
      </c>
      <c r="Z211" s="3" t="s">
        <v>3043</v>
      </c>
      <c r="AA211" s="175" t="s">
        <v>827</v>
      </c>
    </row>
    <row r="212" spans="1:28" ht="23.25" hidden="1" customHeight="1">
      <c r="A212" s="171" t="s">
        <v>2943</v>
      </c>
      <c r="B212" s="171">
        <v>2021</v>
      </c>
      <c r="C212" s="171"/>
      <c r="D212" s="171" t="s">
        <v>50</v>
      </c>
      <c r="E212" s="3" t="s">
        <v>3148</v>
      </c>
      <c r="F212" s="173" t="s">
        <v>3149</v>
      </c>
      <c r="G212" s="173"/>
      <c r="H212" s="173"/>
      <c r="I212" s="174" t="s">
        <v>44</v>
      </c>
      <c r="J212" s="2" t="s">
        <v>2952</v>
      </c>
      <c r="K212" s="177" t="s">
        <v>3022</v>
      </c>
      <c r="L212" s="215" t="s">
        <v>123</v>
      </c>
      <c r="M212" s="1">
        <v>44324</v>
      </c>
      <c r="N212" s="1">
        <v>44324</v>
      </c>
      <c r="O212" s="3" t="s">
        <v>41</v>
      </c>
      <c r="Q212" s="179"/>
      <c r="R212" s="217"/>
      <c r="S212" s="218"/>
      <c r="T212" s="180"/>
      <c r="U212" s="181"/>
      <c r="V212" s="181"/>
      <c r="W212" s="181"/>
      <c r="X212" s="181">
        <f t="shared" si="7"/>
        <v>0</v>
      </c>
      <c r="Y212" s="3"/>
      <c r="Z212" s="3" t="s">
        <v>3052</v>
      </c>
      <c r="AA212" s="189" t="s">
        <v>3150</v>
      </c>
    </row>
    <row r="213" spans="1:28" ht="23.25" hidden="1" customHeight="1">
      <c r="A213" s="171" t="s">
        <v>2943</v>
      </c>
      <c r="B213" s="171">
        <v>2021</v>
      </c>
      <c r="C213" s="171"/>
      <c r="D213" s="3" t="s">
        <v>52</v>
      </c>
      <c r="E213" s="3" t="s">
        <v>829</v>
      </c>
      <c r="F213" s="173" t="s">
        <v>830</v>
      </c>
      <c r="G213" s="173"/>
      <c r="H213" s="173"/>
      <c r="I213" s="174" t="s">
        <v>48</v>
      </c>
      <c r="J213" s="2" t="s">
        <v>2952</v>
      </c>
      <c r="K213" s="177" t="s">
        <v>3041</v>
      </c>
      <c r="L213" s="177" t="s">
        <v>3091</v>
      </c>
      <c r="M213" s="1">
        <v>44325</v>
      </c>
      <c r="N213" s="1">
        <v>44325</v>
      </c>
      <c r="O213" s="3" t="s">
        <v>41</v>
      </c>
      <c r="P213" s="178">
        <f>11040</f>
        <v>11040</v>
      </c>
      <c r="Q213" s="179"/>
      <c r="R213" s="217">
        <v>5</v>
      </c>
      <c r="S213" s="218">
        <f t="shared" ref="S213:S255" si="8">R213/5</f>
        <v>1</v>
      </c>
      <c r="T213" s="180">
        <v>36</v>
      </c>
      <c r="U213" s="181">
        <v>0</v>
      </c>
      <c r="V213" s="181">
        <v>0</v>
      </c>
      <c r="W213" s="181">
        <v>36</v>
      </c>
      <c r="X213" s="182">
        <f t="shared" si="7"/>
        <v>36</v>
      </c>
      <c r="Y213" s="3">
        <v>2</v>
      </c>
      <c r="Z213" s="3" t="s">
        <v>2784</v>
      </c>
      <c r="AA213" s="207" t="s">
        <v>3151</v>
      </c>
    </row>
    <row r="214" spans="1:28" ht="23.25" hidden="1" customHeight="1">
      <c r="A214" s="171" t="s">
        <v>2943</v>
      </c>
      <c r="B214" s="171">
        <v>2021</v>
      </c>
      <c r="C214" s="171"/>
      <c r="D214" s="3" t="s">
        <v>52</v>
      </c>
      <c r="E214" s="3" t="s">
        <v>834</v>
      </c>
      <c r="F214" s="173" t="s">
        <v>835</v>
      </c>
      <c r="G214" s="173"/>
      <c r="H214" s="173"/>
      <c r="I214" s="174" t="s">
        <v>33</v>
      </c>
      <c r="J214" s="2" t="s">
        <v>2954</v>
      </c>
      <c r="K214" s="177" t="s">
        <v>3022</v>
      </c>
      <c r="L214" s="177" t="s">
        <v>3152</v>
      </c>
      <c r="M214" s="1">
        <v>44326</v>
      </c>
      <c r="N214" s="1">
        <v>44330</v>
      </c>
      <c r="O214" s="171" t="s">
        <v>45</v>
      </c>
      <c r="P214" s="178">
        <v>19800</v>
      </c>
      <c r="Q214" s="179"/>
      <c r="R214" s="217">
        <v>4.5999999999999996</v>
      </c>
      <c r="S214" s="218">
        <f t="shared" si="8"/>
        <v>0.91999999999999993</v>
      </c>
      <c r="T214" s="180">
        <v>80</v>
      </c>
      <c r="U214" s="181">
        <v>70</v>
      </c>
      <c r="V214" s="181">
        <v>0</v>
      </c>
      <c r="W214" s="181">
        <v>0</v>
      </c>
      <c r="X214" s="182">
        <f t="shared" si="7"/>
        <v>70</v>
      </c>
      <c r="Y214" s="3">
        <v>8</v>
      </c>
      <c r="Z214" s="3" t="s">
        <v>3052</v>
      </c>
      <c r="AA214" s="2" t="s">
        <v>837</v>
      </c>
    </row>
    <row r="215" spans="1:28" ht="23.25" hidden="1" customHeight="1">
      <c r="A215" s="171" t="s">
        <v>2943</v>
      </c>
      <c r="B215" s="171">
        <v>2021</v>
      </c>
      <c r="C215" s="171"/>
      <c r="D215" s="3" t="s">
        <v>52</v>
      </c>
      <c r="E215" s="3" t="s">
        <v>839</v>
      </c>
      <c r="F215" s="173" t="s">
        <v>840</v>
      </c>
      <c r="G215" s="173"/>
      <c r="H215" s="173"/>
      <c r="I215" s="174" t="s">
        <v>33</v>
      </c>
      <c r="J215" s="2" t="s">
        <v>2976</v>
      </c>
      <c r="K215" s="177" t="s">
        <v>3022</v>
      </c>
      <c r="L215" s="177" t="s">
        <v>3153</v>
      </c>
      <c r="M215" s="1">
        <v>44327</v>
      </c>
      <c r="N215" s="1">
        <v>44336</v>
      </c>
      <c r="O215" s="171" t="s">
        <v>45</v>
      </c>
      <c r="P215" s="178">
        <v>5980</v>
      </c>
      <c r="Q215" s="179"/>
      <c r="R215" s="217">
        <v>4.8</v>
      </c>
      <c r="S215" s="218">
        <f t="shared" si="8"/>
        <v>0.96</v>
      </c>
      <c r="T215" s="180">
        <v>30</v>
      </c>
      <c r="U215" s="181">
        <v>21</v>
      </c>
      <c r="V215" s="181">
        <v>0</v>
      </c>
      <c r="W215" s="181">
        <v>0</v>
      </c>
      <c r="X215" s="182">
        <f t="shared" si="7"/>
        <v>21</v>
      </c>
      <c r="Y215" s="3">
        <v>15</v>
      </c>
      <c r="Z215" s="3" t="s">
        <v>2780</v>
      </c>
      <c r="AA215" s="2" t="s">
        <v>880</v>
      </c>
    </row>
    <row r="216" spans="1:28" ht="23.25" hidden="1" customHeight="1">
      <c r="A216" s="171" t="s">
        <v>2943</v>
      </c>
      <c r="B216" s="171">
        <v>2021</v>
      </c>
      <c r="C216" s="171"/>
      <c r="D216" s="3" t="s">
        <v>52</v>
      </c>
      <c r="E216" s="3" t="s">
        <v>825</v>
      </c>
      <c r="F216" s="232" t="s">
        <v>843</v>
      </c>
      <c r="G216" s="232"/>
      <c r="H216" s="232"/>
      <c r="I216" s="225" t="s">
        <v>2946</v>
      </c>
      <c r="J216" s="210" t="s">
        <v>2954</v>
      </c>
      <c r="K216" s="177" t="s">
        <v>3022</v>
      </c>
      <c r="L216" s="177" t="s">
        <v>3154</v>
      </c>
      <c r="M216" s="1">
        <v>44330</v>
      </c>
      <c r="N216" s="1">
        <v>44337</v>
      </c>
      <c r="O216" s="171" t="s">
        <v>45</v>
      </c>
      <c r="P216" s="178">
        <v>5800</v>
      </c>
      <c r="Q216" s="179"/>
      <c r="R216" s="217">
        <v>4.5</v>
      </c>
      <c r="S216" s="218">
        <f t="shared" si="8"/>
        <v>0.9</v>
      </c>
      <c r="T216" s="180">
        <v>24</v>
      </c>
      <c r="U216" s="181">
        <v>20</v>
      </c>
      <c r="V216" s="181">
        <v>0</v>
      </c>
      <c r="W216" s="181">
        <v>0</v>
      </c>
      <c r="X216" s="182">
        <f t="shared" si="7"/>
        <v>20</v>
      </c>
      <c r="Y216" s="3">
        <v>14</v>
      </c>
      <c r="Z216" s="3" t="s">
        <v>3052</v>
      </c>
      <c r="AA216" s="175" t="s">
        <v>827</v>
      </c>
    </row>
    <row r="217" spans="1:28" ht="23.25" hidden="1" customHeight="1">
      <c r="A217" s="171" t="s">
        <v>2943</v>
      </c>
      <c r="B217" s="171">
        <v>2021</v>
      </c>
      <c r="C217" s="171"/>
      <c r="D217" s="3" t="s">
        <v>52</v>
      </c>
      <c r="E217" s="3" t="s">
        <v>821</v>
      </c>
      <c r="F217" s="186" t="s">
        <v>682</v>
      </c>
      <c r="G217" s="186"/>
      <c r="H217" s="186"/>
      <c r="I217" s="188" t="s">
        <v>2946</v>
      </c>
      <c r="J217" s="175" t="s">
        <v>2965</v>
      </c>
      <c r="K217" s="177" t="s">
        <v>3022</v>
      </c>
      <c r="L217" s="177" t="s">
        <v>3155</v>
      </c>
      <c r="M217" s="1">
        <v>44340</v>
      </c>
      <c r="N217" s="1">
        <v>44344</v>
      </c>
      <c r="O217" s="3" t="s">
        <v>41</v>
      </c>
      <c r="P217" s="178">
        <v>5914.42</v>
      </c>
      <c r="Q217" s="179"/>
      <c r="R217" s="217">
        <v>4.7</v>
      </c>
      <c r="S217" s="218">
        <f t="shared" si="8"/>
        <v>0.94000000000000006</v>
      </c>
      <c r="T217" s="180">
        <v>20</v>
      </c>
      <c r="U217" s="181">
        <v>28</v>
      </c>
      <c r="V217" s="181">
        <v>0</v>
      </c>
      <c r="W217" s="181">
        <v>0</v>
      </c>
      <c r="X217" s="182">
        <f t="shared" si="7"/>
        <v>28</v>
      </c>
      <c r="Y217" s="3">
        <v>20</v>
      </c>
      <c r="Z217" s="3" t="s">
        <v>2780</v>
      </c>
      <c r="AA217" s="189" t="s">
        <v>3139</v>
      </c>
    </row>
    <row r="218" spans="1:28" ht="23.25" hidden="1" customHeight="1">
      <c r="A218" s="171" t="s">
        <v>2943</v>
      </c>
      <c r="B218" s="171">
        <v>2021</v>
      </c>
      <c r="C218" s="171"/>
      <c r="D218" s="3" t="s">
        <v>52</v>
      </c>
      <c r="E218" s="3" t="s">
        <v>848</v>
      </c>
      <c r="F218" s="186" t="s">
        <v>708</v>
      </c>
      <c r="G218" s="186"/>
      <c r="H218" s="186"/>
      <c r="I218" s="225" t="s">
        <v>6</v>
      </c>
      <c r="J218" s="210" t="s">
        <v>2965</v>
      </c>
      <c r="K218" s="177" t="s">
        <v>3022</v>
      </c>
      <c r="L218" s="177" t="s">
        <v>3156</v>
      </c>
      <c r="M218" s="1">
        <v>44341</v>
      </c>
      <c r="N218" s="1">
        <v>44357</v>
      </c>
      <c r="O218" s="3" t="s">
        <v>41</v>
      </c>
      <c r="P218" s="178">
        <v>10116.42</v>
      </c>
      <c r="Q218" s="179"/>
      <c r="R218" s="217">
        <v>4.5999999999999996</v>
      </c>
      <c r="S218" s="218">
        <f t="shared" si="8"/>
        <v>0.91999999999999993</v>
      </c>
      <c r="T218" s="180">
        <v>20</v>
      </c>
      <c r="U218" s="181">
        <v>19</v>
      </c>
      <c r="V218" s="181">
        <v>6</v>
      </c>
      <c r="W218" s="181">
        <v>0</v>
      </c>
      <c r="X218" s="182">
        <f t="shared" si="7"/>
        <v>25</v>
      </c>
      <c r="Y218" s="3">
        <v>24</v>
      </c>
      <c r="Z218" s="3" t="s">
        <v>2784</v>
      </c>
      <c r="AA218" s="189" t="s">
        <v>3157</v>
      </c>
    </row>
    <row r="219" spans="1:28" ht="23.25" hidden="1" customHeight="1">
      <c r="A219" s="171" t="s">
        <v>2943</v>
      </c>
      <c r="B219" s="171">
        <v>2021</v>
      </c>
      <c r="C219" s="171"/>
      <c r="D219" s="3" t="s">
        <v>52</v>
      </c>
      <c r="E219" s="3" t="s">
        <v>852</v>
      </c>
      <c r="F219" s="173" t="s">
        <v>853</v>
      </c>
      <c r="G219" s="173"/>
      <c r="H219" s="173"/>
      <c r="I219" s="174" t="s">
        <v>33</v>
      </c>
      <c r="J219" s="2" t="s">
        <v>2954</v>
      </c>
      <c r="K219" s="177" t="s">
        <v>3022</v>
      </c>
      <c r="L219" s="177" t="s">
        <v>3158</v>
      </c>
      <c r="M219" s="1">
        <v>44347</v>
      </c>
      <c r="N219" s="1">
        <v>44375</v>
      </c>
      <c r="O219" s="171" t="s">
        <v>45</v>
      </c>
      <c r="P219" s="178">
        <v>35700</v>
      </c>
      <c r="Q219" s="179"/>
      <c r="R219" s="217">
        <v>5</v>
      </c>
      <c r="S219" s="218">
        <f t="shared" si="8"/>
        <v>1</v>
      </c>
      <c r="T219" s="180">
        <v>15</v>
      </c>
      <c r="U219" s="181">
        <v>14</v>
      </c>
      <c r="V219" s="181">
        <v>0</v>
      </c>
      <c r="W219" s="181">
        <v>0</v>
      </c>
      <c r="X219" s="182">
        <f t="shared" si="7"/>
        <v>14</v>
      </c>
      <c r="Y219" s="3">
        <v>12</v>
      </c>
      <c r="Z219" s="3" t="s">
        <v>3052</v>
      </c>
      <c r="AA219" s="2" t="s">
        <v>855</v>
      </c>
    </row>
    <row r="220" spans="1:28" ht="23.25" hidden="1" customHeight="1">
      <c r="A220" s="171" t="s">
        <v>2943</v>
      </c>
      <c r="B220" s="171">
        <v>2021</v>
      </c>
      <c r="C220" s="171"/>
      <c r="D220" s="3" t="s">
        <v>52</v>
      </c>
      <c r="E220" s="3" t="s">
        <v>857</v>
      </c>
      <c r="F220" s="173" t="s">
        <v>858</v>
      </c>
      <c r="G220" s="173"/>
      <c r="H220" s="173"/>
      <c r="I220" s="174" t="s">
        <v>33</v>
      </c>
      <c r="J220" s="2" t="s">
        <v>2944</v>
      </c>
      <c r="K220" s="177" t="s">
        <v>3022</v>
      </c>
      <c r="L220" s="1">
        <v>44349</v>
      </c>
      <c r="M220" s="1">
        <v>44349</v>
      </c>
      <c r="N220" s="1">
        <v>44349</v>
      </c>
      <c r="O220" s="3" t="s">
        <v>41</v>
      </c>
      <c r="P220" s="233">
        <v>390</v>
      </c>
      <c r="Q220" s="179"/>
      <c r="R220" s="217">
        <v>5</v>
      </c>
      <c r="S220" s="218">
        <f t="shared" si="8"/>
        <v>1</v>
      </c>
      <c r="T220" s="180">
        <v>46</v>
      </c>
      <c r="U220" s="181">
        <v>46</v>
      </c>
      <c r="V220" s="181">
        <v>0</v>
      </c>
      <c r="W220" s="181">
        <v>0</v>
      </c>
      <c r="X220" s="182">
        <f t="shared" si="7"/>
        <v>46</v>
      </c>
      <c r="Y220" s="3">
        <v>2</v>
      </c>
      <c r="Z220" s="3" t="s">
        <v>3052</v>
      </c>
      <c r="AA220" s="189" t="s">
        <v>3063</v>
      </c>
    </row>
    <row r="221" spans="1:28" ht="23.25" hidden="1" customHeight="1">
      <c r="A221" s="171" t="s">
        <v>2943</v>
      </c>
      <c r="B221" s="171">
        <v>2021</v>
      </c>
      <c r="C221" s="171"/>
      <c r="D221" s="3" t="s">
        <v>52</v>
      </c>
      <c r="E221" s="3" t="s">
        <v>860</v>
      </c>
      <c r="F221" s="173" t="s">
        <v>861</v>
      </c>
      <c r="G221" s="173"/>
      <c r="H221" s="173"/>
      <c r="I221" s="174" t="s">
        <v>33</v>
      </c>
      <c r="J221" s="234" t="s">
        <v>2976</v>
      </c>
      <c r="K221" s="177" t="s">
        <v>3022</v>
      </c>
      <c r="L221" s="212" t="s">
        <v>862</v>
      </c>
      <c r="M221" s="1">
        <v>44358</v>
      </c>
      <c r="N221" s="1">
        <v>44358</v>
      </c>
      <c r="O221" s="3" t="s">
        <v>41</v>
      </c>
      <c r="P221" s="235">
        <v>0</v>
      </c>
      <c r="Q221" s="236"/>
      <c r="R221" s="223">
        <v>5</v>
      </c>
      <c r="S221" s="218">
        <f t="shared" si="8"/>
        <v>1</v>
      </c>
      <c r="T221" s="237">
        <v>98</v>
      </c>
      <c r="U221" s="238">
        <v>98</v>
      </c>
      <c r="V221" s="238">
        <v>0</v>
      </c>
      <c r="W221" s="238">
        <v>0</v>
      </c>
      <c r="X221" s="182">
        <f t="shared" si="7"/>
        <v>98</v>
      </c>
      <c r="Y221" s="239">
        <v>2</v>
      </c>
      <c r="Z221" s="239" t="s">
        <v>2780</v>
      </c>
      <c r="AA221" s="240" t="s">
        <v>3159</v>
      </c>
      <c r="AB221" s="234"/>
    </row>
    <row r="222" spans="1:28" ht="23.25" hidden="1" customHeight="1">
      <c r="A222" s="171" t="s">
        <v>2943</v>
      </c>
      <c r="B222" s="171">
        <v>2021</v>
      </c>
      <c r="C222" s="171"/>
      <c r="D222" s="3" t="s">
        <v>52</v>
      </c>
      <c r="E222" s="3" t="s">
        <v>865</v>
      </c>
      <c r="F222" s="173" t="s">
        <v>866</v>
      </c>
      <c r="G222" s="173"/>
      <c r="H222" s="173"/>
      <c r="I222" s="174" t="s">
        <v>48</v>
      </c>
      <c r="J222" s="2" t="s">
        <v>2952</v>
      </c>
      <c r="K222" s="177" t="s">
        <v>3041</v>
      </c>
      <c r="L222" s="177" t="s">
        <v>3160</v>
      </c>
      <c r="M222" s="1">
        <v>44361</v>
      </c>
      <c r="N222" s="1">
        <v>44365</v>
      </c>
      <c r="O222" s="3" t="s">
        <v>41</v>
      </c>
      <c r="P222" s="178">
        <v>5384.88</v>
      </c>
      <c r="Q222" s="179"/>
      <c r="R222" s="217">
        <v>4.8</v>
      </c>
      <c r="S222" s="218">
        <f t="shared" si="8"/>
        <v>0.96</v>
      </c>
      <c r="T222" s="180">
        <v>40</v>
      </c>
      <c r="U222" s="181">
        <v>6</v>
      </c>
      <c r="V222" s="181">
        <v>0</v>
      </c>
      <c r="W222" s="181">
        <v>44</v>
      </c>
      <c r="X222" s="182">
        <f t="shared" si="7"/>
        <v>50</v>
      </c>
      <c r="Y222" s="3">
        <v>9</v>
      </c>
      <c r="Z222" s="3" t="s">
        <v>2784</v>
      </c>
      <c r="AA222" s="189" t="s">
        <v>3161</v>
      </c>
    </row>
    <row r="223" spans="1:28" ht="23.25" hidden="1" customHeight="1">
      <c r="A223" s="171" t="s">
        <v>2943</v>
      </c>
      <c r="B223" s="171">
        <v>2021</v>
      </c>
      <c r="C223" s="171"/>
      <c r="D223" s="3" t="s">
        <v>52</v>
      </c>
      <c r="E223" s="3" t="s">
        <v>807</v>
      </c>
      <c r="F223" s="173" t="s">
        <v>870</v>
      </c>
      <c r="G223" s="173"/>
      <c r="H223" s="173"/>
      <c r="I223" s="174" t="s">
        <v>33</v>
      </c>
      <c r="J223" s="2" t="s">
        <v>2976</v>
      </c>
      <c r="K223" s="177" t="s">
        <v>3022</v>
      </c>
      <c r="L223" s="177" t="s">
        <v>3162</v>
      </c>
      <c r="M223" s="1">
        <v>44361</v>
      </c>
      <c r="N223" s="1">
        <v>44365</v>
      </c>
      <c r="O223" s="171" t="s">
        <v>45</v>
      </c>
      <c r="P223" s="178">
        <v>5980</v>
      </c>
      <c r="Q223" s="179"/>
      <c r="R223" s="217">
        <v>4.8</v>
      </c>
      <c r="S223" s="218">
        <f t="shared" si="8"/>
        <v>0.96</v>
      </c>
      <c r="T223" s="180">
        <v>30</v>
      </c>
      <c r="U223" s="181">
        <v>17</v>
      </c>
      <c r="V223" s="181">
        <v>0</v>
      </c>
      <c r="W223" s="181">
        <v>0</v>
      </c>
      <c r="X223" s="182">
        <f t="shared" si="7"/>
        <v>17</v>
      </c>
      <c r="Y223" s="3">
        <v>15</v>
      </c>
      <c r="Z223" s="3" t="s">
        <v>3052</v>
      </c>
      <c r="AA223" s="2" t="s">
        <v>3136</v>
      </c>
    </row>
    <row r="224" spans="1:28" ht="23.25" hidden="1" customHeight="1">
      <c r="A224" s="171" t="s">
        <v>2943</v>
      </c>
      <c r="B224" s="171">
        <v>2021</v>
      </c>
      <c r="C224" s="171"/>
      <c r="D224" s="171" t="s">
        <v>50</v>
      </c>
      <c r="E224" s="3" t="s">
        <v>857</v>
      </c>
      <c r="F224" s="173" t="s">
        <v>3163</v>
      </c>
      <c r="G224" s="173"/>
      <c r="H224" s="173"/>
      <c r="I224" s="174" t="s">
        <v>33</v>
      </c>
      <c r="J224" s="2" t="s">
        <v>2944</v>
      </c>
      <c r="K224" s="177"/>
      <c r="L224" s="177" t="s">
        <v>3164</v>
      </c>
      <c r="M224" s="1">
        <v>44376</v>
      </c>
      <c r="N224" s="1">
        <v>44379</v>
      </c>
      <c r="O224" s="3" t="s">
        <v>41</v>
      </c>
      <c r="Q224" s="179"/>
      <c r="R224" s="180"/>
      <c r="S224" s="218">
        <f t="shared" si="8"/>
        <v>0</v>
      </c>
      <c r="T224" s="180">
        <v>20</v>
      </c>
      <c r="U224" s="181"/>
      <c r="V224" s="181"/>
      <c r="W224" s="181"/>
      <c r="X224" s="181">
        <f t="shared" si="7"/>
        <v>0</v>
      </c>
      <c r="Y224" s="3">
        <v>8</v>
      </c>
      <c r="Z224" s="3" t="s">
        <v>3052</v>
      </c>
      <c r="AA224" s="189" t="s">
        <v>3063</v>
      </c>
    </row>
    <row r="225" spans="1:28" ht="23.25" hidden="1" customHeight="1">
      <c r="A225" s="171" t="s">
        <v>2943</v>
      </c>
      <c r="B225" s="171">
        <v>2021</v>
      </c>
      <c r="C225" s="171"/>
      <c r="D225" s="3" t="s">
        <v>52</v>
      </c>
      <c r="E225" s="239" t="s">
        <v>873</v>
      </c>
      <c r="F225" s="241" t="s">
        <v>874</v>
      </c>
      <c r="G225" s="241"/>
      <c r="H225" s="241"/>
      <c r="I225" s="242" t="s">
        <v>33</v>
      </c>
      <c r="J225" s="234" t="s">
        <v>2954</v>
      </c>
      <c r="K225" s="212" t="s">
        <v>3022</v>
      </c>
      <c r="L225" s="212" t="s">
        <v>3165</v>
      </c>
      <c r="M225" s="213">
        <v>44385</v>
      </c>
      <c r="N225" s="213">
        <v>44396</v>
      </c>
      <c r="O225" s="171" t="s">
        <v>45</v>
      </c>
      <c r="P225" s="235">
        <v>37800</v>
      </c>
      <c r="Q225" s="236"/>
      <c r="R225" s="223">
        <v>4.5999999999999996</v>
      </c>
      <c r="S225" s="243">
        <f t="shared" si="8"/>
        <v>0.91999999999999993</v>
      </c>
      <c r="T225" s="237">
        <v>80</v>
      </c>
      <c r="U225" s="238">
        <v>43</v>
      </c>
      <c r="V225" s="238">
        <v>10</v>
      </c>
      <c r="W225" s="238">
        <v>0</v>
      </c>
      <c r="X225" s="182">
        <f t="shared" si="7"/>
        <v>53</v>
      </c>
      <c r="Y225" s="239">
        <v>8</v>
      </c>
      <c r="Z225" s="239" t="s">
        <v>3052</v>
      </c>
      <c r="AA225" s="2" t="s">
        <v>876</v>
      </c>
      <c r="AB225" s="234"/>
    </row>
    <row r="226" spans="1:28" ht="23.25" hidden="1" customHeight="1">
      <c r="A226" s="171" t="s">
        <v>2943</v>
      </c>
      <c r="B226" s="171">
        <v>2021</v>
      </c>
      <c r="C226" s="171"/>
      <c r="D226" s="3" t="s">
        <v>52</v>
      </c>
      <c r="E226" s="3" t="s">
        <v>839</v>
      </c>
      <c r="F226" s="173" t="s">
        <v>878</v>
      </c>
      <c r="G226" s="173"/>
      <c r="H226" s="173"/>
      <c r="I226" s="174" t="s">
        <v>33</v>
      </c>
      <c r="J226" s="2" t="s">
        <v>2976</v>
      </c>
      <c r="K226" s="177" t="s">
        <v>3022</v>
      </c>
      <c r="L226" s="177" t="s">
        <v>3166</v>
      </c>
      <c r="M226" s="1">
        <v>44389</v>
      </c>
      <c r="N226" s="1">
        <v>44393</v>
      </c>
      <c r="O226" s="171" t="s">
        <v>45</v>
      </c>
      <c r="P226" s="178">
        <v>5980</v>
      </c>
      <c r="Q226" s="179"/>
      <c r="R226" s="217">
        <v>4.5999999999999996</v>
      </c>
      <c r="S226" s="218">
        <f t="shared" si="8"/>
        <v>0.91999999999999993</v>
      </c>
      <c r="T226" s="180">
        <v>30</v>
      </c>
      <c r="U226" s="181">
        <v>16</v>
      </c>
      <c r="V226" s="181">
        <v>0</v>
      </c>
      <c r="W226" s="181">
        <v>0</v>
      </c>
      <c r="X226" s="182">
        <f t="shared" si="7"/>
        <v>16</v>
      </c>
      <c r="Y226" s="3">
        <v>15</v>
      </c>
      <c r="Z226" s="3" t="s">
        <v>3052</v>
      </c>
      <c r="AA226" s="2" t="s">
        <v>880</v>
      </c>
    </row>
    <row r="227" spans="1:28" ht="23.25" hidden="1" customHeight="1">
      <c r="A227" s="171" t="s">
        <v>2943</v>
      </c>
      <c r="B227" s="171">
        <v>2021</v>
      </c>
      <c r="C227" s="171"/>
      <c r="D227" s="3" t="s">
        <v>52</v>
      </c>
      <c r="E227" s="3" t="s">
        <v>882</v>
      </c>
      <c r="F227" s="173" t="s">
        <v>3167</v>
      </c>
      <c r="G227" s="173"/>
      <c r="H227" s="173"/>
      <c r="I227" s="174" t="s">
        <v>48</v>
      </c>
      <c r="J227" s="2" t="s">
        <v>2952</v>
      </c>
      <c r="K227" s="177" t="s">
        <v>3041</v>
      </c>
      <c r="L227" s="177" t="s">
        <v>884</v>
      </c>
      <c r="M227" s="1">
        <v>44397</v>
      </c>
      <c r="N227" s="1">
        <v>44399</v>
      </c>
      <c r="O227" s="171" t="s">
        <v>45</v>
      </c>
      <c r="P227" s="178">
        <v>4750</v>
      </c>
      <c r="Q227" s="179"/>
      <c r="R227" s="223">
        <v>4.5999999999999996</v>
      </c>
      <c r="S227" s="218">
        <f t="shared" si="8"/>
        <v>0.91999999999999993</v>
      </c>
      <c r="T227" s="180">
        <v>40</v>
      </c>
      <c r="U227" s="181">
        <v>0</v>
      </c>
      <c r="V227" s="181">
        <v>0</v>
      </c>
      <c r="W227" s="181">
        <v>59</v>
      </c>
      <c r="X227" s="182">
        <f t="shared" si="7"/>
        <v>59</v>
      </c>
      <c r="Y227" s="3">
        <v>12</v>
      </c>
      <c r="Z227" s="3" t="s">
        <v>2784</v>
      </c>
      <c r="AA227" s="189" t="s">
        <v>362</v>
      </c>
    </row>
    <row r="228" spans="1:28" ht="23.25" hidden="1" customHeight="1">
      <c r="A228" s="171" t="s">
        <v>2943</v>
      </c>
      <c r="B228" s="171">
        <v>2021</v>
      </c>
      <c r="C228" s="171"/>
      <c r="D228" s="3" t="s">
        <v>52</v>
      </c>
      <c r="E228" s="3" t="s">
        <v>860</v>
      </c>
      <c r="F228" s="173" t="s">
        <v>886</v>
      </c>
      <c r="G228" s="173"/>
      <c r="H228" s="173"/>
      <c r="I228" s="174" t="s">
        <v>33</v>
      </c>
      <c r="J228" s="234" t="s">
        <v>2976</v>
      </c>
      <c r="K228" s="177" t="s">
        <v>3022</v>
      </c>
      <c r="L228" s="177" t="s">
        <v>887</v>
      </c>
      <c r="M228" s="1">
        <v>44400</v>
      </c>
      <c r="N228" s="1">
        <v>44400</v>
      </c>
      <c r="O228" s="3" t="s">
        <v>41</v>
      </c>
      <c r="P228" s="178">
        <v>0</v>
      </c>
      <c r="Q228" s="236"/>
      <c r="R228" s="217">
        <v>5</v>
      </c>
      <c r="S228" s="218">
        <f t="shared" si="8"/>
        <v>1</v>
      </c>
      <c r="T228" s="180">
        <v>76</v>
      </c>
      <c r="U228" s="181">
        <v>76</v>
      </c>
      <c r="V228" s="181">
        <v>0</v>
      </c>
      <c r="W228" s="181">
        <v>0</v>
      </c>
      <c r="X228" s="182">
        <f t="shared" si="7"/>
        <v>76</v>
      </c>
      <c r="Y228" s="239">
        <v>2</v>
      </c>
      <c r="Z228" s="239" t="s">
        <v>2780</v>
      </c>
      <c r="AA228" s="240" t="s">
        <v>3159</v>
      </c>
    </row>
    <row r="229" spans="1:28" ht="23.25" hidden="1" customHeight="1">
      <c r="A229" s="171" t="s">
        <v>2943</v>
      </c>
      <c r="B229" s="171">
        <v>2021</v>
      </c>
      <c r="C229" s="171"/>
      <c r="D229" s="3" t="s">
        <v>52</v>
      </c>
      <c r="E229" s="3" t="s">
        <v>889</v>
      </c>
      <c r="F229" s="173" t="s">
        <v>890</v>
      </c>
      <c r="G229" s="173"/>
      <c r="H229" s="173"/>
      <c r="I229" s="174" t="s">
        <v>33</v>
      </c>
      <c r="J229" s="2" t="s">
        <v>2944</v>
      </c>
      <c r="K229" s="177" t="s">
        <v>3022</v>
      </c>
      <c r="L229" s="1">
        <v>44407</v>
      </c>
      <c r="M229" s="1">
        <v>44407</v>
      </c>
      <c r="N229" s="1">
        <v>44407</v>
      </c>
      <c r="O229" s="3" t="s">
        <v>41</v>
      </c>
      <c r="P229" s="178">
        <v>897.48</v>
      </c>
      <c r="Q229" s="179"/>
      <c r="R229" s="217">
        <v>5</v>
      </c>
      <c r="S229" s="218">
        <f t="shared" si="8"/>
        <v>1</v>
      </c>
      <c r="T229" s="180">
        <v>33</v>
      </c>
      <c r="U229" s="181">
        <v>33</v>
      </c>
      <c r="V229" s="181">
        <v>0</v>
      </c>
      <c r="W229" s="181">
        <v>0</v>
      </c>
      <c r="X229" s="182">
        <f t="shared" si="7"/>
        <v>33</v>
      </c>
      <c r="Y229" s="3">
        <v>2</v>
      </c>
      <c r="Z229" s="3" t="s">
        <v>2780</v>
      </c>
      <c r="AA229" s="196" t="s">
        <v>2964</v>
      </c>
    </row>
    <row r="230" spans="1:28" ht="23.25" hidden="1" customHeight="1">
      <c r="A230" s="171" t="s">
        <v>2943</v>
      </c>
      <c r="B230" s="171">
        <v>2021</v>
      </c>
      <c r="C230" s="171"/>
      <c r="D230" s="3" t="s">
        <v>52</v>
      </c>
      <c r="E230" s="3" t="s">
        <v>893</v>
      </c>
      <c r="F230" s="173" t="s">
        <v>3168</v>
      </c>
      <c r="G230" s="173"/>
      <c r="H230" s="173"/>
      <c r="I230" s="174" t="s">
        <v>33</v>
      </c>
      <c r="J230" s="2" t="s">
        <v>2954</v>
      </c>
      <c r="K230" s="177" t="s">
        <v>51</v>
      </c>
      <c r="L230" s="177" t="s">
        <v>3169</v>
      </c>
      <c r="M230" s="1">
        <v>44413</v>
      </c>
      <c r="N230" s="1">
        <v>44414</v>
      </c>
      <c r="O230" s="171" t="s">
        <v>45</v>
      </c>
      <c r="P230" s="178">
        <v>19800</v>
      </c>
      <c r="Q230" s="179"/>
      <c r="R230" s="223">
        <v>4.5</v>
      </c>
      <c r="S230" s="218">
        <f t="shared" si="8"/>
        <v>0.9</v>
      </c>
      <c r="T230" s="180">
        <v>80</v>
      </c>
      <c r="U230" s="181">
        <v>16</v>
      </c>
      <c r="V230" s="181">
        <v>42</v>
      </c>
      <c r="W230" s="181">
        <v>0</v>
      </c>
      <c r="X230" s="182">
        <f t="shared" si="7"/>
        <v>58</v>
      </c>
      <c r="Y230" s="3">
        <v>8</v>
      </c>
      <c r="Z230" s="3" t="s">
        <v>3052</v>
      </c>
      <c r="AA230" s="2" t="s">
        <v>896</v>
      </c>
    </row>
    <row r="231" spans="1:28" ht="23.25" hidden="1" customHeight="1">
      <c r="A231" s="171" t="s">
        <v>2943</v>
      </c>
      <c r="B231" s="171">
        <v>2021</v>
      </c>
      <c r="C231" s="171"/>
      <c r="D231" s="3" t="s">
        <v>52</v>
      </c>
      <c r="E231" s="3" t="s">
        <v>865</v>
      </c>
      <c r="F231" s="173" t="s">
        <v>898</v>
      </c>
      <c r="G231" s="173"/>
      <c r="H231" s="173"/>
      <c r="I231" s="174" t="s">
        <v>48</v>
      </c>
      <c r="J231" s="2" t="s">
        <v>2952</v>
      </c>
      <c r="K231" s="177" t="s">
        <v>3041</v>
      </c>
      <c r="L231" s="177" t="s">
        <v>3170</v>
      </c>
      <c r="M231" s="1">
        <v>44417</v>
      </c>
      <c r="N231" s="1">
        <v>44421</v>
      </c>
      <c r="O231" s="3" t="s">
        <v>41</v>
      </c>
      <c r="P231" s="178">
        <v>5384.88</v>
      </c>
      <c r="Q231" s="179"/>
      <c r="R231" s="223">
        <v>4.5999999999999996</v>
      </c>
      <c r="S231" s="218">
        <f t="shared" si="8"/>
        <v>0.91999999999999993</v>
      </c>
      <c r="T231" s="180">
        <v>40</v>
      </c>
      <c r="U231" s="181">
        <v>2</v>
      </c>
      <c r="V231" s="181">
        <v>21</v>
      </c>
      <c r="W231" s="181">
        <v>37</v>
      </c>
      <c r="X231" s="182">
        <f t="shared" si="7"/>
        <v>60</v>
      </c>
      <c r="Y231" s="3">
        <v>9</v>
      </c>
      <c r="Z231" s="3" t="s">
        <v>2784</v>
      </c>
      <c r="AA231" s="189" t="s">
        <v>3161</v>
      </c>
    </row>
    <row r="232" spans="1:28" ht="23.25" hidden="1" customHeight="1">
      <c r="A232" s="171" t="s">
        <v>2943</v>
      </c>
      <c r="B232" s="171">
        <v>2021</v>
      </c>
      <c r="C232" s="171"/>
      <c r="D232" s="3" t="s">
        <v>52</v>
      </c>
      <c r="E232" s="3" t="s">
        <v>901</v>
      </c>
      <c r="F232" s="173" t="s">
        <v>902</v>
      </c>
      <c r="G232" s="173"/>
      <c r="H232" s="173"/>
      <c r="I232" s="174" t="s">
        <v>33</v>
      </c>
      <c r="J232" s="2" t="s">
        <v>2947</v>
      </c>
      <c r="K232" s="177" t="s">
        <v>3022</v>
      </c>
      <c r="L232" s="177" t="s">
        <v>3171</v>
      </c>
      <c r="M232" s="1">
        <v>44417</v>
      </c>
      <c r="N232" s="1">
        <v>44421</v>
      </c>
      <c r="O232" s="171" t="s">
        <v>45</v>
      </c>
      <c r="P232" s="178">
        <v>2125.79</v>
      </c>
      <c r="Q232" s="179"/>
      <c r="R232" s="223">
        <v>4.7</v>
      </c>
      <c r="S232" s="218">
        <f t="shared" si="8"/>
        <v>0.94000000000000006</v>
      </c>
      <c r="T232" s="180">
        <v>20</v>
      </c>
      <c r="U232" s="181">
        <v>13</v>
      </c>
      <c r="V232" s="181">
        <v>0</v>
      </c>
      <c r="W232" s="181">
        <v>0</v>
      </c>
      <c r="X232" s="182">
        <f t="shared" si="7"/>
        <v>13</v>
      </c>
      <c r="Y232" s="3">
        <v>20</v>
      </c>
      <c r="Z232" s="3" t="s">
        <v>2780</v>
      </c>
      <c r="AA232" s="175" t="s">
        <v>693</v>
      </c>
    </row>
    <row r="233" spans="1:28" ht="23.25" hidden="1" customHeight="1">
      <c r="A233" s="171" t="s">
        <v>2943</v>
      </c>
      <c r="B233" s="171">
        <v>2021</v>
      </c>
      <c r="C233" s="171"/>
      <c r="D233" s="3" t="s">
        <v>52</v>
      </c>
      <c r="E233" s="3" t="s">
        <v>905</v>
      </c>
      <c r="F233" s="173" t="s">
        <v>906</v>
      </c>
      <c r="G233" s="173"/>
      <c r="H233" s="173"/>
      <c r="I233" s="174" t="s">
        <v>33</v>
      </c>
      <c r="J233" s="2" t="s">
        <v>2947</v>
      </c>
      <c r="K233" s="177" t="s">
        <v>3022</v>
      </c>
      <c r="L233" s="177" t="s">
        <v>3172</v>
      </c>
      <c r="M233" s="1">
        <v>44421</v>
      </c>
      <c r="N233" s="1">
        <v>44442</v>
      </c>
      <c r="O233" s="171" t="s">
        <v>45</v>
      </c>
      <c r="P233" s="178">
        <v>0</v>
      </c>
      <c r="Q233" s="179"/>
      <c r="R233" s="223">
        <v>3.5</v>
      </c>
      <c r="S233" s="218">
        <f t="shared" si="8"/>
        <v>0.7</v>
      </c>
      <c r="T233" s="180">
        <v>40</v>
      </c>
      <c r="U233" s="181">
        <v>14</v>
      </c>
      <c r="V233" s="181">
        <v>0</v>
      </c>
      <c r="W233" s="181">
        <v>0</v>
      </c>
      <c r="X233" s="182">
        <f t="shared" si="7"/>
        <v>14</v>
      </c>
      <c r="Y233" s="3">
        <v>8</v>
      </c>
      <c r="Z233" s="3" t="s">
        <v>2780</v>
      </c>
      <c r="AA233" s="2" t="s">
        <v>908</v>
      </c>
    </row>
    <row r="234" spans="1:28" ht="23.25" hidden="1" customHeight="1">
      <c r="A234" s="171" t="s">
        <v>2943</v>
      </c>
      <c r="B234" s="171">
        <v>2021</v>
      </c>
      <c r="C234" s="171"/>
      <c r="D234" s="3" t="s">
        <v>52</v>
      </c>
      <c r="E234" s="3" t="s">
        <v>910</v>
      </c>
      <c r="F234" s="173" t="s">
        <v>911</v>
      </c>
      <c r="G234" s="173"/>
      <c r="H234" s="173"/>
      <c r="I234" s="174" t="s">
        <v>44</v>
      </c>
      <c r="J234" s="2" t="s">
        <v>2952</v>
      </c>
      <c r="K234" s="177" t="s">
        <v>3041</v>
      </c>
      <c r="L234" s="177" t="s">
        <v>3173</v>
      </c>
      <c r="M234" s="1">
        <v>44424</v>
      </c>
      <c r="N234" s="1">
        <v>44427</v>
      </c>
      <c r="O234" s="3" t="s">
        <v>41</v>
      </c>
      <c r="P234" s="178">
        <v>9210.7800000000007</v>
      </c>
      <c r="Q234" s="179"/>
      <c r="R234" s="217">
        <v>4.5</v>
      </c>
      <c r="S234" s="218">
        <f t="shared" si="8"/>
        <v>0.9</v>
      </c>
      <c r="T234" s="180">
        <v>40</v>
      </c>
      <c r="U234" s="181">
        <v>1</v>
      </c>
      <c r="V234" s="181">
        <v>52</v>
      </c>
      <c r="W234" s="181">
        <v>0</v>
      </c>
      <c r="X234" s="182">
        <f t="shared" si="7"/>
        <v>53</v>
      </c>
      <c r="Y234" s="3">
        <v>16</v>
      </c>
      <c r="Z234" s="3" t="s">
        <v>3052</v>
      </c>
      <c r="AA234" s="189" t="s">
        <v>3004</v>
      </c>
    </row>
    <row r="235" spans="1:28" ht="23.25" hidden="1" customHeight="1">
      <c r="A235" s="171" t="s">
        <v>2943</v>
      </c>
      <c r="B235" s="171">
        <v>2021</v>
      </c>
      <c r="C235" s="171"/>
      <c r="D235" s="3" t="s">
        <v>52</v>
      </c>
      <c r="E235" s="3" t="s">
        <v>914</v>
      </c>
      <c r="F235" s="173" t="s">
        <v>915</v>
      </c>
      <c r="G235" s="173"/>
      <c r="H235" s="173"/>
      <c r="I235" s="174" t="s">
        <v>33</v>
      </c>
      <c r="J235" s="2" t="s">
        <v>2954</v>
      </c>
      <c r="K235" s="177" t="s">
        <v>3022</v>
      </c>
      <c r="L235" s="177" t="s">
        <v>916</v>
      </c>
      <c r="M235" s="1">
        <v>44431</v>
      </c>
      <c r="N235" s="1">
        <v>44431</v>
      </c>
      <c r="O235" s="171" t="s">
        <v>45</v>
      </c>
      <c r="P235" s="178">
        <v>0</v>
      </c>
      <c r="Q235" s="179"/>
      <c r="R235" s="223">
        <v>4.8</v>
      </c>
      <c r="S235" s="218">
        <f t="shared" si="8"/>
        <v>0.96</v>
      </c>
      <c r="T235" s="180">
        <v>105</v>
      </c>
      <c r="U235" s="181">
        <v>105</v>
      </c>
      <c r="V235" s="181">
        <v>0</v>
      </c>
      <c r="W235" s="181">
        <v>0</v>
      </c>
      <c r="X235" s="182">
        <f t="shared" si="7"/>
        <v>105</v>
      </c>
      <c r="Y235" s="3">
        <v>1.5</v>
      </c>
      <c r="Z235" s="3" t="s">
        <v>2780</v>
      </c>
      <c r="AA235" s="175" t="s">
        <v>917</v>
      </c>
    </row>
    <row r="236" spans="1:28" ht="23.25" hidden="1" customHeight="1">
      <c r="A236" s="171" t="s">
        <v>2943</v>
      </c>
      <c r="B236" s="171">
        <v>2021</v>
      </c>
      <c r="C236" s="171"/>
      <c r="D236" s="3" t="s">
        <v>52</v>
      </c>
      <c r="E236" s="3" t="s">
        <v>919</v>
      </c>
      <c r="F236" s="173" t="s">
        <v>920</v>
      </c>
      <c r="G236" s="173"/>
      <c r="H236" s="173"/>
      <c r="I236" s="174" t="s">
        <v>44</v>
      </c>
      <c r="J236" s="2" t="s">
        <v>2952</v>
      </c>
      <c r="K236" s="177" t="s">
        <v>51</v>
      </c>
      <c r="L236" s="177" t="s">
        <v>3174</v>
      </c>
      <c r="M236" s="1">
        <v>44438</v>
      </c>
      <c r="N236" s="1">
        <v>44439</v>
      </c>
      <c r="O236" s="171" t="s">
        <v>45</v>
      </c>
      <c r="P236" s="178">
        <v>0</v>
      </c>
      <c r="Q236" s="179"/>
      <c r="R236" s="217">
        <v>5</v>
      </c>
      <c r="S236" s="218">
        <f t="shared" si="8"/>
        <v>1</v>
      </c>
      <c r="T236" s="180">
        <v>635</v>
      </c>
      <c r="U236" s="181">
        <v>57</v>
      </c>
      <c r="V236" s="181">
        <v>431</v>
      </c>
      <c r="W236" s="181">
        <v>147</v>
      </c>
      <c r="X236" s="182">
        <f t="shared" si="7"/>
        <v>635</v>
      </c>
      <c r="Y236" s="3">
        <v>4</v>
      </c>
      <c r="Z236" s="3" t="s">
        <v>3043</v>
      </c>
      <c r="AA236" s="175" t="s">
        <v>3175</v>
      </c>
    </row>
    <row r="237" spans="1:28" ht="23.25" hidden="1" customHeight="1">
      <c r="A237" s="171" t="s">
        <v>2943</v>
      </c>
      <c r="B237" s="171">
        <v>2021</v>
      </c>
      <c r="C237" s="171"/>
      <c r="D237" s="3" t="s">
        <v>52</v>
      </c>
      <c r="E237" s="3" t="s">
        <v>923</v>
      </c>
      <c r="F237" s="173" t="s">
        <v>924</v>
      </c>
      <c r="G237" s="173"/>
      <c r="H237" s="173"/>
      <c r="I237" s="174" t="s">
        <v>44</v>
      </c>
      <c r="J237" s="2" t="s">
        <v>2952</v>
      </c>
      <c r="K237" s="177" t="s">
        <v>51</v>
      </c>
      <c r="L237" s="177" t="s">
        <v>925</v>
      </c>
      <c r="M237" s="1">
        <v>44440</v>
      </c>
      <c r="N237" s="1">
        <v>44440</v>
      </c>
      <c r="O237" s="3" t="s">
        <v>41</v>
      </c>
      <c r="P237" s="178">
        <v>1800</v>
      </c>
      <c r="Q237" s="179"/>
      <c r="R237" s="217">
        <v>5</v>
      </c>
      <c r="S237" s="218">
        <f t="shared" si="8"/>
        <v>1</v>
      </c>
      <c r="T237" s="180">
        <v>30</v>
      </c>
      <c r="U237" s="181">
        <v>6</v>
      </c>
      <c r="V237" s="181">
        <v>28</v>
      </c>
      <c r="W237" s="181">
        <v>0</v>
      </c>
      <c r="X237" s="182">
        <f t="shared" si="7"/>
        <v>34</v>
      </c>
      <c r="Y237" s="3">
        <v>2</v>
      </c>
      <c r="Z237" s="3" t="s">
        <v>3043</v>
      </c>
      <c r="AA237" s="194" t="s">
        <v>3176</v>
      </c>
    </row>
    <row r="238" spans="1:28" ht="23.25" hidden="1" customHeight="1">
      <c r="A238" s="171" t="s">
        <v>2943</v>
      </c>
      <c r="B238" s="171">
        <v>2021</v>
      </c>
      <c r="C238" s="171"/>
      <c r="D238" s="3" t="s">
        <v>52</v>
      </c>
      <c r="E238" s="3" t="s">
        <v>928</v>
      </c>
      <c r="F238" s="173" t="s">
        <v>929</v>
      </c>
      <c r="G238" s="173"/>
      <c r="H238" s="173"/>
      <c r="I238" s="174" t="s">
        <v>44</v>
      </c>
      <c r="J238" s="2" t="s">
        <v>2952</v>
      </c>
      <c r="K238" s="177" t="s">
        <v>51</v>
      </c>
      <c r="L238" s="177" t="s">
        <v>925</v>
      </c>
      <c r="M238" s="1">
        <v>44440</v>
      </c>
      <c r="N238" s="1">
        <v>44440</v>
      </c>
      <c r="O238" s="3" t="s">
        <v>41</v>
      </c>
      <c r="P238" s="178">
        <v>1577.18</v>
      </c>
      <c r="Q238" s="179"/>
      <c r="R238" s="217">
        <v>5</v>
      </c>
      <c r="S238" s="218">
        <f t="shared" si="8"/>
        <v>1</v>
      </c>
      <c r="T238" s="180">
        <v>32</v>
      </c>
      <c r="U238" s="181">
        <v>5</v>
      </c>
      <c r="V238" s="181">
        <v>27</v>
      </c>
      <c r="W238" s="181">
        <v>0</v>
      </c>
      <c r="X238" s="182">
        <f t="shared" si="7"/>
        <v>32</v>
      </c>
      <c r="Y238" s="3">
        <v>4</v>
      </c>
      <c r="Z238" s="3" t="s">
        <v>3043</v>
      </c>
      <c r="AA238" s="189" t="s">
        <v>3032</v>
      </c>
    </row>
    <row r="239" spans="1:28" ht="23.25" hidden="1" customHeight="1">
      <c r="A239" s="171" t="s">
        <v>2943</v>
      </c>
      <c r="B239" s="171">
        <v>2021</v>
      </c>
      <c r="C239" s="171"/>
      <c r="D239" s="171" t="s">
        <v>50</v>
      </c>
      <c r="E239" s="3" t="s">
        <v>825</v>
      </c>
      <c r="F239" s="186" t="s">
        <v>3177</v>
      </c>
      <c r="G239" s="186"/>
      <c r="H239" s="186"/>
      <c r="I239" s="225" t="s">
        <v>2946</v>
      </c>
      <c r="J239" s="210" t="s">
        <v>2954</v>
      </c>
      <c r="K239" s="177"/>
      <c r="L239" s="177" t="s">
        <v>3178</v>
      </c>
      <c r="M239" s="1">
        <v>44449</v>
      </c>
      <c r="N239" s="1">
        <v>44456</v>
      </c>
      <c r="O239" s="171" t="s">
        <v>45</v>
      </c>
      <c r="P239" s="178">
        <v>5800</v>
      </c>
      <c r="Q239" s="179"/>
      <c r="R239" s="180"/>
      <c r="S239" s="218">
        <f t="shared" si="8"/>
        <v>0</v>
      </c>
      <c r="T239" s="180">
        <v>24</v>
      </c>
      <c r="U239" s="181"/>
      <c r="V239" s="181"/>
      <c r="W239" s="181"/>
      <c r="X239" s="181">
        <f t="shared" si="7"/>
        <v>0</v>
      </c>
      <c r="Y239" s="3">
        <v>14</v>
      </c>
      <c r="Z239" s="3"/>
      <c r="AA239" s="175" t="s">
        <v>827</v>
      </c>
    </row>
    <row r="240" spans="1:28" ht="23.25" hidden="1" customHeight="1">
      <c r="A240" s="171" t="s">
        <v>2943</v>
      </c>
      <c r="B240" s="171">
        <v>2021</v>
      </c>
      <c r="C240" s="171"/>
      <c r="D240" s="3" t="s">
        <v>52</v>
      </c>
      <c r="E240" s="3" t="s">
        <v>932</v>
      </c>
      <c r="F240" s="173" t="s">
        <v>933</v>
      </c>
      <c r="G240" s="173"/>
      <c r="H240" s="173"/>
      <c r="I240" s="174" t="s">
        <v>33</v>
      </c>
      <c r="J240" s="2" t="s">
        <v>3006</v>
      </c>
      <c r="K240" s="177" t="s">
        <v>3022</v>
      </c>
      <c r="L240" s="177" t="s">
        <v>3179</v>
      </c>
      <c r="M240" s="1">
        <v>44449</v>
      </c>
      <c r="N240" s="1">
        <v>44453</v>
      </c>
      <c r="O240" s="3" t="s">
        <v>41</v>
      </c>
      <c r="P240" s="178">
        <v>9000</v>
      </c>
      <c r="Q240" s="179"/>
      <c r="R240" s="217">
        <v>4.5999999999999996</v>
      </c>
      <c r="S240" s="218">
        <f t="shared" si="8"/>
        <v>0.91999999999999993</v>
      </c>
      <c r="T240" s="180">
        <v>10</v>
      </c>
      <c r="U240" s="181">
        <v>10</v>
      </c>
      <c r="V240" s="181">
        <v>0</v>
      </c>
      <c r="W240" s="182">
        <v>0</v>
      </c>
      <c r="X240" s="182">
        <f t="shared" si="7"/>
        <v>10</v>
      </c>
      <c r="Y240" s="3">
        <v>10.5</v>
      </c>
      <c r="Z240" s="3" t="s">
        <v>3043</v>
      </c>
      <c r="AA240" s="189" t="s">
        <v>3180</v>
      </c>
    </row>
    <row r="241" spans="1:28" ht="23.25" hidden="1" customHeight="1">
      <c r="A241" s="171" t="s">
        <v>2943</v>
      </c>
      <c r="B241" s="171">
        <v>2021</v>
      </c>
      <c r="C241" s="171"/>
      <c r="D241" s="3" t="s">
        <v>52</v>
      </c>
      <c r="E241" s="3" t="s">
        <v>901</v>
      </c>
      <c r="F241" s="173" t="s">
        <v>937</v>
      </c>
      <c r="G241" s="173"/>
      <c r="H241" s="173"/>
      <c r="I241" s="174" t="s">
        <v>33</v>
      </c>
      <c r="J241" s="2" t="s">
        <v>2947</v>
      </c>
      <c r="K241" s="177" t="s">
        <v>3022</v>
      </c>
      <c r="L241" s="177" t="s">
        <v>3181</v>
      </c>
      <c r="M241" s="1">
        <v>44459</v>
      </c>
      <c r="N241" s="1">
        <v>44463</v>
      </c>
      <c r="O241" s="171" t="s">
        <v>45</v>
      </c>
      <c r="P241" s="178">
        <v>2125.79</v>
      </c>
      <c r="Q241" s="179"/>
      <c r="R241" s="217">
        <v>4.5</v>
      </c>
      <c r="S241" s="218">
        <f t="shared" si="8"/>
        <v>0.9</v>
      </c>
      <c r="T241" s="180">
        <v>20</v>
      </c>
      <c r="U241" s="181">
        <v>16</v>
      </c>
      <c r="V241" s="181">
        <v>0</v>
      </c>
      <c r="W241" s="181">
        <v>0</v>
      </c>
      <c r="X241" s="182">
        <f t="shared" si="7"/>
        <v>16</v>
      </c>
      <c r="Y241" s="3">
        <v>20</v>
      </c>
      <c r="Z241" s="3" t="s">
        <v>2780</v>
      </c>
      <c r="AA241" s="175" t="s">
        <v>693</v>
      </c>
    </row>
    <row r="242" spans="1:28" ht="23.25" hidden="1" customHeight="1">
      <c r="A242" s="171" t="s">
        <v>2943</v>
      </c>
      <c r="B242" s="171">
        <v>2021</v>
      </c>
      <c r="C242" s="171"/>
      <c r="D242" s="3" t="s">
        <v>52</v>
      </c>
      <c r="E242" s="3" t="s">
        <v>940</v>
      </c>
      <c r="F242" s="173" t="s">
        <v>941</v>
      </c>
      <c r="G242" s="173"/>
      <c r="H242" s="173"/>
      <c r="I242" s="174" t="s">
        <v>33</v>
      </c>
      <c r="J242" s="2" t="s">
        <v>3029</v>
      </c>
      <c r="K242" s="177" t="s">
        <v>3022</v>
      </c>
      <c r="L242" s="177" t="s">
        <v>3182</v>
      </c>
      <c r="M242" s="1">
        <v>44460</v>
      </c>
      <c r="N242" s="1">
        <v>44473</v>
      </c>
      <c r="O242" s="171" t="s">
        <v>45</v>
      </c>
      <c r="P242" s="178">
        <v>6960</v>
      </c>
      <c r="Q242" s="179"/>
      <c r="R242" s="223">
        <v>4.5</v>
      </c>
      <c r="S242" s="218">
        <f t="shared" si="8"/>
        <v>0.9</v>
      </c>
      <c r="T242" s="180">
        <v>50</v>
      </c>
      <c r="U242" s="181">
        <v>20</v>
      </c>
      <c r="V242" s="181">
        <v>0</v>
      </c>
      <c r="W242" s="181">
        <v>0</v>
      </c>
      <c r="X242" s="182">
        <f t="shared" si="7"/>
        <v>20</v>
      </c>
      <c r="Y242" s="3">
        <v>8</v>
      </c>
      <c r="Z242" s="3" t="s">
        <v>3052</v>
      </c>
      <c r="AA242" s="2" t="s">
        <v>1047</v>
      </c>
    </row>
    <row r="243" spans="1:28" ht="23.25" hidden="1" customHeight="1">
      <c r="A243" s="171" t="s">
        <v>2943</v>
      </c>
      <c r="B243" s="171">
        <v>2021</v>
      </c>
      <c r="C243" s="171"/>
      <c r="D243" s="3" t="s">
        <v>52</v>
      </c>
      <c r="E243" s="3" t="s">
        <v>944</v>
      </c>
      <c r="F243" s="173" t="s">
        <v>945</v>
      </c>
      <c r="G243" s="173"/>
      <c r="H243" s="173"/>
      <c r="I243" s="174" t="s">
        <v>48</v>
      </c>
      <c r="J243" s="2" t="s">
        <v>2952</v>
      </c>
      <c r="K243" s="177" t="s">
        <v>3041</v>
      </c>
      <c r="L243" s="177" t="s">
        <v>946</v>
      </c>
      <c r="M243" s="1">
        <v>44461</v>
      </c>
      <c r="N243" s="1">
        <v>44461</v>
      </c>
      <c r="O243" s="3" t="s">
        <v>41</v>
      </c>
      <c r="P243" s="178">
        <f>788.59/2</f>
        <v>394.29500000000002</v>
      </c>
      <c r="Q243" s="179"/>
      <c r="R243" s="217">
        <v>5</v>
      </c>
      <c r="S243" s="218">
        <f t="shared" si="8"/>
        <v>1</v>
      </c>
      <c r="T243" s="180">
        <v>59</v>
      </c>
      <c r="U243" s="181">
        <v>0</v>
      </c>
      <c r="V243" s="181">
        <v>0</v>
      </c>
      <c r="W243" s="181">
        <v>59</v>
      </c>
      <c r="X243" s="182">
        <f t="shared" si="7"/>
        <v>59</v>
      </c>
      <c r="Y243" s="3">
        <v>1</v>
      </c>
      <c r="Z243" s="3" t="s">
        <v>2784</v>
      </c>
      <c r="AA243" s="189" t="s">
        <v>3183</v>
      </c>
    </row>
    <row r="244" spans="1:28" ht="23.25" hidden="1" customHeight="1">
      <c r="A244" s="171" t="s">
        <v>2943</v>
      </c>
      <c r="B244" s="171">
        <v>2021</v>
      </c>
      <c r="C244" s="171"/>
      <c r="D244" s="3" t="s">
        <v>52</v>
      </c>
      <c r="E244" s="3" t="s">
        <v>860</v>
      </c>
      <c r="F244" s="173" t="s">
        <v>949</v>
      </c>
      <c r="G244" s="173"/>
      <c r="H244" s="173"/>
      <c r="I244" s="174" t="s">
        <v>33</v>
      </c>
      <c r="J244" s="234" t="s">
        <v>2976</v>
      </c>
      <c r="K244" s="177" t="s">
        <v>3022</v>
      </c>
      <c r="L244" s="177" t="s">
        <v>950</v>
      </c>
      <c r="M244" s="1">
        <v>44463</v>
      </c>
      <c r="N244" s="1">
        <v>44463</v>
      </c>
      <c r="O244" s="3" t="s">
        <v>41</v>
      </c>
      <c r="P244" s="178">
        <v>0</v>
      </c>
      <c r="Q244" s="236"/>
      <c r="R244" s="217">
        <v>5</v>
      </c>
      <c r="S244" s="218">
        <f t="shared" si="8"/>
        <v>1</v>
      </c>
      <c r="T244" s="3">
        <v>70</v>
      </c>
      <c r="U244" s="181">
        <v>70</v>
      </c>
      <c r="V244" s="181">
        <v>0</v>
      </c>
      <c r="W244" s="181">
        <v>0</v>
      </c>
      <c r="X244" s="182">
        <f t="shared" si="7"/>
        <v>70</v>
      </c>
      <c r="Y244" s="239">
        <v>2</v>
      </c>
      <c r="Z244" s="239" t="s">
        <v>2780</v>
      </c>
      <c r="AA244" s="240" t="s">
        <v>3159</v>
      </c>
    </row>
    <row r="245" spans="1:28" ht="23.25" hidden="1" customHeight="1">
      <c r="A245" s="171" t="s">
        <v>2943</v>
      </c>
      <c r="B245" s="171">
        <v>2021</v>
      </c>
      <c r="C245" s="171"/>
      <c r="D245" s="3" t="s">
        <v>52</v>
      </c>
      <c r="E245" s="3" t="s">
        <v>944</v>
      </c>
      <c r="F245" s="173" t="s">
        <v>952</v>
      </c>
      <c r="G245" s="173"/>
      <c r="H245" s="173"/>
      <c r="I245" s="174" t="s">
        <v>48</v>
      </c>
      <c r="J245" s="2" t="s">
        <v>2952</v>
      </c>
      <c r="K245" s="177" t="s">
        <v>3041</v>
      </c>
      <c r="L245" s="177" t="s">
        <v>953</v>
      </c>
      <c r="M245" s="1">
        <v>44473</v>
      </c>
      <c r="N245" s="1">
        <v>44473</v>
      </c>
      <c r="O245" s="3" t="s">
        <v>41</v>
      </c>
      <c r="P245" s="178">
        <v>394.29</v>
      </c>
      <c r="Q245" s="179"/>
      <c r="R245" s="217">
        <v>5</v>
      </c>
      <c r="S245" s="218">
        <f t="shared" si="8"/>
        <v>1</v>
      </c>
      <c r="T245" s="180">
        <v>30</v>
      </c>
      <c r="U245" s="181">
        <v>0</v>
      </c>
      <c r="V245" s="181">
        <v>0</v>
      </c>
      <c r="W245" s="181">
        <v>30</v>
      </c>
      <c r="X245" s="182">
        <f t="shared" si="7"/>
        <v>30</v>
      </c>
      <c r="Y245" s="3">
        <v>1</v>
      </c>
      <c r="Z245" s="3" t="s">
        <v>2784</v>
      </c>
      <c r="AA245" s="189" t="s">
        <v>3183</v>
      </c>
    </row>
    <row r="246" spans="1:28" ht="23.25" hidden="1" customHeight="1">
      <c r="A246" s="171" t="s">
        <v>2943</v>
      </c>
      <c r="B246" s="171">
        <v>2021</v>
      </c>
      <c r="C246" s="171"/>
      <c r="D246" s="3" t="s">
        <v>52</v>
      </c>
      <c r="E246" s="3" t="s">
        <v>955</v>
      </c>
      <c r="F246" s="173" t="s">
        <v>956</v>
      </c>
      <c r="G246" s="173"/>
      <c r="H246" s="173"/>
      <c r="I246" s="174" t="s">
        <v>33</v>
      </c>
      <c r="J246" s="2" t="s">
        <v>2954</v>
      </c>
      <c r="K246" s="177" t="s">
        <v>3022</v>
      </c>
      <c r="L246" s="177" t="s">
        <v>957</v>
      </c>
      <c r="M246" s="1">
        <v>44483</v>
      </c>
      <c r="N246" s="1">
        <v>44483</v>
      </c>
      <c r="O246" s="171" t="s">
        <v>45</v>
      </c>
      <c r="P246" s="178">
        <v>0</v>
      </c>
      <c r="Q246" s="179"/>
      <c r="R246" s="223">
        <v>5</v>
      </c>
      <c r="S246" s="218">
        <f t="shared" si="8"/>
        <v>1</v>
      </c>
      <c r="T246" s="180">
        <v>14</v>
      </c>
      <c r="U246" s="181">
        <v>14</v>
      </c>
      <c r="V246" s="181">
        <v>0</v>
      </c>
      <c r="W246" s="181">
        <v>0</v>
      </c>
      <c r="X246" s="182">
        <f t="shared" si="7"/>
        <v>14</v>
      </c>
      <c r="Y246" s="3">
        <v>2</v>
      </c>
      <c r="Z246" s="3" t="s">
        <v>2780</v>
      </c>
      <c r="AA246" s="2" t="s">
        <v>958</v>
      </c>
    </row>
    <row r="247" spans="1:28" ht="23.25" hidden="1" customHeight="1">
      <c r="A247" s="171" t="s">
        <v>2943</v>
      </c>
      <c r="B247" s="171">
        <v>2021</v>
      </c>
      <c r="C247" s="171"/>
      <c r="D247" s="3" t="s">
        <v>52</v>
      </c>
      <c r="E247" s="3" t="s">
        <v>960</v>
      </c>
      <c r="F247" s="173" t="s">
        <v>961</v>
      </c>
      <c r="G247" s="173"/>
      <c r="H247" s="173"/>
      <c r="I247" s="174" t="s">
        <v>51</v>
      </c>
      <c r="J247" s="2" t="s">
        <v>2952</v>
      </c>
      <c r="K247" s="177" t="s">
        <v>3022</v>
      </c>
      <c r="L247" s="177" t="s">
        <v>3184</v>
      </c>
      <c r="M247" s="1">
        <v>44487</v>
      </c>
      <c r="N247" s="1">
        <v>44491</v>
      </c>
      <c r="O247" s="3" t="s">
        <v>41</v>
      </c>
      <c r="P247" s="178">
        <v>10000</v>
      </c>
      <c r="Q247" s="179"/>
      <c r="R247" s="217">
        <v>4.5</v>
      </c>
      <c r="S247" s="218">
        <f t="shared" si="8"/>
        <v>0.9</v>
      </c>
      <c r="T247" s="180">
        <v>20</v>
      </c>
      <c r="U247" s="181">
        <v>4</v>
      </c>
      <c r="V247" s="181">
        <v>24</v>
      </c>
      <c r="W247" s="181">
        <v>1</v>
      </c>
      <c r="X247" s="182">
        <f t="shared" si="7"/>
        <v>29</v>
      </c>
      <c r="Y247" s="3">
        <v>12</v>
      </c>
      <c r="Z247" s="3" t="s">
        <v>3052</v>
      </c>
      <c r="AA247" s="189" t="s">
        <v>3185</v>
      </c>
    </row>
    <row r="248" spans="1:28" ht="23.25" hidden="1" customHeight="1">
      <c r="A248" s="171" t="s">
        <v>2943</v>
      </c>
      <c r="B248" s="171">
        <v>2021</v>
      </c>
      <c r="C248" s="171"/>
      <c r="D248" s="3" t="s">
        <v>52</v>
      </c>
      <c r="E248" s="3" t="s">
        <v>965</v>
      </c>
      <c r="F248" s="173" t="s">
        <v>966</v>
      </c>
      <c r="G248" s="173"/>
      <c r="H248" s="173"/>
      <c r="I248" s="174" t="s">
        <v>33</v>
      </c>
      <c r="J248" s="2" t="s">
        <v>2976</v>
      </c>
      <c r="K248" s="177" t="s">
        <v>3022</v>
      </c>
      <c r="L248" s="177" t="s">
        <v>967</v>
      </c>
      <c r="M248" s="1">
        <v>44491</v>
      </c>
      <c r="N248" s="1">
        <v>44491</v>
      </c>
      <c r="O248" s="171" t="s">
        <v>45</v>
      </c>
      <c r="P248" s="178">
        <v>0</v>
      </c>
      <c r="Q248" s="179"/>
      <c r="R248" s="217">
        <v>5</v>
      </c>
      <c r="S248" s="218">
        <f t="shared" si="8"/>
        <v>1</v>
      </c>
      <c r="T248" s="180">
        <v>37</v>
      </c>
      <c r="U248" s="181">
        <v>37</v>
      </c>
      <c r="V248" s="181">
        <v>0</v>
      </c>
      <c r="W248" s="181">
        <v>0</v>
      </c>
      <c r="X248" s="182">
        <f t="shared" si="7"/>
        <v>37</v>
      </c>
      <c r="Y248" s="3">
        <v>2</v>
      </c>
      <c r="Z248" s="3" t="s">
        <v>2780</v>
      </c>
      <c r="AA248" s="2" t="s">
        <v>3186</v>
      </c>
      <c r="AB248" s="2" t="s">
        <v>3187</v>
      </c>
    </row>
    <row r="249" spans="1:28" ht="23.25" hidden="1" customHeight="1">
      <c r="A249" s="171" t="s">
        <v>2943</v>
      </c>
      <c r="B249" s="171">
        <v>2021</v>
      </c>
      <c r="C249" s="171"/>
      <c r="D249" s="3" t="s">
        <v>52</v>
      </c>
      <c r="E249" s="3" t="s">
        <v>969</v>
      </c>
      <c r="F249" s="173" t="s">
        <v>970</v>
      </c>
      <c r="G249" s="173"/>
      <c r="H249" s="173"/>
      <c r="I249" s="174" t="s">
        <v>44</v>
      </c>
      <c r="J249" s="2" t="s">
        <v>2952</v>
      </c>
      <c r="K249" s="177" t="s">
        <v>3022</v>
      </c>
      <c r="L249" s="177" t="s">
        <v>3188</v>
      </c>
      <c r="M249" s="1">
        <v>44503</v>
      </c>
      <c r="N249" s="1">
        <v>44512</v>
      </c>
      <c r="O249" s="3" t="s">
        <v>41</v>
      </c>
      <c r="P249" s="178">
        <v>8539.24</v>
      </c>
      <c r="Q249" s="179"/>
      <c r="R249" s="217">
        <v>4</v>
      </c>
      <c r="S249" s="218">
        <f t="shared" si="8"/>
        <v>0.8</v>
      </c>
      <c r="T249" s="180">
        <v>20</v>
      </c>
      <c r="U249" s="181">
        <v>0</v>
      </c>
      <c r="V249" s="181">
        <v>24</v>
      </c>
      <c r="W249" s="181">
        <v>0</v>
      </c>
      <c r="X249" s="182">
        <f t="shared" si="7"/>
        <v>24</v>
      </c>
      <c r="Y249" s="3">
        <v>24</v>
      </c>
      <c r="Z249" s="3" t="s">
        <v>3052</v>
      </c>
      <c r="AA249" s="189" t="s">
        <v>3189</v>
      </c>
    </row>
    <row r="250" spans="1:28" ht="23.25" hidden="1" customHeight="1">
      <c r="A250" s="171" t="s">
        <v>2943</v>
      </c>
      <c r="B250" s="171">
        <v>2021</v>
      </c>
      <c r="C250" s="171"/>
      <c r="D250" s="3" t="s">
        <v>52</v>
      </c>
      <c r="E250" s="3" t="s">
        <v>974</v>
      </c>
      <c r="F250" s="173" t="s">
        <v>975</v>
      </c>
      <c r="G250" s="173"/>
      <c r="H250" s="173"/>
      <c r="I250" s="174" t="s">
        <v>3034</v>
      </c>
      <c r="J250" s="2" t="s">
        <v>3029</v>
      </c>
      <c r="K250" s="177" t="s">
        <v>3022</v>
      </c>
      <c r="L250" s="177" t="s">
        <v>976</v>
      </c>
      <c r="M250" s="1">
        <v>44505</v>
      </c>
      <c r="N250" s="1">
        <v>44505</v>
      </c>
      <c r="O250" s="171" t="s">
        <v>45</v>
      </c>
      <c r="P250" s="178">
        <v>0</v>
      </c>
      <c r="Q250" s="179"/>
      <c r="R250" s="217">
        <v>5</v>
      </c>
      <c r="S250" s="218">
        <f t="shared" si="8"/>
        <v>1</v>
      </c>
      <c r="T250" s="180">
        <v>32</v>
      </c>
      <c r="U250" s="181">
        <v>32</v>
      </c>
      <c r="V250" s="181">
        <v>0</v>
      </c>
      <c r="W250" s="181">
        <v>0</v>
      </c>
      <c r="X250" s="182">
        <f t="shared" si="7"/>
        <v>32</v>
      </c>
      <c r="Y250" s="3">
        <v>1.5</v>
      </c>
      <c r="Z250" s="3" t="s">
        <v>3052</v>
      </c>
      <c r="AA250" s="2" t="s">
        <v>977</v>
      </c>
    </row>
    <row r="251" spans="1:28" ht="23.25" hidden="1" customHeight="1">
      <c r="A251" s="171" t="s">
        <v>2943</v>
      </c>
      <c r="B251" s="171">
        <v>2021</v>
      </c>
      <c r="C251" s="171"/>
      <c r="D251" s="3" t="s">
        <v>52</v>
      </c>
      <c r="E251" s="3" t="s">
        <v>955</v>
      </c>
      <c r="F251" s="173" t="s">
        <v>979</v>
      </c>
      <c r="G251" s="173"/>
      <c r="H251" s="173"/>
      <c r="I251" s="174" t="s">
        <v>33</v>
      </c>
      <c r="J251" s="2" t="s">
        <v>2954</v>
      </c>
      <c r="K251" s="177" t="s">
        <v>3022</v>
      </c>
      <c r="L251" s="177" t="s">
        <v>980</v>
      </c>
      <c r="M251" s="1">
        <v>44508</v>
      </c>
      <c r="N251" s="1">
        <v>44508</v>
      </c>
      <c r="O251" s="171" t="s">
        <v>45</v>
      </c>
      <c r="P251" s="178">
        <v>0</v>
      </c>
      <c r="Q251" s="179"/>
      <c r="R251" s="217">
        <v>5</v>
      </c>
      <c r="S251" s="218">
        <f t="shared" si="8"/>
        <v>1</v>
      </c>
      <c r="T251" s="180">
        <v>14</v>
      </c>
      <c r="U251" s="181">
        <v>14</v>
      </c>
      <c r="V251" s="181">
        <v>0</v>
      </c>
      <c r="W251" s="181">
        <v>0</v>
      </c>
      <c r="X251" s="182">
        <f t="shared" si="7"/>
        <v>14</v>
      </c>
      <c r="Y251" s="3">
        <v>1</v>
      </c>
      <c r="Z251" s="3" t="s">
        <v>2780</v>
      </c>
      <c r="AA251" s="210" t="s">
        <v>3190</v>
      </c>
    </row>
    <row r="252" spans="1:28" ht="23.25" hidden="1" customHeight="1">
      <c r="A252" s="171" t="s">
        <v>2943</v>
      </c>
      <c r="B252" s="171">
        <v>2021</v>
      </c>
      <c r="C252" s="171"/>
      <c r="D252" s="3" t="s">
        <v>52</v>
      </c>
      <c r="E252" s="3" t="s">
        <v>974</v>
      </c>
      <c r="F252" s="173" t="s">
        <v>983</v>
      </c>
      <c r="G252" s="173"/>
      <c r="H252" s="173"/>
      <c r="I252" s="174" t="s">
        <v>3034</v>
      </c>
      <c r="J252" s="2" t="s">
        <v>3029</v>
      </c>
      <c r="K252" s="177" t="s">
        <v>3022</v>
      </c>
      <c r="L252" s="177" t="s">
        <v>3191</v>
      </c>
      <c r="M252" s="1">
        <v>44516</v>
      </c>
      <c r="N252" s="1">
        <v>44525</v>
      </c>
      <c r="O252" s="171" t="s">
        <v>45</v>
      </c>
      <c r="P252" s="178">
        <v>9000</v>
      </c>
      <c r="Q252" s="179"/>
      <c r="R252" s="217">
        <v>4.2</v>
      </c>
      <c r="S252" s="218">
        <f t="shared" si="8"/>
        <v>0.84000000000000008</v>
      </c>
      <c r="T252" s="180">
        <v>30</v>
      </c>
      <c r="U252" s="181">
        <v>31</v>
      </c>
      <c r="V252" s="181">
        <v>0</v>
      </c>
      <c r="W252" s="181">
        <v>0</v>
      </c>
      <c r="X252" s="182">
        <f t="shared" si="7"/>
        <v>31</v>
      </c>
      <c r="Y252" s="3">
        <v>10</v>
      </c>
      <c r="Z252" s="3" t="s">
        <v>3052</v>
      </c>
      <c r="AA252" s="2" t="s">
        <v>977</v>
      </c>
    </row>
    <row r="253" spans="1:28" ht="23.25" hidden="1" customHeight="1">
      <c r="A253" s="171" t="s">
        <v>2943</v>
      </c>
      <c r="B253" s="171">
        <v>2021</v>
      </c>
      <c r="C253" s="171"/>
      <c r="D253" s="3" t="s">
        <v>52</v>
      </c>
      <c r="E253" s="3" t="s">
        <v>986</v>
      </c>
      <c r="F253" s="173" t="s">
        <v>987</v>
      </c>
      <c r="G253" s="173"/>
      <c r="H253" s="173"/>
      <c r="I253" s="174" t="s">
        <v>44</v>
      </c>
      <c r="J253" s="2" t="s">
        <v>2952</v>
      </c>
      <c r="K253" s="177" t="s">
        <v>3041</v>
      </c>
      <c r="L253" s="177" t="s">
        <v>988</v>
      </c>
      <c r="M253" s="1">
        <v>44518</v>
      </c>
      <c r="N253" s="1">
        <v>44518</v>
      </c>
      <c r="O253" s="3" t="s">
        <v>41</v>
      </c>
      <c r="P253" s="178">
        <v>1794.9</v>
      </c>
      <c r="Q253" s="179"/>
      <c r="R253" s="217">
        <v>4.5</v>
      </c>
      <c r="S253" s="218">
        <f t="shared" si="8"/>
        <v>0.9</v>
      </c>
      <c r="T253" s="180">
        <v>30</v>
      </c>
      <c r="U253" s="181">
        <v>4</v>
      </c>
      <c r="V253" s="181">
        <v>26</v>
      </c>
      <c r="W253" s="181">
        <v>0</v>
      </c>
      <c r="X253" s="182">
        <f t="shared" si="7"/>
        <v>30</v>
      </c>
      <c r="Y253" s="3">
        <v>4</v>
      </c>
      <c r="Z253" s="3" t="s">
        <v>2780</v>
      </c>
      <c r="AA253" s="189" t="s">
        <v>569</v>
      </c>
    </row>
    <row r="254" spans="1:28" ht="23.25" hidden="1" customHeight="1">
      <c r="A254" s="171" t="s">
        <v>2943</v>
      </c>
      <c r="B254" s="171">
        <v>2021</v>
      </c>
      <c r="C254" s="171"/>
      <c r="D254" s="3" t="s">
        <v>52</v>
      </c>
      <c r="E254" s="3" t="s">
        <v>910</v>
      </c>
      <c r="F254" s="173" t="s">
        <v>990</v>
      </c>
      <c r="G254" s="173"/>
      <c r="H254" s="173"/>
      <c r="I254" s="174" t="s">
        <v>44</v>
      </c>
      <c r="J254" s="2" t="s">
        <v>2952</v>
      </c>
      <c r="K254" s="177" t="s">
        <v>3041</v>
      </c>
      <c r="L254" s="177" t="s">
        <v>3192</v>
      </c>
      <c r="M254" s="1">
        <v>44522</v>
      </c>
      <c r="N254" s="1">
        <v>44525</v>
      </c>
      <c r="O254" s="3" t="s">
        <v>41</v>
      </c>
      <c r="P254" s="178">
        <v>9210.7800000000007</v>
      </c>
      <c r="Q254" s="179"/>
      <c r="R254" s="217">
        <v>4.4800000000000004</v>
      </c>
      <c r="S254" s="218">
        <f t="shared" si="8"/>
        <v>0.89600000000000013</v>
      </c>
      <c r="T254" s="180">
        <v>40</v>
      </c>
      <c r="U254" s="181">
        <v>2</v>
      </c>
      <c r="V254" s="181">
        <v>45</v>
      </c>
      <c r="W254" s="181">
        <v>5</v>
      </c>
      <c r="X254" s="182">
        <f t="shared" si="7"/>
        <v>52</v>
      </c>
      <c r="Y254" s="3">
        <v>16</v>
      </c>
      <c r="Z254" s="3" t="s">
        <v>3052</v>
      </c>
      <c r="AA254" s="189" t="s">
        <v>3004</v>
      </c>
    </row>
    <row r="255" spans="1:28" ht="23.25" hidden="1" customHeight="1">
      <c r="A255" s="171" t="s">
        <v>2943</v>
      </c>
      <c r="B255" s="171">
        <v>2021</v>
      </c>
      <c r="C255" s="171"/>
      <c r="D255" s="3" t="s">
        <v>52</v>
      </c>
      <c r="E255" s="3" t="s">
        <v>860</v>
      </c>
      <c r="F255" s="173" t="s">
        <v>993</v>
      </c>
      <c r="G255" s="173"/>
      <c r="H255" s="173"/>
      <c r="I255" s="174" t="s">
        <v>33</v>
      </c>
      <c r="J255" s="234" t="s">
        <v>2976</v>
      </c>
      <c r="K255" s="177" t="s">
        <v>3022</v>
      </c>
      <c r="L255" s="177" t="s">
        <v>994</v>
      </c>
      <c r="M255" s="1">
        <v>44540</v>
      </c>
      <c r="N255" s="1">
        <v>44540</v>
      </c>
      <c r="O255" s="3" t="s">
        <v>41</v>
      </c>
      <c r="P255" s="178">
        <v>0</v>
      </c>
      <c r="Q255" s="236"/>
      <c r="R255" s="217">
        <v>5</v>
      </c>
      <c r="S255" s="218">
        <f t="shared" si="8"/>
        <v>1</v>
      </c>
      <c r="T255" s="180">
        <v>89</v>
      </c>
      <c r="U255" s="181">
        <v>89</v>
      </c>
      <c r="V255" s="181">
        <v>0</v>
      </c>
      <c r="W255" s="181">
        <v>0</v>
      </c>
      <c r="X255" s="182">
        <f t="shared" si="7"/>
        <v>89</v>
      </c>
      <c r="Y255" s="239">
        <v>2</v>
      </c>
      <c r="Z255" s="239" t="s">
        <v>2780</v>
      </c>
      <c r="AA255" s="240" t="s">
        <v>3159</v>
      </c>
    </row>
    <row r="256" spans="1:28" ht="23.25" hidden="1" customHeight="1">
      <c r="A256" s="171" t="s">
        <v>2943</v>
      </c>
      <c r="B256" s="3">
        <v>2022</v>
      </c>
      <c r="D256" s="171" t="s">
        <v>50</v>
      </c>
      <c r="E256" s="3" t="s">
        <v>3193</v>
      </c>
      <c r="F256" s="173" t="s">
        <v>3194</v>
      </c>
      <c r="G256" s="173"/>
      <c r="H256" s="173"/>
      <c r="I256" s="174" t="s">
        <v>48</v>
      </c>
      <c r="J256" s="2" t="s">
        <v>3195</v>
      </c>
      <c r="K256" s="177" t="s">
        <v>3041</v>
      </c>
      <c r="L256" s="177" t="s">
        <v>831</v>
      </c>
      <c r="M256" s="1">
        <v>44562</v>
      </c>
      <c r="O256" s="171" t="s">
        <v>45</v>
      </c>
      <c r="P256" s="178">
        <v>12360</v>
      </c>
      <c r="Q256" s="179"/>
      <c r="R256" s="217"/>
      <c r="S256" s="218"/>
      <c r="T256" s="180"/>
      <c r="U256" s="181"/>
      <c r="V256" s="181"/>
      <c r="W256" s="181"/>
      <c r="X256" s="181">
        <f t="shared" si="7"/>
        <v>0</v>
      </c>
      <c r="Y256" s="3"/>
      <c r="Z256" s="3" t="s">
        <v>2784</v>
      </c>
      <c r="AA256" s="2" t="s">
        <v>3196</v>
      </c>
    </row>
    <row r="257" spans="1:27" ht="23.25" hidden="1" customHeight="1">
      <c r="A257" s="171" t="s">
        <v>2943</v>
      </c>
      <c r="B257" s="3">
        <v>2022</v>
      </c>
      <c r="D257" s="171" t="s">
        <v>50</v>
      </c>
      <c r="E257" s="3" t="s">
        <v>3197</v>
      </c>
      <c r="F257" s="173" t="s">
        <v>3198</v>
      </c>
      <c r="G257" s="173"/>
      <c r="H257" s="173"/>
      <c r="I257" s="174" t="s">
        <v>33</v>
      </c>
      <c r="J257" s="2" t="s">
        <v>3199</v>
      </c>
      <c r="K257" s="177" t="s">
        <v>3022</v>
      </c>
      <c r="L257" s="177" t="s">
        <v>3091</v>
      </c>
      <c r="M257" s="1">
        <v>44563</v>
      </c>
      <c r="O257" s="171" t="s">
        <v>45</v>
      </c>
      <c r="P257" s="178">
        <v>22800</v>
      </c>
      <c r="Q257" s="179"/>
      <c r="R257" s="217"/>
      <c r="S257" s="218">
        <f t="shared" ref="S257:S290" si="9">R257/5</f>
        <v>0</v>
      </c>
      <c r="T257" s="180">
        <v>30</v>
      </c>
      <c r="U257" s="181"/>
      <c r="V257" s="181"/>
      <c r="W257" s="181"/>
      <c r="X257" s="181">
        <f t="shared" si="7"/>
        <v>0</v>
      </c>
      <c r="Y257" s="3">
        <v>10</v>
      </c>
      <c r="Z257" s="3" t="s">
        <v>2780</v>
      </c>
      <c r="AA257" s="2" t="s">
        <v>3200</v>
      </c>
    </row>
    <row r="258" spans="1:27" ht="23.25" hidden="1" customHeight="1">
      <c r="A258" s="171" t="s">
        <v>2943</v>
      </c>
      <c r="B258" s="3">
        <v>2022</v>
      </c>
      <c r="D258" s="3" t="s">
        <v>52</v>
      </c>
      <c r="E258" s="3" t="s">
        <v>996</v>
      </c>
      <c r="F258" s="173" t="s">
        <v>3201</v>
      </c>
      <c r="G258" s="173"/>
      <c r="H258" s="173"/>
      <c r="I258" s="174" t="s">
        <v>33</v>
      </c>
      <c r="J258" s="2" t="s">
        <v>3199</v>
      </c>
      <c r="K258" s="177" t="s">
        <v>3022</v>
      </c>
      <c r="L258" s="177" t="s">
        <v>3202</v>
      </c>
      <c r="M258" s="1">
        <v>44592</v>
      </c>
      <c r="N258" s="1">
        <v>44594</v>
      </c>
      <c r="O258" s="171" t="s">
        <v>45</v>
      </c>
      <c r="P258" s="178">
        <v>0</v>
      </c>
      <c r="Q258" s="179"/>
      <c r="R258" s="217">
        <v>4.9000000000000004</v>
      </c>
      <c r="S258" s="218">
        <f t="shared" si="9"/>
        <v>0.98000000000000009</v>
      </c>
      <c r="T258" s="180">
        <v>15</v>
      </c>
      <c r="U258" s="181">
        <v>13</v>
      </c>
      <c r="V258" s="181">
        <v>0</v>
      </c>
      <c r="W258" s="181">
        <v>0</v>
      </c>
      <c r="X258" s="182">
        <f t="shared" ref="X258:X321" si="10">SUM(U258:W258)</f>
        <v>13</v>
      </c>
      <c r="Y258" s="3">
        <v>24</v>
      </c>
      <c r="Z258" s="3" t="s">
        <v>2780</v>
      </c>
      <c r="AA258" s="2" t="s">
        <v>999</v>
      </c>
    </row>
    <row r="259" spans="1:27" ht="23.25" hidden="1" customHeight="1">
      <c r="A259" s="171" t="s">
        <v>2943</v>
      </c>
      <c r="B259" s="3">
        <v>2022</v>
      </c>
      <c r="D259" s="3" t="s">
        <v>52</v>
      </c>
      <c r="E259" s="3" t="s">
        <v>1001</v>
      </c>
      <c r="F259" s="173" t="s">
        <v>1002</v>
      </c>
      <c r="G259" s="173"/>
      <c r="H259" s="173"/>
      <c r="I259" s="174" t="s">
        <v>33</v>
      </c>
      <c r="J259" s="2" t="s">
        <v>3203</v>
      </c>
      <c r="K259" s="177" t="s">
        <v>3022</v>
      </c>
      <c r="L259" s="177" t="s">
        <v>1003</v>
      </c>
      <c r="M259" s="1">
        <v>44600</v>
      </c>
      <c r="N259" s="1">
        <v>44600</v>
      </c>
      <c r="O259" s="3" t="s">
        <v>41</v>
      </c>
      <c r="P259" s="178">
        <v>500</v>
      </c>
      <c r="Q259" s="179"/>
      <c r="R259" s="217">
        <v>5</v>
      </c>
      <c r="S259" s="218">
        <f t="shared" si="9"/>
        <v>1</v>
      </c>
      <c r="T259" s="180">
        <v>38</v>
      </c>
      <c r="U259" s="181">
        <v>38</v>
      </c>
      <c r="V259" s="181">
        <v>0</v>
      </c>
      <c r="W259" s="181">
        <v>0</v>
      </c>
      <c r="X259" s="182">
        <f t="shared" si="10"/>
        <v>38</v>
      </c>
      <c r="Y259" s="3">
        <v>2</v>
      </c>
      <c r="Z259" s="3" t="s">
        <v>2784</v>
      </c>
      <c r="AA259" s="189" t="s">
        <v>3063</v>
      </c>
    </row>
    <row r="260" spans="1:27" ht="23.25" hidden="1" customHeight="1">
      <c r="A260" s="171" t="s">
        <v>2943</v>
      </c>
      <c r="B260" s="3">
        <v>2022</v>
      </c>
      <c r="D260" s="3" t="s">
        <v>52</v>
      </c>
      <c r="E260" s="3" t="s">
        <v>1005</v>
      </c>
      <c r="F260" s="173" t="s">
        <v>1006</v>
      </c>
      <c r="G260" s="173"/>
      <c r="H260" s="173"/>
      <c r="I260" s="174" t="s">
        <v>33</v>
      </c>
      <c r="J260" s="2" t="s">
        <v>3204</v>
      </c>
      <c r="K260" s="177" t="s">
        <v>3022</v>
      </c>
      <c r="L260" s="177" t="s">
        <v>1007</v>
      </c>
      <c r="M260" s="1">
        <v>44609</v>
      </c>
      <c r="N260" s="1">
        <v>44609</v>
      </c>
      <c r="O260" s="171" t="s">
        <v>45</v>
      </c>
      <c r="P260" s="178">
        <v>0</v>
      </c>
      <c r="Q260" s="179"/>
      <c r="R260" s="217">
        <v>5</v>
      </c>
      <c r="S260" s="218">
        <f t="shared" si="9"/>
        <v>1</v>
      </c>
      <c r="T260" s="180">
        <v>44</v>
      </c>
      <c r="U260" s="181">
        <v>44</v>
      </c>
      <c r="V260" s="181">
        <v>0</v>
      </c>
      <c r="W260" s="181">
        <v>0</v>
      </c>
      <c r="X260" s="182">
        <f t="shared" si="10"/>
        <v>44</v>
      </c>
      <c r="Y260" s="3">
        <v>2</v>
      </c>
      <c r="Z260" s="3" t="s">
        <v>2780</v>
      </c>
      <c r="AA260" s="2" t="s">
        <v>3205</v>
      </c>
    </row>
    <row r="261" spans="1:27" ht="23.25" hidden="1" customHeight="1">
      <c r="A261" s="171" t="s">
        <v>2943</v>
      </c>
      <c r="B261" s="3">
        <v>2022</v>
      </c>
      <c r="D261" s="3" t="s">
        <v>52</v>
      </c>
      <c r="E261" s="3" t="s">
        <v>1010</v>
      </c>
      <c r="F261" s="173" t="s">
        <v>987</v>
      </c>
      <c r="G261" s="173"/>
      <c r="H261" s="173"/>
      <c r="I261" s="174" t="s">
        <v>44</v>
      </c>
      <c r="J261" s="2" t="s">
        <v>3195</v>
      </c>
      <c r="K261" s="177" t="s">
        <v>3041</v>
      </c>
      <c r="L261" s="177" t="s">
        <v>1011</v>
      </c>
      <c r="M261" s="1">
        <v>44614</v>
      </c>
      <c r="N261" s="1">
        <v>44614</v>
      </c>
      <c r="O261" s="3" t="s">
        <v>41</v>
      </c>
      <c r="P261" s="178">
        <v>1794.9</v>
      </c>
      <c r="Q261" s="179"/>
      <c r="R261" s="217">
        <v>4.34</v>
      </c>
      <c r="S261" s="218">
        <f t="shared" si="9"/>
        <v>0.86799999999999999</v>
      </c>
      <c r="T261" s="180">
        <v>30</v>
      </c>
      <c r="U261" s="181">
        <v>6</v>
      </c>
      <c r="V261" s="181">
        <v>15</v>
      </c>
      <c r="W261" s="181">
        <v>0</v>
      </c>
      <c r="X261" s="182">
        <f t="shared" si="10"/>
        <v>21</v>
      </c>
      <c r="Y261" s="3">
        <v>4</v>
      </c>
      <c r="Z261" s="3" t="s">
        <v>2784</v>
      </c>
      <c r="AA261" s="189" t="s">
        <v>569</v>
      </c>
    </row>
    <row r="262" spans="1:27" ht="23.25" hidden="1" customHeight="1">
      <c r="A262" s="171" t="s">
        <v>2943</v>
      </c>
      <c r="B262" s="3">
        <v>2022</v>
      </c>
      <c r="D262" s="3" t="s">
        <v>52</v>
      </c>
      <c r="E262" s="3" t="s">
        <v>1013</v>
      </c>
      <c r="F262" s="173" t="s">
        <v>1014</v>
      </c>
      <c r="G262" s="173"/>
      <c r="H262" s="173"/>
      <c r="I262" s="174" t="s">
        <v>48</v>
      </c>
      <c r="J262" s="2" t="s">
        <v>3195</v>
      </c>
      <c r="K262" s="177" t="s">
        <v>3041</v>
      </c>
      <c r="L262" s="177" t="s">
        <v>3206</v>
      </c>
      <c r="M262" s="1">
        <v>44615</v>
      </c>
      <c r="N262" s="1">
        <v>44615</v>
      </c>
      <c r="O262" s="171" t="s">
        <v>45</v>
      </c>
      <c r="P262" s="178">
        <v>0</v>
      </c>
      <c r="Q262" s="179"/>
      <c r="R262" s="217">
        <v>5</v>
      </c>
      <c r="S262" s="218">
        <f t="shared" si="9"/>
        <v>1</v>
      </c>
      <c r="T262" s="180">
        <v>45</v>
      </c>
      <c r="U262" s="181">
        <v>0</v>
      </c>
      <c r="V262" s="181">
        <v>45</v>
      </c>
      <c r="W262" s="181">
        <v>0</v>
      </c>
      <c r="X262" s="182">
        <f t="shared" si="10"/>
        <v>45</v>
      </c>
      <c r="Y262" s="3">
        <v>2</v>
      </c>
      <c r="Z262" s="3" t="s">
        <v>2780</v>
      </c>
      <c r="AA262" s="207" t="s">
        <v>3207</v>
      </c>
    </row>
    <row r="263" spans="1:27" ht="23.25" hidden="1" customHeight="1">
      <c r="A263" s="171" t="s">
        <v>2943</v>
      </c>
      <c r="B263" s="3">
        <v>2022</v>
      </c>
      <c r="D263" s="3" t="s">
        <v>52</v>
      </c>
      <c r="E263" s="3" t="s">
        <v>860</v>
      </c>
      <c r="F263" s="173" t="s">
        <v>1017</v>
      </c>
      <c r="G263" s="173"/>
      <c r="H263" s="173"/>
      <c r="I263" s="174" t="s">
        <v>33</v>
      </c>
      <c r="J263" s="2" t="s">
        <v>3204</v>
      </c>
      <c r="K263" s="177" t="s">
        <v>3022</v>
      </c>
      <c r="L263" s="177" t="s">
        <v>1018</v>
      </c>
      <c r="M263" s="1">
        <v>44631</v>
      </c>
      <c r="N263" s="1">
        <v>44631</v>
      </c>
      <c r="O263" s="3" t="s">
        <v>41</v>
      </c>
      <c r="P263" s="178">
        <v>0</v>
      </c>
      <c r="Q263" s="179"/>
      <c r="R263" s="217">
        <v>5</v>
      </c>
      <c r="S263" s="218">
        <f t="shared" si="9"/>
        <v>1</v>
      </c>
      <c r="T263" s="3">
        <v>70</v>
      </c>
      <c r="U263" s="181">
        <v>70</v>
      </c>
      <c r="V263" s="181">
        <v>0</v>
      </c>
      <c r="W263" s="181">
        <v>0</v>
      </c>
      <c r="X263" s="182">
        <f t="shared" si="10"/>
        <v>70</v>
      </c>
      <c r="Y263" s="3">
        <v>2</v>
      </c>
      <c r="Z263" s="3" t="s">
        <v>2780</v>
      </c>
      <c r="AA263" s="189" t="s">
        <v>3073</v>
      </c>
    </row>
    <row r="264" spans="1:27" ht="23.25" hidden="1" customHeight="1">
      <c r="A264" s="171" t="s">
        <v>2943</v>
      </c>
      <c r="B264" s="3">
        <v>2022</v>
      </c>
      <c r="D264" s="3" t="s">
        <v>52</v>
      </c>
      <c r="E264" s="3" t="s">
        <v>1020</v>
      </c>
      <c r="F264" s="173" t="s">
        <v>1021</v>
      </c>
      <c r="G264" s="173"/>
      <c r="H264" s="173"/>
      <c r="I264" s="174" t="s">
        <v>33</v>
      </c>
      <c r="J264" s="2" t="s">
        <v>3199</v>
      </c>
      <c r="K264" s="177" t="s">
        <v>3022</v>
      </c>
      <c r="L264" s="177" t="s">
        <v>3208</v>
      </c>
      <c r="M264" s="1">
        <v>44633</v>
      </c>
      <c r="N264" s="1">
        <v>44645</v>
      </c>
      <c r="O264" s="171" t="s">
        <v>45</v>
      </c>
      <c r="P264" s="178">
        <v>10500</v>
      </c>
      <c r="Q264" s="179"/>
      <c r="R264" s="217">
        <v>4.3</v>
      </c>
      <c r="S264" s="218">
        <f t="shared" si="9"/>
        <v>0.86</v>
      </c>
      <c r="T264" s="180">
        <v>15</v>
      </c>
      <c r="U264" s="181">
        <v>15</v>
      </c>
      <c r="V264" s="181">
        <v>0</v>
      </c>
      <c r="W264" s="181">
        <v>0</v>
      </c>
      <c r="X264" s="182">
        <f t="shared" si="10"/>
        <v>15</v>
      </c>
      <c r="Y264" s="3">
        <v>20</v>
      </c>
      <c r="Z264" s="3" t="s">
        <v>3052</v>
      </c>
      <c r="AA264" s="2" t="s">
        <v>1023</v>
      </c>
    </row>
    <row r="265" spans="1:27" ht="23.25" hidden="1" customHeight="1">
      <c r="A265" s="171" t="s">
        <v>2943</v>
      </c>
      <c r="B265" s="3">
        <v>2022</v>
      </c>
      <c r="D265" s="3" t="s">
        <v>52</v>
      </c>
      <c r="E265" s="3" t="s">
        <v>3209</v>
      </c>
      <c r="F265" s="173" t="s">
        <v>1026</v>
      </c>
      <c r="G265" s="173"/>
      <c r="H265" s="173"/>
      <c r="I265" s="174" t="s">
        <v>48</v>
      </c>
      <c r="J265" s="2" t="s">
        <v>3195</v>
      </c>
      <c r="K265" s="177" t="s">
        <v>3041</v>
      </c>
      <c r="L265" s="244" t="s">
        <v>3210</v>
      </c>
      <c r="M265" s="1">
        <v>44642</v>
      </c>
      <c r="N265" s="1">
        <v>44642</v>
      </c>
      <c r="O265" s="171" t="s">
        <v>45</v>
      </c>
      <c r="P265" s="178">
        <v>0</v>
      </c>
      <c r="Q265" s="179"/>
      <c r="R265" s="217">
        <v>5</v>
      </c>
      <c r="S265" s="218">
        <f t="shared" si="9"/>
        <v>1</v>
      </c>
      <c r="T265" s="3">
        <v>51</v>
      </c>
      <c r="U265" s="181">
        <v>0</v>
      </c>
      <c r="V265" s="181">
        <v>0</v>
      </c>
      <c r="W265" s="181">
        <v>51</v>
      </c>
      <c r="X265" s="182">
        <f t="shared" si="10"/>
        <v>51</v>
      </c>
      <c r="Y265" s="3">
        <v>2</v>
      </c>
      <c r="Z265" s="3" t="s">
        <v>2784</v>
      </c>
      <c r="AA265" s="2" t="s">
        <v>3211</v>
      </c>
    </row>
    <row r="266" spans="1:27" ht="23.25" hidden="1" customHeight="1">
      <c r="A266" s="171" t="s">
        <v>2943</v>
      </c>
      <c r="B266" s="3">
        <v>2022</v>
      </c>
      <c r="D266" s="3" t="s">
        <v>52</v>
      </c>
      <c r="E266" s="3" t="s">
        <v>3212</v>
      </c>
      <c r="F266" s="173" t="s">
        <v>1031</v>
      </c>
      <c r="G266" s="173"/>
      <c r="H266" s="173"/>
      <c r="I266" s="174" t="s">
        <v>48</v>
      </c>
      <c r="J266" s="2" t="s">
        <v>3195</v>
      </c>
      <c r="K266" s="177" t="s">
        <v>3041</v>
      </c>
      <c r="L266" s="177" t="s">
        <v>3213</v>
      </c>
      <c r="M266" s="1">
        <v>44655</v>
      </c>
      <c r="N266" s="1">
        <v>44655</v>
      </c>
      <c r="O266" s="3" t="s">
        <v>41</v>
      </c>
      <c r="P266" s="178">
        <f>1172.25/2</f>
        <v>586.125</v>
      </c>
      <c r="Q266" s="179"/>
      <c r="R266" s="217">
        <v>4.9000000000000004</v>
      </c>
      <c r="S266" s="218">
        <f t="shared" si="9"/>
        <v>0.98000000000000009</v>
      </c>
      <c r="T266" s="3">
        <v>31</v>
      </c>
      <c r="U266" s="181">
        <v>0</v>
      </c>
      <c r="V266" s="181">
        <v>0</v>
      </c>
      <c r="W266" s="181">
        <v>31</v>
      </c>
      <c r="X266" s="182">
        <f t="shared" si="10"/>
        <v>31</v>
      </c>
      <c r="Y266" s="3">
        <v>1</v>
      </c>
      <c r="Z266" s="3" t="s">
        <v>2784</v>
      </c>
      <c r="AA266" s="190" t="s">
        <v>3214</v>
      </c>
    </row>
    <row r="267" spans="1:27" ht="23.25" hidden="1" customHeight="1">
      <c r="A267" s="171" t="s">
        <v>2943</v>
      </c>
      <c r="B267" s="3">
        <v>2022</v>
      </c>
      <c r="D267" s="3" t="s">
        <v>52</v>
      </c>
      <c r="E267" s="3" t="s">
        <v>1035</v>
      </c>
      <c r="F267" s="173" t="s">
        <v>1036</v>
      </c>
      <c r="G267" s="173"/>
      <c r="H267" s="173"/>
      <c r="I267" s="174" t="s">
        <v>33</v>
      </c>
      <c r="J267" s="2" t="s">
        <v>3199</v>
      </c>
      <c r="K267" s="177" t="s">
        <v>3022</v>
      </c>
      <c r="L267" s="177" t="s">
        <v>3215</v>
      </c>
      <c r="M267" s="1">
        <v>44655</v>
      </c>
      <c r="N267" s="1">
        <v>44664</v>
      </c>
      <c r="O267" s="171" t="s">
        <v>45</v>
      </c>
      <c r="P267" s="178">
        <v>39460</v>
      </c>
      <c r="Q267" s="179"/>
      <c r="R267" s="217">
        <v>4.4000000000000004</v>
      </c>
      <c r="S267" s="218">
        <f t="shared" si="9"/>
        <v>0.88000000000000012</v>
      </c>
      <c r="T267" s="180">
        <v>150</v>
      </c>
      <c r="U267" s="181">
        <v>40</v>
      </c>
      <c r="V267" s="181">
        <v>100</v>
      </c>
      <c r="W267" s="181">
        <v>0</v>
      </c>
      <c r="X267" s="182">
        <f t="shared" si="10"/>
        <v>140</v>
      </c>
      <c r="Y267" s="3">
        <v>20</v>
      </c>
      <c r="Z267" s="3" t="s">
        <v>2780</v>
      </c>
      <c r="AA267" s="2" t="s">
        <v>1038</v>
      </c>
    </row>
    <row r="268" spans="1:27" ht="23.25" hidden="1" customHeight="1">
      <c r="A268" s="171" t="s">
        <v>2943</v>
      </c>
      <c r="B268" s="3">
        <v>2022</v>
      </c>
      <c r="D268" s="3" t="s">
        <v>52</v>
      </c>
      <c r="E268" s="3" t="s">
        <v>1040</v>
      </c>
      <c r="F268" s="205" t="s">
        <v>1041</v>
      </c>
      <c r="G268" s="173"/>
      <c r="H268" s="173"/>
      <c r="I268" s="174" t="s">
        <v>33</v>
      </c>
      <c r="J268" s="2" t="s">
        <v>3204</v>
      </c>
      <c r="K268" s="177" t="s">
        <v>3022</v>
      </c>
      <c r="L268" s="177" t="s">
        <v>3216</v>
      </c>
      <c r="M268" s="1">
        <v>44676</v>
      </c>
      <c r="N268" s="1">
        <v>44686</v>
      </c>
      <c r="O268" s="171" t="s">
        <v>45</v>
      </c>
      <c r="P268" s="178">
        <v>8400</v>
      </c>
      <c r="Q268" s="179"/>
      <c r="R268" s="217">
        <v>5</v>
      </c>
      <c r="S268" s="218">
        <f t="shared" si="9"/>
        <v>1</v>
      </c>
      <c r="T268" s="180">
        <v>30</v>
      </c>
      <c r="U268" s="181">
        <v>15</v>
      </c>
      <c r="V268" s="181">
        <v>0</v>
      </c>
      <c r="W268" s="181">
        <v>0</v>
      </c>
      <c r="X268" s="182">
        <f t="shared" si="10"/>
        <v>15</v>
      </c>
      <c r="Y268" s="3">
        <v>21</v>
      </c>
      <c r="Z268" s="3" t="s">
        <v>2780</v>
      </c>
      <c r="AA268" s="2" t="s">
        <v>880</v>
      </c>
    </row>
    <row r="269" spans="1:27" ht="23.25" hidden="1" customHeight="1">
      <c r="A269" s="171" t="s">
        <v>2943</v>
      </c>
      <c r="B269" s="3">
        <v>2022</v>
      </c>
      <c r="D269" s="3" t="s">
        <v>52</v>
      </c>
      <c r="E269" s="3" t="s">
        <v>1044</v>
      </c>
      <c r="F269" s="173" t="s">
        <v>3217</v>
      </c>
      <c r="G269" s="173"/>
      <c r="H269" s="173"/>
      <c r="I269" s="174" t="s">
        <v>33</v>
      </c>
      <c r="J269" s="2" t="s">
        <v>3204</v>
      </c>
      <c r="K269" s="177" t="s">
        <v>3022</v>
      </c>
      <c r="L269" s="177" t="s">
        <v>3218</v>
      </c>
      <c r="M269" s="1">
        <v>44691</v>
      </c>
      <c r="N269" s="1">
        <v>44700</v>
      </c>
      <c r="O269" s="171" t="s">
        <v>45</v>
      </c>
      <c r="P269" s="178">
        <v>10000</v>
      </c>
      <c r="Q269" s="179"/>
      <c r="R269" s="217">
        <v>4.4000000000000004</v>
      </c>
      <c r="S269" s="218">
        <f t="shared" si="9"/>
        <v>0.88000000000000012</v>
      </c>
      <c r="T269" s="180">
        <v>50</v>
      </c>
      <c r="U269" s="181">
        <v>18</v>
      </c>
      <c r="V269" s="181">
        <v>0</v>
      </c>
      <c r="W269" s="181">
        <v>0</v>
      </c>
      <c r="X269" s="182">
        <f t="shared" si="10"/>
        <v>18</v>
      </c>
      <c r="Y269" s="3">
        <v>12</v>
      </c>
      <c r="Z269" s="3" t="s">
        <v>2780</v>
      </c>
      <c r="AA269" s="2" t="s">
        <v>1047</v>
      </c>
    </row>
    <row r="270" spans="1:27" ht="23.25" hidden="1" customHeight="1">
      <c r="A270" s="171" t="s">
        <v>2943</v>
      </c>
      <c r="B270" s="3">
        <v>2022</v>
      </c>
      <c r="D270" s="3" t="s">
        <v>52</v>
      </c>
      <c r="E270" s="3" t="s">
        <v>860</v>
      </c>
      <c r="F270" s="173" t="s">
        <v>1017</v>
      </c>
      <c r="G270" s="173"/>
      <c r="H270" s="173"/>
      <c r="I270" s="174" t="s">
        <v>33</v>
      </c>
      <c r="J270" s="2" t="s">
        <v>3204</v>
      </c>
      <c r="K270" s="177" t="s">
        <v>3022</v>
      </c>
      <c r="L270" s="177" t="s">
        <v>1049</v>
      </c>
      <c r="M270" s="1">
        <v>44694</v>
      </c>
      <c r="N270" s="1">
        <v>44694</v>
      </c>
      <c r="O270" s="3" t="s">
        <v>41</v>
      </c>
      <c r="P270" s="178">
        <v>0</v>
      </c>
      <c r="Q270" s="179"/>
      <c r="R270" s="217">
        <v>5</v>
      </c>
      <c r="S270" s="218">
        <f t="shared" si="9"/>
        <v>1</v>
      </c>
      <c r="T270" s="3">
        <v>55</v>
      </c>
      <c r="U270" s="181">
        <v>55</v>
      </c>
      <c r="V270" s="181">
        <v>0</v>
      </c>
      <c r="W270" s="181">
        <v>0</v>
      </c>
      <c r="X270" s="182">
        <f t="shared" si="10"/>
        <v>55</v>
      </c>
      <c r="Y270" s="3">
        <v>2</v>
      </c>
      <c r="Z270" s="3" t="s">
        <v>2780</v>
      </c>
      <c r="AA270" s="189" t="s">
        <v>3073</v>
      </c>
    </row>
    <row r="271" spans="1:27" ht="23.25" hidden="1" customHeight="1">
      <c r="A271" s="171" t="s">
        <v>2943</v>
      </c>
      <c r="B271" s="3">
        <v>2022</v>
      </c>
      <c r="D271" s="3" t="s">
        <v>52</v>
      </c>
      <c r="E271" s="3" t="s">
        <v>3212</v>
      </c>
      <c r="F271" s="173" t="s">
        <v>1051</v>
      </c>
      <c r="G271" s="173"/>
      <c r="H271" s="173"/>
      <c r="I271" s="174" t="s">
        <v>48</v>
      </c>
      <c r="J271" s="2" t="s">
        <v>3195</v>
      </c>
      <c r="K271" s="177" t="s">
        <v>3041</v>
      </c>
      <c r="L271" s="177" t="s">
        <v>1052</v>
      </c>
      <c r="M271" s="1">
        <v>44697</v>
      </c>
      <c r="N271" s="1">
        <v>44697</v>
      </c>
      <c r="O271" s="3" t="s">
        <v>41</v>
      </c>
      <c r="P271" s="178">
        <v>586.13</v>
      </c>
      <c r="Q271" s="179"/>
      <c r="R271" s="217">
        <v>5</v>
      </c>
      <c r="S271" s="218">
        <f t="shared" si="9"/>
        <v>1</v>
      </c>
      <c r="T271" s="180">
        <v>120</v>
      </c>
      <c r="U271" s="181">
        <v>0</v>
      </c>
      <c r="V271" s="181">
        <v>0</v>
      </c>
      <c r="W271" s="181">
        <v>120</v>
      </c>
      <c r="X271" s="182">
        <f t="shared" si="10"/>
        <v>120</v>
      </c>
      <c r="Y271" s="3">
        <v>1</v>
      </c>
      <c r="Z271" s="3" t="s">
        <v>2784</v>
      </c>
      <c r="AA271" s="190" t="s">
        <v>3214</v>
      </c>
    </row>
    <row r="272" spans="1:27" ht="23.25" hidden="1" customHeight="1">
      <c r="A272" s="171" t="s">
        <v>2943</v>
      </c>
      <c r="B272" s="3">
        <v>2022</v>
      </c>
      <c r="D272" s="3" t="s">
        <v>52</v>
      </c>
      <c r="E272" s="3" t="s">
        <v>1054</v>
      </c>
      <c r="F272" s="173" t="s">
        <v>970</v>
      </c>
      <c r="G272" s="173"/>
      <c r="H272" s="173"/>
      <c r="I272" s="174" t="s">
        <v>48</v>
      </c>
      <c r="J272" s="2" t="s">
        <v>3195</v>
      </c>
      <c r="K272" s="177" t="s">
        <v>3041</v>
      </c>
      <c r="L272" s="177" t="s">
        <v>3219</v>
      </c>
      <c r="M272" s="1">
        <v>44697</v>
      </c>
      <c r="N272" s="1">
        <v>44713</v>
      </c>
      <c r="O272" s="3" t="s">
        <v>41</v>
      </c>
      <c r="P272" s="178">
        <v>10976.07</v>
      </c>
      <c r="Q272" s="179"/>
      <c r="R272" s="217">
        <v>4.5999999999999996</v>
      </c>
      <c r="S272" s="218">
        <f t="shared" si="9"/>
        <v>0.91999999999999993</v>
      </c>
      <c r="T272" s="180">
        <v>34</v>
      </c>
      <c r="U272" s="181">
        <v>12</v>
      </c>
      <c r="V272" s="181">
        <v>0</v>
      </c>
      <c r="W272" s="181">
        <v>22</v>
      </c>
      <c r="X272" s="182">
        <f t="shared" si="10"/>
        <v>34</v>
      </c>
      <c r="Y272" s="3">
        <v>24</v>
      </c>
      <c r="Z272" s="3" t="s">
        <v>2784</v>
      </c>
      <c r="AA272" s="189" t="s">
        <v>3220</v>
      </c>
    </row>
    <row r="273" spans="1:27" ht="23.25" hidden="1" customHeight="1">
      <c r="A273" s="171" t="s">
        <v>2943</v>
      </c>
      <c r="B273" s="3">
        <v>2022</v>
      </c>
      <c r="D273" s="3" t="s">
        <v>52</v>
      </c>
      <c r="E273" s="3" t="s">
        <v>3221</v>
      </c>
      <c r="F273" s="173" t="s">
        <v>1058</v>
      </c>
      <c r="G273" s="173"/>
      <c r="H273" s="173"/>
      <c r="I273" s="174" t="s">
        <v>44</v>
      </c>
      <c r="J273" s="2" t="s">
        <v>3195</v>
      </c>
      <c r="K273" s="177" t="s">
        <v>3041</v>
      </c>
      <c r="L273" s="177" t="s">
        <v>1059</v>
      </c>
      <c r="M273" s="1">
        <v>44698</v>
      </c>
      <c r="N273" s="1">
        <v>44698</v>
      </c>
      <c r="O273" s="3" t="s">
        <v>41</v>
      </c>
      <c r="P273" s="178">
        <v>1794.9</v>
      </c>
      <c r="Q273" s="179"/>
      <c r="R273" s="217">
        <v>4.5</v>
      </c>
      <c r="S273" s="218">
        <f t="shared" si="9"/>
        <v>0.9</v>
      </c>
      <c r="T273" s="180">
        <v>30</v>
      </c>
      <c r="U273" s="181">
        <v>0</v>
      </c>
      <c r="V273" s="181">
        <v>37</v>
      </c>
      <c r="W273" s="181">
        <v>0</v>
      </c>
      <c r="X273" s="182">
        <f t="shared" si="10"/>
        <v>37</v>
      </c>
      <c r="Y273" s="3">
        <v>4</v>
      </c>
      <c r="Z273" s="3" t="s">
        <v>2784</v>
      </c>
      <c r="AA273" s="189" t="s">
        <v>569</v>
      </c>
    </row>
    <row r="274" spans="1:27" ht="23.25" hidden="1" customHeight="1">
      <c r="A274" s="171" t="s">
        <v>2943</v>
      </c>
      <c r="B274" s="3">
        <v>2022</v>
      </c>
      <c r="D274" s="3" t="s">
        <v>52</v>
      </c>
      <c r="E274" s="3" t="s">
        <v>1061</v>
      </c>
      <c r="F274" s="173" t="s">
        <v>1062</v>
      </c>
      <c r="G274" s="173"/>
      <c r="H274" s="173"/>
      <c r="I274" s="174" t="s">
        <v>44</v>
      </c>
      <c r="J274" s="2" t="s">
        <v>3195</v>
      </c>
      <c r="K274" s="177" t="s">
        <v>3041</v>
      </c>
      <c r="L274" s="177" t="s">
        <v>1063</v>
      </c>
      <c r="M274" s="1">
        <v>44700</v>
      </c>
      <c r="N274" s="1">
        <v>44700</v>
      </c>
      <c r="O274" s="3" t="s">
        <v>41</v>
      </c>
      <c r="P274" s="178">
        <v>0</v>
      </c>
      <c r="Q274" s="179"/>
      <c r="R274" s="217">
        <v>5</v>
      </c>
      <c r="S274" s="218">
        <f t="shared" si="9"/>
        <v>1</v>
      </c>
      <c r="T274" s="180">
        <v>6</v>
      </c>
      <c r="U274" s="181">
        <v>0</v>
      </c>
      <c r="V274" s="181">
        <v>6</v>
      </c>
      <c r="W274" s="181">
        <v>0</v>
      </c>
      <c r="X274" s="182">
        <f t="shared" si="10"/>
        <v>6</v>
      </c>
      <c r="Y274" s="3">
        <v>2</v>
      </c>
      <c r="Z274" s="3" t="s">
        <v>2784</v>
      </c>
      <c r="AA274" s="189" t="s">
        <v>3222</v>
      </c>
    </row>
    <row r="275" spans="1:27" ht="23.25" hidden="1" customHeight="1">
      <c r="A275" s="171" t="s">
        <v>2943</v>
      </c>
      <c r="B275" s="3">
        <v>2022</v>
      </c>
      <c r="D275" s="3" t="s">
        <v>52</v>
      </c>
      <c r="E275" s="3" t="s">
        <v>1066</v>
      </c>
      <c r="F275" s="173" t="s">
        <v>1067</v>
      </c>
      <c r="G275" s="173"/>
      <c r="H275" s="173"/>
      <c r="I275" s="174" t="s">
        <v>33</v>
      </c>
      <c r="J275" s="2" t="s">
        <v>3204</v>
      </c>
      <c r="K275" s="177" t="s">
        <v>3022</v>
      </c>
      <c r="L275" s="177" t="s">
        <v>3223</v>
      </c>
      <c r="M275" s="1">
        <v>44707</v>
      </c>
      <c r="N275" s="1">
        <v>44721</v>
      </c>
      <c r="O275" s="171" t="s">
        <v>45</v>
      </c>
      <c r="P275" s="178">
        <v>6200</v>
      </c>
      <c r="Q275" s="179"/>
      <c r="R275" s="217">
        <v>4.5999999999999996</v>
      </c>
      <c r="S275" s="218">
        <f t="shared" si="9"/>
        <v>0.91999999999999993</v>
      </c>
      <c r="T275" s="180">
        <v>30</v>
      </c>
      <c r="U275" s="181">
        <v>25</v>
      </c>
      <c r="V275" s="181">
        <v>0</v>
      </c>
      <c r="W275" s="181">
        <v>0</v>
      </c>
      <c r="X275" s="182">
        <f t="shared" si="10"/>
        <v>25</v>
      </c>
      <c r="Y275" s="3">
        <v>8</v>
      </c>
      <c r="Z275" s="3" t="s">
        <v>2780</v>
      </c>
      <c r="AA275" s="2" t="s">
        <v>1069</v>
      </c>
    </row>
    <row r="276" spans="1:27" ht="23.25" hidden="1" customHeight="1">
      <c r="A276" s="171" t="s">
        <v>2943</v>
      </c>
      <c r="B276" s="3">
        <v>2022</v>
      </c>
      <c r="D276" s="3" t="s">
        <v>52</v>
      </c>
      <c r="E276" s="3" t="s">
        <v>1071</v>
      </c>
      <c r="F276" s="173" t="s">
        <v>1072</v>
      </c>
      <c r="G276" s="173"/>
      <c r="H276" s="173"/>
      <c r="I276" s="174" t="s">
        <v>33</v>
      </c>
      <c r="J276" s="2" t="s">
        <v>3224</v>
      </c>
      <c r="K276" s="177" t="s">
        <v>3022</v>
      </c>
      <c r="L276" s="177" t="s">
        <v>3225</v>
      </c>
      <c r="M276" s="1">
        <v>44708</v>
      </c>
      <c r="N276" s="1">
        <v>44714</v>
      </c>
      <c r="O276" s="3" t="s">
        <v>41</v>
      </c>
      <c r="P276" s="178">
        <v>0</v>
      </c>
      <c r="Q276" s="179"/>
      <c r="R276" s="217">
        <v>5</v>
      </c>
      <c r="S276" s="218">
        <f t="shared" si="9"/>
        <v>1</v>
      </c>
      <c r="T276" s="180">
        <v>26</v>
      </c>
      <c r="U276" s="181">
        <v>26</v>
      </c>
      <c r="V276" s="181">
        <v>0</v>
      </c>
      <c r="W276" s="181">
        <v>0</v>
      </c>
      <c r="X276" s="182">
        <f t="shared" si="10"/>
        <v>26</v>
      </c>
      <c r="Y276" s="3">
        <v>20</v>
      </c>
      <c r="Z276" s="3" t="s">
        <v>2780</v>
      </c>
      <c r="AA276" s="189" t="s">
        <v>3226</v>
      </c>
    </row>
    <row r="277" spans="1:27" ht="23.25" hidden="1" customHeight="1">
      <c r="A277" s="171" t="s">
        <v>2943</v>
      </c>
      <c r="B277" s="3">
        <v>2022</v>
      </c>
      <c r="D277" s="3" t="s">
        <v>52</v>
      </c>
      <c r="E277" s="3" t="s">
        <v>3227</v>
      </c>
      <c r="F277" s="173" t="s">
        <v>1077</v>
      </c>
      <c r="G277" s="173"/>
      <c r="H277" s="173"/>
      <c r="I277" s="174" t="s">
        <v>48</v>
      </c>
      <c r="J277" s="2" t="s">
        <v>3195</v>
      </c>
      <c r="K277" s="177" t="s">
        <v>3041</v>
      </c>
      <c r="L277" s="177" t="s">
        <v>1078</v>
      </c>
      <c r="M277" s="1">
        <v>44712</v>
      </c>
      <c r="N277" s="1">
        <v>44712</v>
      </c>
      <c r="O277" s="3" t="s">
        <v>41</v>
      </c>
      <c r="P277" s="178">
        <v>987.21</v>
      </c>
      <c r="Q277" s="179"/>
      <c r="R277" s="217">
        <v>4.7</v>
      </c>
      <c r="S277" s="218">
        <f t="shared" si="9"/>
        <v>0.94000000000000006</v>
      </c>
      <c r="T277" s="180">
        <v>56</v>
      </c>
      <c r="U277" s="181">
        <v>0</v>
      </c>
      <c r="V277" s="181">
        <v>0</v>
      </c>
      <c r="W277" s="181">
        <v>56</v>
      </c>
      <c r="X277" s="182">
        <f t="shared" si="10"/>
        <v>56</v>
      </c>
      <c r="Y277" s="3">
        <v>2</v>
      </c>
      <c r="Z277" s="3" t="s">
        <v>2784</v>
      </c>
      <c r="AA277" s="189" t="s">
        <v>569</v>
      </c>
    </row>
    <row r="278" spans="1:27" ht="23.25" hidden="1" customHeight="1">
      <c r="A278" s="171" t="s">
        <v>2943</v>
      </c>
      <c r="B278" s="3">
        <v>2022</v>
      </c>
      <c r="D278" s="3" t="s">
        <v>52</v>
      </c>
      <c r="E278" s="3" t="s">
        <v>1080</v>
      </c>
      <c r="F278" s="173" t="s">
        <v>1081</v>
      </c>
      <c r="G278" s="173"/>
      <c r="H278" s="173"/>
      <c r="I278" s="174" t="s">
        <v>33</v>
      </c>
      <c r="J278" s="2" t="s">
        <v>3224</v>
      </c>
      <c r="K278" s="177" t="s">
        <v>3022</v>
      </c>
      <c r="L278" s="177" t="s">
        <v>1082</v>
      </c>
      <c r="M278" s="1">
        <v>44715</v>
      </c>
      <c r="N278" s="1">
        <v>44715</v>
      </c>
      <c r="O278" s="3" t="s">
        <v>41</v>
      </c>
      <c r="P278" s="178">
        <f>740.4+867.47</f>
        <v>1607.87</v>
      </c>
      <c r="Q278" s="179"/>
      <c r="R278" s="217">
        <v>4.5999999999999996</v>
      </c>
      <c r="S278" s="218">
        <f t="shared" si="9"/>
        <v>0.91999999999999993</v>
      </c>
      <c r="T278" s="180">
        <v>26</v>
      </c>
      <c r="U278" s="181">
        <v>26</v>
      </c>
      <c r="V278" s="181">
        <v>0</v>
      </c>
      <c r="W278" s="181">
        <v>0</v>
      </c>
      <c r="X278" s="182">
        <f t="shared" si="10"/>
        <v>26</v>
      </c>
      <c r="Y278" s="3">
        <v>4.5</v>
      </c>
      <c r="Z278" s="3" t="s">
        <v>2780</v>
      </c>
      <c r="AA278" s="189" t="s">
        <v>3228</v>
      </c>
    </row>
    <row r="279" spans="1:27" ht="23.25" hidden="1" customHeight="1">
      <c r="A279" s="171" t="s">
        <v>2943</v>
      </c>
      <c r="B279" s="3">
        <v>2022</v>
      </c>
      <c r="D279" s="3" t="s">
        <v>52</v>
      </c>
      <c r="E279" s="3" t="s">
        <v>1085</v>
      </c>
      <c r="F279" s="173" t="s">
        <v>1086</v>
      </c>
      <c r="G279" s="173"/>
      <c r="H279" s="173"/>
      <c r="I279" s="174" t="s">
        <v>33</v>
      </c>
      <c r="J279" s="2" t="s">
        <v>3203</v>
      </c>
      <c r="K279" s="177" t="s">
        <v>3022</v>
      </c>
      <c r="L279" s="177" t="s">
        <v>1087</v>
      </c>
      <c r="M279" s="1">
        <v>44718</v>
      </c>
      <c r="N279" s="1">
        <v>44718</v>
      </c>
      <c r="O279" s="3" t="s">
        <v>41</v>
      </c>
      <c r="P279" s="178">
        <v>440.15</v>
      </c>
      <c r="Q279" s="179"/>
      <c r="R279" s="217">
        <v>5</v>
      </c>
      <c r="S279" s="218">
        <f t="shared" si="9"/>
        <v>1</v>
      </c>
      <c r="T279" s="180">
        <v>0</v>
      </c>
      <c r="U279" s="181">
        <v>26</v>
      </c>
      <c r="V279" s="181">
        <v>0</v>
      </c>
      <c r="W279" s="181">
        <v>0</v>
      </c>
      <c r="X279" s="182">
        <f t="shared" si="10"/>
        <v>26</v>
      </c>
      <c r="Y279" s="3">
        <v>1</v>
      </c>
      <c r="Z279" s="3" t="s">
        <v>2780</v>
      </c>
      <c r="AA279" s="189" t="s">
        <v>3063</v>
      </c>
    </row>
    <row r="280" spans="1:27" ht="23.25" hidden="1" customHeight="1">
      <c r="A280" s="171" t="s">
        <v>2943</v>
      </c>
      <c r="B280" s="3">
        <v>2022</v>
      </c>
      <c r="D280" s="3" t="s">
        <v>52</v>
      </c>
      <c r="E280" s="3" t="s">
        <v>1089</v>
      </c>
      <c r="F280" s="173" t="s">
        <v>1090</v>
      </c>
      <c r="G280" s="173"/>
      <c r="H280" s="173"/>
      <c r="I280" s="174" t="s">
        <v>33</v>
      </c>
      <c r="J280" s="2" t="s">
        <v>3199</v>
      </c>
      <c r="K280" s="177" t="s">
        <v>3022</v>
      </c>
      <c r="L280" s="177" t="s">
        <v>3229</v>
      </c>
      <c r="M280" s="1">
        <v>44733</v>
      </c>
      <c r="N280" s="1">
        <v>44825</v>
      </c>
      <c r="O280" s="171" t="s">
        <v>45</v>
      </c>
      <c r="P280" s="178">
        <v>39600</v>
      </c>
      <c r="Q280" s="179"/>
      <c r="R280" s="217">
        <v>5</v>
      </c>
      <c r="S280" s="218">
        <f t="shared" si="9"/>
        <v>1</v>
      </c>
      <c r="T280" s="180">
        <v>20</v>
      </c>
      <c r="U280" s="181">
        <v>11</v>
      </c>
      <c r="V280" s="181">
        <v>0</v>
      </c>
      <c r="W280" s="181">
        <v>0</v>
      </c>
      <c r="X280" s="182">
        <f t="shared" si="10"/>
        <v>11</v>
      </c>
      <c r="Y280" s="3">
        <v>66</v>
      </c>
      <c r="Z280" s="3" t="s">
        <v>3052</v>
      </c>
      <c r="AA280" s="2" t="s">
        <v>1092</v>
      </c>
    </row>
    <row r="281" spans="1:27" ht="23.25" hidden="1" customHeight="1">
      <c r="A281" s="171" t="s">
        <v>2943</v>
      </c>
      <c r="B281" s="3">
        <v>2022</v>
      </c>
      <c r="D281" s="3" t="s">
        <v>52</v>
      </c>
      <c r="E281" s="3" t="s">
        <v>1094</v>
      </c>
      <c r="F281" s="173" t="s">
        <v>1095</v>
      </c>
      <c r="G281" s="173"/>
      <c r="H281" s="173"/>
      <c r="I281" s="174" t="s">
        <v>33</v>
      </c>
      <c r="J281" s="2" t="s">
        <v>3199</v>
      </c>
      <c r="K281" s="177" t="s">
        <v>3022</v>
      </c>
      <c r="L281" s="177" t="s">
        <v>3230</v>
      </c>
      <c r="M281" s="1">
        <v>44741</v>
      </c>
      <c r="O281" s="171" t="s">
        <v>45</v>
      </c>
      <c r="P281" s="178">
        <v>0</v>
      </c>
      <c r="Q281" s="179"/>
      <c r="R281" s="217">
        <v>5</v>
      </c>
      <c r="S281" s="218">
        <f t="shared" si="9"/>
        <v>1</v>
      </c>
      <c r="T281" s="180">
        <v>14</v>
      </c>
      <c r="U281" s="181">
        <v>14</v>
      </c>
      <c r="V281" s="181">
        <v>0</v>
      </c>
      <c r="W281" s="181">
        <v>0</v>
      </c>
      <c r="X281" s="182">
        <f t="shared" si="10"/>
        <v>14</v>
      </c>
      <c r="Y281" s="3">
        <v>7</v>
      </c>
      <c r="Z281" s="3" t="s">
        <v>3040</v>
      </c>
      <c r="AA281" s="2" t="s">
        <v>3231</v>
      </c>
    </row>
    <row r="282" spans="1:27" ht="23.25" hidden="1" customHeight="1">
      <c r="A282" s="171" t="s">
        <v>2943</v>
      </c>
      <c r="B282" s="3">
        <v>2022</v>
      </c>
      <c r="D282" s="3" t="s">
        <v>52</v>
      </c>
      <c r="E282" s="3" t="s">
        <v>1098</v>
      </c>
      <c r="F282" s="173" t="s">
        <v>1099</v>
      </c>
      <c r="G282" s="173"/>
      <c r="H282" s="173"/>
      <c r="I282" s="174" t="s">
        <v>48</v>
      </c>
      <c r="J282" s="2" t="s">
        <v>3195</v>
      </c>
      <c r="K282" s="177" t="s">
        <v>3041</v>
      </c>
      <c r="L282" s="177" t="s">
        <v>3232</v>
      </c>
      <c r="M282" s="1">
        <v>44753</v>
      </c>
      <c r="N282" s="1">
        <v>44757</v>
      </c>
      <c r="O282" s="3" t="s">
        <v>41</v>
      </c>
      <c r="P282" s="178">
        <v>5182.8900000000003</v>
      </c>
      <c r="Q282" s="179"/>
      <c r="R282" s="217">
        <v>4.5</v>
      </c>
      <c r="S282" s="218">
        <f t="shared" si="9"/>
        <v>0.9</v>
      </c>
      <c r="T282" s="180">
        <v>40</v>
      </c>
      <c r="U282" s="181">
        <v>0</v>
      </c>
      <c r="V282" s="181">
        <v>0</v>
      </c>
      <c r="W282" s="181">
        <v>49</v>
      </c>
      <c r="X282" s="182">
        <f t="shared" si="10"/>
        <v>49</v>
      </c>
      <c r="Y282" s="3">
        <v>10.5</v>
      </c>
      <c r="Z282" s="3" t="s">
        <v>2784</v>
      </c>
      <c r="AA282" s="189" t="s">
        <v>3161</v>
      </c>
    </row>
    <row r="283" spans="1:27" ht="23.25" hidden="1" customHeight="1">
      <c r="A283" s="171" t="s">
        <v>2943</v>
      </c>
      <c r="B283" s="3">
        <v>2022</v>
      </c>
      <c r="D283" s="3" t="s">
        <v>52</v>
      </c>
      <c r="E283" s="3" t="s">
        <v>1102</v>
      </c>
      <c r="F283" s="173" t="s">
        <v>1103</v>
      </c>
      <c r="G283" s="173"/>
      <c r="H283" s="173"/>
      <c r="I283" s="174" t="s">
        <v>33</v>
      </c>
      <c r="J283" s="2" t="s">
        <v>3203</v>
      </c>
      <c r="K283" s="177" t="s">
        <v>3022</v>
      </c>
      <c r="L283" s="177" t="s">
        <v>3233</v>
      </c>
      <c r="M283" s="1">
        <v>44762</v>
      </c>
      <c r="N283" s="1">
        <v>44764</v>
      </c>
      <c r="O283" s="3" t="s">
        <v>41</v>
      </c>
      <c r="P283" s="178">
        <v>2602.4</v>
      </c>
      <c r="Q283" s="179"/>
      <c r="R283" s="217">
        <v>4.5999999999999996</v>
      </c>
      <c r="S283" s="218">
        <f t="shared" si="9"/>
        <v>0.91999999999999993</v>
      </c>
      <c r="T283" s="180">
        <v>20</v>
      </c>
      <c r="U283" s="181">
        <v>27</v>
      </c>
      <c r="V283" s="181">
        <v>0</v>
      </c>
      <c r="W283" s="181">
        <v>0</v>
      </c>
      <c r="X283" s="182">
        <f t="shared" si="10"/>
        <v>27</v>
      </c>
      <c r="Y283" s="3">
        <v>6</v>
      </c>
      <c r="Z283" s="3" t="s">
        <v>2780</v>
      </c>
      <c r="AA283" s="189" t="s">
        <v>3234</v>
      </c>
    </row>
    <row r="284" spans="1:27" ht="23.25" hidden="1" customHeight="1">
      <c r="A284" s="171" t="s">
        <v>2943</v>
      </c>
      <c r="B284" s="3">
        <v>2022</v>
      </c>
      <c r="D284" s="3" t="s">
        <v>52</v>
      </c>
      <c r="E284" s="3" t="s">
        <v>1107</v>
      </c>
      <c r="F284" s="173" t="s">
        <v>1108</v>
      </c>
      <c r="G284" s="173"/>
      <c r="H284" s="173"/>
      <c r="I284" s="174" t="s">
        <v>33</v>
      </c>
      <c r="J284" s="2" t="s">
        <v>3235</v>
      </c>
      <c r="K284" s="177" t="s">
        <v>3022</v>
      </c>
      <c r="L284" s="177" t="s">
        <v>1109</v>
      </c>
      <c r="M284" s="1">
        <v>44771</v>
      </c>
      <c r="N284" s="1">
        <v>44771</v>
      </c>
      <c r="O284" s="171" t="s">
        <v>45</v>
      </c>
      <c r="P284" s="178">
        <v>0</v>
      </c>
      <c r="Q284" s="179"/>
      <c r="R284" s="217">
        <v>5</v>
      </c>
      <c r="S284" s="218">
        <f t="shared" si="9"/>
        <v>1</v>
      </c>
      <c r="T284" s="180">
        <v>20</v>
      </c>
      <c r="U284" s="181">
        <v>13</v>
      </c>
      <c r="V284" s="181">
        <v>2</v>
      </c>
      <c r="W284" s="181">
        <v>7</v>
      </c>
      <c r="X284" s="182">
        <f t="shared" si="10"/>
        <v>22</v>
      </c>
      <c r="Y284" s="3">
        <v>2</v>
      </c>
      <c r="Z284" s="3" t="s">
        <v>3052</v>
      </c>
      <c r="AA284" s="2" t="s">
        <v>908</v>
      </c>
    </row>
    <row r="285" spans="1:27" ht="23.25" hidden="1" customHeight="1">
      <c r="A285" s="171" t="s">
        <v>2943</v>
      </c>
      <c r="B285" s="3">
        <v>2022</v>
      </c>
      <c r="D285" s="3" t="s">
        <v>52</v>
      </c>
      <c r="E285" s="3" t="s">
        <v>1111</v>
      </c>
      <c r="F285" s="173" t="s">
        <v>1112</v>
      </c>
      <c r="G285" s="173"/>
      <c r="H285" s="173"/>
      <c r="I285" s="174" t="s">
        <v>33</v>
      </c>
      <c r="J285" s="2" t="s">
        <v>3203</v>
      </c>
      <c r="K285" s="177" t="s">
        <v>3022</v>
      </c>
      <c r="L285" s="177" t="s">
        <v>3236</v>
      </c>
      <c r="M285" s="1">
        <v>44775</v>
      </c>
      <c r="N285" s="1">
        <v>44777</v>
      </c>
      <c r="O285" s="3" t="s">
        <v>41</v>
      </c>
      <c r="P285" s="178">
        <v>4000</v>
      </c>
      <c r="Q285" s="179"/>
      <c r="R285" s="217">
        <v>4.9400000000000004</v>
      </c>
      <c r="S285" s="218">
        <f t="shared" si="9"/>
        <v>0.9880000000000001</v>
      </c>
      <c r="T285" s="180">
        <v>20</v>
      </c>
      <c r="U285" s="181">
        <v>18</v>
      </c>
      <c r="V285" s="181">
        <v>0</v>
      </c>
      <c r="W285" s="181">
        <v>0</v>
      </c>
      <c r="X285" s="182">
        <f t="shared" si="10"/>
        <v>18</v>
      </c>
      <c r="Y285" s="3">
        <v>6</v>
      </c>
      <c r="Z285" s="3" t="s">
        <v>2780</v>
      </c>
      <c r="AA285" s="189" t="s">
        <v>3237</v>
      </c>
    </row>
    <row r="286" spans="1:27" ht="23.25" hidden="1" customHeight="1">
      <c r="A286" s="171" t="s">
        <v>2943</v>
      </c>
      <c r="B286" s="3">
        <v>2022</v>
      </c>
      <c r="D286" s="3" t="s">
        <v>52</v>
      </c>
      <c r="E286" s="3" t="s">
        <v>3238</v>
      </c>
      <c r="F286" s="173" t="s">
        <v>1117</v>
      </c>
      <c r="G286" s="173"/>
      <c r="H286" s="173"/>
      <c r="I286" s="174" t="s">
        <v>48</v>
      </c>
      <c r="J286" s="2" t="s">
        <v>3195</v>
      </c>
      <c r="K286" s="177" t="s">
        <v>3041</v>
      </c>
      <c r="L286" s="177" t="s">
        <v>3239</v>
      </c>
      <c r="M286" s="1">
        <v>44778</v>
      </c>
      <c r="N286" s="1">
        <v>44778</v>
      </c>
      <c r="O286" s="171" t="s">
        <v>45</v>
      </c>
      <c r="P286" s="178">
        <v>0</v>
      </c>
      <c r="Q286" s="179"/>
      <c r="R286" s="217">
        <v>5</v>
      </c>
      <c r="S286" s="218">
        <f t="shared" si="9"/>
        <v>1</v>
      </c>
      <c r="T286" s="180">
        <v>0</v>
      </c>
      <c r="U286" s="181">
        <v>0</v>
      </c>
      <c r="V286" s="181">
        <v>0</v>
      </c>
      <c r="W286" s="181">
        <v>31</v>
      </c>
      <c r="X286" s="182">
        <f t="shared" si="10"/>
        <v>31</v>
      </c>
      <c r="Y286" s="3">
        <v>2</v>
      </c>
      <c r="Z286" s="3" t="s">
        <v>2784</v>
      </c>
      <c r="AA286" s="2" t="s">
        <v>3240</v>
      </c>
    </row>
    <row r="287" spans="1:27" ht="23.25" hidden="1" customHeight="1">
      <c r="A287" s="171" t="s">
        <v>2943</v>
      </c>
      <c r="B287" s="3">
        <v>2022</v>
      </c>
      <c r="D287" s="3" t="s">
        <v>52</v>
      </c>
      <c r="E287" s="3" t="s">
        <v>1121</v>
      </c>
      <c r="F287" s="173" t="s">
        <v>3241</v>
      </c>
      <c r="G287" s="173"/>
      <c r="H287" s="173"/>
      <c r="I287" s="174" t="s">
        <v>33</v>
      </c>
      <c r="J287" s="2" t="s">
        <v>3242</v>
      </c>
      <c r="K287" s="177" t="s">
        <v>3022</v>
      </c>
      <c r="L287" s="177" t="s">
        <v>3243</v>
      </c>
      <c r="M287" s="1">
        <v>44781</v>
      </c>
      <c r="N287" s="1">
        <v>44785</v>
      </c>
      <c r="O287" s="171" t="s">
        <v>45</v>
      </c>
      <c r="P287" s="178">
        <v>11500</v>
      </c>
      <c r="Q287" s="179"/>
      <c r="R287" s="217">
        <v>4.7</v>
      </c>
      <c r="S287" s="218">
        <f t="shared" si="9"/>
        <v>0.94000000000000006</v>
      </c>
      <c r="T287" s="180">
        <v>30</v>
      </c>
      <c r="U287" s="181">
        <v>18</v>
      </c>
      <c r="V287" s="181">
        <v>7</v>
      </c>
      <c r="W287" s="181">
        <v>0</v>
      </c>
      <c r="X287" s="182">
        <f t="shared" si="10"/>
        <v>25</v>
      </c>
      <c r="Y287" s="3">
        <v>20</v>
      </c>
      <c r="Z287" s="3" t="s">
        <v>2784</v>
      </c>
      <c r="AA287" s="2" t="s">
        <v>3244</v>
      </c>
    </row>
    <row r="288" spans="1:27" ht="23.25" hidden="1" customHeight="1">
      <c r="A288" s="171" t="s">
        <v>2943</v>
      </c>
      <c r="B288" s="3">
        <v>2022</v>
      </c>
      <c r="D288" s="3" t="s">
        <v>52</v>
      </c>
      <c r="E288" s="3" t="s">
        <v>1125</v>
      </c>
      <c r="F288" s="173" t="s">
        <v>691</v>
      </c>
      <c r="G288" s="173"/>
      <c r="H288" s="173"/>
      <c r="I288" s="174" t="s">
        <v>33</v>
      </c>
      <c r="J288" s="2" t="s">
        <v>3235</v>
      </c>
      <c r="K288" s="177" t="s">
        <v>3022</v>
      </c>
      <c r="L288" s="3" t="s">
        <v>1123</v>
      </c>
      <c r="M288" s="1">
        <v>44781</v>
      </c>
      <c r="N288" s="1">
        <v>44785</v>
      </c>
      <c r="O288" s="171" t="s">
        <v>45</v>
      </c>
      <c r="P288" s="178">
        <v>4000</v>
      </c>
      <c r="Q288" s="179"/>
      <c r="R288" s="217">
        <v>4.7</v>
      </c>
      <c r="S288" s="218">
        <f t="shared" si="9"/>
        <v>0.94000000000000006</v>
      </c>
      <c r="T288" s="180">
        <v>20</v>
      </c>
      <c r="U288" s="181">
        <v>9</v>
      </c>
      <c r="V288" s="181">
        <v>0</v>
      </c>
      <c r="W288" s="181">
        <v>0</v>
      </c>
      <c r="X288" s="182">
        <f t="shared" si="10"/>
        <v>9</v>
      </c>
      <c r="Y288" s="3">
        <v>20</v>
      </c>
      <c r="Z288" s="3" t="s">
        <v>3052</v>
      </c>
      <c r="AA288" s="2" t="s">
        <v>693</v>
      </c>
    </row>
    <row r="289" spans="1:27" ht="23.25" hidden="1" customHeight="1">
      <c r="A289" s="171" t="s">
        <v>2943</v>
      </c>
      <c r="B289" s="3">
        <v>2022</v>
      </c>
      <c r="D289" s="3" t="s">
        <v>52</v>
      </c>
      <c r="E289" s="3" t="s">
        <v>1111</v>
      </c>
      <c r="F289" s="173" t="s">
        <v>1127</v>
      </c>
      <c r="G289" s="173"/>
      <c r="H289" s="173"/>
      <c r="I289" s="174" t="s">
        <v>33</v>
      </c>
      <c r="J289" s="2" t="s">
        <v>3203</v>
      </c>
      <c r="K289" s="177" t="s">
        <v>3022</v>
      </c>
      <c r="L289" s="177" t="s">
        <v>3245</v>
      </c>
      <c r="M289" s="1">
        <v>44789</v>
      </c>
      <c r="N289" s="1">
        <v>44791</v>
      </c>
      <c r="O289" s="3" t="s">
        <v>41</v>
      </c>
      <c r="P289" s="178">
        <v>4000</v>
      </c>
      <c r="Q289" s="179"/>
      <c r="R289" s="217">
        <v>4.9000000000000004</v>
      </c>
      <c r="S289" s="218">
        <f t="shared" si="9"/>
        <v>0.98000000000000009</v>
      </c>
      <c r="T289" s="180">
        <v>20</v>
      </c>
      <c r="U289" s="181">
        <v>8</v>
      </c>
      <c r="V289" s="181">
        <v>0</v>
      </c>
      <c r="W289" s="181">
        <v>0</v>
      </c>
      <c r="X289" s="182">
        <f t="shared" si="10"/>
        <v>8</v>
      </c>
      <c r="Y289" s="3">
        <v>6</v>
      </c>
      <c r="Z289" s="3" t="s">
        <v>2780</v>
      </c>
      <c r="AA289" s="189" t="s">
        <v>3237</v>
      </c>
    </row>
    <row r="290" spans="1:27" ht="23.25" hidden="1" customHeight="1">
      <c r="A290" s="171" t="s">
        <v>2943</v>
      </c>
      <c r="B290" s="3">
        <v>2022</v>
      </c>
      <c r="D290" s="3" t="s">
        <v>52</v>
      </c>
      <c r="E290" s="3" t="s">
        <v>1130</v>
      </c>
      <c r="F290" s="173" t="s">
        <v>1131</v>
      </c>
      <c r="G290" s="173"/>
      <c r="H290" s="173"/>
      <c r="I290" s="174" t="s">
        <v>48</v>
      </c>
      <c r="J290" s="2" t="s">
        <v>3195</v>
      </c>
      <c r="K290" s="177" t="s">
        <v>3041</v>
      </c>
      <c r="L290" s="177" t="s">
        <v>3246</v>
      </c>
      <c r="M290" s="1">
        <v>44795</v>
      </c>
      <c r="N290" s="1">
        <v>44795</v>
      </c>
      <c r="O290" s="3" t="s">
        <v>41</v>
      </c>
      <c r="P290" s="178">
        <v>800</v>
      </c>
      <c r="Q290" s="179"/>
      <c r="R290" s="217">
        <v>5</v>
      </c>
      <c r="S290" s="218">
        <f t="shared" si="9"/>
        <v>1</v>
      </c>
      <c r="T290" s="180">
        <v>0</v>
      </c>
      <c r="U290" s="181">
        <v>0</v>
      </c>
      <c r="V290" s="181">
        <v>0</v>
      </c>
      <c r="W290" s="181">
        <v>29</v>
      </c>
      <c r="X290" s="182">
        <f t="shared" si="10"/>
        <v>29</v>
      </c>
      <c r="Y290" s="3">
        <v>1</v>
      </c>
      <c r="Z290" s="3" t="s">
        <v>2784</v>
      </c>
      <c r="AA290" s="190" t="s">
        <v>3214</v>
      </c>
    </row>
    <row r="291" spans="1:27" ht="23.25" hidden="1" customHeight="1">
      <c r="A291" s="171" t="s">
        <v>2943</v>
      </c>
      <c r="B291" s="3">
        <v>2022</v>
      </c>
      <c r="D291" s="171" t="s">
        <v>50</v>
      </c>
      <c r="E291" s="3" t="s">
        <v>3247</v>
      </c>
      <c r="F291" s="173" t="s">
        <v>3248</v>
      </c>
      <c r="G291" s="173"/>
      <c r="H291" s="173"/>
      <c r="I291" s="174" t="s">
        <v>44</v>
      </c>
      <c r="J291" s="2" t="s">
        <v>3195</v>
      </c>
      <c r="K291" s="177" t="s">
        <v>3041</v>
      </c>
      <c r="L291" s="177" t="s">
        <v>3249</v>
      </c>
      <c r="M291" s="1">
        <v>44796</v>
      </c>
      <c r="N291" s="1">
        <v>44796</v>
      </c>
      <c r="O291" s="3" t="s">
        <v>45</v>
      </c>
      <c r="Q291" s="179"/>
      <c r="R291" s="217"/>
      <c r="S291" s="218"/>
      <c r="T291" s="180"/>
      <c r="U291" s="181"/>
      <c r="V291" s="181"/>
      <c r="W291" s="181"/>
      <c r="X291" s="181">
        <f t="shared" si="10"/>
        <v>0</v>
      </c>
      <c r="Y291" s="3"/>
      <c r="Z291" s="3" t="s">
        <v>2784</v>
      </c>
    </row>
    <row r="292" spans="1:27" ht="23.25" hidden="1" customHeight="1">
      <c r="A292" s="171" t="s">
        <v>2943</v>
      </c>
      <c r="B292" s="3">
        <v>2022</v>
      </c>
      <c r="D292" s="3" t="s">
        <v>52</v>
      </c>
      <c r="E292" s="3" t="s">
        <v>1134</v>
      </c>
      <c r="F292" s="173" t="s">
        <v>1135</v>
      </c>
      <c r="G292" s="173"/>
      <c r="H292" s="173"/>
      <c r="I292" s="174" t="s">
        <v>48</v>
      </c>
      <c r="J292" s="2" t="s">
        <v>3195</v>
      </c>
      <c r="K292" s="177" t="s">
        <v>51</v>
      </c>
      <c r="L292" s="177" t="s">
        <v>1136</v>
      </c>
      <c r="M292" s="1">
        <v>44799</v>
      </c>
      <c r="N292" s="1">
        <v>44799</v>
      </c>
      <c r="O292" s="3" t="s">
        <v>45</v>
      </c>
      <c r="P292" s="178">
        <v>0</v>
      </c>
      <c r="Q292" s="179"/>
      <c r="R292" s="217">
        <v>5</v>
      </c>
      <c r="S292" s="218">
        <f>R292/5</f>
        <v>1</v>
      </c>
      <c r="T292" s="180">
        <v>24</v>
      </c>
      <c r="U292" s="181">
        <v>3</v>
      </c>
      <c r="V292" s="181">
        <v>0</v>
      </c>
      <c r="W292" s="181">
        <v>21</v>
      </c>
      <c r="X292" s="182">
        <f t="shared" si="10"/>
        <v>24</v>
      </c>
      <c r="Y292" s="3">
        <v>4</v>
      </c>
      <c r="Z292" s="3" t="s">
        <v>2784</v>
      </c>
      <c r="AA292" s="2" t="s">
        <v>492</v>
      </c>
    </row>
    <row r="293" spans="1:27" ht="23.25" hidden="1" customHeight="1">
      <c r="A293" s="171" t="s">
        <v>2943</v>
      </c>
      <c r="B293" s="3">
        <v>2022</v>
      </c>
      <c r="D293" s="171" t="s">
        <v>50</v>
      </c>
      <c r="F293" s="173" t="s">
        <v>3250</v>
      </c>
      <c r="G293" s="173"/>
      <c r="H293" s="173"/>
      <c r="I293" s="174" t="s">
        <v>51</v>
      </c>
      <c r="J293" s="2" t="s">
        <v>3195</v>
      </c>
      <c r="K293" s="177" t="s">
        <v>51</v>
      </c>
      <c r="L293" s="177"/>
      <c r="M293" s="1">
        <v>44803</v>
      </c>
      <c r="Q293" s="179"/>
      <c r="R293" s="217"/>
      <c r="S293" s="218"/>
      <c r="T293" s="180"/>
      <c r="U293" s="181"/>
      <c r="V293" s="181"/>
      <c r="W293" s="181"/>
      <c r="X293" s="181">
        <f t="shared" si="10"/>
        <v>0</v>
      </c>
      <c r="Y293" s="3"/>
      <c r="Z293" s="3"/>
    </row>
    <row r="294" spans="1:27" ht="23.25" hidden="1" customHeight="1">
      <c r="A294" s="171" t="s">
        <v>2943</v>
      </c>
      <c r="B294" s="3">
        <v>2022</v>
      </c>
      <c r="D294" s="3" t="s">
        <v>52</v>
      </c>
      <c r="E294" s="3" t="s">
        <v>1139</v>
      </c>
      <c r="F294" s="173" t="s">
        <v>1140</v>
      </c>
      <c r="G294" s="173"/>
      <c r="H294" s="173"/>
      <c r="I294" s="174" t="s">
        <v>33</v>
      </c>
      <c r="J294" s="2" t="s">
        <v>3199</v>
      </c>
      <c r="K294" s="177" t="s">
        <v>3022</v>
      </c>
      <c r="L294" s="177" t="s">
        <v>3251</v>
      </c>
      <c r="M294" s="1">
        <v>44806</v>
      </c>
      <c r="N294" s="1">
        <v>44806</v>
      </c>
      <c r="O294" s="3" t="s">
        <v>41</v>
      </c>
      <c r="P294" s="178">
        <v>0</v>
      </c>
      <c r="Q294" s="179"/>
      <c r="R294" s="217">
        <v>5</v>
      </c>
      <c r="S294" s="218">
        <f t="shared" ref="S294:S325" si="11">R294/5</f>
        <v>1</v>
      </c>
      <c r="T294" s="180">
        <v>0</v>
      </c>
      <c r="U294" s="181">
        <v>66</v>
      </c>
      <c r="V294" s="181">
        <v>0</v>
      </c>
      <c r="W294" s="181">
        <v>0</v>
      </c>
      <c r="X294" s="182">
        <f t="shared" si="10"/>
        <v>66</v>
      </c>
      <c r="Y294" s="3">
        <v>1.5</v>
      </c>
      <c r="Z294" s="3" t="s">
        <v>2784</v>
      </c>
      <c r="AA294" s="196" t="s">
        <v>2964</v>
      </c>
    </row>
    <row r="295" spans="1:27" ht="23.25" hidden="1" customHeight="1">
      <c r="A295" s="171" t="s">
        <v>2943</v>
      </c>
      <c r="B295" s="3">
        <v>2022</v>
      </c>
      <c r="D295" s="3" t="s">
        <v>52</v>
      </c>
      <c r="E295" s="3" t="s">
        <v>1143</v>
      </c>
      <c r="F295" s="173" t="s">
        <v>1144</v>
      </c>
      <c r="G295" s="173"/>
      <c r="H295" s="173"/>
      <c r="I295" s="174" t="s">
        <v>48</v>
      </c>
      <c r="J295" s="2" t="s">
        <v>3195</v>
      </c>
      <c r="K295" s="177" t="s">
        <v>3041</v>
      </c>
      <c r="L295" s="177" t="s">
        <v>1145</v>
      </c>
      <c r="M295" s="1">
        <v>44813</v>
      </c>
      <c r="N295" s="1">
        <v>44813</v>
      </c>
      <c r="O295" s="3" t="s">
        <v>41</v>
      </c>
      <c r="P295" s="178">
        <v>1000</v>
      </c>
      <c r="Q295" s="179"/>
      <c r="R295" s="217">
        <v>5</v>
      </c>
      <c r="S295" s="218">
        <f t="shared" si="11"/>
        <v>1</v>
      </c>
      <c r="T295" s="180">
        <v>20</v>
      </c>
      <c r="U295" s="181">
        <v>0</v>
      </c>
      <c r="V295" s="181">
        <v>0</v>
      </c>
      <c r="W295" s="181">
        <v>20</v>
      </c>
      <c r="X295" s="182">
        <f t="shared" si="10"/>
        <v>20</v>
      </c>
      <c r="Y295" s="3">
        <v>3</v>
      </c>
      <c r="Z295" s="3" t="s">
        <v>2784</v>
      </c>
      <c r="AA295" s="190" t="s">
        <v>3214</v>
      </c>
    </row>
    <row r="296" spans="1:27" ht="23.25" hidden="1" customHeight="1">
      <c r="A296" s="171" t="s">
        <v>2943</v>
      </c>
      <c r="B296" s="3">
        <v>2022</v>
      </c>
      <c r="D296" s="3" t="s">
        <v>52</v>
      </c>
      <c r="E296" s="3" t="s">
        <v>1147</v>
      </c>
      <c r="F296" s="173" t="s">
        <v>704</v>
      </c>
      <c r="G296" s="173"/>
      <c r="H296" s="173"/>
      <c r="I296" s="174" t="s">
        <v>33</v>
      </c>
      <c r="J296" s="2" t="s">
        <v>3235</v>
      </c>
      <c r="K296" s="177" t="s">
        <v>3022</v>
      </c>
      <c r="L296" s="177" t="s">
        <v>3252</v>
      </c>
      <c r="M296" s="1">
        <v>44816</v>
      </c>
      <c r="N296" s="1">
        <v>44820</v>
      </c>
      <c r="O296" s="3" t="s">
        <v>45</v>
      </c>
      <c r="P296" s="178">
        <v>2000</v>
      </c>
      <c r="Q296" s="179"/>
      <c r="R296" s="217">
        <v>5</v>
      </c>
      <c r="S296" s="218">
        <f t="shared" si="11"/>
        <v>1</v>
      </c>
      <c r="T296" s="180">
        <v>20</v>
      </c>
      <c r="U296" s="181">
        <v>13</v>
      </c>
      <c r="V296" s="181">
        <v>0</v>
      </c>
      <c r="W296" s="181">
        <v>0</v>
      </c>
      <c r="X296" s="182">
        <f t="shared" si="10"/>
        <v>13</v>
      </c>
      <c r="Y296" s="3">
        <v>20</v>
      </c>
      <c r="Z296" s="3" t="s">
        <v>3052</v>
      </c>
      <c r="AA296" s="2" t="s">
        <v>693</v>
      </c>
    </row>
    <row r="297" spans="1:27" ht="23.25" hidden="1" customHeight="1">
      <c r="A297" s="171" t="s">
        <v>2943</v>
      </c>
      <c r="B297" s="3">
        <v>2022</v>
      </c>
      <c r="D297" s="3" t="s">
        <v>52</v>
      </c>
      <c r="E297" s="3" t="s">
        <v>1150</v>
      </c>
      <c r="F297" s="173" t="s">
        <v>1151</v>
      </c>
      <c r="G297" s="173"/>
      <c r="H297" s="173"/>
      <c r="I297" s="174" t="s">
        <v>33</v>
      </c>
      <c r="J297" s="2" t="s">
        <v>3204</v>
      </c>
      <c r="K297" s="177" t="s">
        <v>3022</v>
      </c>
      <c r="L297" s="177" t="s">
        <v>3253</v>
      </c>
      <c r="M297" s="1">
        <v>44817</v>
      </c>
      <c r="N297" s="1">
        <v>44826</v>
      </c>
      <c r="O297" s="3" t="s">
        <v>45</v>
      </c>
      <c r="P297" s="178">
        <v>6200</v>
      </c>
      <c r="Q297" s="179"/>
      <c r="R297" s="217">
        <v>4.7</v>
      </c>
      <c r="S297" s="218">
        <f t="shared" si="11"/>
        <v>0.94000000000000006</v>
      </c>
      <c r="T297" s="180">
        <v>30</v>
      </c>
      <c r="U297" s="181">
        <v>15</v>
      </c>
      <c r="V297" s="181">
        <v>0</v>
      </c>
      <c r="W297" s="181">
        <v>0</v>
      </c>
      <c r="X297" s="182">
        <f t="shared" si="10"/>
        <v>15</v>
      </c>
      <c r="Y297" s="3">
        <v>8</v>
      </c>
      <c r="Z297" s="3" t="s">
        <v>2780</v>
      </c>
      <c r="AA297" s="2" t="s">
        <v>1069</v>
      </c>
    </row>
    <row r="298" spans="1:27" ht="23.25" hidden="1" customHeight="1">
      <c r="A298" s="171" t="s">
        <v>2943</v>
      </c>
      <c r="B298" s="3">
        <v>2022</v>
      </c>
      <c r="D298" s="3" t="s">
        <v>52</v>
      </c>
      <c r="E298" s="3" t="s">
        <v>3254</v>
      </c>
      <c r="F298" s="173" t="s">
        <v>1156</v>
      </c>
      <c r="G298" s="173"/>
      <c r="H298" s="173"/>
      <c r="I298" s="174" t="s">
        <v>3034</v>
      </c>
      <c r="J298" s="2" t="s">
        <v>3255</v>
      </c>
      <c r="K298" s="177" t="s">
        <v>3022</v>
      </c>
      <c r="L298" s="177" t="s">
        <v>1157</v>
      </c>
      <c r="M298" s="1">
        <v>44817</v>
      </c>
      <c r="N298" s="1">
        <v>44909</v>
      </c>
      <c r="O298" s="3" t="s">
        <v>45</v>
      </c>
      <c r="P298" s="178">
        <v>40000</v>
      </c>
      <c r="Q298" s="179"/>
      <c r="R298" s="217">
        <v>5</v>
      </c>
      <c r="S298" s="218">
        <f t="shared" si="11"/>
        <v>1</v>
      </c>
      <c r="T298" s="180">
        <v>20</v>
      </c>
      <c r="U298" s="181">
        <v>5</v>
      </c>
      <c r="V298" s="181">
        <v>0</v>
      </c>
      <c r="W298" s="181">
        <v>0</v>
      </c>
      <c r="X298" s="182">
        <f t="shared" si="10"/>
        <v>5</v>
      </c>
      <c r="Y298" s="3">
        <v>30</v>
      </c>
      <c r="Z298" s="3" t="s">
        <v>2780</v>
      </c>
      <c r="AA298" s="2" t="s">
        <v>977</v>
      </c>
    </row>
    <row r="299" spans="1:27" ht="23.25" hidden="1" customHeight="1">
      <c r="A299" s="171" t="s">
        <v>2943</v>
      </c>
      <c r="B299" s="3">
        <v>2022</v>
      </c>
      <c r="D299" s="3" t="s">
        <v>52</v>
      </c>
      <c r="E299" s="3" t="s">
        <v>1159</v>
      </c>
      <c r="F299" s="173" t="s">
        <v>1160</v>
      </c>
      <c r="G299" s="173"/>
      <c r="H299" s="173"/>
      <c r="I299" s="174" t="s">
        <v>33</v>
      </c>
      <c r="J299" s="2" t="s">
        <v>3203</v>
      </c>
      <c r="K299" s="177" t="s">
        <v>3022</v>
      </c>
      <c r="L299" s="177" t="s">
        <v>3256</v>
      </c>
      <c r="M299" s="1">
        <v>44823</v>
      </c>
      <c r="N299" s="1">
        <v>44831</v>
      </c>
      <c r="O299" s="3" t="s">
        <v>41</v>
      </c>
      <c r="P299" s="178">
        <v>5000</v>
      </c>
      <c r="Q299" s="179"/>
      <c r="R299" s="217">
        <v>5</v>
      </c>
      <c r="S299" s="218">
        <f t="shared" si="11"/>
        <v>1</v>
      </c>
      <c r="T299" s="180">
        <v>20</v>
      </c>
      <c r="U299" s="181">
        <v>18</v>
      </c>
      <c r="V299" s="181">
        <v>0</v>
      </c>
      <c r="W299" s="181">
        <v>0</v>
      </c>
      <c r="X299" s="182">
        <f t="shared" si="10"/>
        <v>18</v>
      </c>
      <c r="Y299" s="3">
        <v>12</v>
      </c>
      <c r="Z299" s="3" t="s">
        <v>2784</v>
      </c>
      <c r="AA299" s="189" t="s">
        <v>564</v>
      </c>
    </row>
    <row r="300" spans="1:27" ht="23.25" hidden="1" customHeight="1">
      <c r="A300" s="171" t="s">
        <v>2943</v>
      </c>
      <c r="B300" s="3">
        <v>2022</v>
      </c>
      <c r="D300" s="3" t="s">
        <v>52</v>
      </c>
      <c r="E300" s="3" t="s">
        <v>1159</v>
      </c>
      <c r="F300" s="173" t="s">
        <v>1163</v>
      </c>
      <c r="G300" s="173"/>
      <c r="H300" s="173"/>
      <c r="I300" s="174" t="s">
        <v>33</v>
      </c>
      <c r="J300" s="2" t="s">
        <v>3203</v>
      </c>
      <c r="K300" s="177" t="s">
        <v>3022</v>
      </c>
      <c r="L300" s="177" t="s">
        <v>3257</v>
      </c>
      <c r="M300" s="1">
        <v>44823</v>
      </c>
      <c r="N300" s="1">
        <v>44833</v>
      </c>
      <c r="O300" s="3" t="s">
        <v>41</v>
      </c>
      <c r="P300" s="178">
        <v>5000</v>
      </c>
      <c r="Q300" s="179"/>
      <c r="R300" s="217">
        <v>5</v>
      </c>
      <c r="S300" s="218">
        <f t="shared" si="11"/>
        <v>1</v>
      </c>
      <c r="T300" s="180">
        <v>20</v>
      </c>
      <c r="U300" s="181">
        <v>8</v>
      </c>
      <c r="V300" s="181">
        <v>0</v>
      </c>
      <c r="W300" s="181">
        <v>0</v>
      </c>
      <c r="X300" s="182">
        <f t="shared" si="10"/>
        <v>8</v>
      </c>
      <c r="Y300" s="3">
        <v>12</v>
      </c>
      <c r="Z300" s="3" t="s">
        <v>2784</v>
      </c>
      <c r="AA300" s="189" t="s">
        <v>564</v>
      </c>
    </row>
    <row r="301" spans="1:27" ht="23.25" hidden="1" customHeight="1">
      <c r="A301" s="171" t="s">
        <v>2943</v>
      </c>
      <c r="B301" s="3">
        <v>2022</v>
      </c>
      <c r="D301" s="3" t="s">
        <v>52</v>
      </c>
      <c r="E301" s="3" t="s">
        <v>3258</v>
      </c>
      <c r="F301" s="173" t="s">
        <v>1167</v>
      </c>
      <c r="G301" s="173"/>
      <c r="H301" s="173"/>
      <c r="I301" s="174" t="s">
        <v>51</v>
      </c>
      <c r="J301" s="2" t="s">
        <v>3195</v>
      </c>
      <c r="K301" s="177" t="s">
        <v>3041</v>
      </c>
      <c r="L301" s="177" t="s">
        <v>3259</v>
      </c>
      <c r="M301" s="1">
        <v>44830</v>
      </c>
      <c r="N301" s="1">
        <v>44833</v>
      </c>
      <c r="O301" s="3" t="s">
        <v>45</v>
      </c>
      <c r="P301" s="178">
        <v>19800</v>
      </c>
      <c r="Q301" s="179"/>
      <c r="R301" s="217">
        <v>4.5999999999999996</v>
      </c>
      <c r="S301" s="218">
        <f t="shared" si="11"/>
        <v>0.91999999999999993</v>
      </c>
      <c r="T301" s="180">
        <v>80</v>
      </c>
      <c r="U301" s="181">
        <v>3</v>
      </c>
      <c r="V301" s="181">
        <v>80</v>
      </c>
      <c r="W301" s="181">
        <v>0</v>
      </c>
      <c r="X301" s="182">
        <f t="shared" si="10"/>
        <v>83</v>
      </c>
      <c r="Y301" s="3">
        <v>16</v>
      </c>
      <c r="Z301" s="3" t="s">
        <v>2784</v>
      </c>
      <c r="AA301" s="2" t="s">
        <v>1169</v>
      </c>
    </row>
    <row r="302" spans="1:27" ht="23.25" hidden="1" customHeight="1">
      <c r="A302" s="171" t="s">
        <v>2943</v>
      </c>
      <c r="B302" s="3">
        <v>2022</v>
      </c>
      <c r="D302" s="3" t="s">
        <v>52</v>
      </c>
      <c r="E302" s="3" t="s">
        <v>1171</v>
      </c>
      <c r="F302" s="173" t="s">
        <v>3260</v>
      </c>
      <c r="G302" s="173"/>
      <c r="H302" s="173"/>
      <c r="I302" s="174" t="s">
        <v>33</v>
      </c>
      <c r="J302" s="2" t="s">
        <v>3204</v>
      </c>
      <c r="K302" s="177" t="s">
        <v>3022</v>
      </c>
      <c r="L302" s="177" t="s">
        <v>1173</v>
      </c>
      <c r="M302" s="1">
        <v>44834</v>
      </c>
      <c r="N302" s="1">
        <v>44834</v>
      </c>
      <c r="O302" s="3" t="s">
        <v>45</v>
      </c>
      <c r="P302" s="178">
        <v>0</v>
      </c>
      <c r="Q302" s="179"/>
      <c r="R302" s="217">
        <v>5</v>
      </c>
      <c r="S302" s="218">
        <f t="shared" si="11"/>
        <v>1</v>
      </c>
      <c r="T302" s="180">
        <v>0</v>
      </c>
      <c r="U302" s="181">
        <v>24</v>
      </c>
      <c r="V302" s="181">
        <v>0</v>
      </c>
      <c r="W302" s="181">
        <v>0</v>
      </c>
      <c r="X302" s="182">
        <f t="shared" si="10"/>
        <v>24</v>
      </c>
      <c r="Y302" s="3">
        <v>2</v>
      </c>
      <c r="Z302" s="3" t="s">
        <v>2780</v>
      </c>
      <c r="AA302" s="2" t="s">
        <v>3261</v>
      </c>
    </row>
    <row r="303" spans="1:27" ht="23.25" hidden="1" customHeight="1">
      <c r="A303" s="171" t="s">
        <v>2943</v>
      </c>
      <c r="B303" s="3">
        <v>2022</v>
      </c>
      <c r="D303" s="3" t="s">
        <v>52</v>
      </c>
      <c r="E303" s="3" t="s">
        <v>1175</v>
      </c>
      <c r="F303" s="173" t="s">
        <v>3262</v>
      </c>
      <c r="G303" s="173"/>
      <c r="H303" s="173"/>
      <c r="I303" s="174" t="s">
        <v>33</v>
      </c>
      <c r="J303" s="2" t="s">
        <v>3235</v>
      </c>
      <c r="K303" s="177" t="s">
        <v>3022</v>
      </c>
      <c r="L303" s="177" t="s">
        <v>3263</v>
      </c>
      <c r="M303" s="1">
        <v>44837</v>
      </c>
      <c r="N303" s="1">
        <v>44841</v>
      </c>
      <c r="O303" s="3" t="s">
        <v>45</v>
      </c>
      <c r="P303" s="178">
        <v>2000</v>
      </c>
      <c r="Q303" s="179"/>
      <c r="R303" s="217">
        <v>4.2</v>
      </c>
      <c r="S303" s="218">
        <f t="shared" si="11"/>
        <v>0.84000000000000008</v>
      </c>
      <c r="T303" s="180">
        <v>20</v>
      </c>
      <c r="U303" s="181">
        <v>20</v>
      </c>
      <c r="V303" s="181">
        <v>0</v>
      </c>
      <c r="W303" s="181">
        <v>0</v>
      </c>
      <c r="X303" s="182">
        <f t="shared" si="10"/>
        <v>20</v>
      </c>
      <c r="Y303" s="3">
        <v>20</v>
      </c>
      <c r="Z303" s="3" t="s">
        <v>3052</v>
      </c>
      <c r="AA303" s="2" t="s">
        <v>693</v>
      </c>
    </row>
    <row r="304" spans="1:27" ht="23.25" hidden="1" customHeight="1">
      <c r="A304" s="171" t="s">
        <v>2943</v>
      </c>
      <c r="B304" s="3">
        <v>2022</v>
      </c>
      <c r="D304" s="3" t="s">
        <v>52</v>
      </c>
      <c r="E304" s="3" t="s">
        <v>1178</v>
      </c>
      <c r="F304" s="173" t="s">
        <v>1179</v>
      </c>
      <c r="G304" s="173"/>
      <c r="H304" s="173"/>
      <c r="I304" s="174" t="s">
        <v>48</v>
      </c>
      <c r="J304" s="2" t="s">
        <v>3195</v>
      </c>
      <c r="K304" s="177" t="s">
        <v>3041</v>
      </c>
      <c r="L304" s="177" t="s">
        <v>1180</v>
      </c>
      <c r="M304" s="1">
        <v>44837</v>
      </c>
      <c r="N304" s="1">
        <v>44841</v>
      </c>
      <c r="O304" s="3" t="s">
        <v>45</v>
      </c>
      <c r="P304" s="178">
        <v>4800</v>
      </c>
      <c r="Q304" s="179"/>
      <c r="R304" s="217">
        <v>4.8</v>
      </c>
      <c r="S304" s="218">
        <f t="shared" si="11"/>
        <v>0.96</v>
      </c>
      <c r="T304" s="180">
        <v>30</v>
      </c>
      <c r="U304" s="181">
        <v>0</v>
      </c>
      <c r="V304" s="181">
        <v>0</v>
      </c>
      <c r="W304" s="181">
        <v>39</v>
      </c>
      <c r="X304" s="182">
        <f t="shared" si="10"/>
        <v>39</v>
      </c>
      <c r="Y304" s="3">
        <v>12</v>
      </c>
      <c r="Z304" s="3" t="s">
        <v>2784</v>
      </c>
      <c r="AA304" s="207" t="s">
        <v>1181</v>
      </c>
    </row>
    <row r="305" spans="1:27" ht="23.25" hidden="1" customHeight="1">
      <c r="A305" s="171" t="s">
        <v>2943</v>
      </c>
      <c r="B305" s="3">
        <v>2022</v>
      </c>
      <c r="D305" s="3" t="s">
        <v>52</v>
      </c>
      <c r="E305" s="3" t="s">
        <v>1183</v>
      </c>
      <c r="F305" s="173" t="s">
        <v>1184</v>
      </c>
      <c r="G305" s="173"/>
      <c r="H305" s="173"/>
      <c r="I305" s="174" t="s">
        <v>33</v>
      </c>
      <c r="J305" s="2" t="s">
        <v>3204</v>
      </c>
      <c r="K305" s="177" t="s">
        <v>3022</v>
      </c>
      <c r="L305" s="177" t="s">
        <v>1185</v>
      </c>
      <c r="M305" s="1">
        <v>44841</v>
      </c>
      <c r="N305" s="1">
        <v>44841</v>
      </c>
      <c r="O305" s="171" t="s">
        <v>45</v>
      </c>
      <c r="P305" s="178">
        <v>4000</v>
      </c>
      <c r="Q305" s="179"/>
      <c r="R305" s="217">
        <v>5</v>
      </c>
      <c r="S305" s="218">
        <f t="shared" si="11"/>
        <v>1</v>
      </c>
      <c r="T305" s="180">
        <v>0</v>
      </c>
      <c r="U305" s="181">
        <v>39</v>
      </c>
      <c r="V305" s="181">
        <v>0</v>
      </c>
      <c r="W305" s="181">
        <v>0</v>
      </c>
      <c r="X305" s="182">
        <f t="shared" si="10"/>
        <v>39</v>
      </c>
      <c r="Y305" s="3">
        <v>1</v>
      </c>
      <c r="Z305" s="3" t="s">
        <v>2780</v>
      </c>
      <c r="AA305" s="2" t="s">
        <v>3264</v>
      </c>
    </row>
    <row r="306" spans="1:27" ht="23.25" hidden="1" customHeight="1">
      <c r="A306" s="171" t="s">
        <v>2943</v>
      </c>
      <c r="B306" s="3">
        <v>2022</v>
      </c>
      <c r="D306" s="3" t="s">
        <v>52</v>
      </c>
      <c r="E306" s="3" t="s">
        <v>1188</v>
      </c>
      <c r="F306" s="173" t="s">
        <v>3265</v>
      </c>
      <c r="G306" s="173"/>
      <c r="H306" s="173"/>
      <c r="I306" s="174" t="s">
        <v>51</v>
      </c>
      <c r="J306" s="2" t="s">
        <v>3195</v>
      </c>
      <c r="K306" s="177" t="s">
        <v>51</v>
      </c>
      <c r="L306" s="177" t="s">
        <v>3266</v>
      </c>
      <c r="M306" s="1">
        <v>44844</v>
      </c>
      <c r="N306" s="1">
        <v>44845</v>
      </c>
      <c r="O306" s="171" t="s">
        <v>45</v>
      </c>
      <c r="P306" s="178">
        <v>0</v>
      </c>
      <c r="Q306" s="179"/>
      <c r="R306" s="217">
        <v>5</v>
      </c>
      <c r="S306" s="218">
        <f t="shared" si="11"/>
        <v>1</v>
      </c>
      <c r="T306" s="180">
        <v>0</v>
      </c>
      <c r="U306" s="181">
        <v>31</v>
      </c>
      <c r="V306" s="181">
        <v>246</v>
      </c>
      <c r="W306" s="181">
        <v>0</v>
      </c>
      <c r="X306" s="182">
        <f t="shared" si="10"/>
        <v>277</v>
      </c>
      <c r="Y306" s="3">
        <v>6</v>
      </c>
      <c r="Z306" s="3" t="s">
        <v>3043</v>
      </c>
      <c r="AA306" s="245" t="s">
        <v>3267</v>
      </c>
    </row>
    <row r="307" spans="1:27" ht="23.25" hidden="1" customHeight="1">
      <c r="A307" s="171" t="s">
        <v>2943</v>
      </c>
      <c r="B307" s="3">
        <v>2022</v>
      </c>
      <c r="D307" s="3" t="s">
        <v>52</v>
      </c>
      <c r="E307" s="3" t="s">
        <v>1192</v>
      </c>
      <c r="F307" s="173" t="s">
        <v>1193</v>
      </c>
      <c r="G307" s="173"/>
      <c r="H307" s="173"/>
      <c r="I307" s="174" t="s">
        <v>51</v>
      </c>
      <c r="J307" s="2" t="s">
        <v>3195</v>
      </c>
      <c r="K307" s="177" t="s">
        <v>3041</v>
      </c>
      <c r="L307" s="177" t="s">
        <v>1194</v>
      </c>
      <c r="M307" s="1">
        <v>44847</v>
      </c>
      <c r="N307" s="1">
        <v>44848</v>
      </c>
      <c r="O307" s="3" t="s">
        <v>41</v>
      </c>
      <c r="P307" s="178">
        <v>3469.88</v>
      </c>
      <c r="Q307" s="179"/>
      <c r="R307" s="217">
        <v>4.7</v>
      </c>
      <c r="S307" s="218">
        <f t="shared" si="11"/>
        <v>0.94000000000000006</v>
      </c>
      <c r="T307" s="180">
        <v>40</v>
      </c>
      <c r="U307" s="181">
        <v>0</v>
      </c>
      <c r="V307" s="181">
        <v>43</v>
      </c>
      <c r="W307" s="181">
        <v>0</v>
      </c>
      <c r="X307" s="182">
        <f t="shared" si="10"/>
        <v>43</v>
      </c>
      <c r="Y307" s="3">
        <v>8</v>
      </c>
      <c r="Z307" s="3" t="s">
        <v>2784</v>
      </c>
      <c r="AA307" s="189" t="s">
        <v>3268</v>
      </c>
    </row>
    <row r="308" spans="1:27" ht="23.25" hidden="1" customHeight="1">
      <c r="A308" s="171" t="s">
        <v>2943</v>
      </c>
      <c r="B308" s="3">
        <v>2022</v>
      </c>
      <c r="D308" s="3" t="s">
        <v>52</v>
      </c>
      <c r="E308" s="3" t="s">
        <v>1197</v>
      </c>
      <c r="F308" s="173" t="s">
        <v>1198</v>
      </c>
      <c r="G308" s="173"/>
      <c r="H308" s="173"/>
      <c r="I308" s="174" t="s">
        <v>51</v>
      </c>
      <c r="J308" s="2" t="s">
        <v>3195</v>
      </c>
      <c r="K308" s="177" t="s">
        <v>3041</v>
      </c>
      <c r="L308" s="177" t="s">
        <v>1199</v>
      </c>
      <c r="M308" s="1">
        <v>44847</v>
      </c>
      <c r="N308" s="1">
        <v>44847</v>
      </c>
      <c r="O308" s="3" t="s">
        <v>41</v>
      </c>
      <c r="P308" s="178">
        <v>867.47</v>
      </c>
      <c r="Q308" s="179"/>
      <c r="R308" s="217">
        <v>4.5</v>
      </c>
      <c r="S308" s="218">
        <f t="shared" si="11"/>
        <v>0.9</v>
      </c>
      <c r="T308" s="180">
        <v>20</v>
      </c>
      <c r="U308" s="181">
        <v>0</v>
      </c>
      <c r="V308" s="181">
        <v>21</v>
      </c>
      <c r="W308" s="181">
        <v>0</v>
      </c>
      <c r="X308" s="182">
        <f t="shared" si="10"/>
        <v>21</v>
      </c>
      <c r="Y308" s="3">
        <v>2</v>
      </c>
      <c r="Z308" s="3" t="s">
        <v>2784</v>
      </c>
      <c r="AA308" s="189" t="s">
        <v>3222</v>
      </c>
    </row>
    <row r="309" spans="1:27" ht="23.25" hidden="1" customHeight="1">
      <c r="A309" s="171" t="s">
        <v>2943</v>
      </c>
      <c r="B309" s="3">
        <v>2022</v>
      </c>
      <c r="D309" s="171" t="s">
        <v>50</v>
      </c>
      <c r="E309" s="3" t="s">
        <v>1197</v>
      </c>
      <c r="F309" s="173" t="s">
        <v>3269</v>
      </c>
      <c r="G309" s="173"/>
      <c r="H309" s="173"/>
      <c r="I309" s="174" t="s">
        <v>51</v>
      </c>
      <c r="J309" s="2" t="s">
        <v>3195</v>
      </c>
      <c r="K309" s="177" t="s">
        <v>3041</v>
      </c>
      <c r="L309" s="177" t="s">
        <v>1203</v>
      </c>
      <c r="M309" s="1">
        <v>44848</v>
      </c>
      <c r="N309" s="1">
        <v>44848</v>
      </c>
      <c r="O309" s="3" t="s">
        <v>41</v>
      </c>
      <c r="Q309" s="179"/>
      <c r="R309" s="217"/>
      <c r="S309" s="218">
        <f t="shared" si="11"/>
        <v>0</v>
      </c>
      <c r="T309" s="180">
        <v>20</v>
      </c>
      <c r="U309" s="181">
        <v>0</v>
      </c>
      <c r="V309" s="181"/>
      <c r="W309" s="181">
        <v>0</v>
      </c>
      <c r="X309" s="181">
        <f t="shared" si="10"/>
        <v>0</v>
      </c>
      <c r="Y309" s="3">
        <v>2</v>
      </c>
      <c r="Z309" s="3" t="s">
        <v>2784</v>
      </c>
      <c r="AA309" s="189" t="s">
        <v>3222</v>
      </c>
    </row>
    <row r="310" spans="1:27" ht="23.25" hidden="1" customHeight="1">
      <c r="A310" s="171" t="s">
        <v>2943</v>
      </c>
      <c r="B310" s="3">
        <v>2022</v>
      </c>
      <c r="D310" s="3" t="s">
        <v>52</v>
      </c>
      <c r="E310" s="3" t="s">
        <v>1201</v>
      </c>
      <c r="F310" s="246" t="s">
        <v>1202</v>
      </c>
      <c r="G310" s="246"/>
      <c r="H310" s="246"/>
      <c r="I310" s="174" t="s">
        <v>33</v>
      </c>
      <c r="J310" s="2" t="s">
        <v>3204</v>
      </c>
      <c r="K310" s="177" t="s">
        <v>3022</v>
      </c>
      <c r="L310" s="177" t="s">
        <v>1203</v>
      </c>
      <c r="M310" s="1">
        <v>44848</v>
      </c>
      <c r="N310" s="1">
        <v>44848</v>
      </c>
      <c r="O310" s="3" t="s">
        <v>41</v>
      </c>
      <c r="P310" s="178">
        <v>0</v>
      </c>
      <c r="Q310" s="179"/>
      <c r="R310" s="217">
        <v>5</v>
      </c>
      <c r="S310" s="218">
        <f t="shared" si="11"/>
        <v>1</v>
      </c>
      <c r="T310" s="180">
        <v>0</v>
      </c>
      <c r="U310" s="181">
        <v>60</v>
      </c>
      <c r="V310" s="181">
        <v>0</v>
      </c>
      <c r="W310" s="181">
        <v>84</v>
      </c>
      <c r="X310" s="182">
        <f t="shared" si="10"/>
        <v>144</v>
      </c>
      <c r="Y310" s="3">
        <v>2</v>
      </c>
      <c r="Z310" s="3" t="s">
        <v>2780</v>
      </c>
      <c r="AA310" s="2" t="s">
        <v>123</v>
      </c>
    </row>
    <row r="311" spans="1:27" ht="23.25" hidden="1" customHeight="1">
      <c r="A311" s="171" t="s">
        <v>2943</v>
      </c>
      <c r="B311" s="3">
        <v>2022</v>
      </c>
      <c r="D311" s="3" t="s">
        <v>52</v>
      </c>
      <c r="E311" s="3" t="s">
        <v>1155</v>
      </c>
      <c r="F311" s="173" t="s">
        <v>1205</v>
      </c>
      <c r="G311" s="173"/>
      <c r="H311" s="173"/>
      <c r="I311" s="174" t="s">
        <v>3034</v>
      </c>
      <c r="J311" s="2" t="s">
        <v>3255</v>
      </c>
      <c r="K311" s="177" t="s">
        <v>3022</v>
      </c>
      <c r="L311" s="177" t="s">
        <v>3270</v>
      </c>
      <c r="M311" s="1">
        <v>44851</v>
      </c>
      <c r="N311" s="1">
        <v>44876</v>
      </c>
      <c r="O311" s="3" t="s">
        <v>45</v>
      </c>
      <c r="P311" s="178">
        <v>27000</v>
      </c>
      <c r="Q311" s="179"/>
      <c r="R311" s="217">
        <v>4.5999999999999996</v>
      </c>
      <c r="S311" s="218">
        <f t="shared" si="11"/>
        <v>0.91999999999999993</v>
      </c>
      <c r="T311" s="180">
        <v>20</v>
      </c>
      <c r="U311" s="181">
        <v>19</v>
      </c>
      <c r="V311" s="181">
        <v>0</v>
      </c>
      <c r="W311" s="181">
        <v>0</v>
      </c>
      <c r="X311" s="182">
        <f t="shared" si="10"/>
        <v>19</v>
      </c>
      <c r="Y311" s="3">
        <v>30</v>
      </c>
      <c r="Z311" s="3" t="s">
        <v>2780</v>
      </c>
      <c r="AA311" s="2" t="s">
        <v>977</v>
      </c>
    </row>
    <row r="312" spans="1:27" ht="23.25" hidden="1" customHeight="1">
      <c r="A312" s="171" t="s">
        <v>2943</v>
      </c>
      <c r="B312" s="3">
        <v>2022</v>
      </c>
      <c r="D312" s="3" t="s">
        <v>52</v>
      </c>
      <c r="E312" s="3" t="s">
        <v>1208</v>
      </c>
      <c r="F312" s="173" t="s">
        <v>3271</v>
      </c>
      <c r="G312" s="173"/>
      <c r="H312" s="173"/>
      <c r="I312" s="174" t="s">
        <v>48</v>
      </c>
      <c r="J312" s="2" t="s">
        <v>3195</v>
      </c>
      <c r="K312" s="177" t="s">
        <v>3041</v>
      </c>
      <c r="L312" s="177" t="s">
        <v>1210</v>
      </c>
      <c r="M312" s="1">
        <v>44852</v>
      </c>
      <c r="N312" s="1">
        <v>44855</v>
      </c>
      <c r="O312" s="3" t="s">
        <v>41</v>
      </c>
      <c r="P312" s="178">
        <v>8000</v>
      </c>
      <c r="Q312" s="179"/>
      <c r="R312" s="217">
        <v>4.9000000000000004</v>
      </c>
      <c r="S312" s="218">
        <f t="shared" si="11"/>
        <v>0.98000000000000009</v>
      </c>
      <c r="T312" s="180">
        <v>40</v>
      </c>
      <c r="U312" s="181">
        <v>1</v>
      </c>
      <c r="V312" s="181">
        <v>0</v>
      </c>
      <c r="W312" s="181">
        <v>64</v>
      </c>
      <c r="X312" s="182">
        <f t="shared" si="10"/>
        <v>65</v>
      </c>
      <c r="Y312" s="3">
        <v>16</v>
      </c>
      <c r="Z312" s="3" t="s">
        <v>2784</v>
      </c>
      <c r="AA312" s="189" t="s">
        <v>3272</v>
      </c>
    </row>
    <row r="313" spans="1:27" ht="23.25" hidden="1" customHeight="1">
      <c r="A313" s="171" t="s">
        <v>2943</v>
      </c>
      <c r="B313" s="3">
        <v>2022</v>
      </c>
      <c r="D313" s="3" t="s">
        <v>52</v>
      </c>
      <c r="E313" s="3" t="s">
        <v>1212</v>
      </c>
      <c r="F313" s="173" t="s">
        <v>1213</v>
      </c>
      <c r="G313" s="173"/>
      <c r="H313" s="173"/>
      <c r="I313" s="174" t="s">
        <v>33</v>
      </c>
      <c r="J313" s="2" t="s">
        <v>3203</v>
      </c>
      <c r="K313" s="177" t="s">
        <v>3022</v>
      </c>
      <c r="L313" s="177" t="s">
        <v>1214</v>
      </c>
      <c r="M313" s="1">
        <v>44854</v>
      </c>
      <c r="N313" s="1">
        <v>44854</v>
      </c>
      <c r="O313" s="3" t="s">
        <v>41</v>
      </c>
      <c r="P313" s="178">
        <v>1799.94</v>
      </c>
      <c r="Q313" s="179"/>
      <c r="R313" s="217">
        <v>5</v>
      </c>
      <c r="S313" s="218">
        <f t="shared" si="11"/>
        <v>1</v>
      </c>
      <c r="T313" s="180">
        <v>0</v>
      </c>
      <c r="U313" s="181">
        <v>72</v>
      </c>
      <c r="V313" s="181">
        <v>0</v>
      </c>
      <c r="W313" s="181">
        <v>0</v>
      </c>
      <c r="X313" s="182">
        <f t="shared" si="10"/>
        <v>72</v>
      </c>
      <c r="Y313" s="3">
        <v>2</v>
      </c>
      <c r="Z313" s="3" t="s">
        <v>2784</v>
      </c>
      <c r="AA313" s="189" t="s">
        <v>3273</v>
      </c>
    </row>
    <row r="314" spans="1:27" ht="23.25" hidden="1" customHeight="1">
      <c r="A314" s="171" t="s">
        <v>2943</v>
      </c>
      <c r="B314" s="3">
        <v>2022</v>
      </c>
      <c r="D314" s="3" t="s">
        <v>52</v>
      </c>
      <c r="E314" s="3" t="s">
        <v>1217</v>
      </c>
      <c r="F314" s="173" t="s">
        <v>1218</v>
      </c>
      <c r="G314" s="173"/>
      <c r="H314" s="173"/>
      <c r="I314" s="174" t="s">
        <v>48</v>
      </c>
      <c r="J314" s="2" t="s">
        <v>3195</v>
      </c>
      <c r="K314" s="177" t="s">
        <v>3041</v>
      </c>
      <c r="L314" s="177" t="s">
        <v>1219</v>
      </c>
      <c r="M314" s="1">
        <v>44858</v>
      </c>
      <c r="N314" s="1">
        <v>44860</v>
      </c>
      <c r="O314" s="3" t="s">
        <v>45</v>
      </c>
      <c r="P314" s="178">
        <v>0</v>
      </c>
      <c r="Q314" s="179"/>
      <c r="R314" s="217">
        <v>5</v>
      </c>
      <c r="S314" s="218">
        <f t="shared" si="11"/>
        <v>1</v>
      </c>
      <c r="T314" s="180">
        <v>0</v>
      </c>
      <c r="U314" s="181">
        <v>0</v>
      </c>
      <c r="V314" s="181">
        <v>0</v>
      </c>
      <c r="W314" s="181">
        <v>193</v>
      </c>
      <c r="X314" s="182">
        <f t="shared" si="10"/>
        <v>193</v>
      </c>
      <c r="Y314" s="3">
        <v>20</v>
      </c>
      <c r="Z314" s="3" t="s">
        <v>3043</v>
      </c>
      <c r="AA314" s="2" t="s">
        <v>123</v>
      </c>
    </row>
    <row r="315" spans="1:27" ht="23.25" hidden="1" customHeight="1">
      <c r="A315" s="171" t="s">
        <v>2943</v>
      </c>
      <c r="B315" s="3">
        <v>2022</v>
      </c>
      <c r="D315" s="3" t="s">
        <v>52</v>
      </c>
      <c r="E315" s="3" t="s">
        <v>1221</v>
      </c>
      <c r="F315" s="173" t="s">
        <v>1222</v>
      </c>
      <c r="G315" s="173"/>
      <c r="H315" s="173"/>
      <c r="I315" s="174" t="s">
        <v>33</v>
      </c>
      <c r="J315" s="2" t="s">
        <v>3199</v>
      </c>
      <c r="K315" s="177" t="s">
        <v>3022</v>
      </c>
      <c r="L315" s="177" t="s">
        <v>1223</v>
      </c>
      <c r="M315" s="1">
        <v>44861</v>
      </c>
      <c r="N315" s="1">
        <v>44861</v>
      </c>
      <c r="O315" s="3" t="s">
        <v>45</v>
      </c>
      <c r="P315" s="178">
        <v>0</v>
      </c>
      <c r="Q315" s="179"/>
      <c r="R315" s="217">
        <v>5</v>
      </c>
      <c r="S315" s="218">
        <f t="shared" si="11"/>
        <v>1</v>
      </c>
      <c r="T315" s="180">
        <v>80</v>
      </c>
      <c r="U315" s="181">
        <v>46</v>
      </c>
      <c r="V315" s="181">
        <v>0</v>
      </c>
      <c r="W315" s="181">
        <v>0</v>
      </c>
      <c r="X315" s="182">
        <f t="shared" si="10"/>
        <v>46</v>
      </c>
      <c r="Y315" s="3">
        <v>2</v>
      </c>
      <c r="Z315" s="3" t="s">
        <v>3040</v>
      </c>
      <c r="AA315" s="2" t="s">
        <v>3274</v>
      </c>
    </row>
    <row r="316" spans="1:27" ht="23.25" hidden="1" customHeight="1">
      <c r="A316" s="171" t="s">
        <v>2943</v>
      </c>
      <c r="B316" s="3">
        <v>2022</v>
      </c>
      <c r="D316" s="3" t="s">
        <v>52</v>
      </c>
      <c r="E316" s="3" t="s">
        <v>1225</v>
      </c>
      <c r="F316" s="173" t="s">
        <v>1226</v>
      </c>
      <c r="G316" s="173"/>
      <c r="H316" s="173"/>
      <c r="I316" s="174" t="s">
        <v>48</v>
      </c>
      <c r="J316" s="2" t="s">
        <v>3195</v>
      </c>
      <c r="K316" s="177" t="s">
        <v>3041</v>
      </c>
      <c r="L316" s="177" t="s">
        <v>1227</v>
      </c>
      <c r="M316" s="1">
        <v>44869</v>
      </c>
      <c r="N316" s="1">
        <v>44869</v>
      </c>
      <c r="O316" s="3" t="s">
        <v>41</v>
      </c>
      <c r="P316" s="178">
        <v>2000</v>
      </c>
      <c r="Q316" s="179"/>
      <c r="R316" s="217">
        <v>5</v>
      </c>
      <c r="S316" s="218">
        <f t="shared" si="11"/>
        <v>1</v>
      </c>
      <c r="T316" s="180">
        <v>20</v>
      </c>
      <c r="U316" s="181">
        <v>0</v>
      </c>
      <c r="V316" s="181">
        <v>0</v>
      </c>
      <c r="W316" s="181">
        <v>20</v>
      </c>
      <c r="X316" s="182">
        <f t="shared" si="10"/>
        <v>20</v>
      </c>
      <c r="Y316" s="3">
        <v>4</v>
      </c>
      <c r="Z316" s="3" t="s">
        <v>2784</v>
      </c>
      <c r="AA316" s="190" t="s">
        <v>3214</v>
      </c>
    </row>
    <row r="317" spans="1:27" ht="23.25" hidden="1" customHeight="1">
      <c r="A317" s="171" t="s">
        <v>2943</v>
      </c>
      <c r="B317" s="3">
        <v>2022</v>
      </c>
      <c r="D317" s="3" t="s">
        <v>52</v>
      </c>
      <c r="E317" s="200"/>
      <c r="F317" s="173" t="s">
        <v>1230</v>
      </c>
      <c r="G317" s="173"/>
      <c r="H317" s="173"/>
      <c r="I317" s="174" t="s">
        <v>33</v>
      </c>
      <c r="J317" s="2" t="s">
        <v>3204</v>
      </c>
      <c r="K317" s="177" t="s">
        <v>3022</v>
      </c>
      <c r="L317" s="177" t="s">
        <v>1227</v>
      </c>
      <c r="M317" s="1">
        <v>44869</v>
      </c>
      <c r="N317" s="1">
        <v>44869</v>
      </c>
      <c r="O317" s="3" t="s">
        <v>45</v>
      </c>
      <c r="P317" s="178">
        <v>0</v>
      </c>
      <c r="Q317" s="179"/>
      <c r="R317" s="217">
        <v>5</v>
      </c>
      <c r="S317" s="218">
        <f t="shared" si="11"/>
        <v>1</v>
      </c>
      <c r="T317" s="180">
        <v>0</v>
      </c>
      <c r="U317" s="181">
        <v>23</v>
      </c>
      <c r="V317" s="181">
        <v>0</v>
      </c>
      <c r="W317" s="181">
        <v>0</v>
      </c>
      <c r="X317" s="182">
        <f t="shared" si="10"/>
        <v>23</v>
      </c>
      <c r="Y317" s="3">
        <v>2</v>
      </c>
      <c r="Z317" s="3" t="s">
        <v>2780</v>
      </c>
      <c r="AA317" s="183"/>
    </row>
    <row r="318" spans="1:27" ht="23.25" hidden="1" customHeight="1">
      <c r="A318" s="171" t="s">
        <v>2943</v>
      </c>
      <c r="B318" s="3">
        <v>2022</v>
      </c>
      <c r="D318" s="3" t="s">
        <v>52</v>
      </c>
      <c r="E318" s="3" t="s">
        <v>1232</v>
      </c>
      <c r="F318" s="173" t="s">
        <v>1233</v>
      </c>
      <c r="G318" s="173"/>
      <c r="H318" s="173"/>
      <c r="I318" s="174" t="s">
        <v>51</v>
      </c>
      <c r="J318" s="2" t="s">
        <v>3195</v>
      </c>
      <c r="K318" s="177" t="s">
        <v>51</v>
      </c>
      <c r="L318" s="177" t="s">
        <v>3275</v>
      </c>
      <c r="M318" s="1">
        <v>44872</v>
      </c>
      <c r="N318" s="1">
        <v>44881</v>
      </c>
      <c r="O318" s="171" t="s">
        <v>45</v>
      </c>
      <c r="P318" s="178">
        <v>19800</v>
      </c>
      <c r="Q318" s="179"/>
      <c r="R318" s="217">
        <v>4.7</v>
      </c>
      <c r="S318" s="218">
        <f t="shared" si="11"/>
        <v>0.94000000000000006</v>
      </c>
      <c r="T318" s="180">
        <v>80</v>
      </c>
      <c r="U318" s="181">
        <v>21</v>
      </c>
      <c r="V318" s="181">
        <v>59</v>
      </c>
      <c r="W318" s="181">
        <v>0</v>
      </c>
      <c r="X318" s="182">
        <f t="shared" si="10"/>
        <v>80</v>
      </c>
      <c r="Y318" s="3">
        <v>16</v>
      </c>
      <c r="Z318" s="3" t="s">
        <v>2784</v>
      </c>
      <c r="AA318" s="2" t="s">
        <v>3276</v>
      </c>
    </row>
    <row r="319" spans="1:27" ht="23.25" hidden="1" customHeight="1">
      <c r="A319" s="171" t="s">
        <v>2943</v>
      </c>
      <c r="B319" s="3">
        <v>2022</v>
      </c>
      <c r="D319" s="3" t="s">
        <v>52</v>
      </c>
      <c r="E319" s="3" t="s">
        <v>1237</v>
      </c>
      <c r="F319" s="173" t="s">
        <v>1238</v>
      </c>
      <c r="G319" s="173"/>
      <c r="H319" s="173"/>
      <c r="I319" s="174" t="s">
        <v>33</v>
      </c>
      <c r="J319" s="2" t="s">
        <v>3204</v>
      </c>
      <c r="K319" s="177" t="s">
        <v>3022</v>
      </c>
      <c r="L319" s="177" t="s">
        <v>3277</v>
      </c>
      <c r="M319" s="1">
        <v>44873</v>
      </c>
      <c r="N319" s="1">
        <v>44901</v>
      </c>
      <c r="O319" s="3" t="s">
        <v>45</v>
      </c>
      <c r="P319" s="178">
        <v>10080</v>
      </c>
      <c r="Q319" s="179"/>
      <c r="R319" s="217">
        <v>4.5</v>
      </c>
      <c r="S319" s="218">
        <f t="shared" si="11"/>
        <v>0.9</v>
      </c>
      <c r="T319" s="180">
        <v>25</v>
      </c>
      <c r="U319" s="181">
        <v>21</v>
      </c>
      <c r="V319" s="181">
        <v>0</v>
      </c>
      <c r="W319" s="181">
        <v>0</v>
      </c>
      <c r="X319" s="182">
        <f t="shared" si="10"/>
        <v>21</v>
      </c>
      <c r="Y319" s="3">
        <v>21</v>
      </c>
      <c r="Z319" s="3" t="s">
        <v>2780</v>
      </c>
      <c r="AA319" s="2" t="s">
        <v>1240</v>
      </c>
    </row>
    <row r="320" spans="1:27" ht="23.25" hidden="1" customHeight="1">
      <c r="A320" s="171" t="s">
        <v>2943</v>
      </c>
      <c r="B320" s="3">
        <v>2022</v>
      </c>
      <c r="D320" s="3" t="s">
        <v>52</v>
      </c>
      <c r="E320" s="3" t="s">
        <v>1242</v>
      </c>
      <c r="F320" s="173" t="s">
        <v>1243</v>
      </c>
      <c r="G320" s="173"/>
      <c r="H320" s="173"/>
      <c r="I320" s="174" t="s">
        <v>51</v>
      </c>
      <c r="J320" s="2" t="s">
        <v>3242</v>
      </c>
      <c r="K320" s="177" t="s">
        <v>51</v>
      </c>
      <c r="L320" s="177" t="s">
        <v>3278</v>
      </c>
      <c r="M320" s="1">
        <v>44873</v>
      </c>
      <c r="N320" s="1">
        <v>44883</v>
      </c>
      <c r="O320" s="3" t="s">
        <v>41</v>
      </c>
      <c r="P320" s="178">
        <v>10000</v>
      </c>
      <c r="Q320" s="179"/>
      <c r="R320" s="217">
        <v>4.5999999999999996</v>
      </c>
      <c r="S320" s="218">
        <f t="shared" si="11"/>
        <v>0.91999999999999993</v>
      </c>
      <c r="T320" s="180">
        <v>40</v>
      </c>
      <c r="U320" s="181">
        <v>18</v>
      </c>
      <c r="V320" s="181">
        <v>10</v>
      </c>
      <c r="W320" s="181">
        <v>0</v>
      </c>
      <c r="X320" s="182">
        <f t="shared" si="10"/>
        <v>28</v>
      </c>
      <c r="Y320" s="3">
        <v>20</v>
      </c>
      <c r="Z320" s="3" t="s">
        <v>2784</v>
      </c>
      <c r="AA320" s="189" t="s">
        <v>442</v>
      </c>
    </row>
    <row r="321" spans="1:28" ht="23.25" hidden="1" customHeight="1">
      <c r="A321" s="171" t="s">
        <v>2943</v>
      </c>
      <c r="B321" s="3">
        <v>2022</v>
      </c>
      <c r="D321" s="3" t="s">
        <v>52</v>
      </c>
      <c r="E321" s="3" t="s">
        <v>1098</v>
      </c>
      <c r="F321" s="173" t="s">
        <v>898</v>
      </c>
      <c r="G321" s="173"/>
      <c r="H321" s="173"/>
      <c r="I321" s="174" t="s">
        <v>48</v>
      </c>
      <c r="J321" s="2" t="s">
        <v>3195</v>
      </c>
      <c r="K321" s="177" t="s">
        <v>3022</v>
      </c>
      <c r="L321" s="177" t="s">
        <v>3279</v>
      </c>
      <c r="M321" s="1">
        <v>44886</v>
      </c>
      <c r="N321" s="1">
        <v>44890</v>
      </c>
      <c r="O321" s="3" t="s">
        <v>41</v>
      </c>
      <c r="P321" s="178">
        <v>8000</v>
      </c>
      <c r="Q321" s="179"/>
      <c r="R321" s="217">
        <v>4.8</v>
      </c>
      <c r="S321" s="218">
        <f t="shared" si="11"/>
        <v>0.96</v>
      </c>
      <c r="T321" s="180">
        <v>40</v>
      </c>
      <c r="U321" s="181">
        <v>0</v>
      </c>
      <c r="V321" s="181">
        <v>0</v>
      </c>
      <c r="W321" s="181">
        <v>35</v>
      </c>
      <c r="X321" s="182">
        <f t="shared" si="10"/>
        <v>35</v>
      </c>
      <c r="Y321" s="3">
        <v>10.5</v>
      </c>
      <c r="Z321" s="3" t="s">
        <v>2784</v>
      </c>
      <c r="AA321" s="189" t="s">
        <v>3161</v>
      </c>
    </row>
    <row r="322" spans="1:28" ht="23.25" hidden="1" customHeight="1">
      <c r="A322" s="171" t="s">
        <v>2943</v>
      </c>
      <c r="B322" s="3">
        <v>2022</v>
      </c>
      <c r="D322" s="3" t="s">
        <v>52</v>
      </c>
      <c r="E322" s="3" t="s">
        <v>1249</v>
      </c>
      <c r="F322" s="173" t="s">
        <v>1250</v>
      </c>
      <c r="G322" s="173"/>
      <c r="H322" s="173"/>
      <c r="I322" s="174" t="s">
        <v>33</v>
      </c>
      <c r="J322" s="2" t="s">
        <v>3242</v>
      </c>
      <c r="K322" s="177" t="s">
        <v>3022</v>
      </c>
      <c r="L322" s="177" t="s">
        <v>3280</v>
      </c>
      <c r="M322" s="1">
        <v>44887</v>
      </c>
      <c r="N322" s="1">
        <v>44890</v>
      </c>
      <c r="O322" s="3" t="s">
        <v>41</v>
      </c>
      <c r="P322" s="178">
        <v>8000</v>
      </c>
      <c r="Q322" s="179"/>
      <c r="R322" s="217">
        <v>5</v>
      </c>
      <c r="S322" s="218">
        <f t="shared" si="11"/>
        <v>1</v>
      </c>
      <c r="T322" s="180">
        <v>20</v>
      </c>
      <c r="U322" s="181">
        <v>20</v>
      </c>
      <c r="V322" s="181">
        <v>0</v>
      </c>
      <c r="W322" s="181">
        <v>0</v>
      </c>
      <c r="X322" s="182">
        <f t="shared" ref="X322:X385" si="12">SUM(U322:W322)</f>
        <v>20</v>
      </c>
      <c r="Y322" s="3">
        <v>12</v>
      </c>
      <c r="Z322" s="3" t="s">
        <v>2780</v>
      </c>
      <c r="AA322" s="189" t="s">
        <v>569</v>
      </c>
    </row>
    <row r="323" spans="1:28" ht="23.25" hidden="1" customHeight="1">
      <c r="A323" s="171" t="s">
        <v>2943</v>
      </c>
      <c r="B323" s="3">
        <v>2022</v>
      </c>
      <c r="D323" s="3" t="s">
        <v>52</v>
      </c>
      <c r="E323" s="3" t="s">
        <v>1253</v>
      </c>
      <c r="F323" s="173" t="s">
        <v>1254</v>
      </c>
      <c r="G323" s="173"/>
      <c r="H323" s="173"/>
      <c r="I323" s="174" t="s">
        <v>44</v>
      </c>
      <c r="J323" s="2" t="s">
        <v>3195</v>
      </c>
      <c r="K323" s="177" t="s">
        <v>3041</v>
      </c>
      <c r="L323" s="177" t="s">
        <v>1255</v>
      </c>
      <c r="M323" s="1">
        <v>44909</v>
      </c>
      <c r="N323" s="1">
        <v>44909</v>
      </c>
      <c r="O323" s="3" t="s">
        <v>41</v>
      </c>
      <c r="P323" s="178">
        <v>0</v>
      </c>
      <c r="Q323" s="179"/>
      <c r="R323" s="217">
        <v>5</v>
      </c>
      <c r="S323" s="218">
        <f t="shared" si="11"/>
        <v>1</v>
      </c>
      <c r="T323" s="180">
        <v>0</v>
      </c>
      <c r="U323" s="181">
        <v>19</v>
      </c>
      <c r="V323" s="181">
        <v>169</v>
      </c>
      <c r="W323" s="181">
        <v>0</v>
      </c>
      <c r="X323" s="182">
        <f t="shared" si="12"/>
        <v>188</v>
      </c>
      <c r="Y323" s="3">
        <v>2</v>
      </c>
      <c r="Z323" s="3" t="s">
        <v>2784</v>
      </c>
      <c r="AA323" s="2" t="s">
        <v>1256</v>
      </c>
    </row>
    <row r="324" spans="1:28" ht="23.25" hidden="1" customHeight="1">
      <c r="A324" s="171" t="s">
        <v>2943</v>
      </c>
      <c r="B324" s="3">
        <v>2022</v>
      </c>
      <c r="D324" s="171" t="s">
        <v>50</v>
      </c>
      <c r="E324" s="3" t="s">
        <v>1001</v>
      </c>
      <c r="F324" s="173" t="s">
        <v>3281</v>
      </c>
      <c r="G324" s="173"/>
      <c r="H324" s="173"/>
      <c r="I324" s="174" t="s">
        <v>33</v>
      </c>
      <c r="J324" s="2" t="s">
        <v>3203</v>
      </c>
      <c r="K324" s="177" t="s">
        <v>3022</v>
      </c>
      <c r="L324" s="177" t="s">
        <v>831</v>
      </c>
      <c r="M324" s="1">
        <v>44927</v>
      </c>
      <c r="O324" s="3" t="s">
        <v>41</v>
      </c>
      <c r="Q324" s="179"/>
      <c r="R324" s="217"/>
      <c r="S324" s="218">
        <f t="shared" si="11"/>
        <v>0</v>
      </c>
      <c r="T324" s="180">
        <v>20</v>
      </c>
      <c r="U324" s="181"/>
      <c r="V324" s="181"/>
      <c r="W324" s="181"/>
      <c r="X324" s="181">
        <f t="shared" si="12"/>
        <v>0</v>
      </c>
      <c r="Y324" s="3">
        <v>9</v>
      </c>
      <c r="Z324" s="3" t="s">
        <v>2784</v>
      </c>
      <c r="AA324" s="189" t="s">
        <v>3063</v>
      </c>
    </row>
    <row r="325" spans="1:28" ht="23.25" hidden="1" customHeight="1">
      <c r="A325" s="171" t="s">
        <v>2943</v>
      </c>
      <c r="B325" s="3">
        <v>2023</v>
      </c>
      <c r="D325" s="171" t="s">
        <v>50</v>
      </c>
      <c r="E325" s="3" t="s">
        <v>1429</v>
      </c>
      <c r="F325" s="232" t="s">
        <v>3282</v>
      </c>
      <c r="G325" s="173"/>
      <c r="H325" s="173"/>
      <c r="I325" s="174" t="s">
        <v>48</v>
      </c>
      <c r="J325" s="2" t="s">
        <v>3195</v>
      </c>
      <c r="K325" s="177" t="s">
        <v>3022</v>
      </c>
      <c r="L325" s="177" t="s">
        <v>3091</v>
      </c>
      <c r="M325" s="1">
        <v>44928</v>
      </c>
      <c r="Q325" s="179"/>
      <c r="R325" s="217"/>
      <c r="S325" s="218">
        <f t="shared" si="11"/>
        <v>0</v>
      </c>
      <c r="T325" s="180"/>
      <c r="U325" s="181"/>
      <c r="V325" s="181"/>
      <c r="W325" s="181"/>
      <c r="X325" s="181">
        <f t="shared" si="12"/>
        <v>0</v>
      </c>
      <c r="Y325" s="3">
        <v>20</v>
      </c>
      <c r="Z325" s="3" t="s">
        <v>2784</v>
      </c>
      <c r="AA325" s="189" t="s">
        <v>442</v>
      </c>
      <c r="AB325" s="2" t="s">
        <v>3283</v>
      </c>
    </row>
    <row r="326" spans="1:28" ht="23.25" hidden="1" customHeight="1">
      <c r="A326" s="171" t="s">
        <v>2943</v>
      </c>
      <c r="B326" s="3">
        <v>2023</v>
      </c>
      <c r="D326" s="171" t="s">
        <v>50</v>
      </c>
      <c r="E326" s="3" t="s">
        <v>2878</v>
      </c>
      <c r="F326" s="173" t="s">
        <v>3284</v>
      </c>
      <c r="G326" s="173"/>
      <c r="H326" s="173"/>
      <c r="I326" s="174"/>
      <c r="K326" s="177"/>
      <c r="L326" s="177"/>
      <c r="M326" s="1">
        <v>44929</v>
      </c>
      <c r="Q326" s="179"/>
      <c r="R326" s="217"/>
      <c r="S326" s="218"/>
      <c r="T326" s="180"/>
      <c r="U326" s="181"/>
      <c r="V326" s="181"/>
      <c r="W326" s="181"/>
      <c r="X326" s="181">
        <f t="shared" si="12"/>
        <v>0</v>
      </c>
      <c r="Y326" s="3"/>
      <c r="Z326" s="3"/>
    </row>
    <row r="327" spans="1:28" ht="23.25" hidden="1" customHeight="1">
      <c r="A327" s="171" t="s">
        <v>2943</v>
      </c>
      <c r="B327" s="3">
        <v>2023</v>
      </c>
      <c r="D327" s="3" t="s">
        <v>52</v>
      </c>
      <c r="E327" s="3" t="s">
        <v>1258</v>
      </c>
      <c r="F327" s="247" t="s">
        <v>1259</v>
      </c>
      <c r="G327" s="173" t="s">
        <v>3285</v>
      </c>
      <c r="H327" s="248" t="s">
        <v>3286</v>
      </c>
      <c r="I327" s="174" t="s">
        <v>33</v>
      </c>
      <c r="J327" s="2" t="s">
        <v>3199</v>
      </c>
      <c r="K327" s="177" t="s">
        <v>3022</v>
      </c>
      <c r="L327" s="177" t="s">
        <v>1260</v>
      </c>
      <c r="M327" s="1">
        <v>44952</v>
      </c>
      <c r="N327" s="1">
        <v>44952</v>
      </c>
      <c r="O327" s="3" t="s">
        <v>41</v>
      </c>
      <c r="P327" s="178">
        <v>0</v>
      </c>
      <c r="Q327" s="179"/>
      <c r="R327" s="217">
        <v>5</v>
      </c>
      <c r="S327" s="218">
        <f t="shared" ref="S327:S332" si="13">R327/5</f>
        <v>1</v>
      </c>
      <c r="T327" s="180">
        <v>80</v>
      </c>
      <c r="U327" s="181">
        <v>42</v>
      </c>
      <c r="V327" s="181">
        <v>0</v>
      </c>
      <c r="W327" s="181">
        <v>0</v>
      </c>
      <c r="X327" s="182">
        <f t="shared" si="12"/>
        <v>42</v>
      </c>
      <c r="Y327" s="3">
        <v>2</v>
      </c>
      <c r="Z327" s="3" t="s">
        <v>2780</v>
      </c>
      <c r="AA327" s="189" t="s">
        <v>3287</v>
      </c>
      <c r="AB327" s="249"/>
    </row>
    <row r="328" spans="1:28" ht="23.25" hidden="1" customHeight="1">
      <c r="A328" s="171" t="s">
        <v>2943</v>
      </c>
      <c r="B328" s="3">
        <v>2023</v>
      </c>
      <c r="D328" s="3" t="s">
        <v>52</v>
      </c>
      <c r="E328" s="250" t="s">
        <v>1263</v>
      </c>
      <c r="F328" s="232" t="s">
        <v>1264</v>
      </c>
      <c r="G328" s="173"/>
      <c r="H328" s="173"/>
      <c r="I328" s="174" t="s">
        <v>33</v>
      </c>
      <c r="J328" s="2" t="s">
        <v>3204</v>
      </c>
      <c r="K328" s="177" t="s">
        <v>3022</v>
      </c>
      <c r="L328" s="177" t="s">
        <v>3288</v>
      </c>
      <c r="M328" s="1">
        <v>44964</v>
      </c>
      <c r="N328" s="1">
        <v>45013</v>
      </c>
      <c r="O328" s="3" t="s">
        <v>45</v>
      </c>
      <c r="P328" s="178">
        <v>14300</v>
      </c>
      <c r="Q328" s="179"/>
      <c r="R328" s="217">
        <v>5</v>
      </c>
      <c r="S328" s="218">
        <f t="shared" si="13"/>
        <v>1</v>
      </c>
      <c r="T328" s="180">
        <v>30</v>
      </c>
      <c r="U328" s="181">
        <v>31</v>
      </c>
      <c r="V328" s="181">
        <v>0</v>
      </c>
      <c r="W328" s="181">
        <v>0</v>
      </c>
      <c r="X328" s="182">
        <f t="shared" si="12"/>
        <v>31</v>
      </c>
      <c r="Y328" s="3">
        <v>26</v>
      </c>
      <c r="Z328" s="3" t="s">
        <v>2780</v>
      </c>
      <c r="AA328" s="2" t="s">
        <v>3289</v>
      </c>
      <c r="AB328" s="249"/>
    </row>
    <row r="329" spans="1:28" ht="23.25" hidden="1" customHeight="1">
      <c r="A329" s="171" t="s">
        <v>2943</v>
      </c>
      <c r="B329" s="3">
        <v>2023</v>
      </c>
      <c r="D329" s="251" t="s">
        <v>52</v>
      </c>
      <c r="E329" s="3" t="s">
        <v>1267</v>
      </c>
      <c r="F329" s="232" t="s">
        <v>1268</v>
      </c>
      <c r="G329" s="173"/>
      <c r="H329" s="173"/>
      <c r="I329" s="174" t="s">
        <v>44</v>
      </c>
      <c r="J329" s="2" t="s">
        <v>3195</v>
      </c>
      <c r="K329" s="177" t="s">
        <v>3041</v>
      </c>
      <c r="L329" s="177" t="s">
        <v>3290</v>
      </c>
      <c r="M329" s="1">
        <v>44984</v>
      </c>
      <c r="N329" s="1">
        <v>44988</v>
      </c>
      <c r="O329" s="3" t="s">
        <v>41</v>
      </c>
      <c r="P329" s="178">
        <f>21417.24/2</f>
        <v>10708.62</v>
      </c>
      <c r="Q329" s="179"/>
      <c r="R329" s="217">
        <v>4.8</v>
      </c>
      <c r="S329" s="218">
        <f t="shared" si="13"/>
        <v>0.96</v>
      </c>
      <c r="T329" s="180">
        <v>20</v>
      </c>
      <c r="U329" s="181">
        <v>2</v>
      </c>
      <c r="V329" s="181">
        <v>18</v>
      </c>
      <c r="W329" s="181">
        <v>0</v>
      </c>
      <c r="X329" s="182">
        <f t="shared" si="12"/>
        <v>20</v>
      </c>
      <c r="Y329" s="3">
        <v>20</v>
      </c>
      <c r="Z329" s="3" t="s">
        <v>2784</v>
      </c>
      <c r="AA329" s="190" t="s">
        <v>2953</v>
      </c>
      <c r="AB329" s="252" t="s">
        <v>3291</v>
      </c>
    </row>
    <row r="330" spans="1:28" ht="23.25" hidden="1" customHeight="1">
      <c r="A330" s="171" t="s">
        <v>2943</v>
      </c>
      <c r="B330" s="3">
        <v>2023</v>
      </c>
      <c r="D330" s="3" t="s">
        <v>52</v>
      </c>
      <c r="E330" s="3" t="s">
        <v>2830</v>
      </c>
      <c r="F330" s="173" t="s">
        <v>1271</v>
      </c>
      <c r="G330" s="173"/>
      <c r="H330" s="173"/>
      <c r="I330" s="174" t="s">
        <v>33</v>
      </c>
      <c r="J330" s="2" t="s">
        <v>3204</v>
      </c>
      <c r="K330" s="177" t="s">
        <v>3022</v>
      </c>
      <c r="L330" s="177" t="s">
        <v>1272</v>
      </c>
      <c r="M330" s="1">
        <v>44985</v>
      </c>
      <c r="N330" s="1">
        <v>44985</v>
      </c>
      <c r="O330" s="3" t="s">
        <v>41</v>
      </c>
      <c r="P330" s="178">
        <v>0</v>
      </c>
      <c r="Q330" s="179"/>
      <c r="R330" s="217">
        <v>5</v>
      </c>
      <c r="S330" s="218">
        <f t="shared" si="13"/>
        <v>1</v>
      </c>
      <c r="T330" s="180">
        <v>0</v>
      </c>
      <c r="U330" s="181">
        <v>70</v>
      </c>
      <c r="V330" s="181">
        <v>0</v>
      </c>
      <c r="W330" s="181">
        <v>0</v>
      </c>
      <c r="X330" s="182">
        <f t="shared" si="12"/>
        <v>70</v>
      </c>
      <c r="Y330" s="3">
        <v>1.5</v>
      </c>
      <c r="Z330" s="3" t="s">
        <v>2780</v>
      </c>
      <c r="AA330" s="207" t="s">
        <v>3292</v>
      </c>
      <c r="AB330" s="253" t="s">
        <v>3293</v>
      </c>
    </row>
    <row r="331" spans="1:28" ht="23.25" hidden="1" customHeight="1">
      <c r="A331" s="171" t="s">
        <v>2943</v>
      </c>
      <c r="B331" s="3">
        <v>2023</v>
      </c>
      <c r="D331" s="3" t="s">
        <v>52</v>
      </c>
      <c r="E331" s="250" t="s">
        <v>1274</v>
      </c>
      <c r="F331" s="232" t="s">
        <v>1275</v>
      </c>
      <c r="G331" s="173" t="s">
        <v>3285</v>
      </c>
      <c r="H331" s="173" t="s">
        <v>3294</v>
      </c>
      <c r="I331" s="174" t="s">
        <v>33</v>
      </c>
      <c r="J331" s="2" t="s">
        <v>3242</v>
      </c>
      <c r="K331" s="177" t="s">
        <v>51</v>
      </c>
      <c r="L331" s="177" t="s">
        <v>1272</v>
      </c>
      <c r="M331" s="1">
        <v>44985</v>
      </c>
      <c r="N331" s="1">
        <v>44985</v>
      </c>
      <c r="O331" s="171" t="s">
        <v>45</v>
      </c>
      <c r="P331" s="178">
        <v>0</v>
      </c>
      <c r="Q331" s="179"/>
      <c r="R331" s="217">
        <v>5</v>
      </c>
      <c r="S331" s="218">
        <f t="shared" si="13"/>
        <v>1</v>
      </c>
      <c r="T331" s="180">
        <v>70</v>
      </c>
      <c r="U331" s="181">
        <v>13</v>
      </c>
      <c r="V331" s="181">
        <v>20</v>
      </c>
      <c r="W331" s="181">
        <v>52</v>
      </c>
      <c r="X331" s="182">
        <f t="shared" si="12"/>
        <v>85</v>
      </c>
      <c r="Y331" s="3">
        <v>8</v>
      </c>
      <c r="Z331" s="3" t="s">
        <v>2780</v>
      </c>
      <c r="AA331" s="2" t="s">
        <v>1276</v>
      </c>
      <c r="AB331" s="249"/>
    </row>
    <row r="332" spans="1:28" ht="23.25" hidden="1" customHeight="1">
      <c r="A332" s="171" t="s">
        <v>2943</v>
      </c>
      <c r="B332" s="3">
        <v>2023</v>
      </c>
      <c r="D332" s="3" t="s">
        <v>52</v>
      </c>
      <c r="E332" s="3" t="s">
        <v>1278</v>
      </c>
      <c r="F332" s="232" t="s">
        <v>1279</v>
      </c>
      <c r="G332" s="173" t="s">
        <v>3285</v>
      </c>
      <c r="H332" s="173" t="s">
        <v>3295</v>
      </c>
      <c r="I332" s="174" t="s">
        <v>48</v>
      </c>
      <c r="J332" s="2" t="s">
        <v>3195</v>
      </c>
      <c r="K332" s="177" t="s">
        <v>3041</v>
      </c>
      <c r="L332" s="177" t="s">
        <v>1280</v>
      </c>
      <c r="M332" s="1">
        <v>44988</v>
      </c>
      <c r="N332" s="1">
        <v>44988</v>
      </c>
      <c r="O332" s="3" t="s">
        <v>45</v>
      </c>
      <c r="P332" s="178">
        <v>0</v>
      </c>
      <c r="Q332" s="179"/>
      <c r="R332" s="217">
        <v>5</v>
      </c>
      <c r="S332" s="218">
        <f t="shared" si="13"/>
        <v>1</v>
      </c>
      <c r="T332" s="180">
        <v>0</v>
      </c>
      <c r="U332" s="181">
        <v>0</v>
      </c>
      <c r="V332" s="181">
        <v>0</v>
      </c>
      <c r="W332" s="181">
        <v>54</v>
      </c>
      <c r="X332" s="182">
        <f t="shared" si="12"/>
        <v>54</v>
      </c>
      <c r="Y332" s="3">
        <v>2</v>
      </c>
      <c r="Z332" s="3" t="s">
        <v>2784</v>
      </c>
      <c r="AA332" s="2" t="s">
        <v>3296</v>
      </c>
      <c r="AB332" s="252" t="s">
        <v>3297</v>
      </c>
    </row>
    <row r="333" spans="1:28" ht="23.25" hidden="1" customHeight="1">
      <c r="A333" s="171" t="s">
        <v>2943</v>
      </c>
      <c r="B333" s="3">
        <v>2023</v>
      </c>
      <c r="D333" s="3" t="s">
        <v>52</v>
      </c>
      <c r="E333" s="3" t="s">
        <v>1283</v>
      </c>
      <c r="F333" s="247" t="s">
        <v>3298</v>
      </c>
      <c r="G333" s="173"/>
      <c r="H333" s="173"/>
      <c r="I333" s="174" t="s">
        <v>48</v>
      </c>
      <c r="J333" s="2" t="s">
        <v>3204</v>
      </c>
      <c r="K333" s="177" t="s">
        <v>51</v>
      </c>
      <c r="L333" s="177" t="s">
        <v>1285</v>
      </c>
      <c r="M333" s="1">
        <v>44991</v>
      </c>
      <c r="N333" s="1">
        <v>44991</v>
      </c>
      <c r="O333" s="3" t="s">
        <v>45</v>
      </c>
      <c r="P333" s="178">
        <v>0</v>
      </c>
      <c r="Q333" s="179"/>
      <c r="R333" s="217">
        <v>4.5999999999999996</v>
      </c>
      <c r="S333" s="218">
        <v>0.92</v>
      </c>
      <c r="T333" s="180">
        <v>170</v>
      </c>
      <c r="U333" s="181">
        <v>23</v>
      </c>
      <c r="V333" s="181">
        <v>0</v>
      </c>
      <c r="W333" s="181">
        <v>130</v>
      </c>
      <c r="X333" s="182">
        <f t="shared" si="12"/>
        <v>153</v>
      </c>
      <c r="Y333" s="3">
        <v>2</v>
      </c>
      <c r="Z333" s="3" t="s">
        <v>3299</v>
      </c>
      <c r="AA333" s="2" t="s">
        <v>3300</v>
      </c>
      <c r="AB333" s="249"/>
    </row>
    <row r="334" spans="1:28" ht="23.25" hidden="1" customHeight="1">
      <c r="A334" s="171" t="s">
        <v>2943</v>
      </c>
      <c r="B334" s="3">
        <v>2023</v>
      </c>
      <c r="D334" s="3" t="s">
        <v>52</v>
      </c>
      <c r="E334" s="3" t="s">
        <v>1287</v>
      </c>
      <c r="F334" s="232" t="s">
        <v>1288</v>
      </c>
      <c r="G334" s="173"/>
      <c r="H334" s="173"/>
      <c r="I334" s="174" t="s">
        <v>33</v>
      </c>
      <c r="J334" s="2" t="s">
        <v>3203</v>
      </c>
      <c r="K334" s="177" t="s">
        <v>3022</v>
      </c>
      <c r="L334" s="177" t="s">
        <v>3301</v>
      </c>
      <c r="M334" s="1">
        <v>44992</v>
      </c>
      <c r="N334" s="1">
        <v>45001</v>
      </c>
      <c r="O334" s="3" t="s">
        <v>41</v>
      </c>
      <c r="P334" s="178">
        <v>8566.89</v>
      </c>
      <c r="Q334" s="179"/>
      <c r="R334" s="217">
        <v>4.7</v>
      </c>
      <c r="S334" s="218">
        <f>R334/5</f>
        <v>0.94000000000000006</v>
      </c>
      <c r="T334" s="180">
        <v>20</v>
      </c>
      <c r="U334" s="181">
        <v>19</v>
      </c>
      <c r="V334" s="181">
        <v>0</v>
      </c>
      <c r="W334" s="181">
        <v>0</v>
      </c>
      <c r="X334" s="182">
        <f t="shared" si="12"/>
        <v>19</v>
      </c>
      <c r="Y334" s="3">
        <v>16</v>
      </c>
      <c r="Z334" s="3" t="s">
        <v>2780</v>
      </c>
      <c r="AA334" s="189" t="s">
        <v>569</v>
      </c>
      <c r="AB334" s="253" t="s">
        <v>3302</v>
      </c>
    </row>
    <row r="335" spans="1:28" ht="23.25" hidden="1" customHeight="1">
      <c r="A335" s="171" t="s">
        <v>2943</v>
      </c>
      <c r="B335" s="3">
        <v>2023</v>
      </c>
      <c r="D335" s="3" t="s">
        <v>52</v>
      </c>
      <c r="E335" s="3" t="s">
        <v>1291</v>
      </c>
      <c r="F335" s="232" t="s">
        <v>1292</v>
      </c>
      <c r="G335" s="173"/>
      <c r="H335" s="173"/>
      <c r="I335" s="174" t="s">
        <v>33</v>
      </c>
      <c r="J335" s="2" t="s">
        <v>3204</v>
      </c>
      <c r="K335" s="177" t="s">
        <v>3022</v>
      </c>
      <c r="L335" s="177" t="s">
        <v>1293</v>
      </c>
      <c r="M335" s="1">
        <v>44992</v>
      </c>
      <c r="N335" s="1">
        <v>44992</v>
      </c>
      <c r="O335" s="171" t="s">
        <v>45</v>
      </c>
      <c r="P335" s="178">
        <v>3200</v>
      </c>
      <c r="Q335" s="179"/>
      <c r="R335" s="217">
        <v>5</v>
      </c>
      <c r="S335" s="218">
        <v>1</v>
      </c>
      <c r="T335" s="180">
        <v>80</v>
      </c>
      <c r="U335" s="181">
        <v>20</v>
      </c>
      <c r="V335" s="181">
        <v>0</v>
      </c>
      <c r="W335" s="181">
        <v>0</v>
      </c>
      <c r="X335" s="182">
        <f t="shared" si="12"/>
        <v>20</v>
      </c>
      <c r="Y335" s="3">
        <v>2</v>
      </c>
      <c r="Z335" s="3" t="s">
        <v>3299</v>
      </c>
      <c r="AA335" s="2" t="s">
        <v>1294</v>
      </c>
    </row>
    <row r="336" spans="1:28" ht="23.25" hidden="1" customHeight="1">
      <c r="A336" s="171" t="s">
        <v>2943</v>
      </c>
      <c r="B336" s="3">
        <v>2023</v>
      </c>
      <c r="D336" s="3" t="s">
        <v>52</v>
      </c>
      <c r="E336" s="3" t="s">
        <v>3303</v>
      </c>
      <c r="F336" s="247" t="s">
        <v>1296</v>
      </c>
      <c r="G336" s="173"/>
      <c r="H336" s="173"/>
      <c r="I336" s="174" t="s">
        <v>33</v>
      </c>
      <c r="J336" s="2" t="s">
        <v>3204</v>
      </c>
      <c r="K336" s="177" t="s">
        <v>3022</v>
      </c>
      <c r="L336" s="177" t="s">
        <v>1297</v>
      </c>
      <c r="M336" s="1">
        <v>44994</v>
      </c>
      <c r="N336" s="1">
        <v>44994</v>
      </c>
      <c r="O336" s="3" t="s">
        <v>45</v>
      </c>
      <c r="P336" s="178">
        <v>0</v>
      </c>
      <c r="Q336" s="179"/>
      <c r="R336" s="228"/>
      <c r="S336" s="218"/>
      <c r="T336" s="180">
        <v>80</v>
      </c>
      <c r="U336" s="181">
        <v>25</v>
      </c>
      <c r="V336" s="181"/>
      <c r="W336" s="181"/>
      <c r="X336" s="182">
        <f t="shared" si="12"/>
        <v>25</v>
      </c>
      <c r="Y336" s="3">
        <v>2</v>
      </c>
      <c r="Z336" s="3"/>
      <c r="AA336" s="175" t="s">
        <v>3304</v>
      </c>
      <c r="AB336" s="249"/>
    </row>
    <row r="337" spans="1:28" ht="23.25" hidden="1" customHeight="1">
      <c r="A337" s="171" t="s">
        <v>2943</v>
      </c>
      <c r="B337" s="3">
        <v>2023</v>
      </c>
      <c r="D337" s="3" t="s">
        <v>52</v>
      </c>
      <c r="E337" s="3" t="s">
        <v>1299</v>
      </c>
      <c r="F337" s="173" t="s">
        <v>1300</v>
      </c>
      <c r="G337" s="173"/>
      <c r="H337" s="173"/>
      <c r="I337" s="174" t="s">
        <v>33</v>
      </c>
      <c r="J337" s="2" t="s">
        <v>3204</v>
      </c>
      <c r="K337" s="177" t="s">
        <v>3022</v>
      </c>
      <c r="L337" s="177" t="s">
        <v>1301</v>
      </c>
      <c r="M337" s="1">
        <v>44995</v>
      </c>
      <c r="N337" s="1">
        <v>44995</v>
      </c>
      <c r="O337" s="171" t="s">
        <v>45</v>
      </c>
      <c r="P337" s="178">
        <v>770</v>
      </c>
      <c r="Q337" s="179"/>
      <c r="R337" s="217">
        <v>5</v>
      </c>
      <c r="S337" s="218">
        <v>1</v>
      </c>
      <c r="T337" s="180">
        <v>170</v>
      </c>
      <c r="U337" s="181">
        <v>70</v>
      </c>
      <c r="V337" s="181">
        <v>0</v>
      </c>
      <c r="W337" s="181">
        <v>0</v>
      </c>
      <c r="X337" s="182">
        <f t="shared" si="12"/>
        <v>70</v>
      </c>
      <c r="Y337" s="3">
        <v>2</v>
      </c>
      <c r="Z337" s="3" t="s">
        <v>3299</v>
      </c>
      <c r="AA337" s="2" t="s">
        <v>1302</v>
      </c>
      <c r="AB337" s="2" t="s">
        <v>3305</v>
      </c>
    </row>
    <row r="338" spans="1:28" ht="23.25" hidden="1" customHeight="1">
      <c r="A338" s="171" t="s">
        <v>2943</v>
      </c>
      <c r="B338" s="3">
        <v>2023</v>
      </c>
      <c r="D338" s="3" t="s">
        <v>52</v>
      </c>
      <c r="E338" s="3" t="s">
        <v>1304</v>
      </c>
      <c r="F338" s="232" t="s">
        <v>1305</v>
      </c>
      <c r="G338" s="173" t="s">
        <v>3285</v>
      </c>
      <c r="H338" s="173"/>
      <c r="I338" s="174" t="s">
        <v>33</v>
      </c>
      <c r="J338" s="2" t="s">
        <v>3224</v>
      </c>
      <c r="K338" s="177" t="s">
        <v>3022</v>
      </c>
      <c r="L338" s="177" t="s">
        <v>3306</v>
      </c>
      <c r="M338" s="1">
        <v>45000</v>
      </c>
      <c r="N338" s="1">
        <v>45006</v>
      </c>
      <c r="O338" s="3" t="s">
        <v>41</v>
      </c>
      <c r="P338" s="178">
        <v>0</v>
      </c>
      <c r="Q338" s="179"/>
      <c r="R338" s="217">
        <v>5</v>
      </c>
      <c r="S338" s="218">
        <f t="shared" ref="S338:S346" si="14">R338/5</f>
        <v>1</v>
      </c>
      <c r="T338" s="180">
        <v>29</v>
      </c>
      <c r="U338" s="181">
        <v>17</v>
      </c>
      <c r="V338" s="181">
        <v>0</v>
      </c>
      <c r="W338" s="181">
        <v>0</v>
      </c>
      <c r="X338" s="182">
        <f t="shared" si="12"/>
        <v>17</v>
      </c>
      <c r="Y338" s="3">
        <v>20</v>
      </c>
      <c r="Z338" s="3" t="s">
        <v>2784</v>
      </c>
      <c r="AA338" s="189"/>
      <c r="AB338" s="252" t="s">
        <v>3307</v>
      </c>
    </row>
    <row r="339" spans="1:28" ht="23.25" hidden="1" customHeight="1">
      <c r="A339" s="171" t="s">
        <v>2943</v>
      </c>
      <c r="B339" s="3">
        <v>2023</v>
      </c>
      <c r="D339" s="3" t="s">
        <v>52</v>
      </c>
      <c r="E339" s="3" t="s">
        <v>1308</v>
      </c>
      <c r="F339" s="232" t="s">
        <v>1309</v>
      </c>
      <c r="G339" s="173"/>
      <c r="H339" s="173"/>
      <c r="I339" s="174" t="s">
        <v>33</v>
      </c>
      <c r="J339" s="2" t="s">
        <v>3242</v>
      </c>
      <c r="K339" s="177" t="s">
        <v>51</v>
      </c>
      <c r="L339" s="177" t="s">
        <v>3308</v>
      </c>
      <c r="M339" s="1">
        <v>45005</v>
      </c>
      <c r="N339" s="1">
        <v>45009</v>
      </c>
      <c r="O339" s="171" t="s">
        <v>45</v>
      </c>
      <c r="P339" s="178">
        <v>14950</v>
      </c>
      <c r="Q339" s="179"/>
      <c r="R339" s="217">
        <v>4.3</v>
      </c>
      <c r="S339" s="218">
        <f t="shared" si="14"/>
        <v>0.86</v>
      </c>
      <c r="T339" s="180">
        <v>40</v>
      </c>
      <c r="U339" s="181">
        <v>18</v>
      </c>
      <c r="V339" s="181">
        <v>5</v>
      </c>
      <c r="W339" s="181">
        <v>1</v>
      </c>
      <c r="X339" s="182">
        <f t="shared" si="12"/>
        <v>24</v>
      </c>
      <c r="Y339" s="3">
        <v>20</v>
      </c>
      <c r="Z339" s="3" t="s">
        <v>2780</v>
      </c>
      <c r="AA339" s="2" t="s">
        <v>742</v>
      </c>
      <c r="AB339" s="254" t="s">
        <v>3291</v>
      </c>
    </row>
    <row r="340" spans="1:28" ht="23.25" hidden="1" customHeight="1">
      <c r="A340" s="171" t="s">
        <v>2943</v>
      </c>
      <c r="B340" s="3">
        <v>2023</v>
      </c>
      <c r="D340" s="3" t="s">
        <v>52</v>
      </c>
      <c r="E340" s="3" t="s">
        <v>1312</v>
      </c>
      <c r="F340" s="232" t="s">
        <v>1081</v>
      </c>
      <c r="G340" s="173"/>
      <c r="H340" s="173"/>
      <c r="I340" s="174" t="s">
        <v>33</v>
      </c>
      <c r="J340" s="2" t="s">
        <v>3224</v>
      </c>
      <c r="K340" s="177" t="s">
        <v>3022</v>
      </c>
      <c r="L340" s="177" t="s">
        <v>3309</v>
      </c>
      <c r="M340" s="1">
        <v>45005</v>
      </c>
      <c r="N340" s="1">
        <v>45006</v>
      </c>
      <c r="O340" s="3" t="s">
        <v>41</v>
      </c>
      <c r="P340" s="178">
        <f>947.31+803.14</f>
        <v>1750.4499999999998</v>
      </c>
      <c r="Q340" s="179"/>
      <c r="R340" s="217">
        <v>4.7</v>
      </c>
      <c r="S340" s="218">
        <f t="shared" si="14"/>
        <v>0.94000000000000006</v>
      </c>
      <c r="T340" s="180">
        <v>29</v>
      </c>
      <c r="U340" s="181">
        <v>17</v>
      </c>
      <c r="V340" s="181">
        <v>0</v>
      </c>
      <c r="W340" s="181">
        <v>0</v>
      </c>
      <c r="X340" s="182">
        <f t="shared" si="12"/>
        <v>17</v>
      </c>
      <c r="Y340" s="3">
        <v>6.5</v>
      </c>
      <c r="Z340" s="3" t="s">
        <v>2780</v>
      </c>
      <c r="AA340" s="189" t="s">
        <v>3310</v>
      </c>
      <c r="AB340" s="253" t="s">
        <v>3311</v>
      </c>
    </row>
    <row r="341" spans="1:28" ht="23.25" hidden="1" customHeight="1">
      <c r="A341" s="171" t="s">
        <v>2943</v>
      </c>
      <c r="B341" s="3">
        <v>2023</v>
      </c>
      <c r="D341" s="3" t="s">
        <v>52</v>
      </c>
      <c r="E341" s="3" t="s">
        <v>1316</v>
      </c>
      <c r="F341" s="173" t="s">
        <v>1317</v>
      </c>
      <c r="G341" s="173"/>
      <c r="H341" s="173"/>
      <c r="I341" s="174" t="s">
        <v>33</v>
      </c>
      <c r="J341" s="2" t="s">
        <v>3224</v>
      </c>
      <c r="K341" s="177" t="s">
        <v>3022</v>
      </c>
      <c r="L341" s="177" t="s">
        <v>3312</v>
      </c>
      <c r="M341" s="1">
        <v>45007</v>
      </c>
      <c r="N341" s="1">
        <v>45008</v>
      </c>
      <c r="O341" s="3" t="s">
        <v>41</v>
      </c>
      <c r="P341" s="178">
        <v>8566.89</v>
      </c>
      <c r="Q341" s="179"/>
      <c r="R341" s="217">
        <v>4.5999999999999996</v>
      </c>
      <c r="S341" s="218">
        <f t="shared" si="14"/>
        <v>0.91999999999999993</v>
      </c>
      <c r="T341" s="180">
        <v>29</v>
      </c>
      <c r="U341" s="181">
        <v>17</v>
      </c>
      <c r="V341" s="181">
        <v>0</v>
      </c>
      <c r="W341" s="181">
        <v>0</v>
      </c>
      <c r="X341" s="182">
        <f t="shared" si="12"/>
        <v>17</v>
      </c>
      <c r="Y341" s="3">
        <v>16</v>
      </c>
      <c r="Z341" s="3" t="s">
        <v>2780</v>
      </c>
      <c r="AA341" s="189" t="s">
        <v>569</v>
      </c>
      <c r="AB341" s="249"/>
    </row>
    <row r="342" spans="1:28" ht="23.25" hidden="1" customHeight="1">
      <c r="A342" s="171" t="s">
        <v>2943</v>
      </c>
      <c r="B342" s="3">
        <v>2023</v>
      </c>
      <c r="D342" s="3" t="s">
        <v>52</v>
      </c>
      <c r="E342" s="3" t="s">
        <v>1320</v>
      </c>
      <c r="F342" s="255" t="s">
        <v>1321</v>
      </c>
      <c r="G342" s="256"/>
      <c r="H342" s="256"/>
      <c r="I342" s="174" t="s">
        <v>48</v>
      </c>
      <c r="J342" s="2" t="s">
        <v>3195</v>
      </c>
      <c r="K342" s="177" t="s">
        <v>3022</v>
      </c>
      <c r="L342" s="177" t="s">
        <v>1322</v>
      </c>
      <c r="M342" s="1">
        <v>45008</v>
      </c>
      <c r="N342" s="1">
        <v>45008</v>
      </c>
      <c r="O342" s="3" t="s">
        <v>41</v>
      </c>
      <c r="P342" s="257">
        <v>300</v>
      </c>
      <c r="Q342" s="179"/>
      <c r="R342" s="217">
        <v>5</v>
      </c>
      <c r="S342" s="218">
        <f t="shared" si="14"/>
        <v>1</v>
      </c>
      <c r="T342" s="180">
        <v>170</v>
      </c>
      <c r="U342" s="181">
        <v>43</v>
      </c>
      <c r="V342" s="181">
        <v>1</v>
      </c>
      <c r="W342" s="181">
        <v>1</v>
      </c>
      <c r="X342" s="182">
        <f t="shared" si="12"/>
        <v>45</v>
      </c>
      <c r="Y342" s="3">
        <v>1</v>
      </c>
      <c r="Z342" s="3" t="s">
        <v>2784</v>
      </c>
      <c r="AA342" s="196" t="s">
        <v>2964</v>
      </c>
      <c r="AB342" s="258" t="s">
        <v>3313</v>
      </c>
    </row>
    <row r="343" spans="1:28" ht="23.25" hidden="1" customHeight="1">
      <c r="A343" s="171" t="s">
        <v>2943</v>
      </c>
      <c r="B343" s="3">
        <v>2023</v>
      </c>
      <c r="D343" s="3" t="s">
        <v>52</v>
      </c>
      <c r="E343" s="3" t="s">
        <v>1324</v>
      </c>
      <c r="F343" s="255" t="s">
        <v>1325</v>
      </c>
      <c r="G343" s="256"/>
      <c r="H343" s="256"/>
      <c r="I343" s="174" t="s">
        <v>33</v>
      </c>
      <c r="J343" s="2" t="s">
        <v>3204</v>
      </c>
      <c r="K343" s="177" t="s">
        <v>3022</v>
      </c>
      <c r="L343" s="177" t="s">
        <v>1326</v>
      </c>
      <c r="M343" s="1">
        <v>45009</v>
      </c>
      <c r="N343" s="1">
        <v>45009</v>
      </c>
      <c r="O343" s="3" t="s">
        <v>45</v>
      </c>
      <c r="P343" s="178">
        <v>0</v>
      </c>
      <c r="Q343" s="179"/>
      <c r="R343" s="217">
        <v>5</v>
      </c>
      <c r="S343" s="218">
        <f t="shared" si="14"/>
        <v>1</v>
      </c>
      <c r="T343" s="180">
        <v>170</v>
      </c>
      <c r="U343" s="181">
        <v>26</v>
      </c>
      <c r="V343" s="181">
        <v>0</v>
      </c>
      <c r="W343" s="181">
        <v>0</v>
      </c>
      <c r="X343" s="182">
        <f t="shared" si="12"/>
        <v>26</v>
      </c>
      <c r="Y343" s="3">
        <v>2</v>
      </c>
      <c r="Z343" s="3" t="s">
        <v>3043</v>
      </c>
      <c r="AA343" s="2" t="s">
        <v>3314</v>
      </c>
      <c r="AB343" s="253" t="s">
        <v>3315</v>
      </c>
    </row>
    <row r="344" spans="1:28" ht="23.25" hidden="1" customHeight="1">
      <c r="A344" s="171" t="s">
        <v>2943</v>
      </c>
      <c r="B344" s="3">
        <v>2023</v>
      </c>
      <c r="D344" s="3" t="s">
        <v>52</v>
      </c>
      <c r="E344" s="3" t="s">
        <v>1328</v>
      </c>
      <c r="F344" s="232" t="s">
        <v>1329</v>
      </c>
      <c r="G344" s="173"/>
      <c r="H344" s="173"/>
      <c r="I344" s="174" t="s">
        <v>33</v>
      </c>
      <c r="J344" s="2" t="s">
        <v>3242</v>
      </c>
      <c r="K344" s="177" t="s">
        <v>3022</v>
      </c>
      <c r="L344" s="177" t="s">
        <v>3316</v>
      </c>
      <c r="M344" s="1">
        <v>45009</v>
      </c>
      <c r="N344" s="1">
        <v>45009</v>
      </c>
      <c r="O344" s="3" t="s">
        <v>41</v>
      </c>
      <c r="P344" s="178">
        <f>21637.93+8527.01+1894.62</f>
        <v>32059.56</v>
      </c>
      <c r="Q344" s="179"/>
      <c r="R344" s="259">
        <v>5</v>
      </c>
      <c r="S344" s="218">
        <f t="shared" si="14"/>
        <v>1</v>
      </c>
      <c r="T344" s="180">
        <v>17</v>
      </c>
      <c r="U344" s="181">
        <v>17</v>
      </c>
      <c r="V344" s="181">
        <v>0</v>
      </c>
      <c r="W344" s="181">
        <v>0</v>
      </c>
      <c r="X344" s="182">
        <f t="shared" si="12"/>
        <v>17</v>
      </c>
      <c r="Y344" s="3">
        <v>75</v>
      </c>
      <c r="Z344" s="3" t="s">
        <v>2780</v>
      </c>
      <c r="AA344" s="189" t="s">
        <v>3317</v>
      </c>
      <c r="AB344" s="258" t="s">
        <v>3318</v>
      </c>
    </row>
    <row r="345" spans="1:28" ht="23.25" hidden="1" customHeight="1">
      <c r="A345" s="171" t="s">
        <v>2943</v>
      </c>
      <c r="B345" s="3">
        <v>2023</v>
      </c>
      <c r="D345" s="3" t="s">
        <v>52</v>
      </c>
      <c r="E345" s="3" t="s">
        <v>1331</v>
      </c>
      <c r="F345" s="232" t="s">
        <v>1332</v>
      </c>
      <c r="G345" s="173"/>
      <c r="H345" s="173"/>
      <c r="I345" s="174" t="s">
        <v>33</v>
      </c>
      <c r="J345" s="2" t="s">
        <v>3235</v>
      </c>
      <c r="K345" s="177" t="s">
        <v>3022</v>
      </c>
      <c r="L345" s="177" t="s">
        <v>3319</v>
      </c>
      <c r="M345" s="1">
        <v>45009</v>
      </c>
      <c r="N345" s="1">
        <v>45009</v>
      </c>
      <c r="O345" s="3" t="s">
        <v>45</v>
      </c>
      <c r="P345" s="178">
        <v>0</v>
      </c>
      <c r="Q345" s="179"/>
      <c r="R345" s="217">
        <v>5</v>
      </c>
      <c r="S345" s="218">
        <f t="shared" si="14"/>
        <v>1</v>
      </c>
      <c r="T345" s="180">
        <v>70</v>
      </c>
      <c r="U345" s="181">
        <v>30</v>
      </c>
      <c r="V345" s="181">
        <v>0</v>
      </c>
      <c r="W345" s="181">
        <v>0</v>
      </c>
      <c r="X345" s="182">
        <f t="shared" si="12"/>
        <v>30</v>
      </c>
      <c r="Y345" s="3">
        <v>2</v>
      </c>
      <c r="Z345" s="3" t="s">
        <v>2784</v>
      </c>
      <c r="AA345" s="2" t="s">
        <v>908</v>
      </c>
      <c r="AB345" s="253" t="s">
        <v>3320</v>
      </c>
    </row>
    <row r="346" spans="1:28" ht="23.25" hidden="1" customHeight="1">
      <c r="A346" s="171" t="s">
        <v>2943</v>
      </c>
      <c r="B346" s="3">
        <v>2023</v>
      </c>
      <c r="D346" s="251" t="s">
        <v>52</v>
      </c>
      <c r="E346" s="3" t="s">
        <v>1267</v>
      </c>
      <c r="F346" s="232" t="s">
        <v>1334</v>
      </c>
      <c r="G346" s="173"/>
      <c r="H346" s="173"/>
      <c r="I346" s="174" t="s">
        <v>44</v>
      </c>
      <c r="J346" s="2" t="s">
        <v>3195</v>
      </c>
      <c r="K346" s="177" t="s">
        <v>3041</v>
      </c>
      <c r="L346" s="177" t="s">
        <v>3321</v>
      </c>
      <c r="M346" s="1">
        <v>45012</v>
      </c>
      <c r="N346" s="1">
        <v>45016</v>
      </c>
      <c r="O346" s="3" t="s">
        <v>41</v>
      </c>
      <c r="P346" s="178">
        <f>21417.24/2</f>
        <v>10708.62</v>
      </c>
      <c r="Q346" s="179"/>
      <c r="R346" s="217">
        <v>4.8</v>
      </c>
      <c r="S346" s="218">
        <f t="shared" si="14"/>
        <v>0.96</v>
      </c>
      <c r="T346" s="180">
        <v>20</v>
      </c>
      <c r="U346" s="181">
        <v>2</v>
      </c>
      <c r="V346" s="181">
        <v>18</v>
      </c>
      <c r="W346" s="181">
        <v>0</v>
      </c>
      <c r="X346" s="182">
        <f t="shared" si="12"/>
        <v>20</v>
      </c>
      <c r="Y346" s="3">
        <v>20</v>
      </c>
      <c r="Z346" s="3" t="s">
        <v>2784</v>
      </c>
      <c r="AA346" s="190" t="s">
        <v>2953</v>
      </c>
      <c r="AB346" s="253" t="s">
        <v>3322</v>
      </c>
    </row>
    <row r="347" spans="1:28" ht="23.25" hidden="1" customHeight="1">
      <c r="A347" s="171" t="s">
        <v>2943</v>
      </c>
      <c r="B347" s="3">
        <v>2023</v>
      </c>
      <c r="D347" s="3" t="s">
        <v>52</v>
      </c>
      <c r="E347" s="3" t="s">
        <v>1337</v>
      </c>
      <c r="F347" s="247" t="s">
        <v>1338</v>
      </c>
      <c r="G347" s="173" t="s">
        <v>3285</v>
      </c>
      <c r="H347" s="173" t="s">
        <v>3323</v>
      </c>
      <c r="I347" s="174" t="s">
        <v>48</v>
      </c>
      <c r="J347" s="2" t="s">
        <v>3195</v>
      </c>
      <c r="K347" s="177" t="s">
        <v>3041</v>
      </c>
      <c r="L347" s="177" t="s">
        <v>1339</v>
      </c>
      <c r="M347" s="1">
        <v>45015</v>
      </c>
      <c r="N347" s="1">
        <v>45015</v>
      </c>
      <c r="O347" s="3" t="s">
        <v>41</v>
      </c>
      <c r="P347" s="178">
        <v>0</v>
      </c>
      <c r="Q347" s="179"/>
      <c r="R347" s="259">
        <v>5</v>
      </c>
      <c r="S347" s="260">
        <v>1</v>
      </c>
      <c r="T347" s="180">
        <v>60</v>
      </c>
      <c r="U347" s="181">
        <v>0</v>
      </c>
      <c r="V347" s="181">
        <v>0</v>
      </c>
      <c r="W347" s="181">
        <v>33</v>
      </c>
      <c r="X347" s="182">
        <f t="shared" si="12"/>
        <v>33</v>
      </c>
      <c r="Y347" s="3">
        <v>2</v>
      </c>
      <c r="Z347" s="3" t="s">
        <v>3299</v>
      </c>
      <c r="AA347" s="189" t="s">
        <v>1340</v>
      </c>
      <c r="AB347" s="249"/>
    </row>
    <row r="348" spans="1:28" ht="23.25" hidden="1" customHeight="1">
      <c r="A348" s="171" t="s">
        <v>2943</v>
      </c>
      <c r="B348" s="3">
        <v>2023</v>
      </c>
      <c r="D348" s="3" t="s">
        <v>52</v>
      </c>
      <c r="E348" s="3" t="s">
        <v>1342</v>
      </c>
      <c r="F348" s="232" t="s">
        <v>1343</v>
      </c>
      <c r="G348" s="173"/>
      <c r="H348" s="173"/>
      <c r="I348" s="174" t="s">
        <v>33</v>
      </c>
      <c r="J348" s="2" t="s">
        <v>3203</v>
      </c>
      <c r="K348" s="177" t="s">
        <v>3022</v>
      </c>
      <c r="L348" s="177" t="s">
        <v>1344</v>
      </c>
      <c r="M348" s="1">
        <v>45026</v>
      </c>
      <c r="N348" s="1">
        <v>45026</v>
      </c>
      <c r="O348" s="3" t="s">
        <v>45</v>
      </c>
      <c r="P348" s="178">
        <v>2159.9</v>
      </c>
      <c r="Q348" s="179"/>
      <c r="R348" s="217">
        <v>5</v>
      </c>
      <c r="S348" s="218">
        <f t="shared" ref="S348:S363" si="15">R348/5</f>
        <v>1</v>
      </c>
      <c r="T348" s="180">
        <v>17</v>
      </c>
      <c r="U348" s="181">
        <v>17</v>
      </c>
      <c r="V348" s="181">
        <v>0</v>
      </c>
      <c r="W348" s="181">
        <v>0</v>
      </c>
      <c r="X348" s="182">
        <f t="shared" si="12"/>
        <v>17</v>
      </c>
      <c r="Y348" s="3">
        <v>5</v>
      </c>
      <c r="Z348" s="3" t="s">
        <v>2784</v>
      </c>
      <c r="AA348" s="196" t="s">
        <v>1345</v>
      </c>
      <c r="AB348" s="258" t="s">
        <v>3324</v>
      </c>
    </row>
    <row r="349" spans="1:28" ht="23.25" hidden="1" customHeight="1">
      <c r="A349" s="261" t="s">
        <v>2943</v>
      </c>
      <c r="B349" s="3">
        <v>2023</v>
      </c>
      <c r="D349" s="251" t="s">
        <v>52</v>
      </c>
      <c r="E349" s="3" t="s">
        <v>1347</v>
      </c>
      <c r="F349" s="232" t="s">
        <v>1348</v>
      </c>
      <c r="G349" s="173"/>
      <c r="H349" s="173"/>
      <c r="I349" s="174" t="s">
        <v>33</v>
      </c>
      <c r="J349" s="2" t="s">
        <v>3199</v>
      </c>
      <c r="K349" s="177" t="s">
        <v>3022</v>
      </c>
      <c r="L349" s="177" t="s">
        <v>3325</v>
      </c>
      <c r="M349" s="1">
        <v>45027</v>
      </c>
      <c r="N349" s="1">
        <v>45029</v>
      </c>
      <c r="O349" s="171" t="s">
        <v>45</v>
      </c>
      <c r="P349" s="178">
        <v>16253.1</v>
      </c>
      <c r="Q349" s="179"/>
      <c r="R349" s="217">
        <v>4.8</v>
      </c>
      <c r="S349" s="218">
        <f t="shared" si="15"/>
        <v>0.96</v>
      </c>
      <c r="T349" s="180">
        <v>20</v>
      </c>
      <c r="U349" s="181">
        <v>15</v>
      </c>
      <c r="V349" s="181">
        <v>0</v>
      </c>
      <c r="W349" s="181">
        <v>0</v>
      </c>
      <c r="X349" s="182">
        <f t="shared" si="12"/>
        <v>15</v>
      </c>
      <c r="Y349" s="3">
        <v>24</v>
      </c>
      <c r="Z349" s="3" t="s">
        <v>2780</v>
      </c>
      <c r="AA349" s="2" t="s">
        <v>1350</v>
      </c>
      <c r="AB349" s="252" t="s">
        <v>3326</v>
      </c>
    </row>
    <row r="350" spans="1:28" ht="23.25" hidden="1" customHeight="1">
      <c r="A350" s="171" t="s">
        <v>2943</v>
      </c>
      <c r="B350" s="3">
        <v>2023</v>
      </c>
      <c r="D350" s="3" t="s">
        <v>52</v>
      </c>
      <c r="E350" s="3" t="s">
        <v>1352</v>
      </c>
      <c r="F350" s="232" t="s">
        <v>1353</v>
      </c>
      <c r="G350" s="173"/>
      <c r="H350" s="173"/>
      <c r="I350" s="174" t="s">
        <v>48</v>
      </c>
      <c r="J350" s="2" t="s">
        <v>3195</v>
      </c>
      <c r="K350" s="177" t="s">
        <v>3041</v>
      </c>
      <c r="L350" s="177" t="s">
        <v>1354</v>
      </c>
      <c r="M350" s="1">
        <v>45030</v>
      </c>
      <c r="N350" s="1">
        <v>45030</v>
      </c>
      <c r="O350" s="3" t="s">
        <v>41</v>
      </c>
      <c r="P350" s="178">
        <v>1987.08</v>
      </c>
      <c r="Q350" s="179"/>
      <c r="R350" s="217">
        <v>5</v>
      </c>
      <c r="S350" s="218">
        <f t="shared" si="15"/>
        <v>1</v>
      </c>
      <c r="T350" s="180">
        <v>40</v>
      </c>
      <c r="U350" s="181">
        <v>0</v>
      </c>
      <c r="V350" s="181">
        <v>0</v>
      </c>
      <c r="W350" s="181">
        <v>19</v>
      </c>
      <c r="X350" s="182">
        <f t="shared" si="12"/>
        <v>19</v>
      </c>
      <c r="Y350" s="3">
        <v>4</v>
      </c>
      <c r="Z350" s="3" t="s">
        <v>2784</v>
      </c>
      <c r="AA350" s="189" t="s">
        <v>442</v>
      </c>
      <c r="AB350" s="253" t="s">
        <v>3327</v>
      </c>
    </row>
    <row r="351" spans="1:28" ht="23.25" hidden="1" customHeight="1">
      <c r="A351" s="171" t="s">
        <v>2943</v>
      </c>
      <c r="B351" s="3">
        <v>2023</v>
      </c>
      <c r="D351" s="3" t="s">
        <v>52</v>
      </c>
      <c r="E351" s="3" t="s">
        <v>1356</v>
      </c>
      <c r="F351" s="232" t="s">
        <v>1357</v>
      </c>
      <c r="G351" s="173" t="s">
        <v>3285</v>
      </c>
      <c r="H351" s="173" t="s">
        <v>3328</v>
      </c>
      <c r="I351" s="174" t="s">
        <v>33</v>
      </c>
      <c r="J351" s="2" t="s">
        <v>1358</v>
      </c>
      <c r="K351" s="177" t="s">
        <v>3022</v>
      </c>
      <c r="L351" s="177" t="s">
        <v>1359</v>
      </c>
      <c r="M351" s="1">
        <v>45033</v>
      </c>
      <c r="N351" s="1">
        <v>45033</v>
      </c>
      <c r="O351" s="3" t="s">
        <v>45</v>
      </c>
      <c r="P351" s="178">
        <f>36546/2</f>
        <v>18273</v>
      </c>
      <c r="Q351" s="179"/>
      <c r="R351" s="217">
        <v>5</v>
      </c>
      <c r="S351" s="218">
        <f t="shared" si="15"/>
        <v>1</v>
      </c>
      <c r="T351" s="180">
        <v>0</v>
      </c>
      <c r="U351" s="181">
        <v>16</v>
      </c>
      <c r="V351" s="181">
        <v>0</v>
      </c>
      <c r="W351" s="181">
        <v>0</v>
      </c>
      <c r="X351" s="182">
        <f t="shared" si="12"/>
        <v>16</v>
      </c>
      <c r="Y351" s="3">
        <v>2</v>
      </c>
      <c r="Z351" s="3" t="s">
        <v>2780</v>
      </c>
      <c r="AA351" s="2" t="s">
        <v>1360</v>
      </c>
      <c r="AB351" s="249"/>
    </row>
    <row r="352" spans="1:28" ht="23.25" hidden="1" customHeight="1">
      <c r="A352" s="171" t="s">
        <v>2943</v>
      </c>
      <c r="B352" s="3">
        <v>2023</v>
      </c>
      <c r="D352" s="3" t="s">
        <v>52</v>
      </c>
      <c r="E352" s="3" t="s">
        <v>1356</v>
      </c>
      <c r="F352" s="232" t="s">
        <v>1362</v>
      </c>
      <c r="G352" s="173"/>
      <c r="H352" s="173"/>
      <c r="I352" s="174" t="s">
        <v>33</v>
      </c>
      <c r="J352" s="2" t="s">
        <v>1358</v>
      </c>
      <c r="K352" s="177" t="s">
        <v>3022</v>
      </c>
      <c r="L352" s="177" t="s">
        <v>1363</v>
      </c>
      <c r="M352" s="1">
        <v>45034</v>
      </c>
      <c r="N352" s="1">
        <v>45034</v>
      </c>
      <c r="O352" s="3" t="s">
        <v>45</v>
      </c>
      <c r="P352" s="178">
        <f>36546/2</f>
        <v>18273</v>
      </c>
      <c r="Q352" s="179"/>
      <c r="R352" s="217">
        <v>5</v>
      </c>
      <c r="S352" s="218">
        <f t="shared" si="15"/>
        <v>1</v>
      </c>
      <c r="T352" s="180">
        <v>0</v>
      </c>
      <c r="U352" s="181">
        <v>49</v>
      </c>
      <c r="V352" s="181">
        <v>0</v>
      </c>
      <c r="W352" s="181">
        <v>0</v>
      </c>
      <c r="X352" s="182">
        <f t="shared" si="12"/>
        <v>49</v>
      </c>
      <c r="Y352" s="3">
        <v>2</v>
      </c>
      <c r="Z352" s="3" t="s">
        <v>2780</v>
      </c>
      <c r="AA352" s="2" t="s">
        <v>1360</v>
      </c>
      <c r="AB352" s="253" t="s">
        <v>3329</v>
      </c>
    </row>
    <row r="353" spans="1:28" ht="23.25" hidden="1" customHeight="1">
      <c r="A353" s="171" t="s">
        <v>2943</v>
      </c>
      <c r="B353" s="3">
        <v>2023</v>
      </c>
      <c r="D353" s="3" t="s">
        <v>52</v>
      </c>
      <c r="E353" s="3" t="s">
        <v>1356</v>
      </c>
      <c r="F353" s="232" t="s">
        <v>1365</v>
      </c>
      <c r="G353" s="173"/>
      <c r="H353" s="173"/>
      <c r="I353" s="174" t="s">
        <v>33</v>
      </c>
      <c r="J353" s="2" t="s">
        <v>1358</v>
      </c>
      <c r="K353" s="177" t="s">
        <v>3022</v>
      </c>
      <c r="L353" s="177" t="s">
        <v>1363</v>
      </c>
      <c r="M353" s="1">
        <v>45034</v>
      </c>
      <c r="N353" s="1">
        <v>45034</v>
      </c>
      <c r="O353" s="3" t="s">
        <v>45</v>
      </c>
      <c r="P353" s="178">
        <v>21104</v>
      </c>
      <c r="Q353" s="179"/>
      <c r="R353" s="217">
        <v>5</v>
      </c>
      <c r="S353" s="218">
        <f t="shared" si="15"/>
        <v>1</v>
      </c>
      <c r="T353" s="180">
        <v>0</v>
      </c>
      <c r="U353" s="181">
        <f>55+71</f>
        <v>126</v>
      </c>
      <c r="V353" s="181">
        <v>0</v>
      </c>
      <c r="W353" s="181">
        <v>0</v>
      </c>
      <c r="X353" s="182">
        <f t="shared" si="12"/>
        <v>126</v>
      </c>
      <c r="Y353" s="3">
        <v>2</v>
      </c>
      <c r="Z353" s="3" t="s">
        <v>2780</v>
      </c>
      <c r="AA353" s="2" t="s">
        <v>1360</v>
      </c>
      <c r="AB353" s="253" t="s">
        <v>3330</v>
      </c>
    </row>
    <row r="354" spans="1:28" ht="23.25" hidden="1" customHeight="1">
      <c r="A354" s="171" t="s">
        <v>2943</v>
      </c>
      <c r="B354" s="3">
        <v>2023</v>
      </c>
      <c r="D354" s="3" t="s">
        <v>52</v>
      </c>
      <c r="E354" s="3" t="s">
        <v>1367</v>
      </c>
      <c r="F354" s="232" t="s">
        <v>1368</v>
      </c>
      <c r="G354" s="173"/>
      <c r="H354" s="173"/>
      <c r="I354" s="174" t="s">
        <v>48</v>
      </c>
      <c r="J354" s="2" t="s">
        <v>3195</v>
      </c>
      <c r="K354" s="177" t="s">
        <v>3041</v>
      </c>
      <c r="L354" s="177" t="s">
        <v>1363</v>
      </c>
      <c r="M354" s="1">
        <v>45034</v>
      </c>
      <c r="N354" s="1">
        <v>45034</v>
      </c>
      <c r="O354" s="3" t="s">
        <v>41</v>
      </c>
      <c r="P354" s="178">
        <v>496.77</v>
      </c>
      <c r="Q354" s="179"/>
      <c r="R354" s="217">
        <v>5</v>
      </c>
      <c r="S354" s="218">
        <f t="shared" si="15"/>
        <v>1</v>
      </c>
      <c r="T354" s="180">
        <v>70</v>
      </c>
      <c r="U354" s="181">
        <v>0</v>
      </c>
      <c r="V354" s="181">
        <v>0</v>
      </c>
      <c r="W354" s="181">
        <v>40</v>
      </c>
      <c r="X354" s="182">
        <f t="shared" si="12"/>
        <v>40</v>
      </c>
      <c r="Y354" s="3">
        <v>1</v>
      </c>
      <c r="Z354" s="3" t="s">
        <v>2784</v>
      </c>
      <c r="AA354" s="189" t="s">
        <v>3331</v>
      </c>
      <c r="AB354" s="254" t="s">
        <v>3332</v>
      </c>
    </row>
    <row r="355" spans="1:28" ht="23.25" hidden="1" customHeight="1">
      <c r="A355" s="171" t="s">
        <v>2943</v>
      </c>
      <c r="B355" s="3">
        <v>2023</v>
      </c>
      <c r="D355" s="3" t="s">
        <v>52</v>
      </c>
      <c r="E355" s="3" t="s">
        <v>1367</v>
      </c>
      <c r="F355" s="232" t="s">
        <v>1371</v>
      </c>
      <c r="G355" s="173"/>
      <c r="H355" s="173"/>
      <c r="I355" s="174" t="s">
        <v>48</v>
      </c>
      <c r="J355" s="2" t="s">
        <v>3195</v>
      </c>
      <c r="K355" s="177" t="s">
        <v>3041</v>
      </c>
      <c r="L355" s="177" t="s">
        <v>1363</v>
      </c>
      <c r="M355" s="1">
        <v>45034</v>
      </c>
      <c r="N355" s="1">
        <v>45034</v>
      </c>
      <c r="O355" s="3" t="s">
        <v>41</v>
      </c>
      <c r="P355" s="178">
        <v>496.77</v>
      </c>
      <c r="Q355" s="179"/>
      <c r="R355" s="217">
        <v>5</v>
      </c>
      <c r="S355" s="218">
        <f t="shared" si="15"/>
        <v>1</v>
      </c>
      <c r="T355" s="180">
        <v>70</v>
      </c>
      <c r="U355" s="181">
        <v>0</v>
      </c>
      <c r="V355" s="181">
        <v>0</v>
      </c>
      <c r="W355" s="181">
        <v>40</v>
      </c>
      <c r="X355" s="182">
        <f t="shared" si="12"/>
        <v>40</v>
      </c>
      <c r="Y355" s="3">
        <v>1</v>
      </c>
      <c r="Z355" s="3" t="s">
        <v>2784</v>
      </c>
      <c r="AA355" s="189" t="s">
        <v>3331</v>
      </c>
      <c r="AB355" s="252" t="s">
        <v>3333</v>
      </c>
    </row>
    <row r="356" spans="1:28" ht="23.25" hidden="1" customHeight="1">
      <c r="A356" s="171" t="s">
        <v>2943</v>
      </c>
      <c r="B356" s="3">
        <v>2023</v>
      </c>
      <c r="D356" s="3" t="s">
        <v>52</v>
      </c>
      <c r="E356" s="3" t="s">
        <v>1367</v>
      </c>
      <c r="F356" s="232" t="s">
        <v>1373</v>
      </c>
      <c r="G356" s="173"/>
      <c r="H356" s="173"/>
      <c r="I356" s="174" t="s">
        <v>48</v>
      </c>
      <c r="J356" s="2" t="s">
        <v>3195</v>
      </c>
      <c r="K356" s="177" t="s">
        <v>3041</v>
      </c>
      <c r="L356" s="177" t="s">
        <v>1374</v>
      </c>
      <c r="M356" s="1">
        <v>45035</v>
      </c>
      <c r="N356" s="1">
        <v>45035</v>
      </c>
      <c r="O356" s="3" t="s">
        <v>41</v>
      </c>
      <c r="P356" s="178">
        <v>496.77</v>
      </c>
      <c r="Q356" s="179"/>
      <c r="R356" s="217">
        <v>5</v>
      </c>
      <c r="S356" s="218">
        <f t="shared" si="15"/>
        <v>1</v>
      </c>
      <c r="T356" s="180">
        <v>70</v>
      </c>
      <c r="U356" s="181">
        <v>0</v>
      </c>
      <c r="V356" s="181">
        <v>0</v>
      </c>
      <c r="W356" s="181">
        <v>60</v>
      </c>
      <c r="X356" s="182">
        <f t="shared" si="12"/>
        <v>60</v>
      </c>
      <c r="Y356" s="3">
        <v>1</v>
      </c>
      <c r="Z356" s="3" t="s">
        <v>2784</v>
      </c>
      <c r="AA356" s="189" t="s">
        <v>3331</v>
      </c>
      <c r="AB356" s="252" t="s">
        <v>3334</v>
      </c>
    </row>
    <row r="357" spans="1:28" ht="23.25" hidden="1" customHeight="1">
      <c r="A357" s="171" t="s">
        <v>2943</v>
      </c>
      <c r="B357" s="3">
        <v>2023</v>
      </c>
      <c r="D357" s="3" t="s">
        <v>52</v>
      </c>
      <c r="E357" s="3" t="s">
        <v>1367</v>
      </c>
      <c r="F357" s="232" t="s">
        <v>1376</v>
      </c>
      <c r="G357" s="173"/>
      <c r="H357" s="173"/>
      <c r="I357" s="174" t="s">
        <v>48</v>
      </c>
      <c r="J357" s="2" t="s">
        <v>3195</v>
      </c>
      <c r="K357" s="177" t="s">
        <v>3041</v>
      </c>
      <c r="L357" s="177" t="s">
        <v>1374</v>
      </c>
      <c r="M357" s="1">
        <v>45035</v>
      </c>
      <c r="N357" s="1">
        <v>45035</v>
      </c>
      <c r="O357" s="3" t="s">
        <v>41</v>
      </c>
      <c r="P357" s="178">
        <v>496.77</v>
      </c>
      <c r="R357" s="217">
        <v>5</v>
      </c>
      <c r="S357" s="218">
        <f t="shared" si="15"/>
        <v>1</v>
      </c>
      <c r="T357" s="180">
        <v>70</v>
      </c>
      <c r="U357" s="181">
        <v>0</v>
      </c>
      <c r="V357" s="181">
        <v>0</v>
      </c>
      <c r="W357" s="181">
        <v>30</v>
      </c>
      <c r="X357" s="182">
        <f t="shared" si="12"/>
        <v>30</v>
      </c>
      <c r="Y357" s="3">
        <v>1</v>
      </c>
      <c r="Z357" s="3" t="s">
        <v>2784</v>
      </c>
      <c r="AA357" s="189" t="s">
        <v>3331</v>
      </c>
      <c r="AB357" s="252" t="s">
        <v>3335</v>
      </c>
    </row>
    <row r="358" spans="1:28" ht="23.25" hidden="1" customHeight="1">
      <c r="A358" s="171" t="s">
        <v>2943</v>
      </c>
      <c r="B358" s="3">
        <v>2023</v>
      </c>
      <c r="D358" s="3" t="s">
        <v>52</v>
      </c>
      <c r="E358" s="3" t="s">
        <v>1378</v>
      </c>
      <c r="F358" s="232" t="s">
        <v>1379</v>
      </c>
      <c r="G358" s="173"/>
      <c r="H358" s="173"/>
      <c r="I358" s="174" t="s">
        <v>33</v>
      </c>
      <c r="J358" s="2" t="s">
        <v>3255</v>
      </c>
      <c r="K358" s="177" t="s">
        <v>3022</v>
      </c>
      <c r="L358" s="177" t="s">
        <v>3336</v>
      </c>
      <c r="M358" s="1">
        <v>45036</v>
      </c>
      <c r="N358" s="1">
        <v>45058</v>
      </c>
      <c r="O358" s="171" t="s">
        <v>45</v>
      </c>
      <c r="P358" s="178">
        <v>27000</v>
      </c>
      <c r="Q358" s="179"/>
      <c r="R358" s="217">
        <v>4.46</v>
      </c>
      <c r="S358" s="218">
        <f t="shared" si="15"/>
        <v>0.89200000000000002</v>
      </c>
      <c r="T358" s="180">
        <v>20</v>
      </c>
      <c r="U358" s="181">
        <v>21</v>
      </c>
      <c r="V358" s="181">
        <v>0</v>
      </c>
      <c r="W358" s="181">
        <v>0</v>
      </c>
      <c r="X358" s="182">
        <f t="shared" si="12"/>
        <v>21</v>
      </c>
      <c r="Y358" s="3">
        <v>30</v>
      </c>
      <c r="Z358" s="3" t="s">
        <v>2780</v>
      </c>
      <c r="AA358" s="2" t="s">
        <v>977</v>
      </c>
      <c r="AB358" s="253" t="s">
        <v>3337</v>
      </c>
    </row>
    <row r="359" spans="1:28" ht="23.25" hidden="1" customHeight="1">
      <c r="A359" s="171" t="s">
        <v>2943</v>
      </c>
      <c r="B359" s="3">
        <v>2023</v>
      </c>
      <c r="D359" s="251" t="s">
        <v>52</v>
      </c>
      <c r="E359" s="3" t="s">
        <v>1267</v>
      </c>
      <c r="F359" s="232" t="s">
        <v>1382</v>
      </c>
      <c r="G359" s="173"/>
      <c r="H359" s="173"/>
      <c r="I359" s="174" t="s">
        <v>44</v>
      </c>
      <c r="J359" s="2" t="s">
        <v>3195</v>
      </c>
      <c r="K359" s="177" t="s">
        <v>3041</v>
      </c>
      <c r="L359" s="177" t="s">
        <v>3338</v>
      </c>
      <c r="M359" s="1">
        <v>45040</v>
      </c>
      <c r="N359" s="1">
        <v>45044</v>
      </c>
      <c r="O359" s="3" t="s">
        <v>41</v>
      </c>
      <c r="P359" s="178">
        <v>11231.48</v>
      </c>
      <c r="Q359" s="179"/>
      <c r="R359" s="217">
        <v>4.7</v>
      </c>
      <c r="S359" s="218">
        <f t="shared" si="15"/>
        <v>0.94000000000000006</v>
      </c>
      <c r="T359" s="180">
        <v>20</v>
      </c>
      <c r="U359" s="181">
        <v>0</v>
      </c>
      <c r="V359" s="181">
        <v>20</v>
      </c>
      <c r="W359" s="181">
        <v>0</v>
      </c>
      <c r="X359" s="182">
        <f t="shared" si="12"/>
        <v>20</v>
      </c>
      <c r="Y359" s="3">
        <v>20</v>
      </c>
      <c r="Z359" s="3" t="s">
        <v>2784</v>
      </c>
      <c r="AA359" s="190" t="s">
        <v>2953</v>
      </c>
      <c r="AB359" s="253" t="s">
        <v>3339</v>
      </c>
    </row>
    <row r="360" spans="1:28" ht="23.25" hidden="1" customHeight="1">
      <c r="A360" s="171" t="s">
        <v>2943</v>
      </c>
      <c r="B360" s="3">
        <v>2023</v>
      </c>
      <c r="D360" s="3" t="s">
        <v>52</v>
      </c>
      <c r="E360" s="3" t="s">
        <v>1385</v>
      </c>
      <c r="F360" s="232" t="s">
        <v>1386</v>
      </c>
      <c r="G360" s="173"/>
      <c r="H360" s="173"/>
      <c r="I360" s="174" t="s">
        <v>48</v>
      </c>
      <c r="J360" s="2" t="s">
        <v>3195</v>
      </c>
      <c r="K360" s="177" t="s">
        <v>3041</v>
      </c>
      <c r="L360" s="177" t="s">
        <v>3340</v>
      </c>
      <c r="M360" s="1">
        <v>45041</v>
      </c>
      <c r="N360" s="1">
        <v>45043</v>
      </c>
      <c r="O360" s="3" t="s">
        <v>41</v>
      </c>
      <c r="P360" s="178">
        <v>3763.24</v>
      </c>
      <c r="Q360" s="179"/>
      <c r="R360" s="217">
        <v>5</v>
      </c>
      <c r="S360" s="218">
        <f t="shared" si="15"/>
        <v>1</v>
      </c>
      <c r="T360" s="180">
        <v>40</v>
      </c>
      <c r="U360" s="181">
        <v>1</v>
      </c>
      <c r="V360" s="181">
        <v>0</v>
      </c>
      <c r="W360" s="181">
        <v>39</v>
      </c>
      <c r="X360" s="182">
        <f t="shared" si="12"/>
        <v>40</v>
      </c>
      <c r="Y360" s="3">
        <v>9</v>
      </c>
      <c r="Z360" s="3" t="s">
        <v>2780</v>
      </c>
      <c r="AA360" s="262" t="s">
        <v>3341</v>
      </c>
    </row>
    <row r="361" spans="1:28" ht="23.25" hidden="1" customHeight="1">
      <c r="A361" s="171" t="s">
        <v>2943</v>
      </c>
      <c r="B361" s="3">
        <v>2023</v>
      </c>
      <c r="D361" s="3" t="s">
        <v>52</v>
      </c>
      <c r="E361" s="3" t="s">
        <v>1390</v>
      </c>
      <c r="F361" s="232" t="s">
        <v>1391</v>
      </c>
      <c r="G361" s="173"/>
      <c r="H361" s="173"/>
      <c r="I361" s="174" t="s">
        <v>44</v>
      </c>
      <c r="J361" s="2" t="s">
        <v>3195</v>
      </c>
      <c r="K361" s="177" t="s">
        <v>51</v>
      </c>
      <c r="L361" s="177" t="s">
        <v>1392</v>
      </c>
      <c r="M361" s="1">
        <v>45042</v>
      </c>
      <c r="N361" s="1">
        <v>45043</v>
      </c>
      <c r="O361" s="171" t="s">
        <v>45</v>
      </c>
      <c r="P361" s="178">
        <v>19800</v>
      </c>
      <c r="Q361" s="179"/>
      <c r="R361" s="217">
        <v>4.5</v>
      </c>
      <c r="S361" s="218">
        <f t="shared" si="15"/>
        <v>0.9</v>
      </c>
      <c r="T361" s="180">
        <v>80</v>
      </c>
      <c r="U361" s="181">
        <v>5</v>
      </c>
      <c r="V361" s="181">
        <v>75</v>
      </c>
      <c r="W361" s="181">
        <v>0</v>
      </c>
      <c r="X361" s="182">
        <f t="shared" si="12"/>
        <v>80</v>
      </c>
      <c r="Y361" s="3">
        <v>8</v>
      </c>
      <c r="Z361" s="3" t="s">
        <v>2780</v>
      </c>
      <c r="AA361" s="2" t="s">
        <v>1393</v>
      </c>
      <c r="AB361" s="253" t="s">
        <v>3342</v>
      </c>
    </row>
    <row r="362" spans="1:28" ht="23.25" hidden="1" customHeight="1">
      <c r="A362" s="171" t="s">
        <v>2943</v>
      </c>
      <c r="B362" s="3">
        <v>2023</v>
      </c>
      <c r="D362" s="3" t="s">
        <v>52</v>
      </c>
      <c r="E362" s="3" t="s">
        <v>1395</v>
      </c>
      <c r="F362" s="232" t="s">
        <v>1396</v>
      </c>
      <c r="G362" s="173"/>
      <c r="H362" s="173"/>
      <c r="I362" s="174" t="s">
        <v>33</v>
      </c>
      <c r="J362" s="2" t="s">
        <v>3203</v>
      </c>
      <c r="K362" s="177" t="s">
        <v>3022</v>
      </c>
      <c r="L362" s="177" t="s">
        <v>3343</v>
      </c>
      <c r="M362" s="1">
        <v>45048</v>
      </c>
      <c r="N362" s="1">
        <v>45057</v>
      </c>
      <c r="O362" s="3" t="s">
        <v>41</v>
      </c>
      <c r="P362" s="178">
        <v>8985.18</v>
      </c>
      <c r="Q362" s="179"/>
      <c r="R362" s="217">
        <v>4.5999999999999996</v>
      </c>
      <c r="S362" s="218">
        <f t="shared" si="15"/>
        <v>0.91999999999999993</v>
      </c>
      <c r="T362" s="180">
        <v>20</v>
      </c>
      <c r="U362" s="181">
        <v>26</v>
      </c>
      <c r="V362" s="181">
        <v>0</v>
      </c>
      <c r="W362" s="181">
        <v>0</v>
      </c>
      <c r="X362" s="182">
        <f t="shared" si="12"/>
        <v>26</v>
      </c>
      <c r="Y362" s="3">
        <v>16</v>
      </c>
      <c r="Z362" s="3" t="s">
        <v>2780</v>
      </c>
      <c r="AA362" s="189" t="s">
        <v>569</v>
      </c>
      <c r="AB362" s="252" t="s">
        <v>3344</v>
      </c>
    </row>
    <row r="363" spans="1:28" ht="23.25" hidden="1" customHeight="1">
      <c r="A363" s="171" t="s">
        <v>2943</v>
      </c>
      <c r="B363" s="3">
        <v>2023</v>
      </c>
      <c r="D363" s="3" t="s">
        <v>52</v>
      </c>
      <c r="E363" s="250" t="s">
        <v>1399</v>
      </c>
      <c r="F363" s="232" t="s">
        <v>1400</v>
      </c>
      <c r="G363" s="173"/>
      <c r="H363" s="173"/>
      <c r="I363" s="174" t="s">
        <v>33</v>
      </c>
      <c r="J363" s="2" t="s">
        <v>3235</v>
      </c>
      <c r="K363" s="177" t="s">
        <v>3022</v>
      </c>
      <c r="L363" s="177" t="s">
        <v>3345</v>
      </c>
      <c r="M363" s="1">
        <v>45057</v>
      </c>
      <c r="N363" s="1">
        <v>45091</v>
      </c>
      <c r="O363" s="171" t="s">
        <v>45</v>
      </c>
      <c r="P363" s="178">
        <v>41328</v>
      </c>
      <c r="Q363" s="179"/>
      <c r="R363" s="217">
        <v>5</v>
      </c>
      <c r="S363" s="218">
        <f t="shared" si="15"/>
        <v>1</v>
      </c>
      <c r="T363" s="180">
        <v>14</v>
      </c>
      <c r="U363" s="181">
        <v>15</v>
      </c>
      <c r="V363" s="181">
        <v>0</v>
      </c>
      <c r="W363" s="181">
        <v>0</v>
      </c>
      <c r="X363" s="182">
        <f t="shared" si="12"/>
        <v>15</v>
      </c>
      <c r="Y363" s="3">
        <v>16</v>
      </c>
      <c r="Z363" s="3" t="s">
        <v>3052</v>
      </c>
      <c r="AA363" s="2" t="s">
        <v>1611</v>
      </c>
      <c r="AB363" s="249"/>
    </row>
    <row r="364" spans="1:28" ht="23.25" hidden="1" customHeight="1">
      <c r="A364" s="171" t="s">
        <v>2943</v>
      </c>
      <c r="B364" s="3">
        <v>2023</v>
      </c>
      <c r="D364" s="3" t="s">
        <v>52</v>
      </c>
      <c r="E364" s="3" t="s">
        <v>1356</v>
      </c>
      <c r="F364" s="232" t="s">
        <v>1404</v>
      </c>
      <c r="G364" s="173"/>
      <c r="H364" s="173"/>
      <c r="I364" s="174" t="s">
        <v>33</v>
      </c>
      <c r="J364" s="2" t="s">
        <v>1358</v>
      </c>
      <c r="K364" s="177" t="s">
        <v>3022</v>
      </c>
      <c r="L364" s="263" t="s">
        <v>3346</v>
      </c>
      <c r="M364" s="1">
        <v>45061</v>
      </c>
      <c r="N364" s="1">
        <v>45121</v>
      </c>
      <c r="O364" s="3" t="s">
        <v>45</v>
      </c>
      <c r="P364" s="178">
        <v>50440</v>
      </c>
      <c r="Q364" s="179"/>
      <c r="R364" s="217">
        <v>4.5</v>
      </c>
      <c r="S364" s="218"/>
      <c r="T364" s="180">
        <v>20</v>
      </c>
      <c r="U364" s="181">
        <v>23</v>
      </c>
      <c r="V364" s="181">
        <v>0</v>
      </c>
      <c r="W364" s="181">
        <v>0</v>
      </c>
      <c r="X364" s="182">
        <f t="shared" si="12"/>
        <v>23</v>
      </c>
      <c r="Y364" s="3">
        <v>46</v>
      </c>
      <c r="Z364" s="3" t="s">
        <v>3043</v>
      </c>
      <c r="AA364" s="2" t="s">
        <v>3347</v>
      </c>
      <c r="AB364" s="254" t="s">
        <v>3348</v>
      </c>
    </row>
    <row r="365" spans="1:28" ht="23.25" hidden="1" customHeight="1">
      <c r="A365" s="171" t="s">
        <v>2943</v>
      </c>
      <c r="B365" s="3">
        <v>2023</v>
      </c>
      <c r="D365" s="3" t="s">
        <v>52</v>
      </c>
      <c r="E365" s="3" t="s">
        <v>1408</v>
      </c>
      <c r="F365" s="232" t="s">
        <v>1409</v>
      </c>
      <c r="G365" s="173"/>
      <c r="H365" s="173"/>
      <c r="I365" s="174" t="s">
        <v>33</v>
      </c>
      <c r="J365" s="2" t="s">
        <v>3199</v>
      </c>
      <c r="K365" s="177" t="s">
        <v>3022</v>
      </c>
      <c r="L365" s="177" t="s">
        <v>1410</v>
      </c>
      <c r="M365" s="1">
        <v>45071</v>
      </c>
      <c r="N365" s="1">
        <v>45071</v>
      </c>
      <c r="O365" s="3" t="s">
        <v>41</v>
      </c>
      <c r="P365" s="178">
        <v>0</v>
      </c>
      <c r="Q365" s="179"/>
      <c r="R365" s="217">
        <v>4.7699999999999996</v>
      </c>
      <c r="S365" s="218">
        <f t="shared" ref="S365:S400" si="16">R365/5</f>
        <v>0.95399999999999996</v>
      </c>
      <c r="T365" s="180">
        <v>0</v>
      </c>
      <c r="U365" s="181">
        <v>207</v>
      </c>
      <c r="V365" s="181">
        <v>0</v>
      </c>
      <c r="W365" s="181">
        <v>0</v>
      </c>
      <c r="X365" s="182">
        <f t="shared" si="12"/>
        <v>207</v>
      </c>
      <c r="Y365" s="3">
        <v>1.5</v>
      </c>
      <c r="Z365" s="3" t="s">
        <v>2780</v>
      </c>
      <c r="AA365" s="207" t="s">
        <v>3349</v>
      </c>
      <c r="AB365" s="253" t="s">
        <v>3350</v>
      </c>
    </row>
    <row r="366" spans="1:28" ht="23.25" hidden="1" customHeight="1">
      <c r="A366" s="171" t="s">
        <v>2943</v>
      </c>
      <c r="B366" s="3">
        <v>2023</v>
      </c>
      <c r="D366" s="3" t="s">
        <v>52</v>
      </c>
      <c r="E366" s="3" t="s">
        <v>1378</v>
      </c>
      <c r="F366" s="232" t="s">
        <v>1413</v>
      </c>
      <c r="G366" s="173"/>
      <c r="H366" s="173"/>
      <c r="I366" s="174" t="s">
        <v>33</v>
      </c>
      <c r="J366" s="2" t="s">
        <v>3255</v>
      </c>
      <c r="K366" s="177" t="s">
        <v>3022</v>
      </c>
      <c r="L366" s="177" t="s">
        <v>1414</v>
      </c>
      <c r="M366" s="1">
        <v>45089</v>
      </c>
      <c r="N366" s="1">
        <v>45107</v>
      </c>
      <c r="O366" s="171" t="s">
        <v>45</v>
      </c>
      <c r="P366" s="178">
        <v>27000</v>
      </c>
      <c r="Q366" s="179"/>
      <c r="R366" s="217">
        <v>4.5</v>
      </c>
      <c r="S366" s="218">
        <f t="shared" si="16"/>
        <v>0.9</v>
      </c>
      <c r="T366" s="180">
        <v>20</v>
      </c>
      <c r="U366" s="181">
        <v>13</v>
      </c>
      <c r="V366" s="181">
        <v>0</v>
      </c>
      <c r="W366" s="181">
        <v>0</v>
      </c>
      <c r="X366" s="182">
        <f t="shared" si="12"/>
        <v>13</v>
      </c>
      <c r="Y366" s="3">
        <v>30</v>
      </c>
      <c r="Z366" s="3" t="s">
        <v>2780</v>
      </c>
      <c r="AA366" s="2" t="s">
        <v>977</v>
      </c>
      <c r="AB366" s="252" t="s">
        <v>3351</v>
      </c>
    </row>
    <row r="367" spans="1:28" ht="23.25" hidden="1" customHeight="1">
      <c r="A367" s="171" t="s">
        <v>2943</v>
      </c>
      <c r="B367" s="3">
        <v>2023</v>
      </c>
      <c r="D367" s="3" t="s">
        <v>52</v>
      </c>
      <c r="E367" s="3" t="s">
        <v>1416</v>
      </c>
      <c r="F367" s="232" t="s">
        <v>1417</v>
      </c>
      <c r="G367" s="173" t="s">
        <v>3285</v>
      </c>
      <c r="H367" s="173"/>
      <c r="I367" s="174" t="s">
        <v>33</v>
      </c>
      <c r="J367" s="2" t="s">
        <v>3242</v>
      </c>
      <c r="K367" s="177" t="s">
        <v>51</v>
      </c>
      <c r="L367" s="177" t="s">
        <v>3352</v>
      </c>
      <c r="M367" s="1">
        <v>45092</v>
      </c>
      <c r="N367" s="1">
        <v>45093</v>
      </c>
      <c r="O367" s="3" t="s">
        <v>45</v>
      </c>
      <c r="P367" s="178">
        <v>0</v>
      </c>
      <c r="Q367" s="179"/>
      <c r="R367" s="217">
        <v>4.8</v>
      </c>
      <c r="S367" s="218">
        <f t="shared" si="16"/>
        <v>0.96</v>
      </c>
      <c r="T367" s="180">
        <v>0</v>
      </c>
      <c r="U367" s="181">
        <v>38</v>
      </c>
      <c r="V367" s="181">
        <v>146</v>
      </c>
      <c r="W367" s="181">
        <v>0</v>
      </c>
      <c r="X367" s="182">
        <f t="shared" si="12"/>
        <v>184</v>
      </c>
      <c r="Y367" s="3">
        <v>10</v>
      </c>
      <c r="Z367" s="3" t="s">
        <v>3043</v>
      </c>
      <c r="AA367" s="2" t="s">
        <v>3353</v>
      </c>
      <c r="AB367" s="258" t="s">
        <v>3354</v>
      </c>
    </row>
    <row r="368" spans="1:28" ht="23.25" hidden="1" customHeight="1">
      <c r="A368" s="171" t="s">
        <v>2943</v>
      </c>
      <c r="B368" s="3">
        <v>2023</v>
      </c>
      <c r="D368" s="3" t="s">
        <v>52</v>
      </c>
      <c r="E368" s="3" t="s">
        <v>1421</v>
      </c>
      <c r="F368" s="255" t="s">
        <v>1422</v>
      </c>
      <c r="G368" s="256"/>
      <c r="H368" s="256"/>
      <c r="I368" s="174" t="s">
        <v>44</v>
      </c>
      <c r="J368" s="2" t="s">
        <v>3195</v>
      </c>
      <c r="K368" s="177" t="s">
        <v>51</v>
      </c>
      <c r="L368" s="177" t="s">
        <v>1423</v>
      </c>
      <c r="M368" s="1">
        <v>45096</v>
      </c>
      <c r="N368" s="1">
        <v>45100</v>
      </c>
      <c r="O368" s="3" t="s">
        <v>41</v>
      </c>
      <c r="P368" s="178">
        <v>3700.17</v>
      </c>
      <c r="Q368" s="179"/>
      <c r="R368" s="217">
        <v>4.5</v>
      </c>
      <c r="S368" s="218">
        <f t="shared" si="16"/>
        <v>0.9</v>
      </c>
      <c r="T368" s="180">
        <v>30</v>
      </c>
      <c r="U368" s="181">
        <v>9</v>
      </c>
      <c r="V368" s="181">
        <v>37</v>
      </c>
      <c r="W368" s="181">
        <v>0</v>
      </c>
      <c r="X368" s="182">
        <f t="shared" si="12"/>
        <v>46</v>
      </c>
      <c r="Y368" s="3">
        <v>20</v>
      </c>
      <c r="Z368" s="3" t="s">
        <v>2780</v>
      </c>
      <c r="AA368" s="189" t="s">
        <v>3355</v>
      </c>
      <c r="AB368" s="252" t="s">
        <v>3356</v>
      </c>
    </row>
    <row r="369" spans="1:28" ht="23.25" hidden="1" customHeight="1">
      <c r="A369" s="171" t="s">
        <v>2943</v>
      </c>
      <c r="B369" s="3">
        <v>2023</v>
      </c>
      <c r="D369" s="3" t="s">
        <v>52</v>
      </c>
      <c r="E369" s="3" t="s">
        <v>1416</v>
      </c>
      <c r="F369" s="232" t="s">
        <v>1426</v>
      </c>
      <c r="G369" s="173"/>
      <c r="H369" s="173"/>
      <c r="I369" s="174" t="s">
        <v>33</v>
      </c>
      <c r="J369" s="2" t="s">
        <v>3242</v>
      </c>
      <c r="K369" s="177" t="s">
        <v>51</v>
      </c>
      <c r="L369" s="177" t="s">
        <v>3357</v>
      </c>
      <c r="M369" s="1">
        <v>45097</v>
      </c>
      <c r="N369" s="1">
        <v>45097</v>
      </c>
      <c r="O369" s="3" t="s">
        <v>45</v>
      </c>
      <c r="P369" s="178">
        <v>0</v>
      </c>
      <c r="Q369" s="179"/>
      <c r="R369" s="217">
        <v>4.9000000000000004</v>
      </c>
      <c r="S369" s="218">
        <f t="shared" si="16"/>
        <v>0.98000000000000009</v>
      </c>
      <c r="T369" s="180">
        <v>0</v>
      </c>
      <c r="U369" s="181">
        <v>44</v>
      </c>
      <c r="V369" s="181">
        <v>0</v>
      </c>
      <c r="W369" s="181">
        <v>16</v>
      </c>
      <c r="X369" s="182">
        <f t="shared" si="12"/>
        <v>60</v>
      </c>
      <c r="Y369" s="3">
        <v>2</v>
      </c>
      <c r="Z369" s="3" t="s">
        <v>3043</v>
      </c>
      <c r="AA369" s="2" t="s">
        <v>3358</v>
      </c>
      <c r="AB369" s="253" t="s">
        <v>3359</v>
      </c>
    </row>
    <row r="370" spans="1:28" ht="23.25" hidden="1" customHeight="1">
      <c r="A370" s="171" t="s">
        <v>2943</v>
      </c>
      <c r="B370" s="3">
        <v>2023</v>
      </c>
      <c r="D370" s="3" t="s">
        <v>52</v>
      </c>
      <c r="E370" s="3" t="s">
        <v>1429</v>
      </c>
      <c r="F370" s="232" t="s">
        <v>1430</v>
      </c>
      <c r="G370" s="173" t="s">
        <v>3285</v>
      </c>
      <c r="H370" s="173"/>
      <c r="I370" s="174" t="s">
        <v>48</v>
      </c>
      <c r="J370" s="2" t="s">
        <v>3195</v>
      </c>
      <c r="K370" s="177" t="s">
        <v>3041</v>
      </c>
      <c r="L370" s="177" t="s">
        <v>1431</v>
      </c>
      <c r="M370" s="1">
        <v>45103</v>
      </c>
      <c r="N370" s="1">
        <v>45107</v>
      </c>
      <c r="O370" s="3" t="s">
        <v>41</v>
      </c>
      <c r="P370" s="178">
        <v>9935.3799999999992</v>
      </c>
      <c r="Q370" s="179"/>
      <c r="R370" s="217">
        <v>4.9000000000000004</v>
      </c>
      <c r="S370" s="218">
        <f t="shared" si="16"/>
        <v>0.98000000000000009</v>
      </c>
      <c r="T370" s="180">
        <v>40</v>
      </c>
      <c r="U370" s="181">
        <v>3</v>
      </c>
      <c r="V370" s="181">
        <v>0</v>
      </c>
      <c r="W370" s="181">
        <v>45</v>
      </c>
      <c r="X370" s="182">
        <f t="shared" si="12"/>
        <v>48</v>
      </c>
      <c r="Y370" s="3">
        <v>20</v>
      </c>
      <c r="Z370" s="3" t="s">
        <v>2784</v>
      </c>
      <c r="AA370" s="189" t="s">
        <v>442</v>
      </c>
      <c r="AB370" s="253" t="s">
        <v>3360</v>
      </c>
    </row>
    <row r="371" spans="1:28" ht="23.25" hidden="1" customHeight="1">
      <c r="A371" s="171" t="s">
        <v>2943</v>
      </c>
      <c r="B371" s="3">
        <v>2023</v>
      </c>
      <c r="D371" s="3" t="s">
        <v>52</v>
      </c>
      <c r="E371" s="3" t="s">
        <v>3361</v>
      </c>
      <c r="F371" s="247" t="s">
        <v>1434</v>
      </c>
      <c r="G371" s="173"/>
      <c r="H371" s="173"/>
      <c r="I371" s="174" t="s">
        <v>48</v>
      </c>
      <c r="J371" s="2" t="s">
        <v>3195</v>
      </c>
      <c r="K371" s="177" t="s">
        <v>3041</v>
      </c>
      <c r="L371" s="177" t="s">
        <v>1435</v>
      </c>
      <c r="M371" s="1">
        <v>45103</v>
      </c>
      <c r="N371" s="1">
        <v>45103</v>
      </c>
      <c r="O371" s="3" t="s">
        <v>41</v>
      </c>
      <c r="P371" s="178">
        <v>0</v>
      </c>
      <c r="Q371" s="179"/>
      <c r="R371" s="228"/>
      <c r="S371" s="218">
        <f t="shared" si="16"/>
        <v>0</v>
      </c>
      <c r="T371" s="180"/>
      <c r="U371" s="181"/>
      <c r="V371" s="181"/>
      <c r="W371" s="181">
        <v>40</v>
      </c>
      <c r="X371" s="182">
        <f t="shared" si="12"/>
        <v>40</v>
      </c>
      <c r="Y371" s="3">
        <v>2</v>
      </c>
      <c r="Z371" s="3"/>
      <c r="AA371" s="194" t="s">
        <v>3362</v>
      </c>
      <c r="AB371" s="249"/>
    </row>
    <row r="372" spans="1:28" ht="23.25" hidden="1" customHeight="1">
      <c r="A372" s="171" t="s">
        <v>2943</v>
      </c>
      <c r="B372" s="3">
        <v>2023</v>
      </c>
      <c r="D372" s="3" t="s">
        <v>52</v>
      </c>
      <c r="E372" s="3" t="s">
        <v>3363</v>
      </c>
      <c r="F372" s="247" t="s">
        <v>1438</v>
      </c>
      <c r="G372" s="173"/>
      <c r="H372" s="173"/>
      <c r="I372" s="174" t="s">
        <v>33</v>
      </c>
      <c r="J372" s="2" t="s">
        <v>3199</v>
      </c>
      <c r="K372" s="177" t="s">
        <v>3022</v>
      </c>
      <c r="L372" s="177" t="s">
        <v>1439</v>
      </c>
      <c r="M372" s="1">
        <v>45104</v>
      </c>
      <c r="N372" s="1">
        <v>45104</v>
      </c>
      <c r="O372" s="3" t="s">
        <v>45</v>
      </c>
      <c r="P372" s="178">
        <v>0</v>
      </c>
      <c r="Q372" s="179"/>
      <c r="R372" s="228"/>
      <c r="S372" s="218">
        <f t="shared" si="16"/>
        <v>0</v>
      </c>
      <c r="T372" s="180"/>
      <c r="U372" s="181">
        <v>150</v>
      </c>
      <c r="V372" s="181">
        <v>0</v>
      </c>
      <c r="W372" s="181">
        <v>0</v>
      </c>
      <c r="X372" s="182">
        <f t="shared" si="12"/>
        <v>150</v>
      </c>
      <c r="Y372" s="3">
        <v>2</v>
      </c>
      <c r="Z372" s="3" t="s">
        <v>3299</v>
      </c>
      <c r="AA372" s="2" t="s">
        <v>3364</v>
      </c>
      <c r="AB372" s="249"/>
    </row>
    <row r="373" spans="1:28" ht="23.25" hidden="1" customHeight="1">
      <c r="A373" s="171" t="s">
        <v>2943</v>
      </c>
      <c r="B373" s="3">
        <v>2023</v>
      </c>
      <c r="D373" s="3" t="s">
        <v>52</v>
      </c>
      <c r="E373" s="3" t="s">
        <v>1441</v>
      </c>
      <c r="F373" s="255" t="s">
        <v>1442</v>
      </c>
      <c r="G373" s="256"/>
      <c r="H373" s="256"/>
      <c r="I373" s="174" t="s">
        <v>33</v>
      </c>
      <c r="J373" s="2" t="s">
        <v>3199</v>
      </c>
      <c r="K373" s="177" t="s">
        <v>3022</v>
      </c>
      <c r="L373" s="3" t="s">
        <v>1443</v>
      </c>
      <c r="M373" s="1">
        <v>45110</v>
      </c>
      <c r="N373" s="1">
        <v>45111</v>
      </c>
      <c r="O373" s="3" t="s">
        <v>41</v>
      </c>
      <c r="P373" s="178">
        <v>3477.38</v>
      </c>
      <c r="R373" s="217">
        <v>4.5999999999999996</v>
      </c>
      <c r="S373" s="218">
        <f t="shared" si="16"/>
        <v>0.91999999999999993</v>
      </c>
      <c r="T373" s="180">
        <v>20</v>
      </c>
      <c r="U373" s="181">
        <v>20</v>
      </c>
      <c r="V373" s="181">
        <v>0</v>
      </c>
      <c r="W373" s="181">
        <v>0</v>
      </c>
      <c r="X373" s="182">
        <f t="shared" si="12"/>
        <v>20</v>
      </c>
      <c r="Y373" s="3">
        <v>7</v>
      </c>
      <c r="Z373" s="3" t="s">
        <v>2784</v>
      </c>
      <c r="AA373" s="189" t="s">
        <v>3222</v>
      </c>
      <c r="AB373" s="258" t="s">
        <v>3365</v>
      </c>
    </row>
    <row r="374" spans="1:28" ht="23.25" hidden="1" customHeight="1">
      <c r="A374" s="171" t="s">
        <v>2943</v>
      </c>
      <c r="B374" s="3">
        <v>2023</v>
      </c>
      <c r="D374" s="3" t="s">
        <v>52</v>
      </c>
      <c r="E374" s="3" t="s">
        <v>3366</v>
      </c>
      <c r="F374" s="247" t="s">
        <v>1446</v>
      </c>
      <c r="G374" s="173"/>
      <c r="H374" s="173"/>
      <c r="I374" s="174" t="s">
        <v>48</v>
      </c>
      <c r="J374" s="2" t="s">
        <v>3195</v>
      </c>
      <c r="K374" s="177" t="s">
        <v>3041</v>
      </c>
      <c r="L374" s="177" t="s">
        <v>1447</v>
      </c>
      <c r="M374" s="1">
        <v>45114</v>
      </c>
      <c r="N374" s="1">
        <v>45114</v>
      </c>
      <c r="O374" s="3" t="s">
        <v>41</v>
      </c>
      <c r="P374" s="178">
        <v>0</v>
      </c>
      <c r="Q374" s="179"/>
      <c r="R374" s="228"/>
      <c r="S374" s="218">
        <f t="shared" si="16"/>
        <v>0</v>
      </c>
      <c r="T374" s="180"/>
      <c r="U374" s="181"/>
      <c r="V374" s="181"/>
      <c r="W374" s="181">
        <v>30</v>
      </c>
      <c r="X374" s="182">
        <f t="shared" si="12"/>
        <v>30</v>
      </c>
      <c r="Y374" s="3">
        <v>2</v>
      </c>
      <c r="Z374" s="3"/>
      <c r="AA374" s="189" t="s">
        <v>1033</v>
      </c>
      <c r="AB374" s="249"/>
    </row>
    <row r="375" spans="1:28" ht="23.25" hidden="1" customHeight="1">
      <c r="A375" s="171" t="s">
        <v>2943</v>
      </c>
      <c r="B375" s="3">
        <v>2023</v>
      </c>
      <c r="D375" s="3" t="s">
        <v>52</v>
      </c>
      <c r="E375" s="3" t="s">
        <v>3367</v>
      </c>
      <c r="F375" s="232" t="s">
        <v>1450</v>
      </c>
      <c r="G375" s="173"/>
      <c r="H375" s="173"/>
      <c r="I375" s="174" t="s">
        <v>33</v>
      </c>
      <c r="J375" s="2" t="s">
        <v>3224</v>
      </c>
      <c r="K375" s="177" t="s">
        <v>3022</v>
      </c>
      <c r="L375" s="177" t="s">
        <v>3368</v>
      </c>
      <c r="M375" s="1">
        <v>45131</v>
      </c>
      <c r="N375" s="1">
        <v>45135</v>
      </c>
      <c r="O375" s="3" t="s">
        <v>41</v>
      </c>
      <c r="P375" s="178">
        <f>6878.39+4650</f>
        <v>11528.39</v>
      </c>
      <c r="Q375" s="179"/>
      <c r="R375" s="217">
        <v>4.4000000000000004</v>
      </c>
      <c r="S375" s="218">
        <f t="shared" si="16"/>
        <v>0.88000000000000012</v>
      </c>
      <c r="T375" s="180">
        <v>67</v>
      </c>
      <c r="U375" s="181">
        <v>67</v>
      </c>
      <c r="V375" s="181">
        <v>0</v>
      </c>
      <c r="W375" s="181">
        <v>0</v>
      </c>
      <c r="X375" s="182">
        <f t="shared" si="12"/>
        <v>67</v>
      </c>
      <c r="Y375" s="3">
        <v>18</v>
      </c>
      <c r="Z375" s="3" t="s">
        <v>2784</v>
      </c>
      <c r="AA375" s="189" t="s">
        <v>3369</v>
      </c>
      <c r="AB375" s="252" t="s">
        <v>3370</v>
      </c>
    </row>
    <row r="376" spans="1:28" ht="23.25" hidden="1" customHeight="1">
      <c r="A376" s="171" t="s">
        <v>2943</v>
      </c>
      <c r="B376" s="3">
        <v>2023</v>
      </c>
      <c r="D376" s="3" t="s">
        <v>52</v>
      </c>
      <c r="E376" s="250" t="s">
        <v>1454</v>
      </c>
      <c r="F376" s="232" t="s">
        <v>1455</v>
      </c>
      <c r="G376" s="173"/>
      <c r="H376" s="173"/>
      <c r="I376" s="174" t="s">
        <v>33</v>
      </c>
      <c r="J376" s="2" t="s">
        <v>3224</v>
      </c>
      <c r="K376" s="177" t="s">
        <v>3022</v>
      </c>
      <c r="L376" s="177" t="s">
        <v>3368</v>
      </c>
      <c r="M376" s="1">
        <v>45131</v>
      </c>
      <c r="N376" s="1">
        <v>45135</v>
      </c>
      <c r="O376" s="3" t="s">
        <v>41</v>
      </c>
      <c r="P376" s="178">
        <v>4650</v>
      </c>
      <c r="Q376" s="179"/>
      <c r="R376" s="217">
        <v>4.4000000000000004</v>
      </c>
      <c r="S376" s="218">
        <f t="shared" si="16"/>
        <v>0.88000000000000012</v>
      </c>
      <c r="T376" s="180">
        <v>67</v>
      </c>
      <c r="U376" s="181">
        <v>67</v>
      </c>
      <c r="V376" s="181">
        <v>0</v>
      </c>
      <c r="W376" s="181">
        <v>0</v>
      </c>
      <c r="X376" s="182">
        <f t="shared" si="12"/>
        <v>67</v>
      </c>
      <c r="Y376" s="3">
        <v>2</v>
      </c>
      <c r="Z376" s="3" t="s">
        <v>2784</v>
      </c>
      <c r="AA376" s="2" t="s">
        <v>1456</v>
      </c>
      <c r="AB376" s="249"/>
    </row>
    <row r="377" spans="1:28" ht="23.25" hidden="1" customHeight="1">
      <c r="A377" s="171" t="s">
        <v>2943</v>
      </c>
      <c r="B377" s="3">
        <v>2023</v>
      </c>
      <c r="D377" s="3" t="s">
        <v>52</v>
      </c>
      <c r="E377" s="3" t="s">
        <v>1454</v>
      </c>
      <c r="F377" s="232" t="s">
        <v>1458</v>
      </c>
      <c r="G377" s="173"/>
      <c r="H377" s="173"/>
      <c r="I377" s="174" t="s">
        <v>33</v>
      </c>
      <c r="J377" s="2" t="s">
        <v>3224</v>
      </c>
      <c r="K377" s="177" t="s">
        <v>3022</v>
      </c>
      <c r="L377" s="177" t="s">
        <v>3368</v>
      </c>
      <c r="M377" s="1">
        <v>45131</v>
      </c>
      <c r="N377" s="1">
        <v>45135</v>
      </c>
      <c r="O377" s="3" t="s">
        <v>41</v>
      </c>
      <c r="P377" s="178">
        <v>4650</v>
      </c>
      <c r="Q377" s="179"/>
      <c r="R377" s="217">
        <v>4.4000000000000004</v>
      </c>
      <c r="S377" s="218">
        <f t="shared" si="16"/>
        <v>0.88000000000000012</v>
      </c>
      <c r="T377" s="180">
        <v>57</v>
      </c>
      <c r="U377" s="181">
        <v>57</v>
      </c>
      <c r="V377" s="181">
        <v>0</v>
      </c>
      <c r="W377" s="181">
        <v>0</v>
      </c>
      <c r="X377" s="182">
        <f t="shared" si="12"/>
        <v>57</v>
      </c>
      <c r="Y377" s="3">
        <v>2</v>
      </c>
      <c r="Z377" s="3" t="s">
        <v>2784</v>
      </c>
      <c r="AA377" s="2" t="s">
        <v>1456</v>
      </c>
      <c r="AB377" s="249"/>
    </row>
    <row r="378" spans="1:28" ht="23.25" hidden="1" customHeight="1">
      <c r="A378" s="171" t="s">
        <v>2943</v>
      </c>
      <c r="B378" s="3">
        <v>2023</v>
      </c>
      <c r="D378" s="3" t="s">
        <v>52</v>
      </c>
      <c r="E378" s="3" t="s">
        <v>1356</v>
      </c>
      <c r="F378" s="232" t="s">
        <v>1460</v>
      </c>
      <c r="G378" s="173"/>
      <c r="H378" s="173"/>
      <c r="I378" s="174" t="s">
        <v>33</v>
      </c>
      <c r="J378" s="2" t="s">
        <v>1358</v>
      </c>
      <c r="K378" s="177" t="s">
        <v>3022</v>
      </c>
      <c r="L378" s="263" t="s">
        <v>3371</v>
      </c>
      <c r="M378" s="1">
        <v>45138</v>
      </c>
      <c r="N378" s="1">
        <v>45166</v>
      </c>
      <c r="O378" s="3" t="s">
        <v>45</v>
      </c>
      <c r="P378" s="178">
        <v>30590</v>
      </c>
      <c r="Q378" s="179"/>
      <c r="R378" s="217">
        <v>4.3</v>
      </c>
      <c r="S378" s="218">
        <f t="shared" si="16"/>
        <v>0.86</v>
      </c>
      <c r="T378" s="180">
        <v>20</v>
      </c>
      <c r="U378" s="181">
        <v>20</v>
      </c>
      <c r="V378" s="181">
        <v>0</v>
      </c>
      <c r="W378" s="181">
        <v>0</v>
      </c>
      <c r="X378" s="182">
        <f t="shared" si="12"/>
        <v>20</v>
      </c>
      <c r="Y378" s="3">
        <v>26</v>
      </c>
      <c r="Z378" s="3" t="s">
        <v>2780</v>
      </c>
      <c r="AA378" s="2" t="s">
        <v>3372</v>
      </c>
      <c r="AB378" s="252" t="s">
        <v>3373</v>
      </c>
    </row>
    <row r="379" spans="1:28" ht="23.25" hidden="1" customHeight="1">
      <c r="A379" s="171" t="s">
        <v>2943</v>
      </c>
      <c r="B379" s="3">
        <v>2023</v>
      </c>
      <c r="D379" s="3" t="s">
        <v>52</v>
      </c>
      <c r="E379" s="3" t="s">
        <v>1464</v>
      </c>
      <c r="F379" s="232" t="s">
        <v>1465</v>
      </c>
      <c r="G379" s="173"/>
      <c r="H379" s="173"/>
      <c r="I379" s="174" t="s">
        <v>44</v>
      </c>
      <c r="J379" s="2" t="s">
        <v>3195</v>
      </c>
      <c r="K379" s="177" t="s">
        <v>51</v>
      </c>
      <c r="L379" s="177" t="s">
        <v>3374</v>
      </c>
      <c r="M379" s="1">
        <v>45141</v>
      </c>
      <c r="N379" s="1">
        <v>45142</v>
      </c>
      <c r="O379" s="3" t="s">
        <v>41</v>
      </c>
      <c r="P379" s="178">
        <v>3427.55</v>
      </c>
      <c r="Q379" s="179"/>
      <c r="R379" s="217">
        <v>4.7</v>
      </c>
      <c r="S379" s="218">
        <f t="shared" si="16"/>
        <v>0.94000000000000006</v>
      </c>
      <c r="T379" s="180">
        <v>400</v>
      </c>
      <c r="U379" s="181">
        <v>112</v>
      </c>
      <c r="V379" s="181">
        <v>203</v>
      </c>
      <c r="W379" s="181">
        <v>0</v>
      </c>
      <c r="X379" s="182">
        <f t="shared" si="12"/>
        <v>315</v>
      </c>
      <c r="Y379" s="3">
        <v>8</v>
      </c>
      <c r="Z379" s="3" t="s">
        <v>2780</v>
      </c>
      <c r="AA379" s="189" t="s">
        <v>3375</v>
      </c>
      <c r="AB379" s="252" t="s">
        <v>3376</v>
      </c>
    </row>
    <row r="380" spans="1:28" ht="23.25" hidden="1" customHeight="1">
      <c r="A380" s="171" t="s">
        <v>2943</v>
      </c>
      <c r="B380" s="3">
        <v>2023</v>
      </c>
      <c r="D380" s="3" t="s">
        <v>52</v>
      </c>
      <c r="E380" s="3" t="s">
        <v>1469</v>
      </c>
      <c r="F380" s="232" t="s">
        <v>1470</v>
      </c>
      <c r="G380" s="173"/>
      <c r="H380" s="173"/>
      <c r="I380" s="174" t="s">
        <v>44</v>
      </c>
      <c r="J380" s="2" t="s">
        <v>3195</v>
      </c>
      <c r="K380" s="177" t="s">
        <v>3041</v>
      </c>
      <c r="L380" s="177" t="s">
        <v>3377</v>
      </c>
      <c r="M380" s="1">
        <v>45145</v>
      </c>
      <c r="N380" s="1">
        <v>45146</v>
      </c>
      <c r="O380" s="3" t="s">
        <v>41</v>
      </c>
      <c r="P380" s="178">
        <v>3974.15</v>
      </c>
      <c r="Q380" s="179"/>
      <c r="R380" s="217">
        <v>4.7</v>
      </c>
      <c r="S380" s="218">
        <f t="shared" si="16"/>
        <v>0.94000000000000006</v>
      </c>
      <c r="T380" s="180">
        <v>30</v>
      </c>
      <c r="U380" s="181">
        <v>1</v>
      </c>
      <c r="V380" s="181">
        <v>34</v>
      </c>
      <c r="W380" s="181">
        <v>0</v>
      </c>
      <c r="X380" s="182">
        <f t="shared" si="12"/>
        <v>35</v>
      </c>
      <c r="Y380" s="3">
        <v>8</v>
      </c>
      <c r="Z380" s="3" t="s">
        <v>3043</v>
      </c>
      <c r="AA380" s="189" t="s">
        <v>3378</v>
      </c>
      <c r="AB380" s="252" t="s">
        <v>3379</v>
      </c>
    </row>
    <row r="381" spans="1:28" ht="23.25" hidden="1" customHeight="1">
      <c r="A381" s="171" t="s">
        <v>2943</v>
      </c>
      <c r="B381" s="3">
        <v>2023</v>
      </c>
      <c r="D381" s="3" t="s">
        <v>52</v>
      </c>
      <c r="E381" s="3" t="s">
        <v>3380</v>
      </c>
      <c r="F381" s="232" t="s">
        <v>3381</v>
      </c>
      <c r="G381" s="232"/>
      <c r="H381" s="232"/>
      <c r="I381" s="174" t="s">
        <v>33</v>
      </c>
      <c r="J381" s="2" t="s">
        <v>3255</v>
      </c>
      <c r="K381" s="177" t="s">
        <v>3022</v>
      </c>
      <c r="L381" s="177" t="s">
        <v>3382</v>
      </c>
      <c r="M381" s="1">
        <v>45145</v>
      </c>
      <c r="N381" s="1">
        <v>45265</v>
      </c>
      <c r="O381" s="3" t="s">
        <v>45</v>
      </c>
      <c r="P381" s="178">
        <v>76500</v>
      </c>
      <c r="Q381" s="179"/>
      <c r="R381" s="217">
        <v>5</v>
      </c>
      <c r="S381" s="218">
        <f t="shared" si="16"/>
        <v>1</v>
      </c>
      <c r="T381" s="180">
        <v>17</v>
      </c>
      <c r="U381" s="181">
        <v>17</v>
      </c>
      <c r="V381" s="181">
        <v>0</v>
      </c>
      <c r="W381" s="181">
        <v>0</v>
      </c>
      <c r="X381" s="182">
        <f t="shared" si="12"/>
        <v>17</v>
      </c>
      <c r="Y381" s="3">
        <f>5*17</f>
        <v>85</v>
      </c>
      <c r="Z381" s="3" t="s">
        <v>3043</v>
      </c>
      <c r="AA381" s="2" t="s">
        <v>977</v>
      </c>
      <c r="AB381" s="258" t="s">
        <v>3383</v>
      </c>
    </row>
    <row r="382" spans="1:28" ht="23.25" hidden="1" customHeight="1">
      <c r="A382" s="171" t="s">
        <v>2943</v>
      </c>
      <c r="B382" s="3">
        <v>2023</v>
      </c>
      <c r="D382" s="3" t="s">
        <v>52</v>
      </c>
      <c r="E382" s="3" t="s">
        <v>3384</v>
      </c>
      <c r="F382" s="232" t="s">
        <v>1479</v>
      </c>
      <c r="G382" s="173"/>
      <c r="H382" s="173"/>
      <c r="I382" s="174" t="s">
        <v>44</v>
      </c>
      <c r="J382" s="2" t="s">
        <v>3195</v>
      </c>
      <c r="K382" s="177" t="s">
        <v>51</v>
      </c>
      <c r="L382" s="177" t="s">
        <v>3385</v>
      </c>
      <c r="M382" s="1">
        <v>45145</v>
      </c>
      <c r="N382" s="1">
        <v>45146</v>
      </c>
      <c r="O382" s="3" t="s">
        <v>41</v>
      </c>
      <c r="P382" s="178">
        <v>5383.02</v>
      </c>
      <c r="Q382" s="179"/>
      <c r="R382" s="217">
        <v>4.7</v>
      </c>
      <c r="S382" s="218">
        <f t="shared" si="16"/>
        <v>0.94000000000000006</v>
      </c>
      <c r="T382" s="180">
        <v>20</v>
      </c>
      <c r="U382" s="181">
        <v>3</v>
      </c>
      <c r="V382" s="181">
        <v>24</v>
      </c>
      <c r="W382" s="181">
        <v>0</v>
      </c>
      <c r="X382" s="182">
        <f t="shared" si="12"/>
        <v>27</v>
      </c>
      <c r="Y382" s="3">
        <v>8</v>
      </c>
      <c r="Z382" s="3" t="s">
        <v>3043</v>
      </c>
      <c r="AA382" s="189" t="s">
        <v>3183</v>
      </c>
      <c r="AB382" s="252" t="s">
        <v>3386</v>
      </c>
    </row>
    <row r="383" spans="1:28" ht="23.25" hidden="1" customHeight="1">
      <c r="A383" s="171" t="s">
        <v>2943</v>
      </c>
      <c r="B383" s="3">
        <v>2023</v>
      </c>
      <c r="D383" s="3" t="s">
        <v>52</v>
      </c>
      <c r="E383" s="3" t="s">
        <v>1482</v>
      </c>
      <c r="F383" s="232" t="s">
        <v>1483</v>
      </c>
      <c r="G383" s="173"/>
      <c r="H383" s="173"/>
      <c r="I383" s="174" t="s">
        <v>44</v>
      </c>
      <c r="J383" s="2" t="s">
        <v>3195</v>
      </c>
      <c r="K383" s="177" t="s">
        <v>51</v>
      </c>
      <c r="L383" s="177" t="s">
        <v>3387</v>
      </c>
      <c r="M383" s="1">
        <v>45145</v>
      </c>
      <c r="N383" s="1">
        <v>45145</v>
      </c>
      <c r="O383" s="3" t="s">
        <v>41</v>
      </c>
      <c r="P383" s="178">
        <v>0</v>
      </c>
      <c r="Q383" s="179"/>
      <c r="R383" s="217">
        <v>4.0999999999999996</v>
      </c>
      <c r="S383" s="218">
        <f t="shared" si="16"/>
        <v>0.82</v>
      </c>
      <c r="T383" s="180">
        <v>40</v>
      </c>
      <c r="U383" s="181">
        <v>8</v>
      </c>
      <c r="V383" s="181">
        <v>37</v>
      </c>
      <c r="W383" s="181">
        <v>0</v>
      </c>
      <c r="X383" s="182">
        <f t="shared" si="12"/>
        <v>45</v>
      </c>
      <c r="Y383" s="3">
        <v>4</v>
      </c>
      <c r="Z383" s="3" t="s">
        <v>3043</v>
      </c>
      <c r="AA383" s="2" t="s">
        <v>3388</v>
      </c>
      <c r="AB383" s="252" t="s">
        <v>3389</v>
      </c>
    </row>
    <row r="384" spans="1:28" ht="23.25" hidden="1" customHeight="1">
      <c r="A384" s="171" t="s">
        <v>2943</v>
      </c>
      <c r="B384" s="3">
        <v>2023</v>
      </c>
      <c r="D384" s="3" t="s">
        <v>52</v>
      </c>
      <c r="E384" s="3" t="s">
        <v>1487</v>
      </c>
      <c r="F384" s="232" t="s">
        <v>1488</v>
      </c>
      <c r="G384" s="173"/>
      <c r="H384" s="173"/>
      <c r="I384" s="174" t="s">
        <v>44</v>
      </c>
      <c r="J384" s="2" t="s">
        <v>3195</v>
      </c>
      <c r="K384" s="177" t="s">
        <v>51</v>
      </c>
      <c r="L384" s="177" t="s">
        <v>3390</v>
      </c>
      <c r="M384" s="1">
        <v>45146</v>
      </c>
      <c r="N384" s="1">
        <v>45146</v>
      </c>
      <c r="O384" s="3" t="s">
        <v>41</v>
      </c>
      <c r="P384" s="178">
        <v>0</v>
      </c>
      <c r="Q384" s="179"/>
      <c r="R384" s="217">
        <v>4.5999999999999996</v>
      </c>
      <c r="S384" s="218">
        <f t="shared" si="16"/>
        <v>0.91999999999999993</v>
      </c>
      <c r="T384" s="180">
        <v>40</v>
      </c>
      <c r="U384" s="181">
        <v>14</v>
      </c>
      <c r="V384" s="181">
        <v>37</v>
      </c>
      <c r="W384" s="181">
        <v>0</v>
      </c>
      <c r="X384" s="182">
        <f t="shared" si="12"/>
        <v>51</v>
      </c>
      <c r="Y384" s="3">
        <v>4</v>
      </c>
      <c r="Z384" s="3" t="s">
        <v>3043</v>
      </c>
      <c r="AA384" s="2" t="s">
        <v>3391</v>
      </c>
      <c r="AB384" s="252" t="s">
        <v>3386</v>
      </c>
    </row>
    <row r="385" spans="1:28" ht="23.25" hidden="1" customHeight="1">
      <c r="A385" s="171" t="s">
        <v>2943</v>
      </c>
      <c r="B385" s="3">
        <v>2023</v>
      </c>
      <c r="D385" s="3" t="s">
        <v>52</v>
      </c>
      <c r="E385" s="3" t="s">
        <v>1356</v>
      </c>
      <c r="F385" s="232" t="s">
        <v>1492</v>
      </c>
      <c r="G385" s="173"/>
      <c r="H385" s="173"/>
      <c r="I385" s="174" t="s">
        <v>33</v>
      </c>
      <c r="J385" s="2" t="s">
        <v>1358</v>
      </c>
      <c r="K385" s="177" t="s">
        <v>3022</v>
      </c>
      <c r="L385" s="263" t="s">
        <v>3392</v>
      </c>
      <c r="M385" s="1">
        <v>45147</v>
      </c>
      <c r="N385" s="1">
        <v>45187</v>
      </c>
      <c r="O385" s="3" t="s">
        <v>45</v>
      </c>
      <c r="P385" s="178">
        <v>31502</v>
      </c>
      <c r="Q385" s="179"/>
      <c r="R385" s="217">
        <v>4.7</v>
      </c>
      <c r="S385" s="218">
        <f t="shared" si="16"/>
        <v>0.94000000000000006</v>
      </c>
      <c r="T385" s="180">
        <v>20</v>
      </c>
      <c r="U385" s="181">
        <v>5</v>
      </c>
      <c r="V385" s="181">
        <v>0</v>
      </c>
      <c r="W385" s="181">
        <v>0</v>
      </c>
      <c r="X385" s="182">
        <f t="shared" si="12"/>
        <v>5</v>
      </c>
      <c r="Y385" s="3">
        <v>28</v>
      </c>
      <c r="Z385" s="3" t="s">
        <v>2780</v>
      </c>
      <c r="AA385" s="2" t="s">
        <v>1406</v>
      </c>
      <c r="AB385" s="252" t="s">
        <v>3393</v>
      </c>
    </row>
    <row r="386" spans="1:28" ht="23.25" hidden="1" customHeight="1">
      <c r="A386" s="261" t="s">
        <v>2943</v>
      </c>
      <c r="B386" s="3">
        <v>2023</v>
      </c>
      <c r="D386" s="251" t="s">
        <v>52</v>
      </c>
      <c r="E386" s="3" t="s">
        <v>1347</v>
      </c>
      <c r="F386" s="232" t="s">
        <v>1495</v>
      </c>
      <c r="G386" s="173"/>
      <c r="H386" s="173"/>
      <c r="I386" s="174" t="s">
        <v>33</v>
      </c>
      <c r="J386" s="2" t="s">
        <v>3199</v>
      </c>
      <c r="K386" s="177" t="s">
        <v>3022</v>
      </c>
      <c r="L386" s="177" t="s">
        <v>3394</v>
      </c>
      <c r="M386" s="1">
        <v>45147</v>
      </c>
      <c r="N386" s="1">
        <v>45149</v>
      </c>
      <c r="O386" s="171" t="s">
        <v>45</v>
      </c>
      <c r="P386" s="178">
        <v>16253.1</v>
      </c>
      <c r="Q386" s="179"/>
      <c r="R386" s="217">
        <v>4.95</v>
      </c>
      <c r="S386" s="218">
        <f t="shared" si="16"/>
        <v>0.99</v>
      </c>
      <c r="T386" s="180">
        <v>20</v>
      </c>
      <c r="U386" s="181">
        <v>16</v>
      </c>
      <c r="V386" s="181">
        <v>0</v>
      </c>
      <c r="W386" s="181">
        <v>0</v>
      </c>
      <c r="X386" s="182">
        <f t="shared" ref="X386:X442" si="17">SUM(U386:W386)</f>
        <v>16</v>
      </c>
      <c r="Y386" s="3">
        <v>24</v>
      </c>
      <c r="Z386" s="3" t="s">
        <v>2784</v>
      </c>
      <c r="AA386" s="2" t="s">
        <v>1350</v>
      </c>
      <c r="AB386" s="258" t="s">
        <v>3395</v>
      </c>
    </row>
    <row r="387" spans="1:28" ht="23.25" hidden="1" customHeight="1">
      <c r="A387" s="171" t="s">
        <v>2943</v>
      </c>
      <c r="B387" s="3">
        <v>2023</v>
      </c>
      <c r="D387" s="3" t="s">
        <v>52</v>
      </c>
      <c r="E387" s="3" t="s">
        <v>1498</v>
      </c>
      <c r="F387" s="232" t="s">
        <v>1499</v>
      </c>
      <c r="G387" s="173"/>
      <c r="H387" s="173"/>
      <c r="I387" s="174" t="s">
        <v>33</v>
      </c>
      <c r="J387" s="2" t="s">
        <v>3199</v>
      </c>
      <c r="K387" s="177" t="s">
        <v>3022</v>
      </c>
      <c r="L387" s="177" t="s">
        <v>1500</v>
      </c>
      <c r="M387" s="1">
        <v>45148</v>
      </c>
      <c r="N387" s="1">
        <v>45155</v>
      </c>
      <c r="O387" s="3" t="s">
        <v>45</v>
      </c>
      <c r="P387" s="178">
        <v>4500</v>
      </c>
      <c r="Q387" s="179"/>
      <c r="R387" s="217">
        <v>4.8</v>
      </c>
      <c r="S387" s="218">
        <f t="shared" si="16"/>
        <v>0.96</v>
      </c>
      <c r="T387" s="180">
        <v>30</v>
      </c>
      <c r="U387" s="181">
        <v>30</v>
      </c>
      <c r="V387" s="181">
        <v>0</v>
      </c>
      <c r="W387" s="181">
        <v>0</v>
      </c>
      <c r="X387" s="182">
        <f t="shared" si="17"/>
        <v>30</v>
      </c>
      <c r="Y387" s="3">
        <v>12</v>
      </c>
      <c r="Z387" s="3" t="s">
        <v>2780</v>
      </c>
      <c r="AA387" s="2" t="s">
        <v>3396</v>
      </c>
      <c r="AB387" s="253" t="s">
        <v>3397</v>
      </c>
    </row>
    <row r="388" spans="1:28" ht="23.25" hidden="1" customHeight="1">
      <c r="A388" s="171" t="s">
        <v>2943</v>
      </c>
      <c r="B388" s="3">
        <v>2023</v>
      </c>
      <c r="D388" s="3" t="s">
        <v>52</v>
      </c>
      <c r="E388" s="3" t="s">
        <v>1502</v>
      </c>
      <c r="F388" s="232" t="s">
        <v>1503</v>
      </c>
      <c r="G388" s="173"/>
      <c r="H388" s="173"/>
      <c r="I388" s="174" t="s">
        <v>33</v>
      </c>
      <c r="J388" s="2" t="s">
        <v>3242</v>
      </c>
      <c r="K388" s="177" t="s">
        <v>51</v>
      </c>
      <c r="L388" s="177" t="s">
        <v>3398</v>
      </c>
      <c r="M388" s="1">
        <v>45154</v>
      </c>
      <c r="N388" s="1">
        <v>45156</v>
      </c>
      <c r="O388" s="171" t="s">
        <v>45</v>
      </c>
      <c r="P388" s="178">
        <v>0</v>
      </c>
      <c r="Q388" s="179"/>
      <c r="R388" s="217">
        <v>4.5999999999999996</v>
      </c>
      <c r="S388" s="218">
        <f t="shared" si="16"/>
        <v>0.91999999999999993</v>
      </c>
      <c r="T388" s="180">
        <v>70</v>
      </c>
      <c r="U388" s="181">
        <v>30</v>
      </c>
      <c r="V388" s="181">
        <v>34</v>
      </c>
      <c r="W388" s="181">
        <v>0</v>
      </c>
      <c r="X388" s="182">
        <f t="shared" si="17"/>
        <v>64</v>
      </c>
      <c r="Y388" s="3">
        <v>12</v>
      </c>
      <c r="Z388" s="3" t="s">
        <v>2784</v>
      </c>
      <c r="AB388" s="252" t="s">
        <v>3399</v>
      </c>
    </row>
    <row r="389" spans="1:28" ht="23.25" hidden="1" customHeight="1">
      <c r="A389" s="171" t="s">
        <v>2943</v>
      </c>
      <c r="B389" s="3">
        <v>2023</v>
      </c>
      <c r="D389" s="3" t="s">
        <v>52</v>
      </c>
      <c r="E389" s="3" t="s">
        <v>3367</v>
      </c>
      <c r="F389" s="232" t="s">
        <v>1506</v>
      </c>
      <c r="G389" s="173"/>
      <c r="H389" s="173"/>
      <c r="I389" s="174" t="s">
        <v>33</v>
      </c>
      <c r="J389" s="2" t="s">
        <v>3224</v>
      </c>
      <c r="K389" s="177" t="s">
        <v>3022</v>
      </c>
      <c r="L389" s="177" t="s">
        <v>3400</v>
      </c>
      <c r="M389" s="1">
        <v>45159</v>
      </c>
      <c r="N389" s="1">
        <v>45163</v>
      </c>
      <c r="O389" s="3" t="s">
        <v>41</v>
      </c>
      <c r="P389" s="178">
        <f>6878.39+4650</f>
        <v>11528.39</v>
      </c>
      <c r="Q389" s="179"/>
      <c r="R389" s="217">
        <v>4.4000000000000004</v>
      </c>
      <c r="S389" s="218">
        <f t="shared" si="16"/>
        <v>0.88000000000000012</v>
      </c>
      <c r="T389" s="180">
        <v>65</v>
      </c>
      <c r="U389" s="181">
        <v>57</v>
      </c>
      <c r="V389" s="181">
        <v>0</v>
      </c>
      <c r="W389" s="181">
        <v>0</v>
      </c>
      <c r="X389" s="182">
        <f t="shared" si="17"/>
        <v>57</v>
      </c>
      <c r="Y389" s="3">
        <v>20</v>
      </c>
      <c r="Z389" s="3" t="s">
        <v>2784</v>
      </c>
      <c r="AA389" s="189" t="s">
        <v>3369</v>
      </c>
      <c r="AB389" s="253" t="s">
        <v>3401</v>
      </c>
    </row>
    <row r="390" spans="1:28" ht="23.25" hidden="1" customHeight="1">
      <c r="A390" s="171" t="s">
        <v>2943</v>
      </c>
      <c r="B390" s="3">
        <v>2023</v>
      </c>
      <c r="D390" s="3" t="s">
        <v>52</v>
      </c>
      <c r="E390" s="3" t="s">
        <v>1509</v>
      </c>
      <c r="F390" s="232" t="s">
        <v>1510</v>
      </c>
      <c r="G390" s="173"/>
      <c r="H390" s="173"/>
      <c r="I390" s="174" t="s">
        <v>33</v>
      </c>
      <c r="J390" s="2" t="s">
        <v>3242</v>
      </c>
      <c r="K390" s="177" t="s">
        <v>3022</v>
      </c>
      <c r="L390" s="212" t="s">
        <v>3402</v>
      </c>
      <c r="M390" s="1">
        <v>45166</v>
      </c>
      <c r="N390" s="1">
        <v>45173</v>
      </c>
      <c r="O390" s="171" t="s">
        <v>45</v>
      </c>
      <c r="P390" s="178">
        <v>17000</v>
      </c>
      <c r="Q390" s="179"/>
      <c r="R390" s="217">
        <v>4.5</v>
      </c>
      <c r="S390" s="218">
        <f t="shared" si="16"/>
        <v>0.9</v>
      </c>
      <c r="T390" s="180">
        <v>40</v>
      </c>
      <c r="U390" s="181">
        <v>31</v>
      </c>
      <c r="V390" s="181">
        <v>8</v>
      </c>
      <c r="W390" s="181">
        <v>0</v>
      </c>
      <c r="X390" s="182">
        <f t="shared" si="17"/>
        <v>39</v>
      </c>
      <c r="Y390" s="3">
        <v>25</v>
      </c>
      <c r="Z390" s="3" t="s">
        <v>3043</v>
      </c>
      <c r="AA390" s="2" t="s">
        <v>1512</v>
      </c>
      <c r="AB390" s="252" t="s">
        <v>3403</v>
      </c>
    </row>
    <row r="391" spans="1:28" ht="23.25" hidden="1" customHeight="1">
      <c r="A391" s="171" t="s">
        <v>2943</v>
      </c>
      <c r="B391" s="3">
        <v>2023</v>
      </c>
      <c r="D391" s="3" t="s">
        <v>52</v>
      </c>
      <c r="E391" s="3" t="s">
        <v>1514</v>
      </c>
      <c r="F391" s="232" t="s">
        <v>1515</v>
      </c>
      <c r="G391" s="173"/>
      <c r="H391" s="173"/>
      <c r="I391" s="174" t="s">
        <v>33</v>
      </c>
      <c r="J391" s="2" t="s">
        <v>3203</v>
      </c>
      <c r="K391" s="177" t="s">
        <v>51</v>
      </c>
      <c r="L391" s="177" t="s">
        <v>3404</v>
      </c>
      <c r="M391" s="1">
        <v>45174</v>
      </c>
      <c r="N391" s="1">
        <v>45196</v>
      </c>
      <c r="O391" s="3" t="s">
        <v>41</v>
      </c>
      <c r="P391" s="178">
        <v>13025.35</v>
      </c>
      <c r="Q391" s="179"/>
      <c r="R391" s="217">
        <v>4.9000000000000004</v>
      </c>
      <c r="S391" s="218">
        <f t="shared" si="16"/>
        <v>0.98000000000000009</v>
      </c>
      <c r="T391" s="180">
        <v>20</v>
      </c>
      <c r="U391" s="181">
        <v>16</v>
      </c>
      <c r="V391" s="181">
        <v>0</v>
      </c>
      <c r="W391" s="181">
        <v>0</v>
      </c>
      <c r="X391" s="182">
        <f t="shared" si="17"/>
        <v>16</v>
      </c>
      <c r="Y391" s="3">
        <v>24</v>
      </c>
      <c r="Z391" s="3" t="s">
        <v>3043</v>
      </c>
      <c r="AA391" s="2" t="s">
        <v>3405</v>
      </c>
      <c r="AB391" s="252" t="s">
        <v>3406</v>
      </c>
    </row>
    <row r="392" spans="1:28" ht="23.25" hidden="1" customHeight="1">
      <c r="A392" s="171" t="s">
        <v>2943</v>
      </c>
      <c r="B392" s="3">
        <v>2023</v>
      </c>
      <c r="D392" s="3" t="s">
        <v>52</v>
      </c>
      <c r="E392" s="3" t="s">
        <v>1518</v>
      </c>
      <c r="F392" s="255" t="s">
        <v>1519</v>
      </c>
      <c r="G392" s="173"/>
      <c r="H392" s="173"/>
      <c r="I392" s="174" t="s">
        <v>44</v>
      </c>
      <c r="J392" s="2" t="s">
        <v>3195</v>
      </c>
      <c r="K392" s="177" t="s">
        <v>3041</v>
      </c>
      <c r="L392" s="177" t="s">
        <v>1520</v>
      </c>
      <c r="M392" s="1">
        <v>45180</v>
      </c>
      <c r="N392" s="1">
        <v>45184</v>
      </c>
      <c r="O392" s="3" t="s">
        <v>41</v>
      </c>
      <c r="P392" s="178">
        <v>4670.12</v>
      </c>
      <c r="Q392" s="179"/>
      <c r="R392" s="217">
        <v>4.5999999999999996</v>
      </c>
      <c r="S392" s="218">
        <f t="shared" si="16"/>
        <v>0.91999999999999993</v>
      </c>
      <c r="T392" s="180">
        <v>40</v>
      </c>
      <c r="U392" s="181">
        <v>6</v>
      </c>
      <c r="V392" s="181">
        <v>41</v>
      </c>
      <c r="W392" s="181">
        <v>0</v>
      </c>
      <c r="X392" s="182">
        <f t="shared" si="17"/>
        <v>47</v>
      </c>
      <c r="Y392" s="3">
        <v>20</v>
      </c>
      <c r="Z392" s="3" t="s">
        <v>3043</v>
      </c>
      <c r="AA392" s="189" t="s">
        <v>3355</v>
      </c>
      <c r="AB392" s="252" t="s">
        <v>3407</v>
      </c>
    </row>
    <row r="393" spans="1:28" ht="23.25" hidden="1" customHeight="1">
      <c r="A393" s="171" t="s">
        <v>2943</v>
      </c>
      <c r="B393" s="3">
        <v>2023</v>
      </c>
      <c r="D393" s="3" t="s">
        <v>52</v>
      </c>
      <c r="E393" s="3" t="s">
        <v>1522</v>
      </c>
      <c r="F393" s="232" t="s">
        <v>1523</v>
      </c>
      <c r="G393" s="173"/>
      <c r="H393" s="173"/>
      <c r="I393" s="174" t="s">
        <v>44</v>
      </c>
      <c r="J393" s="2" t="s">
        <v>3195</v>
      </c>
      <c r="K393" s="177" t="s">
        <v>51</v>
      </c>
      <c r="L393" s="177" t="s">
        <v>3408</v>
      </c>
      <c r="M393" s="1">
        <v>45181</v>
      </c>
      <c r="N393" s="1">
        <v>45190</v>
      </c>
      <c r="O393" s="3" t="s">
        <v>41</v>
      </c>
      <c r="P393" s="178">
        <v>11523.98</v>
      </c>
      <c r="Q393" s="179"/>
      <c r="R393" s="217">
        <v>5</v>
      </c>
      <c r="S393" s="218">
        <f t="shared" si="16"/>
        <v>1</v>
      </c>
      <c r="T393" s="180">
        <v>20</v>
      </c>
      <c r="U393" s="181">
        <v>8</v>
      </c>
      <c r="V393" s="181">
        <v>3</v>
      </c>
      <c r="W393" s="181">
        <v>2</v>
      </c>
      <c r="X393" s="182">
        <f t="shared" si="17"/>
        <v>13</v>
      </c>
      <c r="Y393" s="3">
        <v>16</v>
      </c>
      <c r="Z393" s="3" t="s">
        <v>3043</v>
      </c>
      <c r="AA393" s="2" t="s">
        <v>3409</v>
      </c>
      <c r="AB393" s="252" t="s">
        <v>3410</v>
      </c>
    </row>
    <row r="394" spans="1:28" ht="23.25" hidden="1" customHeight="1">
      <c r="A394" s="171" t="s">
        <v>2943</v>
      </c>
      <c r="B394" s="3">
        <v>2023</v>
      </c>
      <c r="D394" s="3" t="s">
        <v>52</v>
      </c>
      <c r="E394" s="3" t="s">
        <v>1378</v>
      </c>
      <c r="F394" s="232" t="s">
        <v>1527</v>
      </c>
      <c r="G394" s="173"/>
      <c r="H394" s="173"/>
      <c r="I394" s="174" t="s">
        <v>33</v>
      </c>
      <c r="J394" s="2" t="s">
        <v>3255</v>
      </c>
      <c r="K394" s="177" t="s">
        <v>3022</v>
      </c>
      <c r="L394" s="177" t="s">
        <v>3411</v>
      </c>
      <c r="M394" s="1">
        <v>45182</v>
      </c>
      <c r="N394" s="1">
        <v>45201</v>
      </c>
      <c r="O394" s="171" t="s">
        <v>45</v>
      </c>
      <c r="P394" s="178">
        <v>27000</v>
      </c>
      <c r="Q394" s="179"/>
      <c r="R394" s="217">
        <v>4.5999999999999996</v>
      </c>
      <c r="S394" s="218">
        <f t="shared" si="16"/>
        <v>0.91999999999999993</v>
      </c>
      <c r="T394" s="180">
        <v>20</v>
      </c>
      <c r="U394" s="181">
        <v>26</v>
      </c>
      <c r="V394" s="181">
        <v>0</v>
      </c>
      <c r="W394" s="181">
        <v>0</v>
      </c>
      <c r="X394" s="182">
        <f t="shared" si="17"/>
        <v>26</v>
      </c>
      <c r="Y394" s="3">
        <v>30</v>
      </c>
      <c r="Z394" s="3" t="s">
        <v>2780</v>
      </c>
      <c r="AA394" s="2" t="s">
        <v>977</v>
      </c>
      <c r="AB394" s="254" t="s">
        <v>3412</v>
      </c>
    </row>
    <row r="395" spans="1:28" ht="23.25" hidden="1" customHeight="1">
      <c r="A395" s="171" t="s">
        <v>2943</v>
      </c>
      <c r="B395" s="3">
        <v>2023</v>
      </c>
      <c r="D395" s="3" t="s">
        <v>52</v>
      </c>
      <c r="E395" s="3" t="s">
        <v>3413</v>
      </c>
      <c r="F395" s="264" t="s">
        <v>1179</v>
      </c>
      <c r="G395" s="173"/>
      <c r="H395" s="173"/>
      <c r="I395" s="174" t="s">
        <v>48</v>
      </c>
      <c r="J395" s="2" t="s">
        <v>3195</v>
      </c>
      <c r="K395" s="177" t="s">
        <v>3022</v>
      </c>
      <c r="L395" s="177" t="s">
        <v>1531</v>
      </c>
      <c r="M395" s="1">
        <v>45187</v>
      </c>
      <c r="N395" s="1">
        <v>45191</v>
      </c>
      <c r="O395" s="171" t="s">
        <v>45</v>
      </c>
      <c r="P395" s="257">
        <v>6000</v>
      </c>
      <c r="Q395" s="179"/>
      <c r="R395" s="217">
        <v>5</v>
      </c>
      <c r="S395" s="218">
        <f t="shared" si="16"/>
        <v>1</v>
      </c>
      <c r="T395" s="180">
        <v>40</v>
      </c>
      <c r="U395" s="181">
        <v>0</v>
      </c>
      <c r="V395" s="181">
        <v>0</v>
      </c>
      <c r="W395" s="181">
        <v>43</v>
      </c>
      <c r="X395" s="182">
        <f t="shared" si="17"/>
        <v>43</v>
      </c>
      <c r="Y395" s="3">
        <v>12</v>
      </c>
      <c r="Z395" s="3" t="s">
        <v>2784</v>
      </c>
      <c r="AA395" s="189" t="s">
        <v>1181</v>
      </c>
      <c r="AB395" s="252" t="s">
        <v>3414</v>
      </c>
    </row>
    <row r="396" spans="1:28" ht="23.25" hidden="1" customHeight="1">
      <c r="A396" s="171" t="s">
        <v>2943</v>
      </c>
      <c r="B396" s="3">
        <v>2023</v>
      </c>
      <c r="D396" s="3" t="s">
        <v>52</v>
      </c>
      <c r="E396" s="3" t="s">
        <v>1533</v>
      </c>
      <c r="F396" s="255" t="s">
        <v>1534</v>
      </c>
      <c r="G396" s="173"/>
      <c r="H396" s="173"/>
      <c r="I396" s="174" t="s">
        <v>33</v>
      </c>
      <c r="J396" s="2" t="s">
        <v>3199</v>
      </c>
      <c r="K396" s="177" t="s">
        <v>3022</v>
      </c>
      <c r="L396" s="177" t="s">
        <v>1535</v>
      </c>
      <c r="M396" s="1">
        <v>45195</v>
      </c>
      <c r="N396" s="1">
        <v>45197</v>
      </c>
      <c r="O396" s="171" t="s">
        <v>45</v>
      </c>
      <c r="P396" s="178">
        <v>18534.060000000001</v>
      </c>
      <c r="Q396" s="179"/>
      <c r="R396" s="217">
        <v>4.8</v>
      </c>
      <c r="S396" s="218">
        <f t="shared" si="16"/>
        <v>0.96</v>
      </c>
      <c r="T396" s="180">
        <v>20</v>
      </c>
      <c r="U396" s="181">
        <v>11</v>
      </c>
      <c r="V396" s="181">
        <v>0</v>
      </c>
      <c r="W396" s="181">
        <v>0</v>
      </c>
      <c r="X396" s="182">
        <f t="shared" si="17"/>
        <v>11</v>
      </c>
      <c r="Y396" s="3">
        <v>24</v>
      </c>
      <c r="Z396" s="3" t="s">
        <v>3043</v>
      </c>
      <c r="AA396" s="2" t="s">
        <v>1350</v>
      </c>
      <c r="AB396" s="252" t="s">
        <v>3415</v>
      </c>
    </row>
    <row r="397" spans="1:28" ht="23.25" hidden="1" customHeight="1">
      <c r="A397" s="261" t="s">
        <v>2943</v>
      </c>
      <c r="B397" s="3">
        <v>2023</v>
      </c>
      <c r="D397" s="251" t="s">
        <v>52</v>
      </c>
      <c r="E397" s="3" t="s">
        <v>1347</v>
      </c>
      <c r="F397" s="232" t="s">
        <v>1537</v>
      </c>
      <c r="G397" s="173"/>
      <c r="H397" s="173"/>
      <c r="I397" s="174" t="s">
        <v>33</v>
      </c>
      <c r="J397" s="2" t="s">
        <v>3199</v>
      </c>
      <c r="K397" s="177" t="s">
        <v>3022</v>
      </c>
      <c r="L397" s="177" t="s">
        <v>3416</v>
      </c>
      <c r="M397" s="1">
        <v>45201</v>
      </c>
      <c r="N397" s="1">
        <v>45203</v>
      </c>
      <c r="O397" s="171" t="s">
        <v>45</v>
      </c>
      <c r="P397" s="178">
        <v>18534.060000000001</v>
      </c>
      <c r="Q397" s="179"/>
      <c r="R397" s="217">
        <v>5</v>
      </c>
      <c r="S397" s="218">
        <f t="shared" si="16"/>
        <v>1</v>
      </c>
      <c r="T397" s="180">
        <v>20</v>
      </c>
      <c r="U397" s="181">
        <v>11</v>
      </c>
      <c r="V397" s="181">
        <v>0</v>
      </c>
      <c r="W397" s="181">
        <v>0</v>
      </c>
      <c r="X397" s="182">
        <f t="shared" si="17"/>
        <v>11</v>
      </c>
      <c r="Y397" s="3">
        <v>24</v>
      </c>
      <c r="Z397" s="3" t="s">
        <v>2780</v>
      </c>
      <c r="AB397" s="253" t="s">
        <v>3417</v>
      </c>
    </row>
    <row r="398" spans="1:28" ht="23.25" hidden="1" customHeight="1">
      <c r="A398" s="171" t="s">
        <v>2943</v>
      </c>
      <c r="B398" s="3">
        <v>2023</v>
      </c>
      <c r="D398" s="3" t="s">
        <v>52</v>
      </c>
      <c r="E398" s="3" t="s">
        <v>1541</v>
      </c>
      <c r="F398" s="232" t="s">
        <v>3418</v>
      </c>
      <c r="G398" s="173"/>
      <c r="H398" s="173"/>
      <c r="I398" s="174" t="s">
        <v>48</v>
      </c>
      <c r="J398" s="2" t="s">
        <v>3195</v>
      </c>
      <c r="K398" s="177" t="s">
        <v>3041</v>
      </c>
      <c r="L398" s="177" t="s">
        <v>1543</v>
      </c>
      <c r="M398" s="1">
        <v>45202</v>
      </c>
      <c r="N398" s="1">
        <v>45203</v>
      </c>
      <c r="O398" s="3" t="s">
        <v>41</v>
      </c>
      <c r="P398" s="178">
        <f>21161.18/3</f>
        <v>7053.7266666666665</v>
      </c>
      <c r="Q398" s="179"/>
      <c r="R398" s="217">
        <v>4.9000000000000004</v>
      </c>
      <c r="S398" s="218">
        <f t="shared" si="16"/>
        <v>0.98000000000000009</v>
      </c>
      <c r="T398" s="180">
        <v>0</v>
      </c>
      <c r="U398" s="181">
        <v>0</v>
      </c>
      <c r="V398" s="181">
        <v>0</v>
      </c>
      <c r="W398" s="181">
        <v>57</v>
      </c>
      <c r="X398" s="182">
        <f t="shared" si="17"/>
        <v>57</v>
      </c>
      <c r="Y398" s="3">
        <v>16</v>
      </c>
      <c r="Z398" s="3" t="s">
        <v>2784</v>
      </c>
      <c r="AA398" s="208" t="s">
        <v>3019</v>
      </c>
      <c r="AB398" s="253" t="s">
        <v>3419</v>
      </c>
    </row>
    <row r="399" spans="1:28" ht="23.25" hidden="1" customHeight="1">
      <c r="A399" s="171" t="s">
        <v>2943</v>
      </c>
      <c r="B399" s="3">
        <v>2023</v>
      </c>
      <c r="D399" s="3" t="s">
        <v>52</v>
      </c>
      <c r="E399" s="3" t="s">
        <v>1356</v>
      </c>
      <c r="F399" s="232" t="s">
        <v>1545</v>
      </c>
      <c r="G399" s="173"/>
      <c r="H399" s="173"/>
      <c r="I399" s="174" t="s">
        <v>33</v>
      </c>
      <c r="J399" s="2" t="s">
        <v>1358</v>
      </c>
      <c r="K399" s="177" t="s">
        <v>3022</v>
      </c>
      <c r="L399" s="177" t="s">
        <v>1546</v>
      </c>
      <c r="M399" s="1">
        <v>45204</v>
      </c>
      <c r="N399" s="1">
        <v>45204</v>
      </c>
      <c r="O399" s="3" t="s">
        <v>45</v>
      </c>
      <c r="P399" s="178">
        <f>28645/5</f>
        <v>5729</v>
      </c>
      <c r="Q399" s="179"/>
      <c r="R399" s="217">
        <v>5</v>
      </c>
      <c r="S399" s="218">
        <f t="shared" si="16"/>
        <v>1</v>
      </c>
      <c r="T399" s="180">
        <v>22</v>
      </c>
      <c r="U399" s="181">
        <v>22</v>
      </c>
      <c r="V399" s="181">
        <v>0</v>
      </c>
      <c r="W399" s="181">
        <v>0</v>
      </c>
      <c r="X399" s="182">
        <f t="shared" si="17"/>
        <v>22</v>
      </c>
      <c r="Y399" s="3">
        <v>20</v>
      </c>
      <c r="Z399" s="3" t="s">
        <v>2780</v>
      </c>
      <c r="AA399" s="2" t="s">
        <v>1547</v>
      </c>
      <c r="AB399" s="253" t="s">
        <v>3420</v>
      </c>
    </row>
    <row r="400" spans="1:28" ht="23.25" hidden="1" customHeight="1">
      <c r="A400" s="171" t="s">
        <v>2943</v>
      </c>
      <c r="B400" s="3">
        <v>2023</v>
      </c>
      <c r="D400" s="3" t="s">
        <v>52</v>
      </c>
      <c r="E400" s="3" t="s">
        <v>1549</v>
      </c>
      <c r="F400" s="232" t="s">
        <v>1550</v>
      </c>
      <c r="G400" s="173"/>
      <c r="H400" s="173"/>
      <c r="I400" s="174" t="s">
        <v>33</v>
      </c>
      <c r="J400" s="2" t="s">
        <v>3204</v>
      </c>
      <c r="K400" s="177" t="s">
        <v>51</v>
      </c>
      <c r="L400" s="177" t="s">
        <v>1546</v>
      </c>
      <c r="M400" s="1">
        <v>45204</v>
      </c>
      <c r="N400" s="1">
        <v>45204</v>
      </c>
      <c r="O400" s="3" t="s">
        <v>45</v>
      </c>
      <c r="P400" s="178">
        <v>0</v>
      </c>
      <c r="Q400" s="179"/>
      <c r="R400" s="217">
        <v>4.9000000000000004</v>
      </c>
      <c r="S400" s="218">
        <f t="shared" si="16"/>
        <v>0.98000000000000009</v>
      </c>
      <c r="T400" s="180">
        <v>0</v>
      </c>
      <c r="U400" s="181">
        <v>176</v>
      </c>
      <c r="V400" s="181">
        <v>0</v>
      </c>
      <c r="W400" s="181">
        <v>0</v>
      </c>
      <c r="X400" s="182">
        <f t="shared" si="17"/>
        <v>176</v>
      </c>
      <c r="Y400" s="3">
        <v>2</v>
      </c>
      <c r="Z400" s="3" t="s">
        <v>2780</v>
      </c>
      <c r="AB400" s="253" t="s">
        <v>3421</v>
      </c>
    </row>
    <row r="401" spans="1:28" ht="23.25" hidden="1" customHeight="1">
      <c r="A401" s="197" t="s">
        <v>2943</v>
      </c>
      <c r="B401" s="195">
        <v>2023</v>
      </c>
      <c r="C401" s="195"/>
      <c r="D401" s="195" t="s">
        <v>52</v>
      </c>
      <c r="E401" s="193" t="s">
        <v>1552</v>
      </c>
      <c r="F401" s="265" t="s">
        <v>1553</v>
      </c>
      <c r="G401" s="265"/>
      <c r="H401" s="265"/>
      <c r="I401" s="266" t="s">
        <v>33</v>
      </c>
      <c r="J401" s="193" t="s">
        <v>3204</v>
      </c>
      <c r="K401" s="267" t="s">
        <v>3022</v>
      </c>
      <c r="L401" s="267" t="s">
        <v>3422</v>
      </c>
      <c r="M401" s="268">
        <v>45205</v>
      </c>
      <c r="N401" s="268">
        <v>45205</v>
      </c>
      <c r="O401" s="171" t="s">
        <v>45</v>
      </c>
      <c r="P401" s="269">
        <v>3200</v>
      </c>
      <c r="Q401" s="270"/>
      <c r="R401" s="228">
        <v>4.42</v>
      </c>
      <c r="S401" s="221">
        <v>0.88</v>
      </c>
      <c r="T401" s="220">
        <v>80</v>
      </c>
      <c r="U401" s="206">
        <v>56</v>
      </c>
      <c r="V401" s="206">
        <v>0</v>
      </c>
      <c r="W401" s="206">
        <v>0</v>
      </c>
      <c r="X401" s="182">
        <f t="shared" si="17"/>
        <v>56</v>
      </c>
      <c r="Y401" s="195">
        <v>4</v>
      </c>
      <c r="Z401" s="195" t="s">
        <v>3299</v>
      </c>
      <c r="AA401" s="193" t="s">
        <v>1555</v>
      </c>
      <c r="AB401" s="193"/>
    </row>
    <row r="402" spans="1:28" ht="23.25" hidden="1" customHeight="1">
      <c r="A402" s="171" t="s">
        <v>2943</v>
      </c>
      <c r="B402" s="3">
        <v>2023</v>
      </c>
      <c r="D402" s="3" t="s">
        <v>52</v>
      </c>
      <c r="E402" s="3" t="s">
        <v>1557</v>
      </c>
      <c r="F402" s="271" t="s">
        <v>1558</v>
      </c>
      <c r="G402" s="173"/>
      <c r="H402" s="173"/>
      <c r="I402" s="174" t="s">
        <v>44</v>
      </c>
      <c r="J402" s="2" t="s">
        <v>3195</v>
      </c>
      <c r="K402" s="177" t="s">
        <v>51</v>
      </c>
      <c r="L402" s="177" t="s">
        <v>3423</v>
      </c>
      <c r="M402" s="1">
        <v>45207</v>
      </c>
      <c r="N402" s="1">
        <v>45208</v>
      </c>
      <c r="O402" s="3" t="s">
        <v>41</v>
      </c>
      <c r="P402" s="178">
        <f>2760.19+2885.66</f>
        <v>5645.85</v>
      </c>
      <c r="Q402" s="179"/>
      <c r="R402" s="217">
        <v>4.8</v>
      </c>
      <c r="S402" s="218">
        <f t="shared" ref="S402:S410" si="18">R402/5</f>
        <v>0.96</v>
      </c>
      <c r="T402" s="180">
        <v>0</v>
      </c>
      <c r="U402" s="181">
        <v>0</v>
      </c>
      <c r="V402" s="181">
        <v>23</v>
      </c>
      <c r="W402" s="181">
        <v>0</v>
      </c>
      <c r="X402" s="182">
        <f t="shared" si="17"/>
        <v>23</v>
      </c>
      <c r="Y402" s="3">
        <v>8</v>
      </c>
      <c r="Z402" s="3" t="s">
        <v>2780</v>
      </c>
      <c r="AA402" s="2" t="s">
        <v>3424</v>
      </c>
      <c r="AB402" s="252" t="s">
        <v>3425</v>
      </c>
    </row>
    <row r="403" spans="1:28" ht="23.25" hidden="1" customHeight="1">
      <c r="A403" s="171" t="s">
        <v>2943</v>
      </c>
      <c r="B403" s="3">
        <v>2023</v>
      </c>
      <c r="D403" s="3" t="s">
        <v>52</v>
      </c>
      <c r="E403" s="3" t="s">
        <v>1561</v>
      </c>
      <c r="F403" s="232" t="s">
        <v>1562</v>
      </c>
      <c r="G403" s="173"/>
      <c r="H403" s="173"/>
      <c r="I403" s="174" t="s">
        <v>48</v>
      </c>
      <c r="J403" s="2" t="s">
        <v>3195</v>
      </c>
      <c r="K403" s="177" t="s">
        <v>3041</v>
      </c>
      <c r="L403" s="177" t="s">
        <v>3426</v>
      </c>
      <c r="M403" s="1">
        <v>45209</v>
      </c>
      <c r="N403" s="1">
        <v>45209</v>
      </c>
      <c r="O403" s="3" t="s">
        <v>41</v>
      </c>
      <c r="P403" s="257">
        <v>500</v>
      </c>
      <c r="Q403" s="179"/>
      <c r="R403" s="217">
        <v>5</v>
      </c>
      <c r="S403" s="218">
        <f t="shared" si="18"/>
        <v>1</v>
      </c>
      <c r="T403" s="180">
        <v>0</v>
      </c>
      <c r="U403" s="181">
        <v>0</v>
      </c>
      <c r="V403" s="181">
        <v>0</v>
      </c>
      <c r="W403" s="181">
        <v>39</v>
      </c>
      <c r="X403" s="182">
        <f t="shared" si="17"/>
        <v>39</v>
      </c>
      <c r="Y403" s="3">
        <v>1</v>
      </c>
      <c r="Z403" s="3" t="s">
        <v>2784</v>
      </c>
      <c r="AA403" s="2" t="s">
        <v>680</v>
      </c>
    </row>
    <row r="404" spans="1:28" ht="23.25" hidden="1" customHeight="1">
      <c r="A404" s="171" t="s">
        <v>2943</v>
      </c>
      <c r="B404" s="3">
        <v>2023</v>
      </c>
      <c r="D404" s="3" t="s">
        <v>52</v>
      </c>
      <c r="E404" s="3" t="s">
        <v>1565</v>
      </c>
      <c r="F404" s="232" t="s">
        <v>1566</v>
      </c>
      <c r="G404" s="173"/>
      <c r="H404" s="173"/>
      <c r="I404" s="174" t="s">
        <v>33</v>
      </c>
      <c r="J404" s="2" t="s">
        <v>3235</v>
      </c>
      <c r="K404" s="177" t="s">
        <v>3022</v>
      </c>
      <c r="L404" s="1">
        <v>45209</v>
      </c>
      <c r="M404" s="1">
        <v>45209</v>
      </c>
      <c r="N404" s="1">
        <v>45209</v>
      </c>
      <c r="O404" s="3" t="s">
        <v>41</v>
      </c>
      <c r="P404" s="178">
        <v>0</v>
      </c>
      <c r="Q404" s="179"/>
      <c r="R404" s="217">
        <v>4.9000000000000004</v>
      </c>
      <c r="S404" s="218">
        <f t="shared" si="18"/>
        <v>0.98000000000000009</v>
      </c>
      <c r="T404" s="180">
        <v>0</v>
      </c>
      <c r="U404" s="181">
        <v>47</v>
      </c>
      <c r="V404" s="181">
        <v>0</v>
      </c>
      <c r="W404" s="181">
        <v>0</v>
      </c>
      <c r="X404" s="182">
        <f t="shared" si="17"/>
        <v>47</v>
      </c>
      <c r="Y404" s="3">
        <v>2</v>
      </c>
      <c r="Z404" s="3" t="s">
        <v>2780</v>
      </c>
      <c r="AB404" s="253" t="s">
        <v>3427</v>
      </c>
    </row>
    <row r="405" spans="1:28" ht="23.25" hidden="1" customHeight="1">
      <c r="A405" s="171" t="s">
        <v>2943</v>
      </c>
      <c r="B405" s="3">
        <v>2023</v>
      </c>
      <c r="D405" s="3" t="s">
        <v>52</v>
      </c>
      <c r="E405" s="3" t="s">
        <v>1541</v>
      </c>
      <c r="F405" s="232" t="s">
        <v>1568</v>
      </c>
      <c r="G405" s="173"/>
      <c r="H405" s="173"/>
      <c r="I405" s="174" t="s">
        <v>48</v>
      </c>
      <c r="J405" s="2" t="s">
        <v>3195</v>
      </c>
      <c r="K405" s="177" t="s">
        <v>3041</v>
      </c>
      <c r="L405" s="177" t="s">
        <v>1569</v>
      </c>
      <c r="M405" s="1">
        <v>45216</v>
      </c>
      <c r="N405" s="1">
        <v>45217</v>
      </c>
      <c r="O405" s="3" t="s">
        <v>41</v>
      </c>
      <c r="P405" s="178">
        <f>21161.18/3</f>
        <v>7053.7266666666665</v>
      </c>
      <c r="Q405" s="179"/>
      <c r="R405" s="217">
        <v>4.9000000000000004</v>
      </c>
      <c r="S405" s="218">
        <f t="shared" si="18"/>
        <v>0.98000000000000009</v>
      </c>
      <c r="T405" s="180">
        <v>0</v>
      </c>
      <c r="U405" s="181">
        <v>0</v>
      </c>
      <c r="V405" s="181">
        <v>0</v>
      </c>
      <c r="W405" s="181">
        <v>53</v>
      </c>
      <c r="X405" s="182">
        <f t="shared" si="17"/>
        <v>53</v>
      </c>
      <c r="Y405" s="3">
        <v>16</v>
      </c>
      <c r="Z405" s="3" t="s">
        <v>2784</v>
      </c>
      <c r="AA405" s="208" t="s">
        <v>3019</v>
      </c>
      <c r="AB405" s="2" t="s">
        <v>3428</v>
      </c>
    </row>
    <row r="406" spans="1:28" ht="23.25" hidden="1" customHeight="1">
      <c r="A406" s="171" t="s">
        <v>2943</v>
      </c>
      <c r="B406" s="3">
        <v>2023</v>
      </c>
      <c r="D406" s="3" t="s">
        <v>52</v>
      </c>
      <c r="E406" s="3" t="s">
        <v>1565</v>
      </c>
      <c r="F406" s="232" t="s">
        <v>1571</v>
      </c>
      <c r="G406" s="173"/>
      <c r="H406" s="173"/>
      <c r="I406" s="174" t="s">
        <v>33</v>
      </c>
      <c r="J406" s="2" t="s">
        <v>3235</v>
      </c>
      <c r="K406" s="177" t="s">
        <v>3022</v>
      </c>
      <c r="L406" s="1">
        <v>45216</v>
      </c>
      <c r="M406" s="1">
        <v>45216</v>
      </c>
      <c r="N406" s="1">
        <v>45216</v>
      </c>
      <c r="O406" s="3" t="s">
        <v>41</v>
      </c>
      <c r="P406" s="178">
        <v>0</v>
      </c>
      <c r="Q406" s="179"/>
      <c r="R406" s="217">
        <v>5</v>
      </c>
      <c r="S406" s="218">
        <f t="shared" si="18"/>
        <v>1</v>
      </c>
      <c r="T406" s="180">
        <v>0</v>
      </c>
      <c r="U406" s="181">
        <v>28</v>
      </c>
      <c r="V406" s="181">
        <v>0</v>
      </c>
      <c r="W406" s="181">
        <v>0</v>
      </c>
      <c r="X406" s="182">
        <f t="shared" si="17"/>
        <v>28</v>
      </c>
      <c r="Y406" s="3">
        <v>2</v>
      </c>
      <c r="Z406" s="3" t="s">
        <v>3043</v>
      </c>
      <c r="AA406" s="2" t="s">
        <v>3429</v>
      </c>
      <c r="AB406" s="252" t="s">
        <v>3430</v>
      </c>
    </row>
    <row r="407" spans="1:28" ht="23.25" hidden="1" customHeight="1">
      <c r="A407" s="171" t="s">
        <v>2943</v>
      </c>
      <c r="B407" s="3">
        <v>2023</v>
      </c>
      <c r="D407" s="3" t="s">
        <v>52</v>
      </c>
      <c r="E407" s="3" t="s">
        <v>1356</v>
      </c>
      <c r="F407" s="232" t="s">
        <v>1574</v>
      </c>
      <c r="G407" s="173"/>
      <c r="H407" s="173"/>
      <c r="I407" s="174" t="s">
        <v>33</v>
      </c>
      <c r="J407" s="2" t="s">
        <v>1358</v>
      </c>
      <c r="K407" s="177" t="s">
        <v>3022</v>
      </c>
      <c r="L407" s="177" t="s">
        <v>1575</v>
      </c>
      <c r="M407" s="1">
        <v>45217</v>
      </c>
      <c r="N407" s="1">
        <v>45217</v>
      </c>
      <c r="O407" s="171" t="s">
        <v>45</v>
      </c>
      <c r="P407" s="178">
        <f>28645/5</f>
        <v>5729</v>
      </c>
      <c r="Q407" s="179"/>
      <c r="R407" s="217">
        <v>4.4000000000000004</v>
      </c>
      <c r="S407" s="218">
        <f t="shared" si="18"/>
        <v>0.88000000000000012</v>
      </c>
      <c r="T407" s="180">
        <v>18</v>
      </c>
      <c r="U407" s="181">
        <v>18</v>
      </c>
      <c r="V407" s="181">
        <v>0</v>
      </c>
      <c r="W407" s="181">
        <v>0</v>
      </c>
      <c r="X407" s="182">
        <f t="shared" si="17"/>
        <v>18</v>
      </c>
      <c r="Y407" s="3">
        <v>3</v>
      </c>
      <c r="Z407" s="3" t="s">
        <v>3043</v>
      </c>
      <c r="AA407" s="2" t="s">
        <v>1547</v>
      </c>
      <c r="AB407" s="252" t="s">
        <v>3329</v>
      </c>
    </row>
    <row r="408" spans="1:28" ht="23.25" hidden="1" customHeight="1">
      <c r="A408" s="171" t="s">
        <v>2943</v>
      </c>
      <c r="B408" s="3">
        <v>2023</v>
      </c>
      <c r="D408" s="3" t="s">
        <v>52</v>
      </c>
      <c r="E408" s="3" t="s">
        <v>1541</v>
      </c>
      <c r="F408" s="232" t="s">
        <v>1577</v>
      </c>
      <c r="G408" s="173"/>
      <c r="H408" s="173"/>
      <c r="I408" s="174" t="s">
        <v>48</v>
      </c>
      <c r="J408" s="2" t="s">
        <v>3195</v>
      </c>
      <c r="K408" s="177" t="s">
        <v>3041</v>
      </c>
      <c r="L408" s="177" t="s">
        <v>1578</v>
      </c>
      <c r="M408" s="1">
        <v>45218</v>
      </c>
      <c r="N408" s="1">
        <v>45219</v>
      </c>
      <c r="O408" s="3" t="s">
        <v>41</v>
      </c>
      <c r="P408" s="178">
        <f>21161.18/3</f>
        <v>7053.7266666666665</v>
      </c>
      <c r="Q408" s="179"/>
      <c r="R408" s="217">
        <v>4.9000000000000004</v>
      </c>
      <c r="S408" s="218">
        <f t="shared" si="18"/>
        <v>0.98000000000000009</v>
      </c>
      <c r="T408" s="180">
        <v>0</v>
      </c>
      <c r="U408" s="181">
        <v>0</v>
      </c>
      <c r="V408" s="181">
        <v>0</v>
      </c>
      <c r="W408" s="181">
        <v>53</v>
      </c>
      <c r="X408" s="182">
        <f t="shared" si="17"/>
        <v>53</v>
      </c>
      <c r="Y408" s="3">
        <v>16</v>
      </c>
      <c r="Z408" s="3" t="s">
        <v>2784</v>
      </c>
      <c r="AA408" s="208" t="s">
        <v>3019</v>
      </c>
      <c r="AB408" s="2" t="s">
        <v>3428</v>
      </c>
    </row>
    <row r="409" spans="1:28" ht="23.25" hidden="1" customHeight="1">
      <c r="A409" s="171" t="s">
        <v>2943</v>
      </c>
      <c r="B409" s="3">
        <v>2023</v>
      </c>
      <c r="D409" s="3" t="s">
        <v>52</v>
      </c>
      <c r="E409" s="3" t="s">
        <v>1356</v>
      </c>
      <c r="F409" s="232" t="s">
        <v>1580</v>
      </c>
      <c r="G409" s="173"/>
      <c r="H409" s="173"/>
      <c r="I409" s="174" t="s">
        <v>33</v>
      </c>
      <c r="J409" s="2" t="s">
        <v>1358</v>
      </c>
      <c r="K409" s="177" t="s">
        <v>3022</v>
      </c>
      <c r="L409" s="177" t="s">
        <v>1581</v>
      </c>
      <c r="M409" s="1">
        <v>45218</v>
      </c>
      <c r="N409" s="1">
        <v>45218</v>
      </c>
      <c r="O409" s="171" t="s">
        <v>45</v>
      </c>
      <c r="P409" s="178">
        <f>28645/5</f>
        <v>5729</v>
      </c>
      <c r="Q409" s="179"/>
      <c r="R409" s="217">
        <v>4.4000000000000004</v>
      </c>
      <c r="S409" s="218">
        <f t="shared" si="18"/>
        <v>0.88000000000000012</v>
      </c>
      <c r="T409" s="180">
        <v>10</v>
      </c>
      <c r="U409" s="181">
        <v>10</v>
      </c>
      <c r="V409" s="181">
        <v>0</v>
      </c>
      <c r="W409" s="181">
        <v>0</v>
      </c>
      <c r="X409" s="182">
        <f t="shared" si="17"/>
        <v>10</v>
      </c>
      <c r="Y409" s="3">
        <v>3</v>
      </c>
      <c r="Z409" s="3" t="s">
        <v>3043</v>
      </c>
      <c r="AA409" s="2" t="s">
        <v>1547</v>
      </c>
      <c r="AB409" s="252" t="s">
        <v>3431</v>
      </c>
    </row>
    <row r="410" spans="1:28" ht="23.25" hidden="1" customHeight="1">
      <c r="A410" s="171" t="s">
        <v>2943</v>
      </c>
      <c r="B410" s="3">
        <v>2023</v>
      </c>
      <c r="D410" s="3" t="s">
        <v>52</v>
      </c>
      <c r="E410" s="3" t="s">
        <v>1356</v>
      </c>
      <c r="F410" s="232" t="s">
        <v>1584</v>
      </c>
      <c r="G410" s="173"/>
      <c r="H410" s="173"/>
      <c r="I410" s="174" t="s">
        <v>33</v>
      </c>
      <c r="J410" s="2" t="s">
        <v>1358</v>
      </c>
      <c r="K410" s="177" t="s">
        <v>3022</v>
      </c>
      <c r="L410" s="177" t="s">
        <v>1585</v>
      </c>
      <c r="M410" s="1">
        <v>45219</v>
      </c>
      <c r="N410" s="1">
        <v>45219</v>
      </c>
      <c r="O410" s="171" t="s">
        <v>45</v>
      </c>
      <c r="P410" s="178">
        <f>28645/5</f>
        <v>5729</v>
      </c>
      <c r="Q410" s="179"/>
      <c r="R410" s="217">
        <v>4.4000000000000004</v>
      </c>
      <c r="S410" s="218">
        <f t="shared" si="18"/>
        <v>0.88000000000000012</v>
      </c>
      <c r="T410" s="180">
        <v>34</v>
      </c>
      <c r="U410" s="181">
        <v>34</v>
      </c>
      <c r="V410" s="181">
        <v>0</v>
      </c>
      <c r="W410" s="181">
        <v>0</v>
      </c>
      <c r="X410" s="182">
        <f t="shared" si="17"/>
        <v>34</v>
      </c>
      <c r="Y410" s="3">
        <v>3</v>
      </c>
      <c r="Z410" s="3" t="s">
        <v>3043</v>
      </c>
      <c r="AA410" s="2" t="s">
        <v>1547</v>
      </c>
      <c r="AB410" s="252" t="s">
        <v>3431</v>
      </c>
    </row>
    <row r="411" spans="1:28" ht="23.25" hidden="1" customHeight="1">
      <c r="A411" s="171" t="s">
        <v>2943</v>
      </c>
      <c r="B411" s="3">
        <v>2023</v>
      </c>
      <c r="D411" s="3" t="s">
        <v>52</v>
      </c>
      <c r="E411" s="3" t="s">
        <v>1587</v>
      </c>
      <c r="F411" s="247" t="s">
        <v>1588</v>
      </c>
      <c r="G411" s="173"/>
      <c r="H411" s="173"/>
      <c r="I411" s="174" t="s">
        <v>33</v>
      </c>
      <c r="J411" s="2" t="s">
        <v>3204</v>
      </c>
      <c r="K411" s="177" t="s">
        <v>3022</v>
      </c>
      <c r="L411" s="177" t="s">
        <v>1589</v>
      </c>
      <c r="M411" s="1">
        <v>45222</v>
      </c>
      <c r="N411" s="1">
        <v>45226</v>
      </c>
      <c r="Q411" s="179"/>
      <c r="R411" s="217"/>
      <c r="S411" s="218"/>
      <c r="T411" s="180"/>
      <c r="U411" s="181"/>
      <c r="V411" s="181"/>
      <c r="W411" s="181"/>
      <c r="X411" s="181">
        <f t="shared" si="17"/>
        <v>0</v>
      </c>
      <c r="Y411" s="3"/>
      <c r="Z411" s="3"/>
      <c r="AB411" s="249"/>
    </row>
    <row r="412" spans="1:28" ht="23.25" hidden="1" customHeight="1">
      <c r="A412" s="171" t="s">
        <v>2943</v>
      </c>
      <c r="B412" s="3">
        <v>2023</v>
      </c>
      <c r="D412" s="3" t="s">
        <v>52</v>
      </c>
      <c r="E412" s="3" t="s">
        <v>1591</v>
      </c>
      <c r="F412" s="232" t="s">
        <v>1592</v>
      </c>
      <c r="G412" s="173"/>
      <c r="H412" s="173"/>
      <c r="I412" s="174" t="s">
        <v>33</v>
      </c>
      <c r="J412" s="2" t="s">
        <v>3203</v>
      </c>
      <c r="K412" s="177" t="s">
        <v>3022</v>
      </c>
      <c r="L412" s="177" t="s">
        <v>1593</v>
      </c>
      <c r="M412" s="1">
        <v>45223</v>
      </c>
      <c r="N412" s="1">
        <v>45223</v>
      </c>
      <c r="O412" s="3" t="s">
        <v>45</v>
      </c>
      <c r="P412" s="178">
        <v>0</v>
      </c>
      <c r="Q412" s="179"/>
      <c r="R412" s="217">
        <v>5</v>
      </c>
      <c r="S412" s="218">
        <f t="shared" ref="S412:S417" si="19">R412/5</f>
        <v>1</v>
      </c>
      <c r="T412" s="180">
        <v>0</v>
      </c>
      <c r="U412" s="181">
        <v>15</v>
      </c>
      <c r="V412" s="181">
        <v>0</v>
      </c>
      <c r="W412" s="181">
        <v>0</v>
      </c>
      <c r="X412" s="182">
        <f t="shared" si="17"/>
        <v>15</v>
      </c>
      <c r="Y412" s="3">
        <v>2</v>
      </c>
      <c r="Z412" s="3" t="s">
        <v>3043</v>
      </c>
      <c r="AA412" s="2" t="s">
        <v>1594</v>
      </c>
      <c r="AB412" s="252" t="s">
        <v>3432</v>
      </c>
    </row>
    <row r="413" spans="1:28" ht="23.25" hidden="1" customHeight="1">
      <c r="A413" s="171" t="s">
        <v>2943</v>
      </c>
      <c r="B413" s="3">
        <v>2023</v>
      </c>
      <c r="D413" s="3" t="s">
        <v>52</v>
      </c>
      <c r="E413" s="250" t="s">
        <v>3433</v>
      </c>
      <c r="F413" s="232" t="s">
        <v>1597</v>
      </c>
      <c r="G413" s="173"/>
      <c r="H413" s="173"/>
      <c r="I413" s="174" t="s">
        <v>33</v>
      </c>
      <c r="J413" s="2" t="s">
        <v>3204</v>
      </c>
      <c r="K413" s="177" t="s">
        <v>3022</v>
      </c>
      <c r="L413" s="177" t="s">
        <v>1598</v>
      </c>
      <c r="M413" s="1">
        <v>45224</v>
      </c>
      <c r="N413" s="1">
        <v>45224</v>
      </c>
      <c r="O413" s="3" t="s">
        <v>41</v>
      </c>
      <c r="Q413" s="179"/>
      <c r="R413" s="217">
        <v>4.9000000000000004</v>
      </c>
      <c r="S413" s="218">
        <f t="shared" si="19"/>
        <v>0.98000000000000009</v>
      </c>
      <c r="T413" s="180"/>
      <c r="U413" s="181">
        <v>21</v>
      </c>
      <c r="V413" s="181"/>
      <c r="W413" s="181"/>
      <c r="X413" s="182">
        <f t="shared" si="17"/>
        <v>21</v>
      </c>
      <c r="Y413" s="3">
        <v>3</v>
      </c>
      <c r="Z413" s="3" t="s">
        <v>3299</v>
      </c>
      <c r="AB413" s="249"/>
    </row>
    <row r="414" spans="1:28" ht="23.25" hidden="1" customHeight="1">
      <c r="A414" s="171" t="s">
        <v>2943</v>
      </c>
      <c r="B414" s="3">
        <v>2023</v>
      </c>
      <c r="D414" s="3" t="s">
        <v>52</v>
      </c>
      <c r="E414" s="3" t="s">
        <v>1541</v>
      </c>
      <c r="F414" s="232" t="s">
        <v>1600</v>
      </c>
      <c r="G414" s="173"/>
      <c r="H414" s="173"/>
      <c r="I414" s="174" t="s">
        <v>48</v>
      </c>
      <c r="J414" s="2" t="s">
        <v>3195</v>
      </c>
      <c r="K414" s="177" t="s">
        <v>3041</v>
      </c>
      <c r="L414" s="177" t="s">
        <v>1601</v>
      </c>
      <c r="M414" s="1">
        <v>45225</v>
      </c>
      <c r="N414" s="1">
        <v>45226</v>
      </c>
      <c r="O414" s="3" t="s">
        <v>41</v>
      </c>
      <c r="P414" s="178">
        <f>25649.92/4</f>
        <v>6412.48</v>
      </c>
      <c r="Q414" s="179"/>
      <c r="R414" s="217">
        <v>4.7</v>
      </c>
      <c r="S414" s="218">
        <f t="shared" si="19"/>
        <v>0.94000000000000006</v>
      </c>
      <c r="T414" s="180">
        <v>0</v>
      </c>
      <c r="U414" s="181">
        <v>0</v>
      </c>
      <c r="V414" s="181">
        <v>0</v>
      </c>
      <c r="W414" s="181">
        <v>17</v>
      </c>
      <c r="X414" s="182">
        <f t="shared" si="17"/>
        <v>17</v>
      </c>
      <c r="Y414" s="3">
        <v>16</v>
      </c>
      <c r="Z414" s="3" t="s">
        <v>2784</v>
      </c>
      <c r="AA414" s="208" t="s">
        <v>3019</v>
      </c>
      <c r="AB414" s="2" t="s">
        <v>3428</v>
      </c>
    </row>
    <row r="415" spans="1:28" ht="23.25" hidden="1" customHeight="1">
      <c r="A415" s="171" t="s">
        <v>2943</v>
      </c>
      <c r="B415" s="3">
        <v>2023</v>
      </c>
      <c r="D415" s="3" t="s">
        <v>52</v>
      </c>
      <c r="E415" s="3" t="s">
        <v>1356</v>
      </c>
      <c r="F415" s="232" t="s">
        <v>1603</v>
      </c>
      <c r="G415" s="173"/>
      <c r="H415" s="173"/>
      <c r="I415" s="174" t="s">
        <v>33</v>
      </c>
      <c r="J415" s="2" t="s">
        <v>1358</v>
      </c>
      <c r="K415" s="177" t="s">
        <v>3022</v>
      </c>
      <c r="L415" s="177" t="s">
        <v>1601</v>
      </c>
      <c r="M415" s="1">
        <v>45225</v>
      </c>
      <c r="N415" s="1">
        <v>45226</v>
      </c>
      <c r="O415" s="171" t="s">
        <v>45</v>
      </c>
      <c r="P415" s="178">
        <f>28645/5</f>
        <v>5729</v>
      </c>
      <c r="Q415" s="179"/>
      <c r="R415" s="217">
        <v>5</v>
      </c>
      <c r="S415" s="218">
        <f t="shared" si="19"/>
        <v>1</v>
      </c>
      <c r="T415" s="180">
        <v>13</v>
      </c>
      <c r="U415" s="181">
        <v>13</v>
      </c>
      <c r="V415" s="181">
        <v>0</v>
      </c>
      <c r="W415" s="181">
        <v>0</v>
      </c>
      <c r="X415" s="182">
        <f t="shared" si="17"/>
        <v>13</v>
      </c>
      <c r="Y415" s="3">
        <v>3</v>
      </c>
      <c r="Z415" s="3" t="s">
        <v>3043</v>
      </c>
      <c r="AA415" s="2" t="s">
        <v>1547</v>
      </c>
      <c r="AB415" s="252" t="s">
        <v>3420</v>
      </c>
    </row>
    <row r="416" spans="1:28" ht="23.25" hidden="1" customHeight="1">
      <c r="A416" s="171" t="s">
        <v>2943</v>
      </c>
      <c r="B416" s="3">
        <v>2023</v>
      </c>
      <c r="D416" s="3" t="s">
        <v>52</v>
      </c>
      <c r="E416" s="3" t="s">
        <v>1399</v>
      </c>
      <c r="F416" s="232" t="s">
        <v>1609</v>
      </c>
      <c r="G416" s="173"/>
      <c r="H416" s="173"/>
      <c r="I416" s="174" t="s">
        <v>33</v>
      </c>
      <c r="J416" s="2" t="s">
        <v>3235</v>
      </c>
      <c r="K416" s="177" t="s">
        <v>3022</v>
      </c>
      <c r="L416" s="177" t="s">
        <v>3434</v>
      </c>
      <c r="M416" s="1">
        <v>45230</v>
      </c>
      <c r="N416" s="1">
        <v>45247</v>
      </c>
      <c r="O416" s="171" t="s">
        <v>45</v>
      </c>
      <c r="P416" s="178">
        <v>16400</v>
      </c>
      <c r="Q416" s="179"/>
      <c r="R416" s="217">
        <v>5</v>
      </c>
      <c r="S416" s="218">
        <f t="shared" si="19"/>
        <v>1</v>
      </c>
      <c r="T416" s="180">
        <v>5</v>
      </c>
      <c r="U416" s="181">
        <v>5</v>
      </c>
      <c r="V416" s="181">
        <v>0</v>
      </c>
      <c r="W416" s="181">
        <v>0</v>
      </c>
      <c r="X416" s="182">
        <f t="shared" si="17"/>
        <v>5</v>
      </c>
      <c r="Y416" s="3">
        <v>16</v>
      </c>
      <c r="Z416" s="3" t="s">
        <v>3043</v>
      </c>
      <c r="AA416" s="2" t="s">
        <v>1611</v>
      </c>
      <c r="AB416" s="249"/>
    </row>
    <row r="417" spans="1:28" ht="23.25" hidden="1" customHeight="1">
      <c r="A417" s="171" t="s">
        <v>2943</v>
      </c>
      <c r="B417" s="3">
        <v>2023</v>
      </c>
      <c r="D417" s="3" t="s">
        <v>52</v>
      </c>
      <c r="E417" s="3" t="s">
        <v>1565</v>
      </c>
      <c r="F417" s="232" t="s">
        <v>1613</v>
      </c>
      <c r="G417" s="173"/>
      <c r="H417" s="173"/>
      <c r="I417" s="174" t="s">
        <v>33</v>
      </c>
      <c r="J417" s="2" t="s">
        <v>3235</v>
      </c>
      <c r="K417" s="177" t="s">
        <v>3022</v>
      </c>
      <c r="L417" s="1">
        <v>45230</v>
      </c>
      <c r="M417" s="1">
        <v>45230</v>
      </c>
      <c r="N417" s="1">
        <v>45230</v>
      </c>
      <c r="O417" s="3" t="s">
        <v>41</v>
      </c>
      <c r="P417" s="178">
        <v>0</v>
      </c>
      <c r="Q417" s="179"/>
      <c r="R417" s="217">
        <v>4.9000000000000004</v>
      </c>
      <c r="S417" s="218">
        <f t="shared" si="19"/>
        <v>0.98000000000000009</v>
      </c>
      <c r="T417" s="180">
        <v>0</v>
      </c>
      <c r="U417" s="181">
        <v>49</v>
      </c>
      <c r="V417" s="181">
        <v>0</v>
      </c>
      <c r="W417" s="181">
        <v>0</v>
      </c>
      <c r="X417" s="182">
        <f t="shared" si="17"/>
        <v>49</v>
      </c>
      <c r="Y417" s="3">
        <v>2</v>
      </c>
      <c r="Z417" s="3" t="s">
        <v>3043</v>
      </c>
      <c r="AA417" s="2" t="s">
        <v>3435</v>
      </c>
      <c r="AB417" s="252" t="s">
        <v>3436</v>
      </c>
    </row>
    <row r="418" spans="1:28" ht="23.25" hidden="1" customHeight="1">
      <c r="A418" s="171" t="s">
        <v>2943</v>
      </c>
      <c r="B418" s="3">
        <v>2023</v>
      </c>
      <c r="D418" s="171" t="s">
        <v>50</v>
      </c>
      <c r="E418" s="3" t="s">
        <v>1518</v>
      </c>
      <c r="F418" s="255" t="s">
        <v>3437</v>
      </c>
      <c r="G418" s="173"/>
      <c r="H418" s="173"/>
      <c r="I418" s="174" t="s">
        <v>44</v>
      </c>
      <c r="J418" s="2" t="s">
        <v>3195</v>
      </c>
      <c r="K418" s="177" t="s">
        <v>3041</v>
      </c>
      <c r="L418" s="177" t="s">
        <v>3438</v>
      </c>
      <c r="M418" s="1">
        <v>45236</v>
      </c>
      <c r="N418" s="1">
        <v>45241</v>
      </c>
      <c r="O418" s="3" t="s">
        <v>41</v>
      </c>
      <c r="Q418" s="179"/>
      <c r="R418" s="217"/>
      <c r="S418" s="218"/>
      <c r="T418" s="180">
        <v>40</v>
      </c>
      <c r="U418" s="181"/>
      <c r="V418" s="181"/>
      <c r="W418" s="181"/>
      <c r="X418" s="181">
        <f t="shared" si="17"/>
        <v>0</v>
      </c>
      <c r="Y418" s="3">
        <v>20</v>
      </c>
      <c r="Z418" s="3" t="s">
        <v>3043</v>
      </c>
      <c r="AA418" s="189" t="s">
        <v>3355</v>
      </c>
      <c r="AB418" s="2" t="s">
        <v>3283</v>
      </c>
    </row>
    <row r="419" spans="1:28" ht="23.25" hidden="1" customHeight="1">
      <c r="A419" s="171" t="s">
        <v>2943</v>
      </c>
      <c r="B419" s="3">
        <v>2023</v>
      </c>
      <c r="D419" s="3" t="s">
        <v>52</v>
      </c>
      <c r="E419" s="3" t="s">
        <v>1565</v>
      </c>
      <c r="F419" s="232" t="s">
        <v>1616</v>
      </c>
      <c r="G419" s="173"/>
      <c r="H419" s="173"/>
      <c r="I419" s="174" t="s">
        <v>33</v>
      </c>
      <c r="J419" s="2" t="s">
        <v>3235</v>
      </c>
      <c r="K419" s="177" t="s">
        <v>3022</v>
      </c>
      <c r="L419" s="177" t="s">
        <v>1617</v>
      </c>
      <c r="M419" s="1">
        <v>45237</v>
      </c>
      <c r="N419" s="1">
        <v>45237</v>
      </c>
      <c r="O419" s="3" t="s">
        <v>41</v>
      </c>
      <c r="P419" s="178">
        <v>0</v>
      </c>
      <c r="Q419" s="179"/>
      <c r="R419" s="217">
        <v>4.8</v>
      </c>
      <c r="S419" s="218">
        <f t="shared" ref="S419:S425" si="20">R419/5</f>
        <v>0.96</v>
      </c>
      <c r="T419" s="180">
        <v>0</v>
      </c>
      <c r="U419" s="181">
        <v>22</v>
      </c>
      <c r="V419" s="181">
        <v>0</v>
      </c>
      <c r="W419" s="181">
        <v>0</v>
      </c>
      <c r="X419" s="182">
        <f t="shared" si="17"/>
        <v>22</v>
      </c>
      <c r="Y419" s="3">
        <v>2</v>
      </c>
      <c r="Z419" s="3" t="s">
        <v>2780</v>
      </c>
      <c r="AA419" s="2" t="s">
        <v>492</v>
      </c>
      <c r="AB419" s="252" t="s">
        <v>3439</v>
      </c>
    </row>
    <row r="420" spans="1:28" ht="23.25" hidden="1" customHeight="1">
      <c r="A420" s="171" t="s">
        <v>2943</v>
      </c>
      <c r="B420" s="3">
        <v>2023</v>
      </c>
      <c r="D420" s="3" t="s">
        <v>52</v>
      </c>
      <c r="E420" s="3" t="s">
        <v>1619</v>
      </c>
      <c r="F420" s="232" t="s">
        <v>1620</v>
      </c>
      <c r="G420" s="173"/>
      <c r="H420" s="173"/>
      <c r="I420" s="174" t="s">
        <v>48</v>
      </c>
      <c r="J420" s="2" t="s">
        <v>3242</v>
      </c>
      <c r="K420" s="177" t="s">
        <v>3041</v>
      </c>
      <c r="L420" s="177" t="s">
        <v>3440</v>
      </c>
      <c r="M420" s="1">
        <v>45239</v>
      </c>
      <c r="N420" s="1">
        <v>45240</v>
      </c>
      <c r="O420" s="3" t="s">
        <v>45</v>
      </c>
      <c r="P420" s="178">
        <v>0</v>
      </c>
      <c r="Q420" s="179"/>
      <c r="R420" s="217">
        <v>4.9000000000000004</v>
      </c>
      <c r="S420" s="218">
        <f t="shared" si="20"/>
        <v>0.98000000000000009</v>
      </c>
      <c r="T420" s="180">
        <v>170</v>
      </c>
      <c r="U420" s="181">
        <v>39</v>
      </c>
      <c r="V420" s="181">
        <v>26</v>
      </c>
      <c r="W420" s="181">
        <v>26</v>
      </c>
      <c r="X420" s="182">
        <f t="shared" si="17"/>
        <v>91</v>
      </c>
      <c r="Y420" s="3">
        <v>8</v>
      </c>
      <c r="Z420" s="3" t="s">
        <v>3043</v>
      </c>
      <c r="AA420" s="2" t="s">
        <v>492</v>
      </c>
      <c r="AB420" s="252" t="s">
        <v>3441</v>
      </c>
    </row>
    <row r="421" spans="1:28" ht="23.25" hidden="1" customHeight="1">
      <c r="A421" s="171" t="s">
        <v>2943</v>
      </c>
      <c r="B421" s="3">
        <v>2023</v>
      </c>
      <c r="D421" s="3" t="s">
        <v>52</v>
      </c>
      <c r="E421" s="3" t="s">
        <v>1541</v>
      </c>
      <c r="F421" s="232" t="s">
        <v>1623</v>
      </c>
      <c r="G421" s="173"/>
      <c r="H421" s="173"/>
      <c r="I421" s="174" t="s">
        <v>48</v>
      </c>
      <c r="J421" s="2" t="s">
        <v>3195</v>
      </c>
      <c r="K421" s="177" t="s">
        <v>3041</v>
      </c>
      <c r="L421" s="177" t="s">
        <v>1624</v>
      </c>
      <c r="M421" s="1">
        <v>45243</v>
      </c>
      <c r="N421" s="1">
        <v>45244</v>
      </c>
      <c r="O421" s="3" t="s">
        <v>41</v>
      </c>
      <c r="P421" s="178">
        <f>25649.92/4</f>
        <v>6412.48</v>
      </c>
      <c r="Q421" s="179"/>
      <c r="R421" s="217">
        <v>4.9000000000000004</v>
      </c>
      <c r="S421" s="218">
        <f t="shared" si="20"/>
        <v>0.98000000000000009</v>
      </c>
      <c r="T421" s="180">
        <v>0</v>
      </c>
      <c r="U421" s="181">
        <v>0</v>
      </c>
      <c r="V421" s="181">
        <v>0</v>
      </c>
      <c r="W421" s="181">
        <v>5</v>
      </c>
      <c r="X421" s="182">
        <f t="shared" si="17"/>
        <v>5</v>
      </c>
      <c r="Y421" s="3">
        <v>16</v>
      </c>
      <c r="Z421" s="3" t="s">
        <v>2784</v>
      </c>
      <c r="AA421" s="208" t="s">
        <v>3019</v>
      </c>
      <c r="AB421" s="2" t="s">
        <v>3428</v>
      </c>
    </row>
    <row r="422" spans="1:28" ht="23.25" hidden="1" customHeight="1">
      <c r="A422" s="171" t="s">
        <v>2943</v>
      </c>
      <c r="B422" s="3">
        <v>2023</v>
      </c>
      <c r="D422" s="3" t="s">
        <v>52</v>
      </c>
      <c r="E422" s="3" t="s">
        <v>1626</v>
      </c>
      <c r="F422" s="232" t="s">
        <v>1627</v>
      </c>
      <c r="G422" s="173"/>
      <c r="H422" s="173"/>
      <c r="I422" s="174" t="s">
        <v>44</v>
      </c>
      <c r="J422" s="2" t="s">
        <v>3195</v>
      </c>
      <c r="K422" s="177" t="s">
        <v>3022</v>
      </c>
      <c r="L422" s="177" t="s">
        <v>1628</v>
      </c>
      <c r="M422" s="1">
        <v>45243</v>
      </c>
      <c r="N422" s="1">
        <v>45243</v>
      </c>
      <c r="O422" s="3" t="s">
        <v>41</v>
      </c>
      <c r="P422" s="178">
        <v>588.97</v>
      </c>
      <c r="Q422" s="179"/>
      <c r="R422" s="217">
        <v>4.9000000000000004</v>
      </c>
      <c r="S422" s="218">
        <f t="shared" si="20"/>
        <v>0.98000000000000009</v>
      </c>
      <c r="T422" s="180">
        <v>170</v>
      </c>
      <c r="U422" s="181">
        <v>24</v>
      </c>
      <c r="V422" s="181">
        <v>157</v>
      </c>
      <c r="W422" s="181">
        <v>0</v>
      </c>
      <c r="X422" s="182">
        <f t="shared" si="17"/>
        <v>181</v>
      </c>
      <c r="Y422" s="3">
        <v>1</v>
      </c>
      <c r="Z422" s="3" t="s">
        <v>3043</v>
      </c>
      <c r="AA422" s="2" t="s">
        <v>3442</v>
      </c>
      <c r="AB422" s="253" t="s">
        <v>3443</v>
      </c>
    </row>
    <row r="423" spans="1:28" ht="23.25" hidden="1" customHeight="1">
      <c r="A423" s="171" t="s">
        <v>2943</v>
      </c>
      <c r="B423" s="3">
        <v>2023</v>
      </c>
      <c r="D423" s="3" t="s">
        <v>52</v>
      </c>
      <c r="E423" s="3" t="s">
        <v>1541</v>
      </c>
      <c r="F423" s="232" t="s">
        <v>1630</v>
      </c>
      <c r="G423" s="173"/>
      <c r="H423" s="173"/>
      <c r="I423" s="174" t="s">
        <v>48</v>
      </c>
      <c r="J423" s="2" t="s">
        <v>3195</v>
      </c>
      <c r="K423" s="177" t="s">
        <v>3041</v>
      </c>
      <c r="L423" s="177" t="s">
        <v>1631</v>
      </c>
      <c r="M423" s="1">
        <v>45246</v>
      </c>
      <c r="N423" s="1">
        <v>45247</v>
      </c>
      <c r="O423" s="3" t="s">
        <v>41</v>
      </c>
      <c r="P423" s="178">
        <f>25649.92/4</f>
        <v>6412.48</v>
      </c>
      <c r="Q423" s="179"/>
      <c r="R423" s="217">
        <v>4.7</v>
      </c>
      <c r="S423" s="218">
        <f t="shared" si="20"/>
        <v>0.94000000000000006</v>
      </c>
      <c r="T423" s="180">
        <v>0</v>
      </c>
      <c r="U423" s="181">
        <v>0</v>
      </c>
      <c r="V423" s="181">
        <v>0</v>
      </c>
      <c r="W423" s="181">
        <v>7</v>
      </c>
      <c r="X423" s="182">
        <f t="shared" si="17"/>
        <v>7</v>
      </c>
      <c r="Y423" s="3">
        <v>16</v>
      </c>
      <c r="Z423" s="3" t="s">
        <v>2784</v>
      </c>
      <c r="AA423" s="208" t="s">
        <v>3019</v>
      </c>
      <c r="AB423" s="2" t="s">
        <v>3428</v>
      </c>
    </row>
    <row r="424" spans="1:28" ht="23.25" hidden="1" customHeight="1">
      <c r="A424" s="171" t="s">
        <v>2943</v>
      </c>
      <c r="B424" s="3">
        <v>2023</v>
      </c>
      <c r="D424" s="3" t="s">
        <v>52</v>
      </c>
      <c r="E424" s="3" t="s">
        <v>1633</v>
      </c>
      <c r="F424" s="232" t="s">
        <v>1634</v>
      </c>
      <c r="G424" s="173"/>
      <c r="H424" s="173"/>
      <c r="I424" s="174" t="s">
        <v>33</v>
      </c>
      <c r="J424" s="2" t="s">
        <v>3199</v>
      </c>
      <c r="K424" s="177" t="s">
        <v>3022</v>
      </c>
      <c r="L424" s="177" t="s">
        <v>3444</v>
      </c>
      <c r="M424" s="1">
        <v>45247</v>
      </c>
      <c r="N424" s="1">
        <v>45268</v>
      </c>
      <c r="O424" s="3" t="s">
        <v>41</v>
      </c>
      <c r="P424" s="178">
        <v>6412.48</v>
      </c>
      <c r="Q424" s="179"/>
      <c r="R424" s="217">
        <v>5</v>
      </c>
      <c r="S424" s="218">
        <f t="shared" si="20"/>
        <v>1</v>
      </c>
      <c r="T424" s="180">
        <v>9</v>
      </c>
      <c r="U424" s="181">
        <v>9</v>
      </c>
      <c r="V424" s="181">
        <v>0</v>
      </c>
      <c r="W424" s="181">
        <v>0</v>
      </c>
      <c r="X424" s="182">
        <f t="shared" si="17"/>
        <v>9</v>
      </c>
      <c r="Y424" s="3">
        <v>16</v>
      </c>
      <c r="Z424" s="3" t="s">
        <v>3043</v>
      </c>
      <c r="AA424" s="2" t="s">
        <v>1636</v>
      </c>
      <c r="AB424" s="253" t="s">
        <v>3445</v>
      </c>
    </row>
    <row r="425" spans="1:28" ht="23.25" hidden="1" customHeight="1">
      <c r="A425" s="171" t="s">
        <v>2943</v>
      </c>
      <c r="B425" s="3">
        <v>2023</v>
      </c>
      <c r="D425" s="3" t="s">
        <v>52</v>
      </c>
      <c r="E425" s="3" t="s">
        <v>1638</v>
      </c>
      <c r="F425" s="232" t="s">
        <v>1634</v>
      </c>
      <c r="G425" s="173"/>
      <c r="H425" s="173"/>
      <c r="I425" s="174" t="s">
        <v>33</v>
      </c>
      <c r="J425" s="2" t="s">
        <v>3199</v>
      </c>
      <c r="K425" s="177" t="s">
        <v>3022</v>
      </c>
      <c r="L425" s="177" t="s">
        <v>3444</v>
      </c>
      <c r="M425" s="1">
        <v>45247</v>
      </c>
      <c r="N425" s="1">
        <v>45268</v>
      </c>
      <c r="O425" s="3" t="s">
        <v>41</v>
      </c>
      <c r="P425" s="178">
        <v>6438.33</v>
      </c>
      <c r="Q425" s="179"/>
      <c r="R425" s="217">
        <v>4.9000000000000004</v>
      </c>
      <c r="S425" s="218">
        <f t="shared" si="20"/>
        <v>0.98000000000000009</v>
      </c>
      <c r="T425" s="180">
        <v>4</v>
      </c>
      <c r="U425" s="181">
        <v>4</v>
      </c>
      <c r="V425" s="181">
        <v>0</v>
      </c>
      <c r="W425" s="181">
        <v>0</v>
      </c>
      <c r="X425" s="182">
        <f t="shared" si="17"/>
        <v>4</v>
      </c>
      <c r="Y425" s="3">
        <v>16</v>
      </c>
      <c r="Z425" s="3" t="s">
        <v>3043</v>
      </c>
      <c r="AA425" s="2" t="s">
        <v>3446</v>
      </c>
      <c r="AB425" s="252" t="s">
        <v>3447</v>
      </c>
    </row>
    <row r="426" spans="1:28" ht="23.25" hidden="1" customHeight="1">
      <c r="A426" s="171" t="s">
        <v>2943</v>
      </c>
      <c r="B426" s="3">
        <v>2023</v>
      </c>
      <c r="D426" s="171" t="s">
        <v>50</v>
      </c>
      <c r="E426" s="3" t="s">
        <v>3448</v>
      </c>
      <c r="F426" s="247" t="s">
        <v>3449</v>
      </c>
      <c r="G426" s="173"/>
      <c r="H426" s="173"/>
      <c r="I426" s="174" t="s">
        <v>33</v>
      </c>
      <c r="J426" s="2" t="s">
        <v>3235</v>
      </c>
      <c r="K426" s="177" t="s">
        <v>3022</v>
      </c>
      <c r="L426" s="177" t="s">
        <v>3450</v>
      </c>
      <c r="M426" s="1">
        <v>45250</v>
      </c>
      <c r="N426" s="1" t="s">
        <v>1680</v>
      </c>
      <c r="O426" s="3" t="s">
        <v>41</v>
      </c>
      <c r="Q426" s="179"/>
      <c r="R426" s="217"/>
      <c r="S426" s="218"/>
      <c r="T426" s="180"/>
      <c r="U426" s="181"/>
      <c r="V426" s="181"/>
      <c r="W426" s="181"/>
      <c r="X426" s="181">
        <f t="shared" si="17"/>
        <v>0</v>
      </c>
      <c r="Y426" s="3"/>
      <c r="Z426" s="3" t="s">
        <v>3043</v>
      </c>
      <c r="AA426" s="2" t="s">
        <v>3451</v>
      </c>
      <c r="AB426" s="249"/>
    </row>
    <row r="427" spans="1:28" ht="23.25" hidden="1" customHeight="1">
      <c r="A427" s="171" t="s">
        <v>2943</v>
      </c>
      <c r="B427" s="3">
        <v>2023</v>
      </c>
      <c r="D427" s="3" t="s">
        <v>52</v>
      </c>
      <c r="E427" s="3" t="s">
        <v>1541</v>
      </c>
      <c r="F427" s="232" t="s">
        <v>1641</v>
      </c>
      <c r="G427" s="173"/>
      <c r="H427" s="173"/>
      <c r="I427" s="174" t="s">
        <v>48</v>
      </c>
      <c r="J427" s="2" t="s">
        <v>3195</v>
      </c>
      <c r="K427" s="177" t="s">
        <v>3041</v>
      </c>
      <c r="L427" s="177" t="s">
        <v>1642</v>
      </c>
      <c r="M427" s="1">
        <v>45251</v>
      </c>
      <c r="N427" s="1">
        <v>45252</v>
      </c>
      <c r="O427" s="3" t="s">
        <v>41</v>
      </c>
      <c r="P427" s="178">
        <f>25649.92/4</f>
        <v>6412.48</v>
      </c>
      <c r="Q427" s="179"/>
      <c r="R427" s="217">
        <v>4.9000000000000004</v>
      </c>
      <c r="S427" s="218">
        <f>R427/5</f>
        <v>0.98000000000000009</v>
      </c>
      <c r="T427" s="180">
        <v>0</v>
      </c>
      <c r="U427" s="181">
        <v>0</v>
      </c>
      <c r="V427" s="181">
        <v>0</v>
      </c>
      <c r="W427" s="181">
        <v>31</v>
      </c>
      <c r="X427" s="182">
        <f t="shared" si="17"/>
        <v>31</v>
      </c>
      <c r="Y427" s="3">
        <v>16</v>
      </c>
      <c r="Z427" s="3" t="s">
        <v>2784</v>
      </c>
      <c r="AA427" s="208" t="s">
        <v>3019</v>
      </c>
      <c r="AB427" s="2" t="s">
        <v>3428</v>
      </c>
    </row>
    <row r="428" spans="1:28" ht="23.25" hidden="1" customHeight="1">
      <c r="A428" s="171" t="s">
        <v>2943</v>
      </c>
      <c r="B428" s="3">
        <v>2023</v>
      </c>
      <c r="D428" s="171" t="s">
        <v>50</v>
      </c>
      <c r="E428" s="3" t="s">
        <v>3452</v>
      </c>
      <c r="F428" s="247" t="s">
        <v>3453</v>
      </c>
      <c r="G428" s="173"/>
      <c r="H428" s="173"/>
      <c r="I428" s="174" t="s">
        <v>48</v>
      </c>
      <c r="J428" s="2" t="s">
        <v>3195</v>
      </c>
      <c r="K428" s="177" t="s">
        <v>3022</v>
      </c>
      <c r="L428" s="177" t="s">
        <v>3454</v>
      </c>
      <c r="M428" s="1">
        <v>45254</v>
      </c>
      <c r="O428" s="3" t="s">
        <v>41</v>
      </c>
      <c r="Q428" s="179"/>
      <c r="R428" s="217"/>
      <c r="S428" s="218"/>
      <c r="T428" s="180"/>
      <c r="U428" s="181"/>
      <c r="V428" s="181"/>
      <c r="W428" s="181"/>
      <c r="X428" s="181">
        <f t="shared" si="17"/>
        <v>0</v>
      </c>
      <c r="Y428" s="3">
        <v>6</v>
      </c>
      <c r="Z428" s="3"/>
      <c r="AA428" s="2" t="s">
        <v>3455</v>
      </c>
      <c r="AB428" s="249"/>
    </row>
    <row r="429" spans="1:28" ht="23.25" hidden="1" customHeight="1">
      <c r="A429" s="171" t="s">
        <v>2943</v>
      </c>
      <c r="B429" s="3">
        <v>2023</v>
      </c>
      <c r="D429" s="3" t="s">
        <v>52</v>
      </c>
      <c r="E429" s="3" t="s">
        <v>1644</v>
      </c>
      <c r="F429" s="232" t="s">
        <v>1645</v>
      </c>
      <c r="G429" s="173"/>
      <c r="H429" s="173"/>
      <c r="I429" s="174" t="s">
        <v>33</v>
      </c>
      <c r="J429" s="2" t="s">
        <v>3255</v>
      </c>
      <c r="K429" s="177" t="s">
        <v>3022</v>
      </c>
      <c r="L429" s="177" t="s">
        <v>1646</v>
      </c>
      <c r="M429" s="1">
        <v>45254</v>
      </c>
      <c r="N429" s="1">
        <v>45254</v>
      </c>
      <c r="O429" s="3" t="s">
        <v>45</v>
      </c>
      <c r="P429" s="178">
        <v>0</v>
      </c>
      <c r="Q429" s="179"/>
      <c r="R429" s="217">
        <v>5</v>
      </c>
      <c r="S429" s="218">
        <f t="shared" ref="S429:S442" si="21">R429/5</f>
        <v>1</v>
      </c>
      <c r="T429" s="180">
        <v>19</v>
      </c>
      <c r="U429" s="181">
        <v>19</v>
      </c>
      <c r="V429" s="181">
        <v>0</v>
      </c>
      <c r="W429" s="181">
        <v>0</v>
      </c>
      <c r="X429" s="182">
        <f t="shared" si="17"/>
        <v>19</v>
      </c>
      <c r="Y429" s="3">
        <v>2</v>
      </c>
      <c r="Z429" s="3" t="s">
        <v>2780</v>
      </c>
      <c r="AA429" s="2" t="s">
        <v>977</v>
      </c>
      <c r="AB429" s="2" t="s">
        <v>3456</v>
      </c>
    </row>
    <row r="430" spans="1:28" ht="23.25" hidden="1" customHeight="1">
      <c r="A430" s="171" t="s">
        <v>2943</v>
      </c>
      <c r="B430" s="3">
        <v>2023</v>
      </c>
      <c r="D430" s="3" t="s">
        <v>52</v>
      </c>
      <c r="E430" s="3" t="s">
        <v>1648</v>
      </c>
      <c r="F430" s="232" t="s">
        <v>1649</v>
      </c>
      <c r="G430" s="173"/>
      <c r="H430" s="173"/>
      <c r="I430" s="174" t="s">
        <v>44</v>
      </c>
      <c r="J430" s="2" t="s">
        <v>3195</v>
      </c>
      <c r="K430" s="177" t="s">
        <v>3022</v>
      </c>
      <c r="L430" s="177" t="s">
        <v>1650</v>
      </c>
      <c r="M430" s="1">
        <v>45257</v>
      </c>
      <c r="N430" s="1">
        <v>45258</v>
      </c>
      <c r="O430" s="3" t="s">
        <v>41</v>
      </c>
      <c r="P430" s="257">
        <v>3000</v>
      </c>
      <c r="Q430" s="179"/>
      <c r="R430" s="217">
        <v>4.4000000000000004</v>
      </c>
      <c r="S430" s="218">
        <f t="shared" si="21"/>
        <v>0.88000000000000012</v>
      </c>
      <c r="T430" s="180">
        <v>40</v>
      </c>
      <c r="U430" s="181">
        <v>3</v>
      </c>
      <c r="V430" s="181">
        <v>42</v>
      </c>
      <c r="W430" s="181">
        <v>0</v>
      </c>
      <c r="X430" s="182">
        <f t="shared" si="17"/>
        <v>45</v>
      </c>
      <c r="Y430" s="3">
        <v>8</v>
      </c>
      <c r="Z430" s="3" t="s">
        <v>3043</v>
      </c>
      <c r="AA430" s="2" t="s">
        <v>3457</v>
      </c>
      <c r="AB430" s="252" t="s">
        <v>3458</v>
      </c>
    </row>
    <row r="431" spans="1:28" ht="23.25" hidden="1" customHeight="1">
      <c r="A431" s="171" t="s">
        <v>2943</v>
      </c>
      <c r="B431" s="3">
        <v>2023</v>
      </c>
      <c r="D431" s="3" t="s">
        <v>52</v>
      </c>
      <c r="E431" s="3" t="s">
        <v>1652</v>
      </c>
      <c r="F431" s="247" t="s">
        <v>1653</v>
      </c>
      <c r="G431" s="173"/>
      <c r="H431" s="173"/>
      <c r="I431" s="174" t="s">
        <v>33</v>
      </c>
      <c r="J431" s="2" t="s">
        <v>3204</v>
      </c>
      <c r="K431" s="177" t="s">
        <v>3041</v>
      </c>
      <c r="L431" s="177" t="s">
        <v>1654</v>
      </c>
      <c r="M431" s="1">
        <v>45257</v>
      </c>
      <c r="N431" s="1">
        <v>45257</v>
      </c>
      <c r="O431" s="171" t="s">
        <v>45</v>
      </c>
      <c r="P431" s="178">
        <v>5000</v>
      </c>
      <c r="Q431" s="179"/>
      <c r="R431" s="217">
        <v>5</v>
      </c>
      <c r="S431" s="218">
        <f t="shared" si="21"/>
        <v>1</v>
      </c>
      <c r="T431" s="180">
        <v>80</v>
      </c>
      <c r="U431" s="181"/>
      <c r="V431" s="181"/>
      <c r="W431" s="181"/>
      <c r="X431" s="182">
        <f t="shared" si="17"/>
        <v>0</v>
      </c>
      <c r="Y431" s="3">
        <v>2</v>
      </c>
      <c r="Z431" s="3" t="s">
        <v>3299</v>
      </c>
      <c r="AB431" s="249"/>
    </row>
    <row r="432" spans="1:28" ht="23.25" hidden="1" customHeight="1">
      <c r="A432" s="171" t="s">
        <v>2943</v>
      </c>
      <c r="B432" s="3">
        <v>2023</v>
      </c>
      <c r="D432" s="3" t="s">
        <v>52</v>
      </c>
      <c r="E432" s="3" t="s">
        <v>1657</v>
      </c>
      <c r="F432" s="232" t="s">
        <v>1658</v>
      </c>
      <c r="G432" s="173"/>
      <c r="H432" s="173"/>
      <c r="I432" s="174" t="s">
        <v>33</v>
      </c>
      <c r="J432" s="2" t="s">
        <v>3195</v>
      </c>
      <c r="K432" s="177" t="s">
        <v>3022</v>
      </c>
      <c r="L432" s="177" t="s">
        <v>1659</v>
      </c>
      <c r="M432" s="1">
        <v>45264</v>
      </c>
      <c r="N432" s="1">
        <v>45265</v>
      </c>
      <c r="O432" s="3" t="s">
        <v>45</v>
      </c>
      <c r="P432" s="178">
        <v>0</v>
      </c>
      <c r="Q432" s="179"/>
      <c r="R432" s="217">
        <v>4.8</v>
      </c>
      <c r="S432" s="218">
        <f t="shared" si="21"/>
        <v>0.96</v>
      </c>
      <c r="T432" s="180">
        <v>170</v>
      </c>
      <c r="U432" s="181">
        <v>22</v>
      </c>
      <c r="V432" s="181">
        <v>46</v>
      </c>
      <c r="W432" s="181">
        <v>17</v>
      </c>
      <c r="X432" s="182">
        <f t="shared" si="17"/>
        <v>85</v>
      </c>
      <c r="Y432" s="3">
        <v>8</v>
      </c>
      <c r="Z432" s="3" t="s">
        <v>2784</v>
      </c>
      <c r="AA432" s="2" t="s">
        <v>492</v>
      </c>
      <c r="AB432" s="252" t="s">
        <v>3459</v>
      </c>
    </row>
    <row r="433" spans="1:28" ht="23.25" hidden="1" customHeight="1">
      <c r="A433" s="171" t="s">
        <v>2943</v>
      </c>
      <c r="B433" s="3">
        <v>2023</v>
      </c>
      <c r="D433" s="3" t="s">
        <v>52</v>
      </c>
      <c r="E433" s="3" t="s">
        <v>1661</v>
      </c>
      <c r="F433" s="232" t="s">
        <v>1662</v>
      </c>
      <c r="G433" s="173"/>
      <c r="H433" s="173"/>
      <c r="I433" s="174" t="s">
        <v>33</v>
      </c>
      <c r="J433" s="2" t="s">
        <v>3203</v>
      </c>
      <c r="K433" s="177" t="s">
        <v>3041</v>
      </c>
      <c r="L433" s="177" t="s">
        <v>1663</v>
      </c>
      <c r="M433" s="1">
        <v>45264</v>
      </c>
      <c r="N433" s="1">
        <v>45264</v>
      </c>
      <c r="O433" s="3" t="s">
        <v>45</v>
      </c>
      <c r="P433" s="178">
        <v>0</v>
      </c>
      <c r="Q433" s="179"/>
      <c r="R433" s="217">
        <v>5</v>
      </c>
      <c r="S433" s="218">
        <f t="shared" si="21"/>
        <v>1</v>
      </c>
      <c r="T433" s="180">
        <v>40</v>
      </c>
      <c r="U433" s="181">
        <v>7</v>
      </c>
      <c r="V433" s="181">
        <v>0</v>
      </c>
      <c r="W433" s="181">
        <v>0</v>
      </c>
      <c r="X433" s="182">
        <f t="shared" si="17"/>
        <v>7</v>
      </c>
      <c r="Y433" s="3">
        <v>1</v>
      </c>
      <c r="Z433" s="3" t="s">
        <v>3043</v>
      </c>
      <c r="AA433" s="2" t="s">
        <v>1664</v>
      </c>
      <c r="AB433" s="252" t="s">
        <v>3460</v>
      </c>
    </row>
    <row r="434" spans="1:28" ht="23.25" hidden="1" customHeight="1">
      <c r="A434" s="171" t="s">
        <v>2943</v>
      </c>
      <c r="B434" s="3">
        <v>2023</v>
      </c>
      <c r="D434" s="3" t="s">
        <v>52</v>
      </c>
      <c r="E434" s="3" t="s">
        <v>1666</v>
      </c>
      <c r="F434" s="247" t="s">
        <v>1667</v>
      </c>
      <c r="G434" s="173"/>
      <c r="H434" s="173"/>
      <c r="I434" s="174" t="s">
        <v>33</v>
      </c>
      <c r="J434" s="272"/>
      <c r="K434" s="177" t="s">
        <v>3022</v>
      </c>
      <c r="L434" s="1">
        <v>45266</v>
      </c>
      <c r="M434" s="1">
        <v>45266</v>
      </c>
      <c r="N434" s="1">
        <v>45266</v>
      </c>
      <c r="O434" s="3" t="s">
        <v>41</v>
      </c>
      <c r="P434" s="178">
        <v>0</v>
      </c>
      <c r="Q434" s="179"/>
      <c r="R434" s="217">
        <v>5</v>
      </c>
      <c r="S434" s="218">
        <f t="shared" si="21"/>
        <v>1</v>
      </c>
      <c r="T434" s="180">
        <v>20</v>
      </c>
      <c r="U434" s="181">
        <v>30</v>
      </c>
      <c r="V434" s="181"/>
      <c r="W434" s="181"/>
      <c r="X434" s="182">
        <f t="shared" si="17"/>
        <v>30</v>
      </c>
      <c r="Y434" s="3">
        <v>4</v>
      </c>
      <c r="Z434" s="3"/>
    </row>
    <row r="435" spans="1:28" ht="23.25" hidden="1" customHeight="1">
      <c r="A435" s="171" t="s">
        <v>2943</v>
      </c>
      <c r="B435" s="3">
        <v>2023</v>
      </c>
      <c r="D435" s="3" t="s">
        <v>52</v>
      </c>
      <c r="E435" s="3" t="s">
        <v>1669</v>
      </c>
      <c r="F435" s="232" t="s">
        <v>1670</v>
      </c>
      <c r="G435" s="173"/>
      <c r="H435" s="173"/>
      <c r="I435" s="174" t="s">
        <v>33</v>
      </c>
      <c r="J435" s="2" t="s">
        <v>3199</v>
      </c>
      <c r="K435" s="177" t="s">
        <v>3041</v>
      </c>
      <c r="L435" s="177" t="s">
        <v>1671</v>
      </c>
      <c r="M435" s="1">
        <v>45267</v>
      </c>
      <c r="N435" s="1">
        <v>45267</v>
      </c>
      <c r="O435" s="3" t="s">
        <v>45</v>
      </c>
      <c r="P435" s="178">
        <v>0</v>
      </c>
      <c r="Q435" s="179"/>
      <c r="R435" s="217">
        <v>5</v>
      </c>
      <c r="S435" s="218">
        <f t="shared" si="21"/>
        <v>1</v>
      </c>
      <c r="T435" s="180">
        <v>0</v>
      </c>
      <c r="U435" s="181">
        <v>62</v>
      </c>
      <c r="V435" s="181">
        <v>0</v>
      </c>
      <c r="W435" s="181">
        <v>0</v>
      </c>
      <c r="X435" s="182">
        <f t="shared" si="17"/>
        <v>62</v>
      </c>
      <c r="Y435" s="3">
        <v>1.5</v>
      </c>
      <c r="Z435" s="3" t="s">
        <v>3043</v>
      </c>
      <c r="AA435" s="2" t="s">
        <v>1672</v>
      </c>
      <c r="AB435" s="252" t="s">
        <v>3461</v>
      </c>
    </row>
    <row r="436" spans="1:28" ht="23.25" hidden="1" customHeight="1">
      <c r="A436" s="171" t="s">
        <v>2943</v>
      </c>
      <c r="B436" s="3">
        <v>2023</v>
      </c>
      <c r="D436" s="3" t="s">
        <v>52</v>
      </c>
      <c r="E436" s="3" t="s">
        <v>1674</v>
      </c>
      <c r="F436" s="232" t="s">
        <v>1675</v>
      </c>
      <c r="G436" s="173"/>
      <c r="H436" s="173"/>
      <c r="I436" s="174" t="s">
        <v>48</v>
      </c>
      <c r="J436" s="2" t="s">
        <v>3195</v>
      </c>
      <c r="K436" s="177" t="s">
        <v>3022</v>
      </c>
      <c r="L436" s="177" t="s">
        <v>1676</v>
      </c>
      <c r="M436" s="1">
        <v>45268</v>
      </c>
      <c r="N436" s="1">
        <v>45268</v>
      </c>
      <c r="O436" s="3" t="s">
        <v>41</v>
      </c>
      <c r="P436" s="178">
        <v>1603.12</v>
      </c>
      <c r="Q436" s="179"/>
      <c r="R436" s="217">
        <v>5</v>
      </c>
      <c r="S436" s="218">
        <f t="shared" si="21"/>
        <v>1</v>
      </c>
      <c r="T436" s="180">
        <v>170</v>
      </c>
      <c r="U436" s="181">
        <v>0</v>
      </c>
      <c r="V436" s="181">
        <v>0</v>
      </c>
      <c r="W436" s="181">
        <v>68</v>
      </c>
      <c r="X436" s="182">
        <f t="shared" si="17"/>
        <v>68</v>
      </c>
      <c r="Y436" s="3">
        <v>4</v>
      </c>
      <c r="Z436" s="3" t="s">
        <v>2784</v>
      </c>
      <c r="AA436" s="2" t="s">
        <v>3462</v>
      </c>
      <c r="AB436" s="252" t="s">
        <v>3463</v>
      </c>
    </row>
    <row r="437" spans="1:28" ht="23.25" hidden="1" customHeight="1">
      <c r="A437" s="171" t="s">
        <v>2943</v>
      </c>
      <c r="B437" s="3">
        <v>2024</v>
      </c>
      <c r="C437" s="3" t="s">
        <v>42</v>
      </c>
      <c r="D437" s="3" t="s">
        <v>52</v>
      </c>
      <c r="E437" s="3" t="s">
        <v>1682</v>
      </c>
      <c r="F437" s="173" t="s">
        <v>1683</v>
      </c>
      <c r="G437" s="173"/>
      <c r="H437" s="248"/>
      <c r="I437" s="174" t="s">
        <v>44</v>
      </c>
      <c r="J437" s="2" t="s">
        <v>15</v>
      </c>
      <c r="K437" s="177" t="s">
        <v>3041</v>
      </c>
      <c r="L437" s="177" t="s">
        <v>1684</v>
      </c>
      <c r="M437" s="1">
        <v>45342</v>
      </c>
      <c r="N437" s="1">
        <v>45351</v>
      </c>
      <c r="O437" s="3" t="s">
        <v>41</v>
      </c>
      <c r="P437" s="178">
        <v>12295.13</v>
      </c>
      <c r="Q437" s="179"/>
      <c r="R437" s="217">
        <v>4.4800000000000004</v>
      </c>
      <c r="S437" s="218">
        <f t="shared" si="21"/>
        <v>0.89600000000000013</v>
      </c>
      <c r="T437" s="180">
        <v>40</v>
      </c>
      <c r="U437" s="181">
        <v>6</v>
      </c>
      <c r="V437" s="181">
        <v>30</v>
      </c>
      <c r="W437" s="181">
        <v>0</v>
      </c>
      <c r="X437" s="182">
        <f t="shared" si="17"/>
        <v>36</v>
      </c>
      <c r="Y437" s="3">
        <v>16</v>
      </c>
      <c r="Z437" s="3" t="s">
        <v>2780</v>
      </c>
      <c r="AA437" s="2" t="s">
        <v>3464</v>
      </c>
      <c r="AB437" s="252" t="s">
        <v>3465</v>
      </c>
    </row>
    <row r="438" spans="1:28" ht="23.25" hidden="1" customHeight="1">
      <c r="A438" s="171" t="s">
        <v>2943</v>
      </c>
      <c r="B438" s="3">
        <v>2024</v>
      </c>
      <c r="C438" s="3" t="s">
        <v>42</v>
      </c>
      <c r="D438" s="3" t="s">
        <v>52</v>
      </c>
      <c r="E438" s="3" t="s">
        <v>1687</v>
      </c>
      <c r="F438" s="173" t="s">
        <v>1688</v>
      </c>
      <c r="G438" s="173"/>
      <c r="H438" s="248"/>
      <c r="I438" s="174" t="s">
        <v>33</v>
      </c>
      <c r="J438" s="2" t="s">
        <v>25</v>
      </c>
      <c r="K438" s="177" t="s">
        <v>3022</v>
      </c>
      <c r="L438" s="177" t="s">
        <v>3466</v>
      </c>
      <c r="M438" s="1">
        <v>45344</v>
      </c>
      <c r="N438" s="1">
        <v>45359</v>
      </c>
      <c r="O438" s="3" t="s">
        <v>45</v>
      </c>
      <c r="P438" s="178">
        <v>24800</v>
      </c>
      <c r="Q438" s="179"/>
      <c r="R438" s="217">
        <v>4.5999999999999996</v>
      </c>
      <c r="S438" s="218">
        <f t="shared" si="21"/>
        <v>0.91999999999999993</v>
      </c>
      <c r="T438" s="180">
        <v>30</v>
      </c>
      <c r="U438" s="181">
        <v>14</v>
      </c>
      <c r="V438" s="181">
        <v>0</v>
      </c>
      <c r="W438" s="181">
        <v>0</v>
      </c>
      <c r="X438" s="182">
        <f t="shared" si="17"/>
        <v>14</v>
      </c>
      <c r="Y438" s="3">
        <v>16</v>
      </c>
      <c r="Z438" s="3" t="s">
        <v>3043</v>
      </c>
      <c r="AA438" s="2" t="s">
        <v>3467</v>
      </c>
      <c r="AB438" s="252" t="s">
        <v>3468</v>
      </c>
    </row>
    <row r="439" spans="1:28" ht="23.25" hidden="1" customHeight="1">
      <c r="A439" s="273" t="s">
        <v>2943</v>
      </c>
      <c r="B439" s="3">
        <v>2024</v>
      </c>
      <c r="C439" s="3" t="s">
        <v>42</v>
      </c>
      <c r="D439" s="3" t="s">
        <v>52</v>
      </c>
      <c r="E439" s="3" t="s">
        <v>3469</v>
      </c>
      <c r="F439" s="173" t="s">
        <v>1692</v>
      </c>
      <c r="G439" s="173"/>
      <c r="H439" s="248"/>
      <c r="I439" s="174" t="s">
        <v>48</v>
      </c>
      <c r="J439" s="2" t="s">
        <v>18</v>
      </c>
      <c r="K439" s="177" t="s">
        <v>3041</v>
      </c>
      <c r="L439" s="177" t="s">
        <v>1693</v>
      </c>
      <c r="M439" s="1">
        <v>45352</v>
      </c>
      <c r="N439" s="177" t="s">
        <v>1693</v>
      </c>
      <c r="O439" s="3" t="s">
        <v>41</v>
      </c>
      <c r="P439" s="187">
        <v>0</v>
      </c>
      <c r="Q439" s="179"/>
      <c r="R439" s="217"/>
      <c r="S439" s="218">
        <f t="shared" si="21"/>
        <v>0</v>
      </c>
      <c r="T439" s="180">
        <v>44</v>
      </c>
      <c r="U439" s="181">
        <v>0</v>
      </c>
      <c r="V439" s="181">
        <v>0</v>
      </c>
      <c r="W439" s="181">
        <v>44</v>
      </c>
      <c r="X439" s="182">
        <f t="shared" si="17"/>
        <v>44</v>
      </c>
      <c r="Y439" s="3">
        <v>5</v>
      </c>
      <c r="Z439" s="3"/>
      <c r="AA439" s="245" t="s">
        <v>3470</v>
      </c>
      <c r="AB439" s="12"/>
    </row>
    <row r="440" spans="1:28" ht="23.25" hidden="1" customHeight="1">
      <c r="A440" s="171" t="s">
        <v>2943</v>
      </c>
      <c r="B440" s="3">
        <v>2024</v>
      </c>
      <c r="C440" s="3" t="s">
        <v>42</v>
      </c>
      <c r="D440" s="3" t="s">
        <v>52</v>
      </c>
      <c r="E440" s="3" t="s">
        <v>1695</v>
      </c>
      <c r="F440" s="173" t="s">
        <v>1696</v>
      </c>
      <c r="G440" s="173"/>
      <c r="H440" s="248"/>
      <c r="I440" s="174" t="s">
        <v>44</v>
      </c>
      <c r="J440" s="2" t="s">
        <v>15</v>
      </c>
      <c r="K440" s="177" t="s">
        <v>3041</v>
      </c>
      <c r="L440" s="177" t="s">
        <v>1697</v>
      </c>
      <c r="M440" s="1">
        <v>45355</v>
      </c>
      <c r="N440" s="1">
        <v>45359</v>
      </c>
      <c r="O440" s="3" t="s">
        <v>41</v>
      </c>
      <c r="P440" s="178">
        <v>11779.56</v>
      </c>
      <c r="Q440" s="179"/>
      <c r="R440" s="217">
        <v>4.8600000000000003</v>
      </c>
      <c r="S440" s="218">
        <f t="shared" si="21"/>
        <v>0.97200000000000009</v>
      </c>
      <c r="T440" s="180">
        <v>20</v>
      </c>
      <c r="U440" s="181">
        <v>6</v>
      </c>
      <c r="V440" s="181">
        <v>20</v>
      </c>
      <c r="W440" s="181">
        <v>0</v>
      </c>
      <c r="X440" s="182">
        <f t="shared" si="17"/>
        <v>26</v>
      </c>
      <c r="Y440" s="3">
        <v>20</v>
      </c>
      <c r="Z440" s="3" t="s">
        <v>3043</v>
      </c>
      <c r="AA440" s="2" t="s">
        <v>3442</v>
      </c>
      <c r="AB440" s="252" t="s">
        <v>3471</v>
      </c>
    </row>
    <row r="441" spans="1:28" ht="23.25" hidden="1" customHeight="1">
      <c r="A441" s="171" t="s">
        <v>2943</v>
      </c>
      <c r="B441" s="3">
        <v>2024</v>
      </c>
      <c r="C441" s="3" t="s">
        <v>42</v>
      </c>
      <c r="D441" s="3" t="s">
        <v>52</v>
      </c>
      <c r="E441" s="3" t="s">
        <v>1699</v>
      </c>
      <c r="F441" s="173" t="s">
        <v>1700</v>
      </c>
      <c r="G441" s="173"/>
      <c r="H441" s="248"/>
      <c r="I441" s="174" t="s">
        <v>33</v>
      </c>
      <c r="J441" s="2" t="s">
        <v>25</v>
      </c>
      <c r="K441" s="177" t="s">
        <v>3022</v>
      </c>
      <c r="L441" s="177" t="s">
        <v>3472</v>
      </c>
      <c r="M441" s="1">
        <v>45356</v>
      </c>
      <c r="N441" s="1">
        <v>45365</v>
      </c>
      <c r="O441" s="3" t="s">
        <v>41</v>
      </c>
      <c r="P441" s="178">
        <v>11542.3</v>
      </c>
      <c r="Q441" s="179"/>
      <c r="R441" s="217">
        <v>4.92</v>
      </c>
      <c r="S441" s="218">
        <f t="shared" si="21"/>
        <v>0.98399999999999999</v>
      </c>
      <c r="T441" s="180">
        <v>20</v>
      </c>
      <c r="U441" s="181">
        <v>23</v>
      </c>
      <c r="V441" s="181">
        <v>0</v>
      </c>
      <c r="W441" s="181">
        <v>0</v>
      </c>
      <c r="X441" s="182">
        <f t="shared" si="17"/>
        <v>23</v>
      </c>
      <c r="Y441" s="3">
        <v>16</v>
      </c>
      <c r="Z441" s="3" t="s">
        <v>2780</v>
      </c>
      <c r="AA441" s="2" t="s">
        <v>1702</v>
      </c>
    </row>
    <row r="442" spans="1:28" ht="23.25" hidden="1" customHeight="1">
      <c r="A442" s="239" t="s">
        <v>2943</v>
      </c>
      <c r="B442" s="3">
        <v>2024</v>
      </c>
      <c r="C442" s="3" t="s">
        <v>42</v>
      </c>
      <c r="D442" s="3" t="s">
        <v>52</v>
      </c>
      <c r="E442" s="3" t="s">
        <v>2871</v>
      </c>
      <c r="F442" s="173" t="s">
        <v>1705</v>
      </c>
      <c r="G442" s="173"/>
      <c r="H442" s="248"/>
      <c r="I442" s="174" t="s">
        <v>33</v>
      </c>
      <c r="J442" s="2" t="s">
        <v>32</v>
      </c>
      <c r="K442" s="177" t="s">
        <v>3022</v>
      </c>
      <c r="L442" s="177" t="s">
        <v>1706</v>
      </c>
      <c r="M442" s="1">
        <v>45359</v>
      </c>
      <c r="N442" s="1">
        <v>45359</v>
      </c>
      <c r="O442" s="3" t="s">
        <v>45</v>
      </c>
      <c r="P442" s="178">
        <v>18000</v>
      </c>
      <c r="Q442" s="179"/>
      <c r="R442" s="217"/>
      <c r="S442" s="218">
        <f t="shared" si="21"/>
        <v>0</v>
      </c>
      <c r="T442" s="180"/>
      <c r="U442" s="181"/>
      <c r="V442" s="181"/>
      <c r="W442" s="181">
        <v>20</v>
      </c>
      <c r="X442" s="182">
        <f t="shared" si="17"/>
        <v>20</v>
      </c>
      <c r="Y442" s="3">
        <v>2</v>
      </c>
      <c r="Z442" s="3" t="s">
        <v>3299</v>
      </c>
      <c r="AA442" s="2" t="s">
        <v>1707</v>
      </c>
    </row>
    <row r="443" spans="1:28" ht="23.25" hidden="1" customHeight="1">
      <c r="A443" s="273"/>
      <c r="B443" s="3">
        <v>2024</v>
      </c>
      <c r="C443" s="3" t="s">
        <v>42</v>
      </c>
      <c r="D443" s="3" t="s">
        <v>52</v>
      </c>
      <c r="E443" s="3" t="s">
        <v>1709</v>
      </c>
      <c r="F443" s="173" t="s">
        <v>1710</v>
      </c>
      <c r="G443" s="173"/>
      <c r="H443" s="248"/>
      <c r="I443" s="174" t="s">
        <v>33</v>
      </c>
      <c r="J443" s="2" t="s">
        <v>32</v>
      </c>
      <c r="K443" s="177" t="s">
        <v>3022</v>
      </c>
      <c r="L443" s="177" t="s">
        <v>1706</v>
      </c>
      <c r="M443" s="1">
        <v>45359</v>
      </c>
      <c r="N443" s="1">
        <v>45359</v>
      </c>
      <c r="Q443" s="179"/>
      <c r="R443" s="217"/>
      <c r="S443" s="218"/>
      <c r="T443" s="180"/>
      <c r="U443" s="181"/>
      <c r="V443" s="181"/>
      <c r="W443" s="181"/>
      <c r="X443" s="182"/>
      <c r="Y443" s="3"/>
      <c r="Z443" s="3"/>
    </row>
    <row r="444" spans="1:28" ht="23.25" hidden="1" customHeight="1">
      <c r="A444" s="171" t="s">
        <v>2943</v>
      </c>
      <c r="B444" s="3">
        <v>2024</v>
      </c>
      <c r="C444" s="3" t="s">
        <v>42</v>
      </c>
      <c r="D444" s="3" t="s">
        <v>52</v>
      </c>
      <c r="E444" s="3" t="s">
        <v>1712</v>
      </c>
      <c r="F444" s="173" t="s">
        <v>1713</v>
      </c>
      <c r="G444" s="173"/>
      <c r="H444" s="248"/>
      <c r="I444" s="174" t="s">
        <v>33</v>
      </c>
      <c r="J444" s="2" t="s">
        <v>32</v>
      </c>
      <c r="K444" s="177" t="s">
        <v>3022</v>
      </c>
      <c r="L444" s="177" t="s">
        <v>3473</v>
      </c>
      <c r="M444" s="1">
        <v>45363</v>
      </c>
      <c r="N444" s="1">
        <v>45372</v>
      </c>
      <c r="O444" s="3" t="s">
        <v>41</v>
      </c>
      <c r="P444" s="178">
        <v>8336.2199999999993</v>
      </c>
      <c r="Q444" s="179"/>
      <c r="R444" s="217">
        <v>4.8600000000000003</v>
      </c>
      <c r="S444" s="218">
        <f t="shared" ref="S444:S467" si="22">R444/5</f>
        <v>0.97200000000000009</v>
      </c>
      <c r="T444" s="180">
        <v>20</v>
      </c>
      <c r="U444" s="181">
        <v>16</v>
      </c>
      <c r="V444" s="181">
        <v>0</v>
      </c>
      <c r="W444" s="181">
        <v>0</v>
      </c>
      <c r="X444" s="182">
        <f t="shared" ref="X444:X467" si="23">SUM(U444:W444)</f>
        <v>16</v>
      </c>
      <c r="Y444" s="3">
        <v>16</v>
      </c>
      <c r="Z444" s="3" t="s">
        <v>2780</v>
      </c>
      <c r="AA444" s="2" t="s">
        <v>3474</v>
      </c>
      <c r="AB444" s="252" t="s">
        <v>3475</v>
      </c>
    </row>
    <row r="445" spans="1:28" ht="23.25" hidden="1" customHeight="1">
      <c r="A445" s="239" t="s">
        <v>2943</v>
      </c>
      <c r="B445" s="3">
        <v>2024</v>
      </c>
      <c r="C445" s="3" t="s">
        <v>42</v>
      </c>
      <c r="D445" s="3" t="s">
        <v>52</v>
      </c>
      <c r="E445" s="3" t="s">
        <v>1717</v>
      </c>
      <c r="F445" s="173" t="s">
        <v>1718</v>
      </c>
      <c r="G445" s="173"/>
      <c r="H445" s="248"/>
      <c r="I445" s="174" t="s">
        <v>48</v>
      </c>
      <c r="J445" s="2" t="s">
        <v>18</v>
      </c>
      <c r="K445" s="177" t="s">
        <v>3041</v>
      </c>
      <c r="L445" s="177" t="s">
        <v>1719</v>
      </c>
      <c r="M445" s="1">
        <v>45369</v>
      </c>
      <c r="N445" s="1">
        <v>45373</v>
      </c>
      <c r="O445" s="3" t="s">
        <v>41</v>
      </c>
      <c r="P445" s="178">
        <v>10420.280000000001</v>
      </c>
      <c r="Q445" s="179"/>
      <c r="R445" s="217">
        <v>4.8</v>
      </c>
      <c r="S445" s="218">
        <f t="shared" si="22"/>
        <v>0.96</v>
      </c>
      <c r="T445" s="180">
        <v>40</v>
      </c>
      <c r="U445" s="181">
        <v>0</v>
      </c>
      <c r="V445" s="181">
        <v>0</v>
      </c>
      <c r="W445" s="181">
        <v>44</v>
      </c>
      <c r="X445" s="182">
        <f t="shared" si="23"/>
        <v>44</v>
      </c>
      <c r="Y445" s="3">
        <v>20</v>
      </c>
      <c r="Z445" s="3" t="s">
        <v>2780</v>
      </c>
      <c r="AA445" s="2" t="s">
        <v>3476</v>
      </c>
    </row>
    <row r="446" spans="1:28" ht="23.25" hidden="1" customHeight="1">
      <c r="A446" s="239" t="s">
        <v>2943</v>
      </c>
      <c r="B446" s="3">
        <v>2024</v>
      </c>
      <c r="C446" s="3" t="s">
        <v>42</v>
      </c>
      <c r="D446" s="3" t="s">
        <v>52</v>
      </c>
      <c r="E446" s="3" t="s">
        <v>1721</v>
      </c>
      <c r="F446" s="173" t="s">
        <v>1722</v>
      </c>
      <c r="G446" s="173"/>
      <c r="H446" s="248"/>
      <c r="I446" s="174" t="s">
        <v>44</v>
      </c>
      <c r="J446" s="2" t="s">
        <v>15</v>
      </c>
      <c r="K446" s="177" t="s">
        <v>51</v>
      </c>
      <c r="L446" s="177" t="s">
        <v>3477</v>
      </c>
      <c r="M446" s="1">
        <v>45370</v>
      </c>
      <c r="N446" s="1">
        <v>45370</v>
      </c>
      <c r="O446" s="3" t="s">
        <v>41</v>
      </c>
      <c r="P446" s="178">
        <v>0</v>
      </c>
      <c r="Q446" s="179"/>
      <c r="R446" s="217">
        <v>4.92</v>
      </c>
      <c r="S446" s="218">
        <f t="shared" si="22"/>
        <v>0.98399999999999999</v>
      </c>
      <c r="T446" s="180">
        <v>160</v>
      </c>
      <c r="U446" s="181">
        <v>40</v>
      </c>
      <c r="V446" s="181">
        <v>65</v>
      </c>
      <c r="W446" s="181">
        <v>0</v>
      </c>
      <c r="X446" s="182">
        <f t="shared" si="23"/>
        <v>105</v>
      </c>
      <c r="Y446" s="3">
        <v>4</v>
      </c>
      <c r="Z446" s="3" t="s">
        <v>2784</v>
      </c>
      <c r="AA446" s="2" t="s">
        <v>3478</v>
      </c>
    </row>
    <row r="447" spans="1:28" ht="23.25" hidden="1" customHeight="1">
      <c r="A447" s="171" t="s">
        <v>2943</v>
      </c>
      <c r="B447" s="3">
        <v>2024</v>
      </c>
      <c r="C447" s="3" t="s">
        <v>42</v>
      </c>
      <c r="D447" s="3" t="s">
        <v>52</v>
      </c>
      <c r="E447" s="3" t="s">
        <v>1725</v>
      </c>
      <c r="F447" s="173" t="s">
        <v>1726</v>
      </c>
      <c r="G447" s="173"/>
      <c r="H447" s="248"/>
      <c r="I447" s="174" t="s">
        <v>33</v>
      </c>
      <c r="J447" s="272" t="s">
        <v>7</v>
      </c>
      <c r="K447" s="177" t="s">
        <v>3022</v>
      </c>
      <c r="L447" s="1">
        <v>45373</v>
      </c>
      <c r="M447" s="1">
        <v>45373</v>
      </c>
      <c r="N447" s="1">
        <v>45373</v>
      </c>
      <c r="O447" s="3" t="s">
        <v>45</v>
      </c>
      <c r="P447" s="178">
        <v>1199.1600000000001</v>
      </c>
      <c r="Q447" s="179"/>
      <c r="R447" s="217">
        <v>4.8600000000000003</v>
      </c>
      <c r="S447" s="218">
        <f t="shared" si="22"/>
        <v>0.97200000000000009</v>
      </c>
      <c r="T447" s="180">
        <v>50</v>
      </c>
      <c r="U447" s="181">
        <v>50</v>
      </c>
      <c r="V447" s="181">
        <v>0</v>
      </c>
      <c r="W447" s="181">
        <v>0</v>
      </c>
      <c r="X447" s="182">
        <f t="shared" si="23"/>
        <v>50</v>
      </c>
      <c r="Y447" s="3">
        <v>4</v>
      </c>
      <c r="Z447" s="3" t="s">
        <v>2780</v>
      </c>
      <c r="AA447" s="2" t="s">
        <v>3479</v>
      </c>
      <c r="AB447" s="274" t="s">
        <v>3480</v>
      </c>
    </row>
    <row r="448" spans="1:28" ht="23.25" hidden="1" customHeight="1">
      <c r="A448" s="171" t="s">
        <v>2943</v>
      </c>
      <c r="B448" s="3">
        <v>2024</v>
      </c>
      <c r="C448" s="3" t="s">
        <v>42</v>
      </c>
      <c r="D448" s="3" t="s">
        <v>52</v>
      </c>
      <c r="E448" s="3" t="s">
        <v>1729</v>
      </c>
      <c r="F448" s="173" t="s">
        <v>1730</v>
      </c>
      <c r="G448" s="173"/>
      <c r="H448" s="248"/>
      <c r="I448" s="174" t="s">
        <v>33</v>
      </c>
      <c r="J448" s="2" t="s">
        <v>25</v>
      </c>
      <c r="K448" s="177" t="s">
        <v>3022</v>
      </c>
      <c r="L448" s="177" t="s">
        <v>1731</v>
      </c>
      <c r="M448" s="1">
        <v>45383</v>
      </c>
      <c r="N448" s="1">
        <v>45387</v>
      </c>
      <c r="O448" s="3" t="s">
        <v>45</v>
      </c>
      <c r="P448" s="178">
        <v>15444.87</v>
      </c>
      <c r="Q448" s="179"/>
      <c r="R448" s="217">
        <v>4.7</v>
      </c>
      <c r="S448" s="218">
        <f t="shared" si="22"/>
        <v>0.94000000000000006</v>
      </c>
      <c r="T448" s="180">
        <v>30</v>
      </c>
      <c r="U448" s="181">
        <v>25</v>
      </c>
      <c r="V448" s="181">
        <v>0</v>
      </c>
      <c r="W448" s="181">
        <v>0</v>
      </c>
      <c r="X448" s="182">
        <f t="shared" si="23"/>
        <v>25</v>
      </c>
      <c r="Y448" s="3">
        <v>20</v>
      </c>
      <c r="Z448" s="3" t="s">
        <v>2780</v>
      </c>
      <c r="AA448" s="2" t="s">
        <v>3274</v>
      </c>
      <c r="AB448" s="249"/>
    </row>
    <row r="449" spans="1:28" ht="23.25" hidden="1" customHeight="1">
      <c r="A449" s="239" t="s">
        <v>2943</v>
      </c>
      <c r="B449" s="3">
        <v>2024</v>
      </c>
      <c r="C449" s="3" t="s">
        <v>42</v>
      </c>
      <c r="D449" s="3" t="s">
        <v>52</v>
      </c>
      <c r="E449" s="3" t="s">
        <v>1733</v>
      </c>
      <c r="F449" s="173" t="s">
        <v>1734</v>
      </c>
      <c r="G449" s="173"/>
      <c r="H449" s="248"/>
      <c r="I449" s="174" t="s">
        <v>33</v>
      </c>
      <c r="J449" s="2" t="s">
        <v>32</v>
      </c>
      <c r="K449" s="177" t="s">
        <v>3022</v>
      </c>
      <c r="L449" s="177" t="s">
        <v>1735</v>
      </c>
      <c r="M449" s="1">
        <v>45383</v>
      </c>
      <c r="N449" s="1">
        <v>45392</v>
      </c>
      <c r="O449" s="3" t="s">
        <v>41</v>
      </c>
      <c r="P449" s="178">
        <v>10420.280000000001</v>
      </c>
      <c r="Q449" s="179"/>
      <c r="R449" s="217">
        <v>5</v>
      </c>
      <c r="S449" s="218">
        <f t="shared" si="22"/>
        <v>1</v>
      </c>
      <c r="T449" s="180">
        <v>20</v>
      </c>
      <c r="U449" s="181">
        <v>9</v>
      </c>
      <c r="V449" s="181">
        <v>0</v>
      </c>
      <c r="W449" s="181">
        <v>0</v>
      </c>
      <c r="X449" s="182">
        <f t="shared" si="23"/>
        <v>9</v>
      </c>
      <c r="Y449" s="3">
        <v>20</v>
      </c>
      <c r="Z449" s="3" t="s">
        <v>2784</v>
      </c>
      <c r="AA449" s="2" t="s">
        <v>3474</v>
      </c>
    </row>
    <row r="450" spans="1:28" ht="23.25" hidden="1" customHeight="1">
      <c r="A450" s="239" t="s">
        <v>2943</v>
      </c>
      <c r="B450" s="3">
        <v>2024</v>
      </c>
      <c r="C450" s="3" t="s">
        <v>42</v>
      </c>
      <c r="D450" s="3" t="s">
        <v>52</v>
      </c>
      <c r="E450" s="3" t="s">
        <v>1737</v>
      </c>
      <c r="F450" s="173" t="s">
        <v>1738</v>
      </c>
      <c r="G450" s="173"/>
      <c r="H450" s="248"/>
      <c r="I450" s="174" t="s">
        <v>48</v>
      </c>
      <c r="J450" s="2" t="s">
        <v>18</v>
      </c>
      <c r="K450" s="177" t="s">
        <v>51</v>
      </c>
      <c r="L450" s="177" t="s">
        <v>1731</v>
      </c>
      <c r="M450" s="1">
        <v>45383</v>
      </c>
      <c r="N450" s="1">
        <v>45387</v>
      </c>
      <c r="O450" s="3" t="s">
        <v>41</v>
      </c>
      <c r="P450" s="178">
        <v>8464.48</v>
      </c>
      <c r="Q450" s="179"/>
      <c r="R450" s="217">
        <v>4.5</v>
      </c>
      <c r="S450" s="218">
        <f t="shared" si="22"/>
        <v>0.9</v>
      </c>
      <c r="T450" s="180">
        <v>30</v>
      </c>
      <c r="U450" s="181">
        <v>1</v>
      </c>
      <c r="V450" s="181">
        <v>0</v>
      </c>
      <c r="W450" s="181">
        <v>24</v>
      </c>
      <c r="X450" s="182">
        <f t="shared" si="23"/>
        <v>25</v>
      </c>
      <c r="Y450" s="3">
        <v>16</v>
      </c>
      <c r="Z450" s="3" t="s">
        <v>2784</v>
      </c>
      <c r="AA450" s="2" t="s">
        <v>3481</v>
      </c>
      <c r="AB450" s="274" t="s">
        <v>3482</v>
      </c>
    </row>
    <row r="451" spans="1:28" ht="23.25" hidden="1" customHeight="1">
      <c r="A451" s="239" t="s">
        <v>2943</v>
      </c>
      <c r="B451" s="3">
        <v>2024</v>
      </c>
      <c r="C451" s="3" t="s">
        <v>42</v>
      </c>
      <c r="D451" s="3" t="s">
        <v>52</v>
      </c>
      <c r="E451" s="3" t="s">
        <v>1740</v>
      </c>
      <c r="F451" s="173" t="s">
        <v>1741</v>
      </c>
      <c r="G451" s="173"/>
      <c r="H451" s="248"/>
      <c r="I451" s="174" t="s">
        <v>33</v>
      </c>
      <c r="J451" s="2" t="s">
        <v>10</v>
      </c>
      <c r="K451" s="177" t="s">
        <v>3022</v>
      </c>
      <c r="L451" s="177" t="s">
        <v>3483</v>
      </c>
      <c r="M451" s="1">
        <v>45384</v>
      </c>
      <c r="N451" s="1">
        <v>45435</v>
      </c>
      <c r="O451" s="3" t="s">
        <v>45</v>
      </c>
      <c r="P451" s="178">
        <v>17000</v>
      </c>
      <c r="Q451" s="179"/>
      <c r="R451" s="217">
        <v>4.5999999999999996</v>
      </c>
      <c r="S451" s="218">
        <f t="shared" si="22"/>
        <v>0.91999999999999993</v>
      </c>
      <c r="T451" s="180">
        <v>4</v>
      </c>
      <c r="U451" s="181">
        <v>13</v>
      </c>
      <c r="V451" s="181">
        <v>0</v>
      </c>
      <c r="W451" s="181">
        <v>0</v>
      </c>
      <c r="X451" s="182">
        <f t="shared" si="23"/>
        <v>13</v>
      </c>
      <c r="Y451" s="3">
        <v>19</v>
      </c>
      <c r="Z451" s="3" t="s">
        <v>2780</v>
      </c>
      <c r="AA451" s="2" t="s">
        <v>1743</v>
      </c>
    </row>
    <row r="452" spans="1:28" ht="23.25" hidden="1" customHeight="1">
      <c r="A452" s="171" t="s">
        <v>2943</v>
      </c>
      <c r="B452" s="3">
        <v>2024</v>
      </c>
      <c r="C452" s="3" t="s">
        <v>42</v>
      </c>
      <c r="D452" s="3" t="s">
        <v>52</v>
      </c>
      <c r="E452" s="3" t="s">
        <v>1725</v>
      </c>
      <c r="F452" s="173" t="s">
        <v>1745</v>
      </c>
      <c r="G452" s="173"/>
      <c r="H452" s="248"/>
      <c r="I452" s="174" t="s">
        <v>33</v>
      </c>
      <c r="J452" s="272" t="s">
        <v>7</v>
      </c>
      <c r="K452" s="177" t="s">
        <v>3022</v>
      </c>
      <c r="L452" s="177" t="s">
        <v>1746</v>
      </c>
      <c r="M452" s="1">
        <v>45387</v>
      </c>
      <c r="N452" s="1">
        <v>45408</v>
      </c>
      <c r="O452" s="3" t="s">
        <v>45</v>
      </c>
      <c r="P452" s="178">
        <f>1199.16*4</f>
        <v>4796.6400000000003</v>
      </c>
      <c r="Q452" s="179"/>
      <c r="R452" s="217">
        <v>4.9000000000000004</v>
      </c>
      <c r="S452" s="218">
        <f t="shared" si="22"/>
        <v>0.98000000000000009</v>
      </c>
      <c r="T452" s="180">
        <v>40</v>
      </c>
      <c r="U452" s="181">
        <v>49</v>
      </c>
      <c r="V452" s="181">
        <v>0</v>
      </c>
      <c r="W452" s="181">
        <v>0</v>
      </c>
      <c r="X452" s="182">
        <f t="shared" si="23"/>
        <v>49</v>
      </c>
      <c r="Y452" s="3">
        <v>16</v>
      </c>
      <c r="Z452" s="3" t="s">
        <v>2780</v>
      </c>
      <c r="AA452" s="2" t="s">
        <v>3479</v>
      </c>
      <c r="AB452" s="274" t="s">
        <v>3484</v>
      </c>
    </row>
    <row r="453" spans="1:28" ht="23.25" hidden="1" customHeight="1">
      <c r="A453" s="239" t="s">
        <v>2943</v>
      </c>
      <c r="B453" s="3">
        <v>2024</v>
      </c>
      <c r="C453" s="3" t="s">
        <v>42</v>
      </c>
      <c r="D453" s="3" t="s">
        <v>52</v>
      </c>
      <c r="E453" s="3" t="s">
        <v>1749</v>
      </c>
      <c r="F453" s="173" t="s">
        <v>1750</v>
      </c>
      <c r="G453" s="173"/>
      <c r="H453" s="248"/>
      <c r="I453" s="174" t="s">
        <v>33</v>
      </c>
      <c r="J453" s="2" t="s">
        <v>32</v>
      </c>
      <c r="K453" s="177" t="s">
        <v>3022</v>
      </c>
      <c r="L453" s="177" t="s">
        <v>3485</v>
      </c>
      <c r="M453" s="1">
        <v>45387</v>
      </c>
      <c r="N453" s="1">
        <v>45387</v>
      </c>
      <c r="O453" s="3" t="s">
        <v>41</v>
      </c>
      <c r="P453" s="178">
        <v>1042.02</v>
      </c>
      <c r="Q453" s="179"/>
      <c r="R453" s="217">
        <v>5</v>
      </c>
      <c r="S453" s="218">
        <f t="shared" si="22"/>
        <v>1</v>
      </c>
      <c r="T453" s="180">
        <v>170</v>
      </c>
      <c r="U453" s="181">
        <v>0</v>
      </c>
      <c r="V453" s="181">
        <v>0</v>
      </c>
      <c r="W453" s="181">
        <v>128</v>
      </c>
      <c r="X453" s="182">
        <f t="shared" si="23"/>
        <v>128</v>
      </c>
      <c r="Y453" s="3">
        <v>4</v>
      </c>
      <c r="Z453" s="3" t="s">
        <v>2784</v>
      </c>
      <c r="AA453" s="2" t="s">
        <v>3486</v>
      </c>
      <c r="AB453" s="274" t="s">
        <v>3487</v>
      </c>
    </row>
    <row r="454" spans="1:28" ht="23.25" hidden="1" customHeight="1">
      <c r="A454" s="171" t="s">
        <v>2943</v>
      </c>
      <c r="B454" s="3">
        <v>2024</v>
      </c>
      <c r="C454" s="3" t="s">
        <v>42</v>
      </c>
      <c r="D454" s="3" t="s">
        <v>52</v>
      </c>
      <c r="E454" s="3" t="s">
        <v>1695</v>
      </c>
      <c r="F454" s="173" t="s">
        <v>1753</v>
      </c>
      <c r="G454" s="173"/>
      <c r="H454" s="248"/>
      <c r="I454" s="174" t="s">
        <v>44</v>
      </c>
      <c r="J454" s="2" t="s">
        <v>15</v>
      </c>
      <c r="K454" s="177" t="s">
        <v>3041</v>
      </c>
      <c r="L454" s="177" t="s">
        <v>1754</v>
      </c>
      <c r="M454" s="1">
        <v>45390</v>
      </c>
      <c r="N454" s="1">
        <v>45394</v>
      </c>
      <c r="O454" s="3" t="s">
        <v>41</v>
      </c>
      <c r="P454" s="178">
        <v>11779.56</v>
      </c>
      <c r="Q454" s="179"/>
      <c r="R454" s="217">
        <v>4.8</v>
      </c>
      <c r="S454" s="218">
        <f t="shared" si="22"/>
        <v>0.96</v>
      </c>
      <c r="T454" s="180">
        <v>21</v>
      </c>
      <c r="U454" s="181">
        <v>5</v>
      </c>
      <c r="V454" s="181">
        <v>16</v>
      </c>
      <c r="W454" s="181">
        <v>0</v>
      </c>
      <c r="X454" s="182">
        <f t="shared" si="23"/>
        <v>21</v>
      </c>
      <c r="Y454" s="3">
        <v>20</v>
      </c>
      <c r="Z454" s="3" t="s">
        <v>2784</v>
      </c>
      <c r="AA454" s="2" t="s">
        <v>3442</v>
      </c>
      <c r="AB454" s="274" t="s">
        <v>3488</v>
      </c>
    </row>
    <row r="455" spans="1:28" ht="23.25" hidden="1" customHeight="1">
      <c r="A455" s="239" t="s">
        <v>2943</v>
      </c>
      <c r="B455" s="3">
        <v>2024</v>
      </c>
      <c r="C455" s="3" t="s">
        <v>46</v>
      </c>
      <c r="D455" s="3" t="s">
        <v>52</v>
      </c>
      <c r="E455" s="3" t="s">
        <v>1756</v>
      </c>
      <c r="F455" s="173" t="s">
        <v>1757</v>
      </c>
      <c r="G455" s="173"/>
      <c r="H455" s="248"/>
      <c r="I455" s="174" t="s">
        <v>33</v>
      </c>
      <c r="J455" s="2" t="s">
        <v>25</v>
      </c>
      <c r="K455" s="177" t="s">
        <v>3022</v>
      </c>
      <c r="L455" s="177" t="s">
        <v>3489</v>
      </c>
      <c r="M455" s="1">
        <v>45390</v>
      </c>
      <c r="N455" s="1">
        <v>45415</v>
      </c>
      <c r="O455" s="3" t="s">
        <v>41</v>
      </c>
      <c r="P455" s="178">
        <v>8000</v>
      </c>
      <c r="Q455" s="179"/>
      <c r="R455" s="217">
        <v>5</v>
      </c>
      <c r="S455" s="218">
        <f t="shared" si="22"/>
        <v>1</v>
      </c>
      <c r="T455" s="180">
        <v>8</v>
      </c>
      <c r="U455" s="181">
        <v>8</v>
      </c>
      <c r="V455" s="181">
        <v>0</v>
      </c>
      <c r="W455" s="181">
        <v>0</v>
      </c>
      <c r="X455" s="182">
        <f t="shared" si="23"/>
        <v>8</v>
      </c>
      <c r="Y455" s="3">
        <v>16</v>
      </c>
      <c r="Z455" s="3" t="s">
        <v>2780</v>
      </c>
      <c r="AA455" s="2" t="s">
        <v>3490</v>
      </c>
    </row>
    <row r="456" spans="1:28" ht="23.25" hidden="1" customHeight="1">
      <c r="A456" s="239" t="s">
        <v>2943</v>
      </c>
      <c r="B456" s="3">
        <v>2024</v>
      </c>
      <c r="D456" s="171" t="s">
        <v>50</v>
      </c>
      <c r="E456" s="3" t="s">
        <v>2900</v>
      </c>
      <c r="F456" s="173" t="s">
        <v>3491</v>
      </c>
      <c r="G456" s="173"/>
      <c r="H456" s="248"/>
      <c r="I456" s="174" t="s">
        <v>44</v>
      </c>
      <c r="K456" s="177" t="s">
        <v>3041</v>
      </c>
      <c r="L456" s="177" t="s">
        <v>3492</v>
      </c>
      <c r="M456" s="1">
        <v>45391</v>
      </c>
      <c r="N456" s="1">
        <v>45392</v>
      </c>
      <c r="O456" s="3" t="s">
        <v>41</v>
      </c>
      <c r="Q456" s="179"/>
      <c r="R456" s="217"/>
      <c r="S456" s="218">
        <f t="shared" si="22"/>
        <v>0</v>
      </c>
      <c r="T456" s="180"/>
      <c r="U456" s="181"/>
      <c r="V456" s="181"/>
      <c r="W456" s="181"/>
      <c r="X456" s="181">
        <f t="shared" si="23"/>
        <v>0</v>
      </c>
      <c r="Y456" s="3"/>
      <c r="Z456" s="3" t="s">
        <v>2784</v>
      </c>
      <c r="AA456" s="2" t="s">
        <v>3476</v>
      </c>
    </row>
    <row r="457" spans="1:28" ht="23.25" hidden="1" customHeight="1">
      <c r="A457" s="239" t="s">
        <v>2943</v>
      </c>
      <c r="B457" s="3">
        <v>2024</v>
      </c>
      <c r="C457" s="3" t="s">
        <v>46</v>
      </c>
      <c r="D457" s="3" t="s">
        <v>52</v>
      </c>
      <c r="E457" s="3" t="s">
        <v>1749</v>
      </c>
      <c r="F457" s="173" t="s">
        <v>1760</v>
      </c>
      <c r="G457" s="173"/>
      <c r="H457" s="248"/>
      <c r="I457" s="174" t="s">
        <v>33</v>
      </c>
      <c r="J457" s="2" t="s">
        <v>32</v>
      </c>
      <c r="K457" s="177" t="s">
        <v>3022</v>
      </c>
      <c r="L457" s="177" t="s">
        <v>3493</v>
      </c>
      <c r="M457" s="1">
        <v>45394</v>
      </c>
      <c r="N457" s="1">
        <v>45394</v>
      </c>
      <c r="O457" s="3" t="s">
        <v>41</v>
      </c>
      <c r="P457" s="178">
        <v>1042.02</v>
      </c>
      <c r="Q457" s="179"/>
      <c r="R457" s="217">
        <v>4.9000000000000004</v>
      </c>
      <c r="S457" s="218">
        <f t="shared" si="22"/>
        <v>0.98000000000000009</v>
      </c>
      <c r="T457" s="180">
        <v>170</v>
      </c>
      <c r="U457" s="181">
        <v>93</v>
      </c>
      <c r="V457" s="181">
        <v>0</v>
      </c>
      <c r="W457" s="181">
        <v>0</v>
      </c>
      <c r="X457" s="182">
        <f t="shared" si="23"/>
        <v>93</v>
      </c>
      <c r="Y457" s="3">
        <v>4</v>
      </c>
      <c r="Z457" s="3" t="s">
        <v>2784</v>
      </c>
      <c r="AA457" s="2" t="s">
        <v>3486</v>
      </c>
      <c r="AB457" s="274" t="s">
        <v>3494</v>
      </c>
    </row>
    <row r="458" spans="1:28" ht="23.25" hidden="1" customHeight="1">
      <c r="A458" s="239" t="s">
        <v>2943</v>
      </c>
      <c r="B458" s="3">
        <v>2024</v>
      </c>
      <c r="C458" s="3" t="s">
        <v>46</v>
      </c>
      <c r="D458" s="3" t="s">
        <v>52</v>
      </c>
      <c r="E458" s="3" t="s">
        <v>1763</v>
      </c>
      <c r="F458" s="173" t="s">
        <v>1764</v>
      </c>
      <c r="G458" s="173"/>
      <c r="H458" s="248"/>
      <c r="I458" s="174" t="s">
        <v>33</v>
      </c>
      <c r="J458" s="2" t="s">
        <v>32</v>
      </c>
      <c r="K458" s="177" t="s">
        <v>3022</v>
      </c>
      <c r="L458" s="177" t="s">
        <v>1765</v>
      </c>
      <c r="M458" s="1">
        <v>45397</v>
      </c>
      <c r="N458" s="1">
        <v>45411</v>
      </c>
      <c r="O458" s="3" t="s">
        <v>45</v>
      </c>
      <c r="P458" s="178">
        <v>19900</v>
      </c>
      <c r="Q458" s="179"/>
      <c r="R458" s="217">
        <v>4.9000000000000004</v>
      </c>
      <c r="S458" s="218">
        <f t="shared" si="22"/>
        <v>0.98000000000000009</v>
      </c>
      <c r="T458" s="180">
        <v>20</v>
      </c>
      <c r="U458" s="181">
        <v>6</v>
      </c>
      <c r="V458" s="181">
        <v>0</v>
      </c>
      <c r="W458" s="181">
        <v>0</v>
      </c>
      <c r="X458" s="182">
        <f t="shared" si="23"/>
        <v>6</v>
      </c>
      <c r="Y458" s="3">
        <v>24</v>
      </c>
      <c r="Z458" s="3" t="s">
        <v>2780</v>
      </c>
      <c r="AA458" s="2" t="s">
        <v>1228</v>
      </c>
      <c r="AB458" s="274" t="s">
        <v>3495</v>
      </c>
    </row>
    <row r="459" spans="1:28" ht="23.25" hidden="1" customHeight="1">
      <c r="A459" s="275" t="s">
        <v>2943</v>
      </c>
      <c r="B459" s="3">
        <v>2024</v>
      </c>
      <c r="C459" s="3" t="s">
        <v>46</v>
      </c>
      <c r="D459" s="3" t="s">
        <v>52</v>
      </c>
      <c r="E459" s="16" t="s">
        <v>2830</v>
      </c>
      <c r="F459" s="173" t="s">
        <v>1767</v>
      </c>
      <c r="G459" s="173"/>
      <c r="H459" s="248"/>
      <c r="I459" s="174" t="s">
        <v>44</v>
      </c>
      <c r="J459" s="2" t="s">
        <v>15</v>
      </c>
      <c r="K459" s="177" t="s">
        <v>3022</v>
      </c>
      <c r="L459" s="177" t="s">
        <v>1768</v>
      </c>
      <c r="M459" s="1">
        <v>45414</v>
      </c>
      <c r="N459" s="1">
        <v>45414</v>
      </c>
      <c r="O459" s="3" t="s">
        <v>49</v>
      </c>
      <c r="P459" s="178">
        <v>0</v>
      </c>
      <c r="Q459" s="179"/>
      <c r="R459" s="217">
        <v>5</v>
      </c>
      <c r="S459" s="218">
        <f t="shared" si="22"/>
        <v>1</v>
      </c>
      <c r="T459" s="180">
        <v>170</v>
      </c>
      <c r="U459" s="181">
        <v>40</v>
      </c>
      <c r="V459" s="181">
        <v>40</v>
      </c>
      <c r="W459" s="181">
        <v>0</v>
      </c>
      <c r="X459" s="182">
        <f t="shared" si="23"/>
        <v>80</v>
      </c>
      <c r="Y459" s="3">
        <v>4</v>
      </c>
      <c r="Z459" s="3" t="s">
        <v>2784</v>
      </c>
      <c r="AA459" s="2" t="s">
        <v>492</v>
      </c>
    </row>
    <row r="460" spans="1:28" ht="23.25" hidden="1" customHeight="1">
      <c r="A460" s="171" t="s">
        <v>2943</v>
      </c>
      <c r="B460" s="3">
        <v>2024</v>
      </c>
      <c r="C460" s="3" t="s">
        <v>46</v>
      </c>
      <c r="D460" s="3" t="s">
        <v>52</v>
      </c>
      <c r="E460" s="3" t="s">
        <v>1770</v>
      </c>
      <c r="F460" s="241" t="s">
        <v>1771</v>
      </c>
      <c r="G460" s="173"/>
      <c r="H460" s="248"/>
      <c r="I460" s="174" t="s">
        <v>33</v>
      </c>
      <c r="J460" s="234" t="s">
        <v>29</v>
      </c>
      <c r="K460" s="177" t="s">
        <v>3022</v>
      </c>
      <c r="L460" s="177" t="s">
        <v>1772</v>
      </c>
      <c r="M460" s="1">
        <v>45415</v>
      </c>
      <c r="N460" s="1">
        <v>45415</v>
      </c>
      <c r="O460" s="3" t="s">
        <v>45</v>
      </c>
      <c r="P460" s="178">
        <f>49600/8</f>
        <v>6200</v>
      </c>
      <c r="Q460" s="179"/>
      <c r="R460" s="217">
        <v>5</v>
      </c>
      <c r="S460" s="218">
        <f t="shared" si="22"/>
        <v>1</v>
      </c>
      <c r="T460" s="181">
        <v>23</v>
      </c>
      <c r="U460" s="181">
        <v>8</v>
      </c>
      <c r="V460" s="181">
        <v>0</v>
      </c>
      <c r="W460" s="181">
        <v>0</v>
      </c>
      <c r="X460" s="182">
        <f t="shared" si="23"/>
        <v>8</v>
      </c>
      <c r="Y460" s="3">
        <v>4</v>
      </c>
      <c r="Z460" s="3" t="s">
        <v>2780</v>
      </c>
      <c r="AA460" s="2" t="s">
        <v>1773</v>
      </c>
    </row>
    <row r="461" spans="1:28" ht="23.25" hidden="1" customHeight="1">
      <c r="A461" s="171" t="s">
        <v>2943</v>
      </c>
      <c r="B461" s="3">
        <v>2024</v>
      </c>
      <c r="C461" s="3" t="s">
        <v>46</v>
      </c>
      <c r="D461" s="3" t="s">
        <v>52</v>
      </c>
      <c r="E461" s="3" t="s">
        <v>1775</v>
      </c>
      <c r="F461" s="173" t="s">
        <v>1776</v>
      </c>
      <c r="G461" s="173"/>
      <c r="H461" s="248"/>
      <c r="I461" s="174" t="s">
        <v>33</v>
      </c>
      <c r="J461" s="2" t="s">
        <v>25</v>
      </c>
      <c r="K461" s="177" t="s">
        <v>3022</v>
      </c>
      <c r="L461" s="177" t="s">
        <v>1777</v>
      </c>
      <c r="M461" s="1">
        <v>45418</v>
      </c>
      <c r="N461" s="1">
        <v>45421</v>
      </c>
      <c r="O461" s="3" t="s">
        <v>41</v>
      </c>
      <c r="P461" s="178">
        <v>9423.64</v>
      </c>
      <c r="Q461" s="179"/>
      <c r="R461" s="217">
        <v>5</v>
      </c>
      <c r="S461" s="218">
        <f t="shared" si="22"/>
        <v>1</v>
      </c>
      <c r="T461" s="180">
        <v>20</v>
      </c>
      <c r="U461" s="181">
        <v>10</v>
      </c>
      <c r="V461" s="181">
        <v>0</v>
      </c>
      <c r="W461" s="181">
        <v>0</v>
      </c>
      <c r="X461" s="182">
        <f t="shared" si="23"/>
        <v>10</v>
      </c>
      <c r="Y461" s="3">
        <v>16</v>
      </c>
      <c r="Z461" s="3" t="s">
        <v>2784</v>
      </c>
      <c r="AA461" s="2" t="s">
        <v>3496</v>
      </c>
    </row>
    <row r="462" spans="1:28" ht="23.25" hidden="1" customHeight="1">
      <c r="A462" s="171" t="s">
        <v>2943</v>
      </c>
      <c r="B462" s="3">
        <v>2024</v>
      </c>
      <c r="C462" s="3" t="s">
        <v>42</v>
      </c>
      <c r="D462" s="3" t="s">
        <v>52</v>
      </c>
      <c r="E462" s="3" t="s">
        <v>1780</v>
      </c>
      <c r="F462" s="173" t="s">
        <v>1781</v>
      </c>
      <c r="G462" s="173"/>
      <c r="H462" s="248"/>
      <c r="I462" s="174" t="s">
        <v>48</v>
      </c>
      <c r="J462" s="2" t="s">
        <v>18</v>
      </c>
      <c r="K462" s="177" t="s">
        <v>3041</v>
      </c>
      <c r="L462" s="177" t="s">
        <v>3497</v>
      </c>
      <c r="M462" s="1">
        <v>45420</v>
      </c>
      <c r="N462" s="1">
        <v>45422</v>
      </c>
      <c r="O462" s="3" t="s">
        <v>45</v>
      </c>
      <c r="P462" s="178">
        <v>2146.96</v>
      </c>
      <c r="Q462" s="217"/>
      <c r="R462" s="180"/>
      <c r="S462" s="218">
        <f t="shared" si="22"/>
        <v>0</v>
      </c>
      <c r="T462" s="181">
        <v>80</v>
      </c>
      <c r="U462" s="181">
        <v>0</v>
      </c>
      <c r="V462" s="181">
        <v>0</v>
      </c>
      <c r="W462" s="3">
        <v>80</v>
      </c>
      <c r="X462" s="182">
        <f t="shared" si="23"/>
        <v>80</v>
      </c>
      <c r="Y462" s="3">
        <v>4</v>
      </c>
      <c r="Z462" s="3" t="s">
        <v>3299</v>
      </c>
      <c r="AA462" s="2" t="s">
        <v>3498</v>
      </c>
    </row>
    <row r="463" spans="1:28" ht="23.25" hidden="1" customHeight="1">
      <c r="A463" s="171" t="s">
        <v>2943</v>
      </c>
      <c r="B463" s="3">
        <v>2024</v>
      </c>
      <c r="C463" s="3" t="s">
        <v>42</v>
      </c>
      <c r="D463" s="3" t="s">
        <v>52</v>
      </c>
      <c r="E463" s="3" t="s">
        <v>1780</v>
      </c>
      <c r="F463" s="173" t="s">
        <v>1784</v>
      </c>
      <c r="G463" s="173"/>
      <c r="H463" s="248"/>
      <c r="I463" s="174" t="s">
        <v>48</v>
      </c>
      <c r="J463" s="2" t="s">
        <v>18</v>
      </c>
      <c r="K463" s="177" t="s">
        <v>3041</v>
      </c>
      <c r="L463" s="177" t="s">
        <v>3497</v>
      </c>
      <c r="M463" s="1">
        <v>45420</v>
      </c>
      <c r="N463" s="1">
        <v>45422</v>
      </c>
      <c r="O463" s="3" t="s">
        <v>45</v>
      </c>
      <c r="P463" s="178">
        <v>2146.96</v>
      </c>
      <c r="Q463" s="217"/>
      <c r="R463" s="180"/>
      <c r="S463" s="218">
        <f t="shared" si="22"/>
        <v>0</v>
      </c>
      <c r="T463" s="181">
        <v>80</v>
      </c>
      <c r="U463" s="181">
        <v>0</v>
      </c>
      <c r="V463" s="181">
        <v>0</v>
      </c>
      <c r="W463" s="3">
        <v>80</v>
      </c>
      <c r="X463" s="182">
        <f t="shared" si="23"/>
        <v>80</v>
      </c>
      <c r="Y463" s="3">
        <v>4</v>
      </c>
      <c r="Z463" s="3" t="s">
        <v>3299</v>
      </c>
      <c r="AA463" s="2" t="s">
        <v>3498</v>
      </c>
    </row>
    <row r="464" spans="1:28" ht="23.25" hidden="1" customHeight="1">
      <c r="A464" s="171" t="s">
        <v>2943</v>
      </c>
      <c r="B464" s="3">
        <v>2024</v>
      </c>
      <c r="C464" s="3" t="s">
        <v>42</v>
      </c>
      <c r="D464" s="3" t="s">
        <v>52</v>
      </c>
      <c r="E464" s="3" t="s">
        <v>1780</v>
      </c>
      <c r="F464" s="173" t="s">
        <v>1786</v>
      </c>
      <c r="G464" s="173"/>
      <c r="H464" s="248"/>
      <c r="I464" s="174" t="s">
        <v>48</v>
      </c>
      <c r="J464" s="2" t="s">
        <v>18</v>
      </c>
      <c r="K464" s="177" t="s">
        <v>3041</v>
      </c>
      <c r="L464" s="177" t="s">
        <v>3497</v>
      </c>
      <c r="M464" s="1">
        <v>45420</v>
      </c>
      <c r="N464" s="1">
        <v>45422</v>
      </c>
      <c r="O464" s="3" t="s">
        <v>45</v>
      </c>
      <c r="P464" s="178">
        <v>2146.96</v>
      </c>
      <c r="Q464" s="217"/>
      <c r="R464" s="180"/>
      <c r="S464" s="218">
        <f t="shared" si="22"/>
        <v>0</v>
      </c>
      <c r="T464" s="181">
        <v>80</v>
      </c>
      <c r="U464" s="181">
        <v>0</v>
      </c>
      <c r="V464" s="181">
        <v>0</v>
      </c>
      <c r="W464" s="3">
        <v>80</v>
      </c>
      <c r="X464" s="182">
        <f t="shared" si="23"/>
        <v>80</v>
      </c>
      <c r="Y464" s="3">
        <v>4</v>
      </c>
      <c r="Z464" s="3" t="s">
        <v>3299</v>
      </c>
      <c r="AA464" s="2" t="s">
        <v>3498</v>
      </c>
    </row>
    <row r="465" spans="1:28" ht="23.25" hidden="1" customHeight="1">
      <c r="A465" s="171" t="s">
        <v>2943</v>
      </c>
      <c r="B465" s="3">
        <v>2024</v>
      </c>
      <c r="C465" s="3" t="s">
        <v>42</v>
      </c>
      <c r="D465" s="3" t="s">
        <v>52</v>
      </c>
      <c r="E465" s="3" t="s">
        <v>1780</v>
      </c>
      <c r="F465" s="173" t="s">
        <v>1788</v>
      </c>
      <c r="G465" s="173"/>
      <c r="H465" s="248"/>
      <c r="I465" s="174" t="s">
        <v>48</v>
      </c>
      <c r="J465" s="2" t="s">
        <v>18</v>
      </c>
      <c r="K465" s="177" t="s">
        <v>3041</v>
      </c>
      <c r="L465" s="177" t="s">
        <v>3497</v>
      </c>
      <c r="M465" s="1">
        <v>45420</v>
      </c>
      <c r="N465" s="1">
        <v>45422</v>
      </c>
      <c r="O465" s="3" t="s">
        <v>45</v>
      </c>
      <c r="P465" s="178">
        <v>2146.96</v>
      </c>
      <c r="Q465" s="217"/>
      <c r="R465" s="180"/>
      <c r="S465" s="218">
        <f t="shared" si="22"/>
        <v>0</v>
      </c>
      <c r="T465" s="181">
        <v>80</v>
      </c>
      <c r="U465" s="181">
        <v>0</v>
      </c>
      <c r="V465" s="181">
        <v>0</v>
      </c>
      <c r="W465" s="3">
        <v>80</v>
      </c>
      <c r="X465" s="182">
        <f t="shared" si="23"/>
        <v>80</v>
      </c>
      <c r="Y465" s="3">
        <v>4</v>
      </c>
      <c r="Z465" s="3" t="s">
        <v>3299</v>
      </c>
      <c r="AA465" s="2" t="s">
        <v>3498</v>
      </c>
    </row>
    <row r="466" spans="1:28" ht="23.25" hidden="1" customHeight="1">
      <c r="A466" s="171" t="s">
        <v>2943</v>
      </c>
      <c r="B466" s="3">
        <v>2024</v>
      </c>
      <c r="C466" s="3" t="s">
        <v>42</v>
      </c>
      <c r="D466" s="3" t="s">
        <v>52</v>
      </c>
      <c r="E466" s="3" t="s">
        <v>1780</v>
      </c>
      <c r="F466" s="173" t="s">
        <v>1790</v>
      </c>
      <c r="G466" s="173"/>
      <c r="H466" s="248"/>
      <c r="I466" s="174" t="s">
        <v>48</v>
      </c>
      <c r="J466" s="2" t="s">
        <v>18</v>
      </c>
      <c r="K466" s="177" t="s">
        <v>3041</v>
      </c>
      <c r="L466" s="177" t="s">
        <v>3497</v>
      </c>
      <c r="M466" s="1">
        <v>45420</v>
      </c>
      <c r="N466" s="1">
        <v>45422</v>
      </c>
      <c r="O466" s="3" t="s">
        <v>45</v>
      </c>
      <c r="P466" s="178">
        <v>2146.96</v>
      </c>
      <c r="Q466" s="179"/>
      <c r="R466" s="217"/>
      <c r="S466" s="218">
        <f t="shared" si="22"/>
        <v>0</v>
      </c>
      <c r="T466" s="181">
        <v>80</v>
      </c>
      <c r="U466" s="181">
        <v>0</v>
      </c>
      <c r="V466" s="181">
        <v>0</v>
      </c>
      <c r="W466" s="3">
        <v>80</v>
      </c>
      <c r="X466" s="182">
        <f t="shared" si="23"/>
        <v>80</v>
      </c>
      <c r="Y466" s="3">
        <v>4</v>
      </c>
      <c r="Z466" s="3" t="s">
        <v>3299</v>
      </c>
      <c r="AA466" s="2" t="s">
        <v>3498</v>
      </c>
      <c r="AB466" s="276"/>
    </row>
    <row r="467" spans="1:28" ht="23.25" hidden="1" customHeight="1">
      <c r="A467" s="171" t="s">
        <v>2943</v>
      </c>
      <c r="B467" s="3">
        <v>2024</v>
      </c>
      <c r="C467" s="3" t="s">
        <v>46</v>
      </c>
      <c r="D467" s="3" t="s">
        <v>52</v>
      </c>
      <c r="E467" s="3" t="s">
        <v>1770</v>
      </c>
      <c r="F467" s="241" t="s">
        <v>1792</v>
      </c>
      <c r="G467" s="173"/>
      <c r="H467" s="248"/>
      <c r="I467" s="174" t="s">
        <v>33</v>
      </c>
      <c r="J467" s="2" t="s">
        <v>29</v>
      </c>
      <c r="K467" s="177" t="s">
        <v>3022</v>
      </c>
      <c r="L467" s="177" t="s">
        <v>1793</v>
      </c>
      <c r="M467" s="1">
        <v>45422</v>
      </c>
      <c r="N467" s="1">
        <v>45422</v>
      </c>
      <c r="O467" s="3" t="s">
        <v>45</v>
      </c>
      <c r="P467" s="178">
        <f>49600/8</f>
        <v>6200</v>
      </c>
      <c r="Q467" s="179"/>
      <c r="R467" s="217">
        <v>4.9000000000000004</v>
      </c>
      <c r="S467" s="218">
        <f t="shared" si="22"/>
        <v>0.98000000000000009</v>
      </c>
      <c r="T467" s="181">
        <v>50</v>
      </c>
      <c r="U467" s="181">
        <v>33</v>
      </c>
      <c r="V467" s="181">
        <v>0</v>
      </c>
      <c r="W467" s="181">
        <v>0</v>
      </c>
      <c r="X467" s="182">
        <f t="shared" si="23"/>
        <v>33</v>
      </c>
      <c r="Y467" s="3">
        <v>4</v>
      </c>
      <c r="Z467" s="3" t="s">
        <v>2780</v>
      </c>
      <c r="AA467" s="2" t="s">
        <v>1773</v>
      </c>
      <c r="AB467" s="274" t="s">
        <v>3499</v>
      </c>
    </row>
    <row r="468" spans="1:28" ht="23.25" hidden="1" customHeight="1">
      <c r="A468" s="273"/>
      <c r="B468" s="3">
        <v>2024</v>
      </c>
      <c r="C468" s="3" t="s">
        <v>42</v>
      </c>
      <c r="D468" s="3" t="s">
        <v>52</v>
      </c>
      <c r="E468" s="3" t="s">
        <v>1709</v>
      </c>
      <c r="F468" s="173" t="s">
        <v>1795</v>
      </c>
      <c r="G468" s="173"/>
      <c r="H468" s="248"/>
      <c r="I468" s="174" t="s">
        <v>33</v>
      </c>
      <c r="J468" s="2" t="s">
        <v>32</v>
      </c>
      <c r="K468" s="177" t="s">
        <v>3022</v>
      </c>
      <c r="L468" s="277" t="s">
        <v>1793</v>
      </c>
      <c r="M468" s="1">
        <v>45422</v>
      </c>
      <c r="N468" s="177" t="s">
        <v>1793</v>
      </c>
      <c r="Q468" s="179"/>
      <c r="R468" s="217"/>
      <c r="S468" s="218"/>
      <c r="T468" s="180"/>
      <c r="U468" s="181"/>
      <c r="V468" s="181"/>
      <c r="W468" s="181"/>
      <c r="X468" s="182"/>
      <c r="Y468" s="3"/>
      <c r="Z468" s="3"/>
    </row>
    <row r="469" spans="1:28" ht="23.25" hidden="1" customHeight="1">
      <c r="A469" s="239" t="s">
        <v>2943</v>
      </c>
      <c r="B469" s="3">
        <v>2024</v>
      </c>
      <c r="C469" s="3" t="s">
        <v>42</v>
      </c>
      <c r="D469" s="3" t="s">
        <v>52</v>
      </c>
      <c r="E469" s="3" t="s">
        <v>1717</v>
      </c>
      <c r="F469" s="173" t="s">
        <v>1797</v>
      </c>
      <c r="G469" s="173"/>
      <c r="H469" s="248"/>
      <c r="I469" s="174" t="s">
        <v>48</v>
      </c>
      <c r="J469" s="2" t="s">
        <v>18</v>
      </c>
      <c r="K469" s="177" t="s">
        <v>3041</v>
      </c>
      <c r="L469" s="177" t="s">
        <v>1798</v>
      </c>
      <c r="M469" s="1">
        <v>45425</v>
      </c>
      <c r="N469" s="1">
        <v>45429</v>
      </c>
      <c r="O469" s="3" t="s">
        <v>41</v>
      </c>
      <c r="P469" s="178">
        <v>10420.280000000001</v>
      </c>
      <c r="Q469" s="179"/>
      <c r="R469" s="217">
        <v>4.8</v>
      </c>
      <c r="S469" s="218">
        <f t="shared" ref="S469:S480" si="24">R469/5</f>
        <v>0.96</v>
      </c>
      <c r="T469" s="180">
        <v>40</v>
      </c>
      <c r="U469" s="181">
        <v>0</v>
      </c>
      <c r="V469" s="181">
        <v>0</v>
      </c>
      <c r="W469" s="181">
        <v>62</v>
      </c>
      <c r="X469" s="182">
        <f t="shared" ref="X469:X492" si="25">SUM(U469:W469)</f>
        <v>62</v>
      </c>
      <c r="Y469" s="3">
        <v>20</v>
      </c>
      <c r="Z469" s="3" t="s">
        <v>2780</v>
      </c>
      <c r="AA469" s="2" t="s">
        <v>3476</v>
      </c>
    </row>
    <row r="470" spans="1:28" ht="23.25" hidden="1" customHeight="1">
      <c r="A470" s="239" t="s">
        <v>2943</v>
      </c>
      <c r="B470" s="3">
        <v>2024</v>
      </c>
      <c r="C470" s="3" t="s">
        <v>46</v>
      </c>
      <c r="D470" s="3" t="s">
        <v>52</v>
      </c>
      <c r="E470" s="3" t="s">
        <v>1800</v>
      </c>
      <c r="F470" s="173" t="s">
        <v>1801</v>
      </c>
      <c r="G470" s="173"/>
      <c r="H470" s="248"/>
      <c r="I470" s="174" t="s">
        <v>33</v>
      </c>
      <c r="J470" s="2" t="s">
        <v>25</v>
      </c>
      <c r="K470" s="177" t="s">
        <v>3022</v>
      </c>
      <c r="L470" s="177" t="s">
        <v>1802</v>
      </c>
      <c r="M470" s="1">
        <v>45426</v>
      </c>
      <c r="N470" s="1">
        <v>45426</v>
      </c>
      <c r="O470" s="3" t="s">
        <v>49</v>
      </c>
      <c r="P470" s="178">
        <v>2500</v>
      </c>
      <c r="Q470" s="179"/>
      <c r="R470" s="217">
        <v>4.5999999999999996</v>
      </c>
      <c r="S470" s="218">
        <f t="shared" si="24"/>
        <v>0.91999999999999993</v>
      </c>
      <c r="T470" s="180">
        <v>170</v>
      </c>
      <c r="U470" s="181">
        <v>42</v>
      </c>
      <c r="V470" s="181">
        <v>0</v>
      </c>
      <c r="W470" s="181">
        <v>0</v>
      </c>
      <c r="X470" s="182">
        <f t="shared" si="25"/>
        <v>42</v>
      </c>
      <c r="Y470" s="3">
        <v>4</v>
      </c>
      <c r="Z470" s="3" t="s">
        <v>2780</v>
      </c>
      <c r="AA470" s="2" t="s">
        <v>3500</v>
      </c>
      <c r="AB470" s="278" t="s">
        <v>3501</v>
      </c>
    </row>
    <row r="471" spans="1:28" ht="23.25" hidden="1" customHeight="1">
      <c r="A471" s="239" t="s">
        <v>2943</v>
      </c>
      <c r="B471" s="3">
        <v>2024</v>
      </c>
      <c r="D471" s="171" t="s">
        <v>50</v>
      </c>
      <c r="E471" s="3" t="s">
        <v>2900</v>
      </c>
      <c r="F471" s="279" t="s">
        <v>3502</v>
      </c>
      <c r="G471" s="173"/>
      <c r="H471" s="248"/>
      <c r="I471" s="174" t="s">
        <v>44</v>
      </c>
      <c r="K471" s="177" t="s">
        <v>3041</v>
      </c>
      <c r="L471" s="177" t="s">
        <v>3503</v>
      </c>
      <c r="M471" s="1">
        <v>45427</v>
      </c>
      <c r="N471" s="1">
        <v>45428</v>
      </c>
      <c r="O471" s="3" t="s">
        <v>41</v>
      </c>
      <c r="Q471" s="179"/>
      <c r="R471" s="217"/>
      <c r="S471" s="218">
        <f t="shared" si="24"/>
        <v>0</v>
      </c>
      <c r="T471" s="180"/>
      <c r="U471" s="181"/>
      <c r="V471" s="181"/>
      <c r="W471" s="181"/>
      <c r="X471" s="181">
        <f t="shared" si="25"/>
        <v>0</v>
      </c>
      <c r="Y471" s="3"/>
      <c r="Z471" s="3" t="s">
        <v>2784</v>
      </c>
      <c r="AA471" s="2" t="s">
        <v>3476</v>
      </c>
    </row>
    <row r="472" spans="1:28" ht="23.25" hidden="1" customHeight="1">
      <c r="A472" s="239" t="s">
        <v>2943</v>
      </c>
      <c r="B472" s="3">
        <v>2024</v>
      </c>
      <c r="C472" s="3" t="s">
        <v>46</v>
      </c>
      <c r="D472" s="3" t="s">
        <v>52</v>
      </c>
      <c r="E472" s="3" t="s">
        <v>1800</v>
      </c>
      <c r="F472" s="173" t="s">
        <v>1805</v>
      </c>
      <c r="G472" s="173"/>
      <c r="H472" s="248"/>
      <c r="I472" s="174" t="s">
        <v>33</v>
      </c>
      <c r="J472" s="2" t="s">
        <v>25</v>
      </c>
      <c r="K472" s="177" t="s">
        <v>3022</v>
      </c>
      <c r="L472" s="177" t="s">
        <v>1806</v>
      </c>
      <c r="M472" s="1">
        <v>45427</v>
      </c>
      <c r="N472" s="1">
        <v>45427</v>
      </c>
      <c r="O472" s="3" t="s">
        <v>49</v>
      </c>
      <c r="P472" s="178">
        <v>2500</v>
      </c>
      <c r="Q472" s="179"/>
      <c r="R472" s="217">
        <v>5</v>
      </c>
      <c r="S472" s="218">
        <f t="shared" si="24"/>
        <v>1</v>
      </c>
      <c r="T472" s="180">
        <v>20</v>
      </c>
      <c r="U472" s="181">
        <v>6</v>
      </c>
      <c r="V472" s="181">
        <v>0</v>
      </c>
      <c r="W472" s="181">
        <v>0</v>
      </c>
      <c r="X472" s="182">
        <f t="shared" si="25"/>
        <v>6</v>
      </c>
      <c r="Y472" s="3">
        <v>4</v>
      </c>
      <c r="Z472" s="3" t="s">
        <v>2780</v>
      </c>
      <c r="AA472" s="2" t="s">
        <v>3500</v>
      </c>
    </row>
    <row r="473" spans="1:28" ht="23.25" hidden="1" customHeight="1">
      <c r="A473" s="239" t="s">
        <v>2943</v>
      </c>
      <c r="B473" s="3">
        <v>2024</v>
      </c>
      <c r="C473" s="3" t="s">
        <v>46</v>
      </c>
      <c r="D473" s="3" t="s">
        <v>52</v>
      </c>
      <c r="E473" s="3" t="s">
        <v>1800</v>
      </c>
      <c r="F473" s="173" t="s">
        <v>1808</v>
      </c>
      <c r="G473" s="173"/>
      <c r="H473" s="248"/>
      <c r="I473" s="174" t="s">
        <v>33</v>
      </c>
      <c r="J473" s="2" t="s">
        <v>25</v>
      </c>
      <c r="K473" s="177" t="s">
        <v>3022</v>
      </c>
      <c r="L473" s="177" t="s">
        <v>1809</v>
      </c>
      <c r="M473" s="1">
        <v>45428</v>
      </c>
      <c r="N473" s="1">
        <v>45428</v>
      </c>
      <c r="O473" s="3" t="s">
        <v>49</v>
      </c>
      <c r="P473" s="178">
        <v>2500</v>
      </c>
      <c r="Q473" s="179"/>
      <c r="R473" s="217">
        <v>4.9000000000000004</v>
      </c>
      <c r="S473" s="218">
        <f t="shared" si="24"/>
        <v>0.98000000000000009</v>
      </c>
      <c r="T473" s="180">
        <v>170</v>
      </c>
      <c r="U473" s="181">
        <v>49</v>
      </c>
      <c r="V473" s="181">
        <v>0</v>
      </c>
      <c r="W473" s="181">
        <v>0</v>
      </c>
      <c r="X473" s="182">
        <f t="shared" si="25"/>
        <v>49</v>
      </c>
      <c r="Y473" s="3">
        <v>4</v>
      </c>
      <c r="Z473" s="3" t="s">
        <v>2780</v>
      </c>
      <c r="AA473" s="2" t="s">
        <v>3500</v>
      </c>
      <c r="AB473" s="278" t="s">
        <v>3504</v>
      </c>
    </row>
    <row r="474" spans="1:28" ht="23.25" hidden="1" customHeight="1">
      <c r="A474" s="239" t="s">
        <v>2943</v>
      </c>
      <c r="B474" s="3">
        <v>2024</v>
      </c>
      <c r="C474" s="3" t="s">
        <v>46</v>
      </c>
      <c r="D474" s="3" t="s">
        <v>52</v>
      </c>
      <c r="E474" s="3" t="s">
        <v>1800</v>
      </c>
      <c r="F474" s="173" t="s">
        <v>1808</v>
      </c>
      <c r="G474" s="173"/>
      <c r="H474" s="248"/>
      <c r="I474" s="174" t="s">
        <v>33</v>
      </c>
      <c r="J474" s="2" t="s">
        <v>25</v>
      </c>
      <c r="K474" s="177" t="s">
        <v>3022</v>
      </c>
      <c r="L474" s="177" t="s">
        <v>1811</v>
      </c>
      <c r="M474" s="1">
        <v>45429</v>
      </c>
      <c r="N474" s="1">
        <v>45429</v>
      </c>
      <c r="O474" s="3" t="s">
        <v>49</v>
      </c>
      <c r="P474" s="178">
        <v>1842.2</v>
      </c>
      <c r="Q474" s="179"/>
      <c r="R474" s="217">
        <v>5</v>
      </c>
      <c r="S474" s="218">
        <f t="shared" si="24"/>
        <v>1</v>
      </c>
      <c r="T474" s="180">
        <v>170</v>
      </c>
      <c r="U474" s="181">
        <v>20</v>
      </c>
      <c r="V474" s="181">
        <v>0</v>
      </c>
      <c r="W474" s="181">
        <v>0</v>
      </c>
      <c r="X474" s="182">
        <f t="shared" si="25"/>
        <v>20</v>
      </c>
      <c r="Y474" s="3">
        <v>4</v>
      </c>
      <c r="Z474" s="3" t="s">
        <v>2780</v>
      </c>
      <c r="AA474" s="2" t="s">
        <v>3500</v>
      </c>
    </row>
    <row r="475" spans="1:28" ht="23.25" hidden="1" customHeight="1">
      <c r="A475" s="171" t="s">
        <v>2943</v>
      </c>
      <c r="B475" s="3">
        <v>2024</v>
      </c>
      <c r="C475" s="3" t="s">
        <v>46</v>
      </c>
      <c r="D475" s="3" t="s">
        <v>52</v>
      </c>
      <c r="E475" s="3" t="s">
        <v>1813</v>
      </c>
      <c r="F475" s="173" t="s">
        <v>1814</v>
      </c>
      <c r="G475" s="173"/>
      <c r="H475" s="248"/>
      <c r="I475" s="174" t="s">
        <v>48</v>
      </c>
      <c r="J475" s="2" t="s">
        <v>18</v>
      </c>
      <c r="K475" s="177" t="s">
        <v>3041</v>
      </c>
      <c r="L475" s="177" t="s">
        <v>1815</v>
      </c>
      <c r="M475" s="1">
        <v>45432</v>
      </c>
      <c r="N475" s="1">
        <v>45436</v>
      </c>
      <c r="O475" s="3" t="s">
        <v>41</v>
      </c>
      <c r="P475" s="178">
        <v>7067.73</v>
      </c>
      <c r="Q475" s="179"/>
      <c r="R475" s="217">
        <v>4.8</v>
      </c>
      <c r="S475" s="218">
        <f t="shared" si="24"/>
        <v>0.96</v>
      </c>
      <c r="T475" s="180">
        <v>30</v>
      </c>
      <c r="U475" s="181">
        <v>0</v>
      </c>
      <c r="V475" s="181">
        <v>0</v>
      </c>
      <c r="W475" s="181">
        <v>28</v>
      </c>
      <c r="X475" s="182">
        <f t="shared" si="25"/>
        <v>28</v>
      </c>
      <c r="Y475" s="3">
        <v>12</v>
      </c>
      <c r="Z475" s="3" t="s">
        <v>2780</v>
      </c>
      <c r="AA475" s="2" t="s">
        <v>569</v>
      </c>
    </row>
    <row r="476" spans="1:28" ht="23.25" hidden="1" customHeight="1">
      <c r="A476" s="239" t="s">
        <v>2943</v>
      </c>
      <c r="B476" s="3">
        <v>2024</v>
      </c>
      <c r="C476" s="3" t="s">
        <v>46</v>
      </c>
      <c r="D476" s="3" t="s">
        <v>52</v>
      </c>
      <c r="E476" s="3" t="s">
        <v>1817</v>
      </c>
      <c r="F476" s="173" t="s">
        <v>1818</v>
      </c>
      <c r="G476" s="173"/>
      <c r="H476" s="248"/>
      <c r="I476" s="174" t="s">
        <v>33</v>
      </c>
      <c r="J476" s="2" t="s">
        <v>32</v>
      </c>
      <c r="K476" s="177" t="s">
        <v>3022</v>
      </c>
      <c r="L476" s="177" t="s">
        <v>3505</v>
      </c>
      <c r="M476" s="1">
        <v>45439</v>
      </c>
      <c r="N476" s="1">
        <v>45446</v>
      </c>
      <c r="O476" s="3" t="s">
        <v>45</v>
      </c>
      <c r="P476" s="178">
        <v>10990</v>
      </c>
      <c r="Q476" s="179"/>
      <c r="R476" s="217">
        <v>5</v>
      </c>
      <c r="S476" s="218">
        <f t="shared" si="24"/>
        <v>1</v>
      </c>
      <c r="T476" s="180">
        <v>20</v>
      </c>
      <c r="U476" s="181">
        <v>17</v>
      </c>
      <c r="V476" s="181">
        <v>0</v>
      </c>
      <c r="W476" s="181">
        <v>0</v>
      </c>
      <c r="X476" s="182">
        <f t="shared" si="25"/>
        <v>17</v>
      </c>
      <c r="Y476" s="3">
        <v>20</v>
      </c>
      <c r="Z476" s="3" t="s">
        <v>2784</v>
      </c>
      <c r="AA476" s="2" t="s">
        <v>810</v>
      </c>
    </row>
    <row r="477" spans="1:28" ht="23.25" hidden="1" customHeight="1">
      <c r="A477" s="171" t="s">
        <v>2943</v>
      </c>
      <c r="B477" s="3">
        <v>2024</v>
      </c>
      <c r="C477" s="3" t="s">
        <v>46</v>
      </c>
      <c r="D477" s="3" t="s">
        <v>52</v>
      </c>
      <c r="E477" s="3" t="s">
        <v>1821</v>
      </c>
      <c r="F477" s="173" t="s">
        <v>1822</v>
      </c>
      <c r="G477" s="173"/>
      <c r="H477" s="248"/>
      <c r="I477" s="174" t="s">
        <v>33</v>
      </c>
      <c r="J477" s="2" t="s">
        <v>22</v>
      </c>
      <c r="K477" s="177" t="s">
        <v>3022</v>
      </c>
      <c r="L477" s="177" t="s">
        <v>3506</v>
      </c>
      <c r="M477" s="1">
        <v>45440</v>
      </c>
      <c r="N477" s="1">
        <v>45456</v>
      </c>
      <c r="O477" s="3" t="s">
        <v>41</v>
      </c>
      <c r="P477" s="178">
        <f>8015.5+7248.86</f>
        <v>15264.36</v>
      </c>
      <c r="Q477" s="179"/>
      <c r="R477" s="217">
        <v>4.8</v>
      </c>
      <c r="S477" s="218">
        <f t="shared" si="24"/>
        <v>0.96</v>
      </c>
      <c r="T477" s="180">
        <v>20</v>
      </c>
      <c r="U477" s="181">
        <v>17</v>
      </c>
      <c r="V477" s="181">
        <v>0</v>
      </c>
      <c r="W477" s="181">
        <v>0</v>
      </c>
      <c r="X477" s="182">
        <f t="shared" si="25"/>
        <v>17</v>
      </c>
      <c r="Y477" s="3">
        <v>20</v>
      </c>
      <c r="Z477" s="3" t="s">
        <v>2780</v>
      </c>
      <c r="AA477" s="2" t="s">
        <v>3507</v>
      </c>
      <c r="AB477" s="278" t="s">
        <v>3508</v>
      </c>
    </row>
    <row r="478" spans="1:28" ht="23.25" hidden="1" customHeight="1">
      <c r="A478" s="171" t="s">
        <v>2943</v>
      </c>
      <c r="B478" s="3">
        <v>2024</v>
      </c>
      <c r="C478" s="3" t="s">
        <v>42</v>
      </c>
      <c r="D478" s="3" t="s">
        <v>52</v>
      </c>
      <c r="E478" s="3" t="s">
        <v>1826</v>
      </c>
      <c r="F478" s="173" t="s">
        <v>1827</v>
      </c>
      <c r="G478" s="173"/>
      <c r="H478" s="248"/>
      <c r="I478" s="174" t="s">
        <v>44</v>
      </c>
      <c r="J478" s="2" t="s">
        <v>15</v>
      </c>
      <c r="K478" s="177" t="s">
        <v>3041</v>
      </c>
      <c r="L478" s="177" t="s">
        <v>1828</v>
      </c>
      <c r="M478" s="1">
        <v>45446</v>
      </c>
      <c r="N478" s="1">
        <v>45456</v>
      </c>
      <c r="O478" s="3" t="s">
        <v>41</v>
      </c>
      <c r="P478" s="178">
        <f>7213.94+8154.98</f>
        <v>15368.919999999998</v>
      </c>
      <c r="Q478" s="179"/>
      <c r="R478" s="217">
        <v>4.8</v>
      </c>
      <c r="S478" s="218">
        <f t="shared" si="24"/>
        <v>0.96</v>
      </c>
      <c r="T478" s="180">
        <v>40</v>
      </c>
      <c r="U478" s="181">
        <v>0</v>
      </c>
      <c r="V478" s="181">
        <v>24</v>
      </c>
      <c r="W478" s="181">
        <v>0</v>
      </c>
      <c r="X478" s="182">
        <f t="shared" si="25"/>
        <v>24</v>
      </c>
      <c r="Y478" s="3">
        <v>20</v>
      </c>
      <c r="Z478" s="3" t="s">
        <v>2780</v>
      </c>
      <c r="AA478" s="2" t="s">
        <v>3464</v>
      </c>
      <c r="AB478" s="278" t="s">
        <v>3509</v>
      </c>
    </row>
    <row r="479" spans="1:28" ht="23.25" hidden="1" customHeight="1">
      <c r="A479" s="239" t="s">
        <v>2943</v>
      </c>
      <c r="B479" s="3">
        <v>2024</v>
      </c>
      <c r="C479" s="3" t="s">
        <v>42</v>
      </c>
      <c r="D479" s="3" t="s">
        <v>52</v>
      </c>
      <c r="E479" s="3" t="s">
        <v>1830</v>
      </c>
      <c r="F479" s="173" t="s">
        <v>1831</v>
      </c>
      <c r="G479" s="173"/>
      <c r="H479" s="248"/>
      <c r="I479" s="174" t="s">
        <v>33</v>
      </c>
      <c r="J479" s="2" t="s">
        <v>32</v>
      </c>
      <c r="K479" s="177" t="s">
        <v>3022</v>
      </c>
      <c r="L479" s="177" t="s">
        <v>1832</v>
      </c>
      <c r="M479" s="1">
        <v>45447</v>
      </c>
      <c r="N479" s="1">
        <v>45456</v>
      </c>
      <c r="O479" s="3" t="s">
        <v>45</v>
      </c>
      <c r="P479" s="178">
        <v>6700</v>
      </c>
      <c r="Q479" s="179"/>
      <c r="R479" s="217">
        <v>4.5999999999999996</v>
      </c>
      <c r="S479" s="218">
        <f t="shared" si="24"/>
        <v>0.91999999999999993</v>
      </c>
      <c r="T479" s="180">
        <v>30</v>
      </c>
      <c r="U479" s="181">
        <v>16</v>
      </c>
      <c r="V479" s="181">
        <v>0</v>
      </c>
      <c r="W479" s="181">
        <v>0</v>
      </c>
      <c r="X479" s="182">
        <f t="shared" si="25"/>
        <v>16</v>
      </c>
      <c r="Y479" s="3">
        <v>8</v>
      </c>
      <c r="Z479" s="3" t="s">
        <v>2780</v>
      </c>
      <c r="AA479" s="2" t="s">
        <v>1069</v>
      </c>
      <c r="AB479" s="278" t="s">
        <v>3510</v>
      </c>
    </row>
    <row r="480" spans="1:28" ht="23.25" hidden="1" customHeight="1">
      <c r="A480" s="239" t="s">
        <v>2943</v>
      </c>
      <c r="B480" s="3">
        <v>2024</v>
      </c>
      <c r="D480" s="171" t="s">
        <v>50</v>
      </c>
      <c r="E480" s="3" t="s">
        <v>2900</v>
      </c>
      <c r="F480" s="173" t="s">
        <v>3511</v>
      </c>
      <c r="G480" s="173"/>
      <c r="H480" s="248"/>
      <c r="I480" s="174" t="s">
        <v>44</v>
      </c>
      <c r="K480" s="177" t="s">
        <v>3041</v>
      </c>
      <c r="L480" s="177" t="s">
        <v>3512</v>
      </c>
      <c r="M480" s="1">
        <v>45448</v>
      </c>
      <c r="N480" s="1">
        <v>45449</v>
      </c>
      <c r="O480" s="3" t="s">
        <v>41</v>
      </c>
      <c r="Q480" s="179"/>
      <c r="R480" s="217"/>
      <c r="S480" s="218">
        <f t="shared" si="24"/>
        <v>0</v>
      </c>
      <c r="T480" s="180"/>
      <c r="U480" s="181"/>
      <c r="V480" s="181"/>
      <c r="W480" s="181"/>
      <c r="X480" s="181">
        <f t="shared" si="25"/>
        <v>0</v>
      </c>
      <c r="Y480" s="3"/>
      <c r="Z480" s="3" t="s">
        <v>2784</v>
      </c>
      <c r="AA480" s="2" t="s">
        <v>3476</v>
      </c>
    </row>
    <row r="481" spans="1:28" ht="23.25" hidden="1" customHeight="1">
      <c r="A481" s="171" t="s">
        <v>2943</v>
      </c>
      <c r="B481" s="3">
        <v>2024</v>
      </c>
      <c r="C481" s="3" t="s">
        <v>42</v>
      </c>
      <c r="D481" s="171" t="s">
        <v>50</v>
      </c>
      <c r="E481" s="3" t="s">
        <v>1857</v>
      </c>
      <c r="F481" s="173" t="s">
        <v>1858</v>
      </c>
      <c r="G481" s="173"/>
      <c r="H481" s="248"/>
      <c r="I481" s="174" t="s">
        <v>33</v>
      </c>
      <c r="J481" s="2" t="s">
        <v>29</v>
      </c>
      <c r="K481" s="177" t="s">
        <v>3022</v>
      </c>
      <c r="L481" s="177" t="s">
        <v>3513</v>
      </c>
      <c r="M481" s="1">
        <v>45450</v>
      </c>
      <c r="N481" s="1" t="s">
        <v>3513</v>
      </c>
      <c r="O481" s="3" t="s">
        <v>41</v>
      </c>
      <c r="P481" s="257">
        <v>2500</v>
      </c>
      <c r="Q481" s="179"/>
      <c r="R481" s="217">
        <v>4.8</v>
      </c>
      <c r="S481" s="218"/>
      <c r="T481" s="180">
        <v>170</v>
      </c>
      <c r="U481" s="181">
        <v>90</v>
      </c>
      <c r="V481" s="181">
        <v>0</v>
      </c>
      <c r="W481" s="181">
        <v>0</v>
      </c>
      <c r="X481" s="181">
        <f t="shared" si="25"/>
        <v>90</v>
      </c>
      <c r="Y481" s="3">
        <v>3</v>
      </c>
      <c r="Z481" s="3"/>
      <c r="AA481" s="2" t="s">
        <v>3474</v>
      </c>
    </row>
    <row r="482" spans="1:28" ht="23.25" hidden="1" customHeight="1">
      <c r="A482" s="171" t="s">
        <v>2943</v>
      </c>
      <c r="B482" s="3">
        <v>2024</v>
      </c>
      <c r="C482" s="3" t="s">
        <v>42</v>
      </c>
      <c r="D482" s="3" t="s">
        <v>52</v>
      </c>
      <c r="E482" s="3" t="s">
        <v>1834</v>
      </c>
      <c r="F482" s="173" t="s">
        <v>1835</v>
      </c>
      <c r="G482" s="173"/>
      <c r="H482" s="248"/>
      <c r="I482" s="174" t="s">
        <v>48</v>
      </c>
      <c r="J482" s="2" t="s">
        <v>15</v>
      </c>
      <c r="K482" s="177" t="s">
        <v>51</v>
      </c>
      <c r="L482" s="177" t="s">
        <v>1836</v>
      </c>
      <c r="M482" s="1">
        <v>45456</v>
      </c>
      <c r="N482" s="1">
        <v>45457</v>
      </c>
      <c r="O482" s="3" t="s">
        <v>49</v>
      </c>
      <c r="P482" s="178">
        <v>0</v>
      </c>
      <c r="Q482" s="179"/>
      <c r="R482" s="217">
        <v>4.9000000000000004</v>
      </c>
      <c r="S482" s="218">
        <f>R482/5</f>
        <v>0.98000000000000009</v>
      </c>
      <c r="T482" s="180">
        <v>170</v>
      </c>
      <c r="U482" s="181">
        <v>33</v>
      </c>
      <c r="V482" s="181">
        <v>115</v>
      </c>
      <c r="W482" s="181">
        <v>7</v>
      </c>
      <c r="X482" s="182">
        <f t="shared" si="25"/>
        <v>155</v>
      </c>
      <c r="Y482" s="3">
        <v>8</v>
      </c>
      <c r="Z482" s="3" t="s">
        <v>2784</v>
      </c>
      <c r="AA482" s="2" t="s">
        <v>492</v>
      </c>
      <c r="AB482" s="278" t="s">
        <v>3514</v>
      </c>
    </row>
    <row r="483" spans="1:28" ht="23.25" hidden="1" customHeight="1">
      <c r="A483" s="239" t="s">
        <v>2943</v>
      </c>
      <c r="B483" s="3">
        <v>2024</v>
      </c>
      <c r="C483" s="3" t="s">
        <v>42</v>
      </c>
      <c r="D483" s="3" t="s">
        <v>52</v>
      </c>
      <c r="E483" s="239" t="s">
        <v>1770</v>
      </c>
      <c r="F483" s="173" t="s">
        <v>1838</v>
      </c>
      <c r="G483" s="211"/>
      <c r="H483" s="280"/>
      <c r="I483" s="242" t="s">
        <v>33</v>
      </c>
      <c r="J483" s="234" t="s">
        <v>29</v>
      </c>
      <c r="K483" s="212" t="s">
        <v>3022</v>
      </c>
      <c r="L483" s="177" t="s">
        <v>1839</v>
      </c>
      <c r="M483" s="1">
        <v>45457</v>
      </c>
      <c r="N483" s="1">
        <v>45457</v>
      </c>
      <c r="O483" s="3" t="s">
        <v>45</v>
      </c>
      <c r="P483" s="178">
        <f>49600/8</f>
        <v>6200</v>
      </c>
      <c r="Q483" s="179"/>
      <c r="R483" s="217">
        <v>5</v>
      </c>
      <c r="S483" s="218">
        <f>R483/5</f>
        <v>1</v>
      </c>
      <c r="T483" s="181">
        <v>20</v>
      </c>
      <c r="U483" s="181">
        <v>8</v>
      </c>
      <c r="V483" s="181">
        <v>0</v>
      </c>
      <c r="W483" s="181">
        <v>0</v>
      </c>
      <c r="X483" s="182">
        <f t="shared" si="25"/>
        <v>8</v>
      </c>
      <c r="Y483" s="3">
        <v>4</v>
      </c>
      <c r="Z483" s="3" t="s">
        <v>2780</v>
      </c>
      <c r="AA483" s="2" t="s">
        <v>1773</v>
      </c>
    </row>
    <row r="484" spans="1:28" ht="23.25" hidden="1" customHeight="1">
      <c r="A484" s="171" t="s">
        <v>2943</v>
      </c>
      <c r="B484" s="3">
        <v>2024</v>
      </c>
      <c r="C484" s="3" t="s">
        <v>42</v>
      </c>
      <c r="D484" s="3" t="s">
        <v>52</v>
      </c>
      <c r="E484" s="3" t="s">
        <v>1841</v>
      </c>
      <c r="F484" s="173" t="s">
        <v>1842</v>
      </c>
      <c r="G484" s="173"/>
      <c r="H484" s="248"/>
      <c r="I484" s="174" t="s">
        <v>44</v>
      </c>
      <c r="J484" s="2" t="s">
        <v>10</v>
      </c>
      <c r="K484" s="177" t="s">
        <v>3022</v>
      </c>
      <c r="L484" s="177" t="s">
        <v>1843</v>
      </c>
      <c r="M484" s="1">
        <v>45460</v>
      </c>
      <c r="N484" s="1">
        <v>45463</v>
      </c>
      <c r="O484" s="3" t="s">
        <v>41</v>
      </c>
      <c r="P484" s="178">
        <v>7934.1</v>
      </c>
      <c r="Q484" s="179"/>
      <c r="R484" s="217">
        <v>4.7</v>
      </c>
      <c r="S484" s="218">
        <f>R484/5</f>
        <v>0.94000000000000006</v>
      </c>
      <c r="T484" s="180">
        <v>20</v>
      </c>
      <c r="U484" s="181">
        <v>10</v>
      </c>
      <c r="V484" s="181">
        <v>0</v>
      </c>
      <c r="W484" s="181">
        <v>0</v>
      </c>
      <c r="X484" s="182">
        <f t="shared" si="25"/>
        <v>10</v>
      </c>
      <c r="Y484" s="3">
        <v>16</v>
      </c>
      <c r="Z484" s="3" t="s">
        <v>2784</v>
      </c>
      <c r="AA484" s="2" t="s">
        <v>3481</v>
      </c>
      <c r="AB484" s="278" t="s">
        <v>3515</v>
      </c>
    </row>
    <row r="485" spans="1:28" ht="23.25" hidden="1" customHeight="1">
      <c r="A485" s="171" t="s">
        <v>2943</v>
      </c>
      <c r="B485" s="3">
        <v>2024</v>
      </c>
      <c r="C485" s="3" t="s">
        <v>42</v>
      </c>
      <c r="D485" s="3" t="s">
        <v>52</v>
      </c>
      <c r="E485" s="3" t="s">
        <v>1775</v>
      </c>
      <c r="F485" s="173" t="s">
        <v>1845</v>
      </c>
      <c r="G485" s="173"/>
      <c r="H485" s="248"/>
      <c r="I485" s="174" t="s">
        <v>33</v>
      </c>
      <c r="J485" s="2" t="s">
        <v>25</v>
      </c>
      <c r="K485" s="177" t="s">
        <v>3022</v>
      </c>
      <c r="L485" s="177" t="s">
        <v>1843</v>
      </c>
      <c r="M485" s="1">
        <v>45460</v>
      </c>
      <c r="N485" s="1">
        <v>45463</v>
      </c>
      <c r="O485" s="3" t="s">
        <v>41</v>
      </c>
      <c r="P485" s="178">
        <v>10250.44</v>
      </c>
      <c r="Q485" s="179"/>
      <c r="R485" s="217">
        <v>4.9000000000000004</v>
      </c>
      <c r="S485" s="218">
        <f>R485/5</f>
        <v>0.98000000000000009</v>
      </c>
      <c r="T485" s="180">
        <v>20</v>
      </c>
      <c r="U485" s="181">
        <v>15</v>
      </c>
      <c r="V485" s="181">
        <v>0</v>
      </c>
      <c r="W485" s="181">
        <v>0</v>
      </c>
      <c r="X485" s="182">
        <f t="shared" si="25"/>
        <v>15</v>
      </c>
      <c r="Y485" s="3">
        <v>16</v>
      </c>
      <c r="Z485" s="3" t="s">
        <v>2784</v>
      </c>
      <c r="AA485" s="2" t="s">
        <v>3496</v>
      </c>
    </row>
    <row r="486" spans="1:28" ht="23.25" hidden="1" customHeight="1">
      <c r="A486" s="275" t="s">
        <v>2943</v>
      </c>
      <c r="B486" s="3">
        <v>2024</v>
      </c>
      <c r="C486" s="3" t="s">
        <v>42</v>
      </c>
      <c r="D486" s="3" t="s">
        <v>52</v>
      </c>
      <c r="E486" s="3" t="s">
        <v>1847</v>
      </c>
      <c r="F486" s="173" t="s">
        <v>1848</v>
      </c>
      <c r="G486" s="173"/>
      <c r="H486" s="248"/>
      <c r="I486" s="174" t="s">
        <v>33</v>
      </c>
      <c r="J486" s="2" t="s">
        <v>35</v>
      </c>
      <c r="K486" s="177" t="s">
        <v>3022</v>
      </c>
      <c r="L486" s="177" t="s">
        <v>1849</v>
      </c>
      <c r="M486" s="1">
        <v>45461</v>
      </c>
      <c r="N486" s="1">
        <v>45464</v>
      </c>
      <c r="O486" s="3" t="s">
        <v>41</v>
      </c>
      <c r="P486" s="178">
        <v>0</v>
      </c>
      <c r="Q486" s="179"/>
      <c r="R486" s="217">
        <v>5</v>
      </c>
      <c r="S486" s="218"/>
      <c r="T486" s="180">
        <v>51</v>
      </c>
      <c r="U486" s="181">
        <v>51</v>
      </c>
      <c r="V486" s="181">
        <v>0</v>
      </c>
      <c r="W486" s="181">
        <v>0</v>
      </c>
      <c r="X486" s="182">
        <f t="shared" si="25"/>
        <v>51</v>
      </c>
      <c r="Y486" s="3">
        <v>16</v>
      </c>
      <c r="Z486" s="3" t="s">
        <v>2784</v>
      </c>
      <c r="AA486" s="2" t="s">
        <v>492</v>
      </c>
    </row>
    <row r="487" spans="1:28" ht="23.25" hidden="1" customHeight="1">
      <c r="A487" s="239" t="s">
        <v>2943</v>
      </c>
      <c r="B487" s="3">
        <v>2024</v>
      </c>
      <c r="C487" s="3" t="s">
        <v>42</v>
      </c>
      <c r="D487" s="3" t="s">
        <v>52</v>
      </c>
      <c r="E487" s="3" t="s">
        <v>1740</v>
      </c>
      <c r="F487" s="173" t="s">
        <v>1851</v>
      </c>
      <c r="G487" s="173"/>
      <c r="H487" s="248"/>
      <c r="I487" s="174" t="s">
        <v>33</v>
      </c>
      <c r="J487" s="2" t="s">
        <v>10</v>
      </c>
      <c r="K487" s="177" t="s">
        <v>3022</v>
      </c>
      <c r="L487" s="177" t="s">
        <v>1852</v>
      </c>
      <c r="M487" s="1">
        <v>45461</v>
      </c>
      <c r="N487" s="1">
        <v>45469</v>
      </c>
      <c r="O487" s="3" t="s">
        <v>45</v>
      </c>
      <c r="P487" s="178">
        <v>17000</v>
      </c>
      <c r="Q487" s="179"/>
      <c r="R487" s="217">
        <v>4.7</v>
      </c>
      <c r="S487" s="218">
        <f>R487/5</f>
        <v>0.94000000000000006</v>
      </c>
      <c r="T487" s="180">
        <v>25</v>
      </c>
      <c r="U487" s="181">
        <v>52</v>
      </c>
      <c r="V487" s="181">
        <v>0</v>
      </c>
      <c r="W487" s="181">
        <v>0</v>
      </c>
      <c r="X487" s="182">
        <f t="shared" si="25"/>
        <v>52</v>
      </c>
      <c r="Y487" s="3">
        <v>16</v>
      </c>
      <c r="Z487" s="3" t="s">
        <v>2780</v>
      </c>
      <c r="AA487" s="2" t="s">
        <v>1743</v>
      </c>
    </row>
    <row r="488" spans="1:28" ht="23.25" hidden="1" customHeight="1">
      <c r="A488" s="239" t="s">
        <v>2943</v>
      </c>
      <c r="B488" s="3">
        <v>2024</v>
      </c>
      <c r="C488" s="3" t="s">
        <v>42</v>
      </c>
      <c r="D488" s="3" t="s">
        <v>52</v>
      </c>
      <c r="E488" s="239" t="s">
        <v>1770</v>
      </c>
      <c r="F488" s="173" t="s">
        <v>1854</v>
      </c>
      <c r="G488" s="211"/>
      <c r="H488" s="280"/>
      <c r="I488" s="242" t="s">
        <v>33</v>
      </c>
      <c r="J488" s="234" t="s">
        <v>29</v>
      </c>
      <c r="K488" s="212" t="s">
        <v>3022</v>
      </c>
      <c r="L488" s="177" t="s">
        <v>1855</v>
      </c>
      <c r="M488" s="1">
        <v>45464</v>
      </c>
      <c r="N488" s="1">
        <v>45464</v>
      </c>
      <c r="O488" s="3" t="s">
        <v>45</v>
      </c>
      <c r="P488" s="178">
        <f>49600/8</f>
        <v>6200</v>
      </c>
      <c r="Q488" s="179"/>
      <c r="R488" s="217">
        <v>4.8</v>
      </c>
      <c r="S488" s="218">
        <f>R488/5</f>
        <v>0.96</v>
      </c>
      <c r="T488" s="181">
        <v>20</v>
      </c>
      <c r="U488" s="181">
        <v>13</v>
      </c>
      <c r="V488" s="181">
        <v>0</v>
      </c>
      <c r="W488" s="181">
        <v>0</v>
      </c>
      <c r="X488" s="182">
        <f t="shared" si="25"/>
        <v>13</v>
      </c>
      <c r="Y488" s="3">
        <v>4</v>
      </c>
      <c r="Z488" s="3" t="s">
        <v>2780</v>
      </c>
      <c r="AA488" s="2" t="s">
        <v>1773</v>
      </c>
    </row>
    <row r="489" spans="1:28" ht="23.25" hidden="1" customHeight="1">
      <c r="A489" s="171" t="s">
        <v>2943</v>
      </c>
      <c r="B489" s="3">
        <v>2024</v>
      </c>
      <c r="C489" s="3" t="s">
        <v>42</v>
      </c>
      <c r="D489" s="3" t="s">
        <v>52</v>
      </c>
      <c r="E489" s="3" t="s">
        <v>1857</v>
      </c>
      <c r="F489" s="173" t="s">
        <v>1858</v>
      </c>
      <c r="G489" s="173"/>
      <c r="H489" s="248"/>
      <c r="I489" s="174" t="s">
        <v>33</v>
      </c>
      <c r="J489" s="234" t="s">
        <v>29</v>
      </c>
      <c r="K489" s="177" t="s">
        <v>3022</v>
      </c>
      <c r="L489" s="177" t="s">
        <v>1859</v>
      </c>
      <c r="M489" s="1">
        <v>45467</v>
      </c>
      <c r="N489" s="1">
        <v>45467</v>
      </c>
      <c r="O489" s="3" t="s">
        <v>41</v>
      </c>
      <c r="P489" s="257">
        <v>2500</v>
      </c>
      <c r="Q489" s="179"/>
      <c r="R489" s="217">
        <v>4.8</v>
      </c>
      <c r="S489" s="218">
        <f>R489/5</f>
        <v>0.96</v>
      </c>
      <c r="T489" s="180">
        <v>170</v>
      </c>
      <c r="U489" s="181">
        <v>90</v>
      </c>
      <c r="V489" s="181">
        <v>0</v>
      </c>
      <c r="W489" s="181">
        <v>0</v>
      </c>
      <c r="X489" s="182">
        <f t="shared" si="25"/>
        <v>90</v>
      </c>
      <c r="Y489" s="3">
        <v>3</v>
      </c>
      <c r="Z489" s="3" t="s">
        <v>2780</v>
      </c>
      <c r="AA489" s="2" t="s">
        <v>3474</v>
      </c>
    </row>
    <row r="490" spans="1:28" ht="23.25" hidden="1" customHeight="1">
      <c r="A490" s="239" t="s">
        <v>2943</v>
      </c>
      <c r="B490" s="3">
        <v>2024</v>
      </c>
      <c r="C490" s="3" t="s">
        <v>46</v>
      </c>
      <c r="D490" s="3" t="s">
        <v>52</v>
      </c>
      <c r="E490" s="3" t="s">
        <v>1740</v>
      </c>
      <c r="F490" s="173" t="s">
        <v>3516</v>
      </c>
      <c r="G490" s="173"/>
      <c r="H490" s="248"/>
      <c r="I490" s="174" t="s">
        <v>33</v>
      </c>
      <c r="J490" s="2" t="s">
        <v>10</v>
      </c>
      <c r="K490" s="177" t="s">
        <v>3022</v>
      </c>
      <c r="L490" s="177" t="s">
        <v>1862</v>
      </c>
      <c r="M490" s="1">
        <v>45470</v>
      </c>
      <c r="N490" s="1">
        <v>45470</v>
      </c>
      <c r="O490" s="3" t="s">
        <v>41</v>
      </c>
      <c r="P490" s="178">
        <v>1281.3</v>
      </c>
      <c r="Q490" s="179"/>
      <c r="R490" s="217">
        <v>4.7</v>
      </c>
      <c r="S490" s="218">
        <f>R490/5</f>
        <v>0.94000000000000006</v>
      </c>
      <c r="T490" s="180">
        <v>20</v>
      </c>
      <c r="U490" s="181">
        <v>11</v>
      </c>
      <c r="V490" s="181">
        <v>0</v>
      </c>
      <c r="W490" s="181">
        <v>0</v>
      </c>
      <c r="X490" s="182">
        <f t="shared" si="25"/>
        <v>11</v>
      </c>
      <c r="Y490" s="3">
        <v>2</v>
      </c>
      <c r="Z490" s="3" t="s">
        <v>2780</v>
      </c>
      <c r="AA490" s="2" t="s">
        <v>248</v>
      </c>
    </row>
    <row r="491" spans="1:28" ht="23.25" hidden="1" customHeight="1">
      <c r="A491" s="275" t="s">
        <v>2943</v>
      </c>
      <c r="B491" s="3">
        <v>2024</v>
      </c>
      <c r="C491" s="281" t="s">
        <v>46</v>
      </c>
      <c r="D491" s="3" t="s">
        <v>52</v>
      </c>
      <c r="E491" s="3" t="s">
        <v>1847</v>
      </c>
      <c r="F491" s="173" t="s">
        <v>1864</v>
      </c>
      <c r="G491" s="173"/>
      <c r="H491" s="248"/>
      <c r="I491" s="174" t="s">
        <v>33</v>
      </c>
      <c r="J491" s="2" t="s">
        <v>35</v>
      </c>
      <c r="K491" s="177" t="s">
        <v>3022</v>
      </c>
      <c r="L491" s="177" t="s">
        <v>1865</v>
      </c>
      <c r="M491" s="1">
        <v>45471</v>
      </c>
      <c r="N491" s="1">
        <v>45471</v>
      </c>
      <c r="O491" s="3" t="s">
        <v>41</v>
      </c>
      <c r="P491" s="178">
        <v>1520.37</v>
      </c>
      <c r="Q491" s="179"/>
      <c r="R491" s="217">
        <v>5</v>
      </c>
      <c r="S491" s="218"/>
      <c r="T491" s="180">
        <v>51</v>
      </c>
      <c r="U491" s="181">
        <v>50</v>
      </c>
      <c r="V491" s="181">
        <v>0</v>
      </c>
      <c r="W491" s="181">
        <v>0</v>
      </c>
      <c r="X491" s="182">
        <f t="shared" si="25"/>
        <v>50</v>
      </c>
      <c r="Y491" s="3">
        <v>2</v>
      </c>
      <c r="Z491" s="3" t="s">
        <v>2784</v>
      </c>
      <c r="AA491" s="2" t="s">
        <v>1866</v>
      </c>
      <c r="AB491" s="282"/>
    </row>
    <row r="492" spans="1:28" ht="23.25" hidden="1" customHeight="1">
      <c r="A492" s="239" t="s">
        <v>2943</v>
      </c>
      <c r="B492" s="3">
        <v>2024</v>
      </c>
      <c r="C492" s="3" t="s">
        <v>42</v>
      </c>
      <c r="D492" s="3" t="s">
        <v>52</v>
      </c>
      <c r="E492" s="239" t="s">
        <v>1770</v>
      </c>
      <c r="F492" s="241" t="s">
        <v>1868</v>
      </c>
      <c r="G492" s="211"/>
      <c r="H492" s="280"/>
      <c r="I492" s="242" t="s">
        <v>33</v>
      </c>
      <c r="J492" s="234" t="s">
        <v>29</v>
      </c>
      <c r="K492" s="212" t="s">
        <v>3022</v>
      </c>
      <c r="L492" s="177" t="s">
        <v>1865</v>
      </c>
      <c r="M492" s="1">
        <v>45471</v>
      </c>
      <c r="N492" s="1">
        <v>45471</v>
      </c>
      <c r="O492" s="3" t="s">
        <v>45</v>
      </c>
      <c r="P492" s="178">
        <f>49600/8</f>
        <v>6200</v>
      </c>
      <c r="Q492" s="179"/>
      <c r="R492" s="217">
        <v>5</v>
      </c>
      <c r="S492" s="218">
        <f>R492/5</f>
        <v>1</v>
      </c>
      <c r="T492" s="181">
        <v>20</v>
      </c>
      <c r="U492" s="181">
        <v>8</v>
      </c>
      <c r="V492" s="181">
        <v>0</v>
      </c>
      <c r="W492" s="181">
        <v>0</v>
      </c>
      <c r="X492" s="182">
        <f t="shared" si="25"/>
        <v>8</v>
      </c>
      <c r="Y492" s="3">
        <v>4</v>
      </c>
      <c r="Z492" s="3" t="s">
        <v>2780</v>
      </c>
      <c r="AA492" s="2" t="s">
        <v>1773</v>
      </c>
      <c r="AB492" s="283"/>
    </row>
    <row r="493" spans="1:28" ht="23.25" hidden="1" customHeight="1">
      <c r="A493" s="273"/>
      <c r="B493" s="3">
        <v>2024</v>
      </c>
      <c r="C493" s="3" t="s">
        <v>42</v>
      </c>
      <c r="D493" s="3" t="s">
        <v>52</v>
      </c>
      <c r="E493" s="16" t="s">
        <v>2830</v>
      </c>
      <c r="F493" s="284" t="s">
        <v>1870</v>
      </c>
      <c r="G493" s="173"/>
      <c r="H493" s="173"/>
      <c r="I493" s="174" t="s">
        <v>33</v>
      </c>
      <c r="J493" s="2" t="s">
        <v>32</v>
      </c>
      <c r="K493" s="177" t="s">
        <v>3022</v>
      </c>
      <c r="L493" s="277" t="s">
        <v>1865</v>
      </c>
      <c r="M493" s="1">
        <v>45471</v>
      </c>
      <c r="N493" s="177" t="s">
        <v>1865</v>
      </c>
      <c r="Q493" s="179"/>
      <c r="R493" s="217"/>
      <c r="S493" s="218"/>
      <c r="T493" s="180"/>
      <c r="U493" s="181"/>
      <c r="V493" s="181"/>
      <c r="W493" s="181"/>
      <c r="X493" s="182"/>
      <c r="Y493" s="3"/>
      <c r="Z493" s="3"/>
      <c r="AA493" s="12"/>
    </row>
    <row r="494" spans="1:28" ht="23.25" hidden="1" customHeight="1">
      <c r="A494" s="275" t="s">
        <v>2943</v>
      </c>
      <c r="B494" s="3">
        <v>2024</v>
      </c>
      <c r="C494" s="3" t="s">
        <v>42</v>
      </c>
      <c r="D494" s="3" t="s">
        <v>52</v>
      </c>
      <c r="E494" s="3" t="s">
        <v>1872</v>
      </c>
      <c r="F494" s="173" t="s">
        <v>1873</v>
      </c>
      <c r="G494" s="174" t="s">
        <v>33</v>
      </c>
      <c r="H494" s="245" t="s">
        <v>25</v>
      </c>
      <c r="I494" s="174" t="s">
        <v>33</v>
      </c>
      <c r="J494" s="2" t="s">
        <v>25</v>
      </c>
      <c r="K494" s="177" t="s">
        <v>3022</v>
      </c>
      <c r="L494" s="177" t="s">
        <v>1874</v>
      </c>
      <c r="M494" s="1">
        <v>45474</v>
      </c>
      <c r="N494" s="1">
        <v>45478</v>
      </c>
      <c r="O494" s="3" t="s">
        <v>41</v>
      </c>
      <c r="P494" s="178">
        <v>12813.06</v>
      </c>
      <c r="Q494" s="179"/>
      <c r="R494" s="217">
        <v>4.9000000000000004</v>
      </c>
      <c r="S494" s="218"/>
      <c r="T494" s="180">
        <v>20</v>
      </c>
      <c r="U494" s="181">
        <v>23</v>
      </c>
      <c r="V494" s="181">
        <v>0</v>
      </c>
      <c r="W494" s="181">
        <v>0</v>
      </c>
      <c r="X494" s="182">
        <f t="shared" ref="X494:X549" si="26">SUM(U494:W494)</f>
        <v>23</v>
      </c>
      <c r="Y494" s="3">
        <v>20</v>
      </c>
      <c r="Z494" s="3" t="s">
        <v>2780</v>
      </c>
      <c r="AA494" s="2" t="s">
        <v>3496</v>
      </c>
    </row>
    <row r="495" spans="1:28" ht="23.25" hidden="1" customHeight="1">
      <c r="A495" s="239" t="s">
        <v>2943</v>
      </c>
      <c r="B495" s="3">
        <v>2024</v>
      </c>
      <c r="C495" s="281" t="s">
        <v>42</v>
      </c>
      <c r="D495" s="3" t="s">
        <v>52</v>
      </c>
      <c r="E495" s="3" t="s">
        <v>1876</v>
      </c>
      <c r="F495" s="173" t="s">
        <v>1877</v>
      </c>
      <c r="G495" s="173"/>
      <c r="H495" s="248"/>
      <c r="I495" s="174" t="s">
        <v>33</v>
      </c>
      <c r="J495" s="2" t="s">
        <v>35</v>
      </c>
      <c r="K495" s="177" t="s">
        <v>3022</v>
      </c>
      <c r="L495" s="177" t="s">
        <v>1878</v>
      </c>
      <c r="M495" s="1">
        <v>45474</v>
      </c>
      <c r="N495" s="1">
        <v>45492</v>
      </c>
      <c r="O495" s="3" t="s">
        <v>41</v>
      </c>
      <c r="P495" s="178">
        <v>53208.480000000003</v>
      </c>
      <c r="Q495" s="179"/>
      <c r="R495" s="217">
        <v>4.9000000000000004</v>
      </c>
      <c r="S495" s="218"/>
      <c r="T495" s="180">
        <v>23</v>
      </c>
      <c r="U495" s="181">
        <v>23</v>
      </c>
      <c r="V495" s="181">
        <v>0</v>
      </c>
      <c r="W495" s="181">
        <v>0</v>
      </c>
      <c r="X495" s="182">
        <f t="shared" si="26"/>
        <v>23</v>
      </c>
      <c r="Y495" s="3">
        <v>76</v>
      </c>
      <c r="Z495" s="3" t="s">
        <v>2784</v>
      </c>
      <c r="AA495" s="2" t="s">
        <v>492</v>
      </c>
      <c r="AB495" s="285" t="s">
        <v>3517</v>
      </c>
    </row>
    <row r="496" spans="1:28" ht="23.25" hidden="1" customHeight="1">
      <c r="A496" s="239" t="s">
        <v>2943</v>
      </c>
      <c r="B496" s="3">
        <v>2024</v>
      </c>
      <c r="C496" s="3" t="s">
        <v>42</v>
      </c>
      <c r="D496" s="3" t="s">
        <v>52</v>
      </c>
      <c r="E496" s="3" t="s">
        <v>1880</v>
      </c>
      <c r="F496" s="173" t="s">
        <v>1881</v>
      </c>
      <c r="G496" s="173"/>
      <c r="H496" s="248"/>
      <c r="I496" s="174" t="s">
        <v>44</v>
      </c>
      <c r="J496" s="2" t="s">
        <v>15</v>
      </c>
      <c r="K496" s="177" t="s">
        <v>3041</v>
      </c>
      <c r="L496" s="177" t="s">
        <v>3518</v>
      </c>
      <c r="M496" s="1">
        <v>45475</v>
      </c>
      <c r="N496" s="1">
        <v>45477</v>
      </c>
      <c r="O496" s="3" t="s">
        <v>41</v>
      </c>
      <c r="P496" s="178">
        <v>9416.2800000000007</v>
      </c>
      <c r="Q496" s="179"/>
      <c r="R496" s="217">
        <v>4.5999999999999996</v>
      </c>
      <c r="S496" s="218">
        <f>R496/5</f>
        <v>0.91999999999999993</v>
      </c>
      <c r="T496" s="180">
        <v>80</v>
      </c>
      <c r="U496" s="181">
        <v>0</v>
      </c>
      <c r="V496" s="181">
        <v>89</v>
      </c>
      <c r="W496" s="181">
        <v>0</v>
      </c>
      <c r="X496" s="182">
        <f t="shared" si="26"/>
        <v>89</v>
      </c>
      <c r="Y496" s="3">
        <v>12</v>
      </c>
      <c r="Z496" s="3" t="s">
        <v>2784</v>
      </c>
      <c r="AA496" s="2" t="s">
        <v>3519</v>
      </c>
    </row>
    <row r="497" spans="1:28" ht="23.25" hidden="1" customHeight="1">
      <c r="A497" s="171" t="s">
        <v>2943</v>
      </c>
      <c r="B497" s="3">
        <v>2024</v>
      </c>
      <c r="C497" s="3" t="s">
        <v>42</v>
      </c>
      <c r="D497" s="3" t="s">
        <v>52</v>
      </c>
      <c r="E497" s="3" t="s">
        <v>1885</v>
      </c>
      <c r="F497" s="173" t="s">
        <v>1886</v>
      </c>
      <c r="G497" s="173"/>
      <c r="H497" s="248"/>
      <c r="I497" s="174" t="s">
        <v>33</v>
      </c>
      <c r="J497" s="2" t="s">
        <v>13</v>
      </c>
      <c r="K497" s="177" t="s">
        <v>3022</v>
      </c>
      <c r="L497" s="177" t="s">
        <v>3520</v>
      </c>
      <c r="M497" s="1">
        <v>45476</v>
      </c>
      <c r="N497" s="1">
        <v>45476</v>
      </c>
      <c r="O497" s="3" t="s">
        <v>45</v>
      </c>
      <c r="P497" s="178">
        <v>23750</v>
      </c>
      <c r="Q497" s="179"/>
      <c r="R497" s="217">
        <v>4.8</v>
      </c>
      <c r="S497" s="218">
        <f>R497/5</f>
        <v>0.96</v>
      </c>
      <c r="T497" s="180">
        <v>40</v>
      </c>
      <c r="U497" s="181">
        <v>22</v>
      </c>
      <c r="V497" s="181">
        <v>0</v>
      </c>
      <c r="W497" s="181">
        <v>0</v>
      </c>
      <c r="X497" s="182">
        <f t="shared" si="26"/>
        <v>22</v>
      </c>
      <c r="Y497" s="3">
        <v>19</v>
      </c>
      <c r="Z497" s="3" t="s">
        <v>2784</v>
      </c>
      <c r="AA497" s="2" t="s">
        <v>762</v>
      </c>
    </row>
    <row r="498" spans="1:28" ht="23.25" hidden="1" customHeight="1">
      <c r="A498" s="171" t="s">
        <v>2943</v>
      </c>
      <c r="B498" s="3">
        <v>2024</v>
      </c>
      <c r="C498" s="3" t="s">
        <v>42</v>
      </c>
      <c r="D498" s="3" t="s">
        <v>52</v>
      </c>
      <c r="E498" s="3" t="s">
        <v>1770</v>
      </c>
      <c r="F498" s="241" t="s">
        <v>1889</v>
      </c>
      <c r="G498" s="173"/>
      <c r="H498" s="248"/>
      <c r="I498" s="174" t="s">
        <v>33</v>
      </c>
      <c r="J498" s="2" t="s">
        <v>29</v>
      </c>
      <c r="K498" s="177" t="s">
        <v>3022</v>
      </c>
      <c r="L498" s="177" t="s">
        <v>1890</v>
      </c>
      <c r="M498" s="1">
        <v>45478</v>
      </c>
      <c r="N498" s="1">
        <v>45478</v>
      </c>
      <c r="O498" s="3" t="s">
        <v>45</v>
      </c>
      <c r="P498" s="178">
        <f>49600/8</f>
        <v>6200</v>
      </c>
      <c r="Q498" s="179"/>
      <c r="R498" s="217">
        <v>5</v>
      </c>
      <c r="S498" s="218">
        <f>R498/5</f>
        <v>1</v>
      </c>
      <c r="T498" s="180">
        <v>20</v>
      </c>
      <c r="U498" s="181">
        <v>11</v>
      </c>
      <c r="V498" s="181">
        <v>0</v>
      </c>
      <c r="W498" s="181">
        <v>0</v>
      </c>
      <c r="X498" s="182">
        <f t="shared" si="26"/>
        <v>11</v>
      </c>
      <c r="Y498" s="3">
        <v>4</v>
      </c>
      <c r="Z498" s="3" t="s">
        <v>2780</v>
      </c>
      <c r="AA498" s="12" t="s">
        <v>1773</v>
      </c>
    </row>
    <row r="499" spans="1:28" ht="23.25" hidden="1" customHeight="1">
      <c r="A499" s="239" t="s">
        <v>2943</v>
      </c>
      <c r="B499" s="3">
        <v>2024</v>
      </c>
      <c r="D499" s="171" t="s">
        <v>50</v>
      </c>
      <c r="E499" s="3" t="s">
        <v>2900</v>
      </c>
      <c r="F499" s="279" t="s">
        <v>3521</v>
      </c>
      <c r="G499" s="173"/>
      <c r="H499" s="248"/>
      <c r="I499" s="174" t="s">
        <v>44</v>
      </c>
      <c r="K499" s="177" t="s">
        <v>3041</v>
      </c>
      <c r="L499" s="177" t="s">
        <v>3522</v>
      </c>
      <c r="M499" s="1">
        <v>45490</v>
      </c>
      <c r="N499" s="1">
        <v>45491</v>
      </c>
      <c r="O499" s="3" t="s">
        <v>41</v>
      </c>
      <c r="Q499" s="179"/>
      <c r="R499" s="217"/>
      <c r="S499" s="218">
        <f>R499/5</f>
        <v>0</v>
      </c>
      <c r="T499" s="180"/>
      <c r="U499" s="181"/>
      <c r="V499" s="181"/>
      <c r="W499" s="181"/>
      <c r="X499" s="181">
        <f t="shared" si="26"/>
        <v>0</v>
      </c>
      <c r="Y499" s="3"/>
      <c r="Z499" s="3" t="s">
        <v>2784</v>
      </c>
      <c r="AA499" s="2" t="s">
        <v>3476</v>
      </c>
    </row>
    <row r="500" spans="1:28" ht="23.25" hidden="1" customHeight="1">
      <c r="A500" s="286" t="s">
        <v>2943</v>
      </c>
      <c r="B500" s="3">
        <v>2024</v>
      </c>
      <c r="C500" s="287" t="s">
        <v>46</v>
      </c>
      <c r="D500" s="3" t="s">
        <v>52</v>
      </c>
      <c r="E500" s="3" t="s">
        <v>1892</v>
      </c>
      <c r="F500" s="173" t="s">
        <v>1893</v>
      </c>
      <c r="G500" s="173"/>
      <c r="H500" s="248"/>
      <c r="I500" s="174" t="s">
        <v>33</v>
      </c>
      <c r="J500" s="2" t="s">
        <v>25</v>
      </c>
      <c r="K500" s="177" t="s">
        <v>3022</v>
      </c>
      <c r="L500" s="177" t="s">
        <v>1894</v>
      </c>
      <c r="M500" s="1">
        <v>45495</v>
      </c>
      <c r="N500" s="1">
        <v>45498</v>
      </c>
      <c r="O500" s="3" t="s">
        <v>41</v>
      </c>
      <c r="P500" s="178">
        <v>6800.66</v>
      </c>
      <c r="Q500" s="179"/>
      <c r="R500" s="217">
        <v>4.9000000000000004</v>
      </c>
      <c r="S500" s="218"/>
      <c r="T500" s="180">
        <v>20</v>
      </c>
      <c r="U500" s="181">
        <v>21</v>
      </c>
      <c r="V500" s="181">
        <v>0</v>
      </c>
      <c r="W500" s="181">
        <v>0</v>
      </c>
      <c r="X500" s="182">
        <f t="shared" si="26"/>
        <v>21</v>
      </c>
      <c r="Y500" s="3">
        <v>12</v>
      </c>
      <c r="Z500" s="3"/>
      <c r="AA500" s="2" t="s">
        <v>1895</v>
      </c>
      <c r="AB500" s="288"/>
    </row>
    <row r="501" spans="1:28" ht="23.25" hidden="1" customHeight="1">
      <c r="A501" s="289" t="s">
        <v>2943</v>
      </c>
      <c r="B501" s="3">
        <v>2024</v>
      </c>
      <c r="C501" s="287" t="s">
        <v>42</v>
      </c>
      <c r="D501" s="3" t="s">
        <v>52</v>
      </c>
      <c r="E501" s="3" t="s">
        <v>1897</v>
      </c>
      <c r="F501" s="173" t="s">
        <v>1898</v>
      </c>
      <c r="G501" s="173"/>
      <c r="H501" s="248"/>
      <c r="I501" s="174" t="s">
        <v>33</v>
      </c>
      <c r="J501" s="2" t="s">
        <v>10</v>
      </c>
      <c r="K501" s="177" t="s">
        <v>3022</v>
      </c>
      <c r="L501" s="290" t="s">
        <v>1899</v>
      </c>
      <c r="M501" s="1">
        <v>45497</v>
      </c>
      <c r="N501" s="1">
        <v>45501</v>
      </c>
      <c r="O501" s="3" t="s">
        <v>41</v>
      </c>
      <c r="P501" s="178">
        <v>10250.44</v>
      </c>
      <c r="Q501" s="179"/>
      <c r="R501" s="217">
        <v>4.8</v>
      </c>
      <c r="S501" s="218"/>
      <c r="T501" s="180">
        <v>51</v>
      </c>
      <c r="U501" s="181">
        <v>51</v>
      </c>
      <c r="V501" s="181">
        <v>0</v>
      </c>
      <c r="W501" s="181">
        <v>0</v>
      </c>
      <c r="X501" s="182">
        <f t="shared" si="26"/>
        <v>51</v>
      </c>
      <c r="Y501" s="3">
        <v>16</v>
      </c>
      <c r="Z501" s="3" t="s">
        <v>2784</v>
      </c>
      <c r="AA501" s="2" t="s">
        <v>569</v>
      </c>
      <c r="AB501" s="291" t="s">
        <v>3523</v>
      </c>
    </row>
    <row r="502" spans="1:28" ht="23.25" hidden="1" customHeight="1">
      <c r="A502" s="292" t="s">
        <v>2943</v>
      </c>
      <c r="B502" s="3">
        <v>2024</v>
      </c>
      <c r="C502" s="287" t="s">
        <v>42</v>
      </c>
      <c r="D502" s="3" t="s">
        <v>52</v>
      </c>
      <c r="E502" s="239" t="s">
        <v>1770</v>
      </c>
      <c r="F502" s="173" t="s">
        <v>1901</v>
      </c>
      <c r="G502" s="211"/>
      <c r="H502" s="280"/>
      <c r="I502" s="242" t="s">
        <v>33</v>
      </c>
      <c r="J502" s="234" t="s">
        <v>29</v>
      </c>
      <c r="K502" s="212" t="s">
        <v>3022</v>
      </c>
      <c r="L502" s="290" t="s">
        <v>1902</v>
      </c>
      <c r="M502" s="1">
        <v>45499</v>
      </c>
      <c r="N502" s="1">
        <v>45499</v>
      </c>
      <c r="O502" s="3" t="s">
        <v>45</v>
      </c>
      <c r="P502" s="178">
        <f>49600/8</f>
        <v>6200</v>
      </c>
      <c r="Q502" s="179"/>
      <c r="R502" s="217">
        <v>5</v>
      </c>
      <c r="S502" s="218">
        <f>R502/5</f>
        <v>1</v>
      </c>
      <c r="T502" s="180">
        <v>20</v>
      </c>
      <c r="U502" s="181">
        <v>7</v>
      </c>
      <c r="V502" s="181">
        <v>0</v>
      </c>
      <c r="W502" s="181">
        <v>0</v>
      </c>
      <c r="X502" s="182">
        <f t="shared" si="26"/>
        <v>7</v>
      </c>
      <c r="Y502" s="3">
        <v>4</v>
      </c>
      <c r="Z502" s="3" t="s">
        <v>2780</v>
      </c>
      <c r="AA502" s="2" t="s">
        <v>1773</v>
      </c>
      <c r="AB502" s="288"/>
    </row>
    <row r="503" spans="1:28" ht="23.25" hidden="1" customHeight="1">
      <c r="A503" s="275" t="s">
        <v>2943</v>
      </c>
      <c r="B503" s="3">
        <v>2024</v>
      </c>
      <c r="C503" s="3" t="s">
        <v>42</v>
      </c>
      <c r="D503" s="3" t="s">
        <v>52</v>
      </c>
      <c r="E503" s="3" t="s">
        <v>1904</v>
      </c>
      <c r="F503" s="173" t="s">
        <v>1905</v>
      </c>
      <c r="G503" s="173"/>
      <c r="H503" s="248"/>
      <c r="I503" s="174" t="s">
        <v>33</v>
      </c>
      <c r="J503" s="2" t="s">
        <v>10</v>
      </c>
      <c r="K503" s="177" t="s">
        <v>3022</v>
      </c>
      <c r="L503" s="177" t="s">
        <v>3524</v>
      </c>
      <c r="M503" s="1">
        <v>45502</v>
      </c>
      <c r="N503" s="1">
        <v>45506</v>
      </c>
      <c r="O503" s="3" t="s">
        <v>41</v>
      </c>
      <c r="P503" s="178">
        <v>9416.4599999999991</v>
      </c>
      <c r="Q503" s="179"/>
      <c r="R503" s="217">
        <v>4.9000000000000004</v>
      </c>
      <c r="S503" s="218">
        <f>R503/5</f>
        <v>0.98000000000000009</v>
      </c>
      <c r="T503" s="180">
        <v>20</v>
      </c>
      <c r="U503" s="181">
        <v>22</v>
      </c>
      <c r="V503" s="181">
        <v>0</v>
      </c>
      <c r="W503" s="181">
        <v>0</v>
      </c>
      <c r="X503" s="182">
        <f t="shared" si="26"/>
        <v>22</v>
      </c>
      <c r="Y503" s="3">
        <v>12</v>
      </c>
      <c r="Z503" s="3" t="s">
        <v>2780</v>
      </c>
      <c r="AA503" s="12" t="s">
        <v>3525</v>
      </c>
      <c r="AB503" s="274" t="s">
        <v>3526</v>
      </c>
    </row>
    <row r="504" spans="1:28" ht="23.25" hidden="1" customHeight="1">
      <c r="A504" s="275" t="s">
        <v>2943</v>
      </c>
      <c r="B504" s="3">
        <v>2024</v>
      </c>
      <c r="C504" s="3" t="s">
        <v>42</v>
      </c>
      <c r="D504" s="3" t="s">
        <v>52</v>
      </c>
      <c r="E504" s="3" t="s">
        <v>1909</v>
      </c>
      <c r="F504" s="173" t="s">
        <v>1910</v>
      </c>
      <c r="G504" s="173"/>
      <c r="H504" s="248"/>
      <c r="I504" s="174" t="s">
        <v>48</v>
      </c>
      <c r="J504" s="2" t="s">
        <v>13</v>
      </c>
      <c r="K504" s="177" t="s">
        <v>51</v>
      </c>
      <c r="L504" s="177" t="s">
        <v>3527</v>
      </c>
      <c r="M504" s="1">
        <v>45502</v>
      </c>
      <c r="N504" s="1">
        <v>45504</v>
      </c>
      <c r="O504" s="3" t="s">
        <v>49</v>
      </c>
      <c r="P504" s="178">
        <v>0</v>
      </c>
      <c r="Q504" s="179"/>
      <c r="R504" s="217">
        <v>4.9000000000000004</v>
      </c>
      <c r="S504" s="218">
        <f>R504/5</f>
        <v>0.98000000000000009</v>
      </c>
      <c r="T504" s="180">
        <v>170</v>
      </c>
      <c r="U504" s="181">
        <v>23</v>
      </c>
      <c r="V504" s="181">
        <v>34</v>
      </c>
      <c r="W504" s="181">
        <v>156</v>
      </c>
      <c r="X504" s="182">
        <f t="shared" si="26"/>
        <v>213</v>
      </c>
      <c r="Y504" s="3">
        <v>24</v>
      </c>
      <c r="Z504" s="3"/>
      <c r="AA504" s="2" t="s">
        <v>492</v>
      </c>
    </row>
    <row r="505" spans="1:28" ht="23.25" hidden="1" customHeight="1">
      <c r="A505" s="275" t="s">
        <v>2943</v>
      </c>
      <c r="B505" s="3">
        <v>2024</v>
      </c>
      <c r="C505" s="3" t="s">
        <v>42</v>
      </c>
      <c r="D505" s="3" t="s">
        <v>52</v>
      </c>
      <c r="E505" s="3" t="s">
        <v>1909</v>
      </c>
      <c r="F505" s="173" t="s">
        <v>1913</v>
      </c>
      <c r="G505" s="174" t="s">
        <v>51</v>
      </c>
      <c r="H505" s="245" t="s">
        <v>13</v>
      </c>
      <c r="I505" s="177" t="s">
        <v>33</v>
      </c>
      <c r="J505" s="2" t="s">
        <v>13</v>
      </c>
      <c r="K505" s="177" t="s">
        <v>51</v>
      </c>
      <c r="L505" s="177" t="s">
        <v>3528</v>
      </c>
      <c r="M505" s="1">
        <v>45504</v>
      </c>
      <c r="N505" s="1">
        <v>45505</v>
      </c>
      <c r="O505" s="3" t="s">
        <v>45</v>
      </c>
      <c r="P505" s="178">
        <v>0</v>
      </c>
      <c r="Q505" s="179"/>
      <c r="R505" s="217">
        <v>4.9000000000000004</v>
      </c>
      <c r="S505" s="218"/>
      <c r="T505" s="180">
        <v>80</v>
      </c>
      <c r="U505" s="181">
        <v>22</v>
      </c>
      <c r="V505" s="181">
        <v>0</v>
      </c>
      <c r="W505" s="181">
        <v>70</v>
      </c>
      <c r="X505" s="182">
        <f t="shared" si="26"/>
        <v>92</v>
      </c>
      <c r="Y505" s="3">
        <v>8</v>
      </c>
      <c r="Z505" s="3" t="s">
        <v>2780</v>
      </c>
      <c r="AA505" s="2" t="s">
        <v>492</v>
      </c>
    </row>
    <row r="506" spans="1:28" ht="23.25" hidden="1" customHeight="1">
      <c r="A506" s="273" t="s">
        <v>2943</v>
      </c>
      <c r="B506" s="3">
        <v>2024</v>
      </c>
      <c r="C506" s="3" t="s">
        <v>42</v>
      </c>
      <c r="D506" s="3" t="s">
        <v>52</v>
      </c>
      <c r="E506" s="3" t="s">
        <v>1916</v>
      </c>
      <c r="F506" s="173" t="s">
        <v>1917</v>
      </c>
      <c r="G506" s="173"/>
      <c r="H506" s="248"/>
      <c r="I506" s="174" t="s">
        <v>33</v>
      </c>
      <c r="J506" s="2" t="s">
        <v>25</v>
      </c>
      <c r="K506" s="177" t="s">
        <v>3022</v>
      </c>
      <c r="L506" s="177" t="s">
        <v>1918</v>
      </c>
      <c r="M506" s="1">
        <v>45510</v>
      </c>
      <c r="N506" s="1">
        <v>45512</v>
      </c>
      <c r="O506" s="3" t="s">
        <v>41</v>
      </c>
      <c r="P506" s="187">
        <v>2043.6</v>
      </c>
      <c r="Q506" s="179"/>
      <c r="R506" s="217">
        <v>4.7</v>
      </c>
      <c r="S506" s="218"/>
      <c r="T506" s="180">
        <v>20</v>
      </c>
      <c r="U506" s="181">
        <v>18</v>
      </c>
      <c r="V506" s="181">
        <v>0</v>
      </c>
      <c r="W506" s="181">
        <v>0</v>
      </c>
      <c r="X506" s="182">
        <f t="shared" si="26"/>
        <v>18</v>
      </c>
      <c r="Y506" s="3">
        <v>4</v>
      </c>
      <c r="Z506" s="3" t="s">
        <v>2780</v>
      </c>
      <c r="AA506" s="2" t="s">
        <v>3529</v>
      </c>
    </row>
    <row r="507" spans="1:28" ht="23.25" hidden="1" customHeight="1">
      <c r="A507" s="239" t="s">
        <v>2943</v>
      </c>
      <c r="B507" s="3">
        <v>2024</v>
      </c>
      <c r="C507" s="3" t="s">
        <v>42</v>
      </c>
      <c r="D507" s="3" t="s">
        <v>52</v>
      </c>
      <c r="E507" s="239" t="s">
        <v>1770</v>
      </c>
      <c r="F507" s="173" t="s">
        <v>1921</v>
      </c>
      <c r="G507" s="211"/>
      <c r="H507" s="280"/>
      <c r="I507" s="242" t="s">
        <v>33</v>
      </c>
      <c r="J507" s="234" t="s">
        <v>29</v>
      </c>
      <c r="K507" s="212" t="s">
        <v>3022</v>
      </c>
      <c r="L507" s="177" t="s">
        <v>1922</v>
      </c>
      <c r="M507" s="1">
        <v>45513</v>
      </c>
      <c r="N507" s="1">
        <v>45513</v>
      </c>
      <c r="O507" s="3" t="s">
        <v>45</v>
      </c>
      <c r="P507" s="178">
        <f>49600/8</f>
        <v>6200</v>
      </c>
      <c r="Q507" s="179"/>
      <c r="R507" s="217">
        <v>4.8</v>
      </c>
      <c r="S507" s="218">
        <f t="shared" ref="S507:S530" si="27">R507/5</f>
        <v>0.96</v>
      </c>
      <c r="T507" s="180">
        <v>20</v>
      </c>
      <c r="U507" s="181">
        <v>8</v>
      </c>
      <c r="V507" s="181">
        <v>0</v>
      </c>
      <c r="W507" s="181">
        <v>0</v>
      </c>
      <c r="X507" s="182">
        <f t="shared" si="26"/>
        <v>8</v>
      </c>
      <c r="Y507" s="3">
        <v>4</v>
      </c>
      <c r="Z507" s="3" t="s">
        <v>2780</v>
      </c>
      <c r="AA507" s="2" t="s">
        <v>1773</v>
      </c>
    </row>
    <row r="508" spans="1:28" ht="23.25" hidden="1" customHeight="1">
      <c r="A508" s="239" t="s">
        <v>2943</v>
      </c>
      <c r="B508" s="3">
        <v>2024</v>
      </c>
      <c r="C508" s="3" t="s">
        <v>42</v>
      </c>
      <c r="D508" s="3" t="s">
        <v>52</v>
      </c>
      <c r="E508" s="239" t="s">
        <v>1770</v>
      </c>
      <c r="F508" s="241" t="s">
        <v>1924</v>
      </c>
      <c r="G508" s="211"/>
      <c r="H508" s="280"/>
      <c r="I508" s="242" t="s">
        <v>33</v>
      </c>
      <c r="J508" s="2" t="s">
        <v>29</v>
      </c>
      <c r="K508" s="212" t="s">
        <v>3022</v>
      </c>
      <c r="L508" s="177" t="s">
        <v>1925</v>
      </c>
      <c r="M508" s="1">
        <v>45513</v>
      </c>
      <c r="N508" s="1">
        <v>45513</v>
      </c>
      <c r="O508" s="3" t="s">
        <v>45</v>
      </c>
      <c r="P508" s="178">
        <f>49600/8</f>
        <v>6200</v>
      </c>
      <c r="Q508" s="179"/>
      <c r="R508" s="217">
        <v>4.8</v>
      </c>
      <c r="S508" s="218">
        <f t="shared" si="27"/>
        <v>0.96</v>
      </c>
      <c r="T508" s="180">
        <v>20</v>
      </c>
      <c r="U508" s="181">
        <v>8</v>
      </c>
      <c r="V508" s="181">
        <v>0</v>
      </c>
      <c r="W508" s="181">
        <v>0</v>
      </c>
      <c r="X508" s="182">
        <f t="shared" si="26"/>
        <v>8</v>
      </c>
      <c r="Y508" s="3">
        <v>4</v>
      </c>
      <c r="Z508" s="3" t="s">
        <v>2780</v>
      </c>
      <c r="AA508" s="2" t="s">
        <v>1773</v>
      </c>
    </row>
    <row r="509" spans="1:28" ht="23.25" hidden="1" customHeight="1">
      <c r="A509" s="275" t="s">
        <v>2943</v>
      </c>
      <c r="B509" s="3">
        <v>2024</v>
      </c>
      <c r="C509" s="3" t="s">
        <v>42</v>
      </c>
      <c r="D509" s="3" t="s">
        <v>52</v>
      </c>
      <c r="E509" s="3" t="s">
        <v>1928</v>
      </c>
      <c r="F509" s="173" t="s">
        <v>1929</v>
      </c>
      <c r="G509" s="173"/>
      <c r="H509" s="248"/>
      <c r="I509" s="174" t="s">
        <v>44</v>
      </c>
      <c r="J509" s="2" t="s">
        <v>15</v>
      </c>
      <c r="K509" s="177" t="s">
        <v>3022</v>
      </c>
      <c r="L509" s="177" t="s">
        <v>1930</v>
      </c>
      <c r="M509" s="1">
        <v>45519</v>
      </c>
      <c r="N509" s="1">
        <v>45520</v>
      </c>
      <c r="O509" s="3" t="s">
        <v>41</v>
      </c>
      <c r="P509" s="178">
        <f>566.73+2864.85</f>
        <v>3431.58</v>
      </c>
      <c r="Q509" s="179"/>
      <c r="R509" s="217">
        <v>4.9000000000000004</v>
      </c>
      <c r="S509" s="218">
        <f t="shared" si="27"/>
        <v>0.98000000000000009</v>
      </c>
      <c r="T509" s="180">
        <v>400</v>
      </c>
      <c r="U509" s="181">
        <v>116</v>
      </c>
      <c r="V509" s="181">
        <v>268</v>
      </c>
      <c r="W509" s="181">
        <v>0</v>
      </c>
      <c r="X509" s="182">
        <f t="shared" si="26"/>
        <v>384</v>
      </c>
      <c r="Y509" s="3">
        <v>8</v>
      </c>
      <c r="Z509" s="3"/>
      <c r="AA509" s="2" t="s">
        <v>492</v>
      </c>
      <c r="AB509" s="274" t="s">
        <v>3530</v>
      </c>
    </row>
    <row r="510" spans="1:28" ht="23.25" hidden="1" customHeight="1">
      <c r="A510" s="273" t="s">
        <v>2943</v>
      </c>
      <c r="B510" s="3">
        <v>2024</v>
      </c>
      <c r="C510" s="3" t="s">
        <v>46</v>
      </c>
      <c r="D510" s="3" t="s">
        <v>52</v>
      </c>
      <c r="E510" s="3" t="s">
        <v>1932</v>
      </c>
      <c r="F510" s="173" t="s">
        <v>1933</v>
      </c>
      <c r="G510" s="173"/>
      <c r="H510" s="248"/>
      <c r="I510" s="174" t="s">
        <v>44</v>
      </c>
      <c r="J510" s="2" t="s">
        <v>15</v>
      </c>
      <c r="K510" s="177" t="s">
        <v>3022</v>
      </c>
      <c r="L510" s="177" t="s">
        <v>1934</v>
      </c>
      <c r="M510" s="1">
        <v>45523</v>
      </c>
      <c r="N510" s="1">
        <v>45525</v>
      </c>
      <c r="O510" s="3" t="s">
        <v>41</v>
      </c>
      <c r="P510" s="187">
        <v>9211.69</v>
      </c>
      <c r="Q510" s="179"/>
      <c r="R510" s="217">
        <v>4.8</v>
      </c>
      <c r="S510" s="218">
        <f t="shared" si="27"/>
        <v>0.96</v>
      </c>
      <c r="T510" s="180">
        <v>30</v>
      </c>
      <c r="U510" s="181">
        <v>0</v>
      </c>
      <c r="V510" s="181">
        <v>24</v>
      </c>
      <c r="W510" s="181">
        <v>0</v>
      </c>
      <c r="X510" s="182">
        <f t="shared" si="26"/>
        <v>24</v>
      </c>
      <c r="Y510" s="3">
        <v>12</v>
      </c>
      <c r="Z510" s="3"/>
      <c r="AA510" s="2" t="s">
        <v>3531</v>
      </c>
    </row>
    <row r="511" spans="1:28" ht="23.25" hidden="1" customHeight="1">
      <c r="A511" s="275" t="s">
        <v>2943</v>
      </c>
      <c r="B511" s="3">
        <v>2024</v>
      </c>
      <c r="C511" s="3" t="s">
        <v>42</v>
      </c>
      <c r="D511" s="3" t="s">
        <v>52</v>
      </c>
      <c r="E511" s="3" t="s">
        <v>1937</v>
      </c>
      <c r="F511" s="173" t="s">
        <v>1938</v>
      </c>
      <c r="G511" s="173"/>
      <c r="H511" s="248"/>
      <c r="I511" s="174" t="s">
        <v>44</v>
      </c>
      <c r="J511" s="2" t="s">
        <v>15</v>
      </c>
      <c r="K511" s="177" t="s">
        <v>51</v>
      </c>
      <c r="L511" s="177" t="s">
        <v>1939</v>
      </c>
      <c r="M511" s="1">
        <v>45524</v>
      </c>
      <c r="N511" s="1">
        <v>45534</v>
      </c>
      <c r="O511" s="3" t="s">
        <v>49</v>
      </c>
      <c r="P511" s="187">
        <v>18349.060000000001</v>
      </c>
      <c r="Q511" s="179"/>
      <c r="R511" s="217">
        <v>4.8</v>
      </c>
      <c r="S511" s="218">
        <f t="shared" si="27"/>
        <v>0.96</v>
      </c>
      <c r="T511" s="180">
        <v>30</v>
      </c>
      <c r="U511" s="181">
        <v>23</v>
      </c>
      <c r="V511" s="181">
        <v>12</v>
      </c>
      <c r="W511" s="181">
        <v>0</v>
      </c>
      <c r="X511" s="182">
        <f t="shared" si="26"/>
        <v>35</v>
      </c>
      <c r="Y511" s="3">
        <v>20</v>
      </c>
      <c r="Z511" s="3"/>
      <c r="AA511" s="2" t="s">
        <v>3532</v>
      </c>
    </row>
    <row r="512" spans="1:28" ht="23.25" hidden="1" customHeight="1">
      <c r="A512" s="273" t="s">
        <v>2943</v>
      </c>
      <c r="B512" s="3">
        <v>2024</v>
      </c>
      <c r="C512" s="3" t="s">
        <v>46</v>
      </c>
      <c r="D512" s="3" t="s">
        <v>52</v>
      </c>
      <c r="E512" s="3" t="s">
        <v>1941</v>
      </c>
      <c r="F512" s="173" t="s">
        <v>1942</v>
      </c>
      <c r="G512" s="173"/>
      <c r="H512" s="248"/>
      <c r="I512" s="174" t="s">
        <v>44</v>
      </c>
      <c r="J512" s="2" t="s">
        <v>15</v>
      </c>
      <c r="K512" s="177" t="s">
        <v>3022</v>
      </c>
      <c r="L512" s="177" t="s">
        <v>1943</v>
      </c>
      <c r="M512" s="1">
        <v>45524</v>
      </c>
      <c r="N512" s="1">
        <v>45524</v>
      </c>
      <c r="O512" s="3" t="s">
        <v>41</v>
      </c>
      <c r="P512" s="178">
        <v>2266.94</v>
      </c>
      <c r="Q512" s="179"/>
      <c r="R512" s="217">
        <v>5</v>
      </c>
      <c r="S512" s="218">
        <f t="shared" si="27"/>
        <v>1</v>
      </c>
      <c r="T512" s="180">
        <v>80</v>
      </c>
      <c r="U512" s="181">
        <v>0</v>
      </c>
      <c r="V512" s="181">
        <v>53</v>
      </c>
      <c r="W512" s="181">
        <v>0</v>
      </c>
      <c r="X512" s="182">
        <f t="shared" si="26"/>
        <v>53</v>
      </c>
      <c r="Y512" s="3">
        <v>4</v>
      </c>
      <c r="Z512" s="3"/>
      <c r="AA512" s="2" t="s">
        <v>1944</v>
      </c>
    </row>
    <row r="513" spans="1:28" ht="23.25" hidden="1" customHeight="1">
      <c r="A513" s="275" t="s">
        <v>2943</v>
      </c>
      <c r="B513" s="3">
        <v>2024</v>
      </c>
      <c r="C513" s="3" t="s">
        <v>46</v>
      </c>
      <c r="D513" s="3" t="s">
        <v>52</v>
      </c>
      <c r="E513" s="3" t="s">
        <v>1946</v>
      </c>
      <c r="F513" s="173" t="s">
        <v>1947</v>
      </c>
      <c r="G513" s="173"/>
      <c r="H513" s="248"/>
      <c r="I513" s="174" t="s">
        <v>33</v>
      </c>
      <c r="J513" s="2" t="s">
        <v>25</v>
      </c>
      <c r="K513" s="177" t="s">
        <v>3022</v>
      </c>
      <c r="L513" s="177" t="s">
        <v>1948</v>
      </c>
      <c r="M513" s="1">
        <v>45524</v>
      </c>
      <c r="N513" s="1">
        <v>45525</v>
      </c>
      <c r="O513" s="3" t="s">
        <v>41</v>
      </c>
      <c r="P513" s="187">
        <v>2349.29</v>
      </c>
      <c r="Q513" s="179"/>
      <c r="R513" s="217">
        <v>4.7</v>
      </c>
      <c r="S513" s="218">
        <f t="shared" si="27"/>
        <v>0.94000000000000006</v>
      </c>
      <c r="T513" s="180">
        <v>20</v>
      </c>
      <c r="U513" s="181">
        <v>12</v>
      </c>
      <c r="V513" s="181">
        <v>0</v>
      </c>
      <c r="W513" s="181">
        <v>0</v>
      </c>
      <c r="X513" s="182">
        <f t="shared" si="26"/>
        <v>12</v>
      </c>
      <c r="Y513" s="3">
        <v>8</v>
      </c>
      <c r="Z513" s="3" t="s">
        <v>2780</v>
      </c>
      <c r="AA513" s="2" t="s">
        <v>1949</v>
      </c>
    </row>
    <row r="514" spans="1:28" ht="23.25" hidden="1" customHeight="1">
      <c r="A514" s="239" t="s">
        <v>2943</v>
      </c>
      <c r="B514" s="3">
        <v>2024</v>
      </c>
      <c r="D514" s="171" t="s">
        <v>50</v>
      </c>
      <c r="E514" s="3" t="s">
        <v>2900</v>
      </c>
      <c r="F514" s="279" t="s">
        <v>3533</v>
      </c>
      <c r="G514" s="173"/>
      <c r="H514" s="248"/>
      <c r="I514" s="174" t="s">
        <v>44</v>
      </c>
      <c r="K514" s="177" t="s">
        <v>3041</v>
      </c>
      <c r="L514" s="177" t="s">
        <v>3534</v>
      </c>
      <c r="M514" s="1">
        <v>45525</v>
      </c>
      <c r="N514" s="1">
        <v>45526</v>
      </c>
      <c r="O514" s="3" t="s">
        <v>41</v>
      </c>
      <c r="Q514" s="179"/>
      <c r="R514" s="217"/>
      <c r="S514" s="218">
        <f t="shared" si="27"/>
        <v>0</v>
      </c>
      <c r="T514" s="180"/>
      <c r="U514" s="181"/>
      <c r="V514" s="181"/>
      <c r="W514" s="181"/>
      <c r="X514" s="181">
        <f t="shared" si="26"/>
        <v>0</v>
      </c>
      <c r="Y514" s="3"/>
      <c r="Z514" s="3" t="s">
        <v>2784</v>
      </c>
      <c r="AA514" s="2" t="s">
        <v>3476</v>
      </c>
    </row>
    <row r="515" spans="1:28" ht="23.25" hidden="1" customHeight="1">
      <c r="A515" s="273" t="s">
        <v>2943</v>
      </c>
      <c r="B515" s="3">
        <v>2024</v>
      </c>
      <c r="C515" s="281" t="s">
        <v>46</v>
      </c>
      <c r="D515" s="3" t="s">
        <v>52</v>
      </c>
      <c r="E515" s="3" t="s">
        <v>1951</v>
      </c>
      <c r="F515" s="173" t="s">
        <v>1952</v>
      </c>
      <c r="G515" s="173"/>
      <c r="H515" s="248"/>
      <c r="I515" s="174" t="s">
        <v>44</v>
      </c>
      <c r="J515" s="2" t="s">
        <v>15</v>
      </c>
      <c r="K515" s="177" t="s">
        <v>3022</v>
      </c>
      <c r="L515" s="177" t="s">
        <v>1953</v>
      </c>
      <c r="M515" s="1">
        <v>45525</v>
      </c>
      <c r="N515" s="1">
        <v>45525</v>
      </c>
      <c r="O515" s="3" t="s">
        <v>41</v>
      </c>
      <c r="P515" s="187">
        <v>1830.98</v>
      </c>
      <c r="Q515" s="179"/>
      <c r="R515" s="217">
        <v>4.5999999999999996</v>
      </c>
      <c r="S515" s="218">
        <f t="shared" si="27"/>
        <v>0.91999999999999993</v>
      </c>
      <c r="T515" s="180">
        <v>80</v>
      </c>
      <c r="U515" s="181">
        <v>0</v>
      </c>
      <c r="V515" s="181">
        <v>60</v>
      </c>
      <c r="W515" s="181">
        <v>0</v>
      </c>
      <c r="X515" s="182">
        <f t="shared" si="26"/>
        <v>60</v>
      </c>
      <c r="Y515" s="3">
        <v>4</v>
      </c>
      <c r="Z515" s="3"/>
      <c r="AA515" s="2" t="s">
        <v>1954</v>
      </c>
    </row>
    <row r="516" spans="1:28" ht="23.25" hidden="1" customHeight="1">
      <c r="A516" s="273" t="s">
        <v>2943</v>
      </c>
      <c r="B516" s="3">
        <v>2024</v>
      </c>
      <c r="C516" s="3" t="s">
        <v>46</v>
      </c>
      <c r="D516" s="3" t="s">
        <v>52</v>
      </c>
      <c r="E516" s="3" t="s">
        <v>1956</v>
      </c>
      <c r="F516" s="173" t="s">
        <v>1957</v>
      </c>
      <c r="G516" s="173"/>
      <c r="H516" s="248"/>
      <c r="I516" s="174" t="s">
        <v>44</v>
      </c>
      <c r="J516" s="2" t="s">
        <v>15</v>
      </c>
      <c r="K516" s="177" t="s">
        <v>3022</v>
      </c>
      <c r="L516" s="177" t="s">
        <v>1958</v>
      </c>
      <c r="M516" s="1">
        <v>45526</v>
      </c>
      <c r="N516" s="1">
        <v>45526</v>
      </c>
      <c r="O516" s="3" t="s">
        <v>41</v>
      </c>
      <c r="P516" s="187">
        <v>2266.94</v>
      </c>
      <c r="Q516" s="179"/>
      <c r="R516" s="217">
        <v>4.7</v>
      </c>
      <c r="S516" s="218">
        <f t="shared" si="27"/>
        <v>0.94000000000000006</v>
      </c>
      <c r="T516" s="180">
        <v>20</v>
      </c>
      <c r="U516" s="181">
        <v>0</v>
      </c>
      <c r="V516" s="181">
        <v>14</v>
      </c>
      <c r="W516" s="181">
        <v>0</v>
      </c>
      <c r="X516" s="182">
        <f t="shared" si="26"/>
        <v>14</v>
      </c>
      <c r="Y516" s="3">
        <v>4</v>
      </c>
      <c r="Z516" s="3"/>
      <c r="AA516" s="2" t="s">
        <v>3535</v>
      </c>
    </row>
    <row r="517" spans="1:28" ht="23.25" hidden="1" customHeight="1">
      <c r="A517" s="275" t="s">
        <v>2943</v>
      </c>
      <c r="B517" s="3">
        <v>2024</v>
      </c>
      <c r="C517" s="3" t="s">
        <v>46</v>
      </c>
      <c r="D517" s="3" t="s">
        <v>52</v>
      </c>
      <c r="E517" s="3" t="s">
        <v>1960</v>
      </c>
      <c r="F517" s="173" t="s">
        <v>1961</v>
      </c>
      <c r="G517" s="174" t="s">
        <v>33</v>
      </c>
      <c r="H517" s="248"/>
      <c r="I517" s="174" t="s">
        <v>33</v>
      </c>
      <c r="J517" s="2" t="s">
        <v>10</v>
      </c>
      <c r="K517" s="177" t="s">
        <v>3022</v>
      </c>
      <c r="L517" s="177" t="s">
        <v>1962</v>
      </c>
      <c r="M517" s="1">
        <v>45530</v>
      </c>
      <c r="N517" s="1">
        <v>45533</v>
      </c>
      <c r="O517" s="3" t="s">
        <v>41</v>
      </c>
      <c r="P517" s="187">
        <v>9416.4599999999991</v>
      </c>
      <c r="Q517" s="179"/>
      <c r="R517" s="217">
        <v>4.8</v>
      </c>
      <c r="S517" s="218">
        <f t="shared" si="27"/>
        <v>0.96</v>
      </c>
      <c r="T517" s="180">
        <v>20</v>
      </c>
      <c r="U517" s="181">
        <v>20</v>
      </c>
      <c r="V517" s="181">
        <v>0</v>
      </c>
      <c r="W517" s="181">
        <v>0</v>
      </c>
      <c r="X517" s="182">
        <f t="shared" si="26"/>
        <v>20</v>
      </c>
      <c r="Y517" s="3">
        <v>12</v>
      </c>
      <c r="Z517" s="3" t="s">
        <v>2780</v>
      </c>
      <c r="AA517" s="2" t="s">
        <v>3525</v>
      </c>
      <c r="AB517" s="278" t="s">
        <v>3536</v>
      </c>
    </row>
    <row r="518" spans="1:28" ht="23.25" hidden="1" customHeight="1">
      <c r="A518" s="239" t="s">
        <v>2943</v>
      </c>
      <c r="B518" s="3">
        <v>2024</v>
      </c>
      <c r="C518" s="281" t="s">
        <v>46</v>
      </c>
      <c r="D518" s="3" t="s">
        <v>52</v>
      </c>
      <c r="E518" s="3" t="s">
        <v>1964</v>
      </c>
      <c r="F518" s="173" t="s">
        <v>1965</v>
      </c>
      <c r="G518" s="173"/>
      <c r="H518" s="248"/>
      <c r="I518" s="174" t="s">
        <v>48</v>
      </c>
      <c r="J518" s="2" t="s">
        <v>18</v>
      </c>
      <c r="K518" s="177" t="s">
        <v>3041</v>
      </c>
      <c r="L518" s="177" t="s">
        <v>1966</v>
      </c>
      <c r="M518" s="1">
        <v>45530</v>
      </c>
      <c r="N518" s="1">
        <v>45534</v>
      </c>
      <c r="O518" s="3" t="s">
        <v>41</v>
      </c>
      <c r="P518" s="187">
        <v>10181.9</v>
      </c>
      <c r="Q518" s="179"/>
      <c r="R518" s="217">
        <v>4.8</v>
      </c>
      <c r="S518" s="218">
        <f t="shared" si="27"/>
        <v>0.96</v>
      </c>
      <c r="T518" s="180">
        <v>30</v>
      </c>
      <c r="U518" s="181">
        <v>0</v>
      </c>
      <c r="V518" s="181">
        <v>0</v>
      </c>
      <c r="W518" s="181">
        <v>56</v>
      </c>
      <c r="X518" s="182">
        <f t="shared" si="26"/>
        <v>56</v>
      </c>
      <c r="Y518" s="3">
        <v>20</v>
      </c>
      <c r="Z518" s="3" t="s">
        <v>2784</v>
      </c>
      <c r="AA518" s="2" t="s">
        <v>3537</v>
      </c>
    </row>
    <row r="519" spans="1:28" ht="23.25" hidden="1" customHeight="1">
      <c r="A519" s="273" t="s">
        <v>2943</v>
      </c>
      <c r="B519" s="3">
        <v>2024</v>
      </c>
      <c r="C519" s="3" t="s">
        <v>46</v>
      </c>
      <c r="D519" s="3" t="s">
        <v>52</v>
      </c>
      <c r="E519" s="3" t="s">
        <v>1968</v>
      </c>
      <c r="F519" s="173" t="s">
        <v>1969</v>
      </c>
      <c r="G519" s="173"/>
      <c r="H519" s="248"/>
      <c r="I519" s="174" t="s">
        <v>44</v>
      </c>
      <c r="J519" s="2" t="s">
        <v>15</v>
      </c>
      <c r="K519" s="177" t="s">
        <v>3022</v>
      </c>
      <c r="L519" s="177" t="s">
        <v>1970</v>
      </c>
      <c r="M519" s="1">
        <v>45537</v>
      </c>
      <c r="N519" s="1">
        <v>45539</v>
      </c>
      <c r="O519" s="3" t="s">
        <v>41</v>
      </c>
      <c r="P519" s="178">
        <v>6800.82</v>
      </c>
      <c r="Q519" s="179"/>
      <c r="R519" s="217">
        <v>4.7</v>
      </c>
      <c r="S519" s="218">
        <f t="shared" si="27"/>
        <v>0.94000000000000006</v>
      </c>
      <c r="T519" s="180">
        <v>40</v>
      </c>
      <c r="U519" s="181">
        <v>0</v>
      </c>
      <c r="V519" s="181">
        <v>38</v>
      </c>
      <c r="W519" s="181">
        <v>0</v>
      </c>
      <c r="X519" s="182">
        <f t="shared" si="26"/>
        <v>38</v>
      </c>
      <c r="Y519" s="3">
        <v>12</v>
      </c>
      <c r="Z519" s="3" t="s">
        <v>2780</v>
      </c>
      <c r="AA519" s="2" t="s">
        <v>3535</v>
      </c>
    </row>
    <row r="520" spans="1:28" ht="23.25" hidden="1" customHeight="1">
      <c r="A520" s="239" t="s">
        <v>2943</v>
      </c>
      <c r="B520" s="239">
        <v>2024</v>
      </c>
      <c r="C520" s="3" t="s">
        <v>42</v>
      </c>
      <c r="D520" s="3" t="s">
        <v>52</v>
      </c>
      <c r="E520" s="3" t="s">
        <v>1775</v>
      </c>
      <c r="F520" s="173" t="s">
        <v>1972</v>
      </c>
      <c r="G520" s="173"/>
      <c r="H520" s="248"/>
      <c r="I520" s="174" t="s">
        <v>33</v>
      </c>
      <c r="J520" s="2" t="s">
        <v>25</v>
      </c>
      <c r="K520" s="177" t="s">
        <v>3022</v>
      </c>
      <c r="L520" s="177" t="s">
        <v>1973</v>
      </c>
      <c r="M520" s="1">
        <v>45537</v>
      </c>
      <c r="N520" s="1">
        <v>45540</v>
      </c>
      <c r="O520" s="3" t="s">
        <v>41</v>
      </c>
      <c r="P520" s="178">
        <v>12221.66</v>
      </c>
      <c r="Q520" s="179"/>
      <c r="R520" s="217">
        <v>4.9000000000000004</v>
      </c>
      <c r="S520" s="218">
        <f t="shared" si="27"/>
        <v>0.98000000000000009</v>
      </c>
      <c r="T520" s="180">
        <v>20</v>
      </c>
      <c r="U520" s="181">
        <v>13</v>
      </c>
      <c r="V520" s="181">
        <v>0</v>
      </c>
      <c r="W520" s="181">
        <v>0</v>
      </c>
      <c r="X520" s="182">
        <f t="shared" si="26"/>
        <v>13</v>
      </c>
      <c r="Y520" s="3">
        <v>16</v>
      </c>
      <c r="Z520" s="3" t="s">
        <v>2784</v>
      </c>
      <c r="AA520" s="2" t="s">
        <v>3496</v>
      </c>
    </row>
    <row r="521" spans="1:28" ht="23.25" hidden="1" customHeight="1">
      <c r="A521" s="239" t="s">
        <v>2943</v>
      </c>
      <c r="B521" s="3">
        <v>2024</v>
      </c>
      <c r="C521" s="3" t="s">
        <v>42</v>
      </c>
      <c r="D521" s="3" t="s">
        <v>52</v>
      </c>
      <c r="E521" s="3" t="s">
        <v>1975</v>
      </c>
      <c r="F521" s="173" t="s">
        <v>1976</v>
      </c>
      <c r="G521" s="173"/>
      <c r="H521" s="248"/>
      <c r="I521" s="174" t="s">
        <v>33</v>
      </c>
      <c r="J521" s="2" t="s">
        <v>25</v>
      </c>
      <c r="K521" s="177" t="s">
        <v>3022</v>
      </c>
      <c r="L521" s="177" t="s">
        <v>3538</v>
      </c>
      <c r="M521" s="1">
        <v>45545</v>
      </c>
      <c r="N521" s="1">
        <v>45547</v>
      </c>
      <c r="O521" s="3" t="s">
        <v>45</v>
      </c>
      <c r="P521" s="178">
        <v>18534.060000000001</v>
      </c>
      <c r="Q521" s="179"/>
      <c r="R521" s="217">
        <v>4.8</v>
      </c>
      <c r="S521" s="218">
        <f t="shared" si="27"/>
        <v>0.96</v>
      </c>
      <c r="T521" s="180">
        <v>20</v>
      </c>
      <c r="U521" s="181">
        <v>24</v>
      </c>
      <c r="V521" s="181">
        <v>0</v>
      </c>
      <c r="W521" s="181">
        <v>0</v>
      </c>
      <c r="X521" s="182">
        <f t="shared" si="26"/>
        <v>24</v>
      </c>
      <c r="Y521" s="3">
        <v>18</v>
      </c>
      <c r="Z521" s="3" t="s">
        <v>2780</v>
      </c>
      <c r="AA521" s="2" t="s">
        <v>3539</v>
      </c>
    </row>
    <row r="522" spans="1:28" ht="23.25" hidden="1" customHeight="1">
      <c r="A522" s="171" t="s">
        <v>2943</v>
      </c>
      <c r="B522" s="3">
        <v>2024</v>
      </c>
      <c r="C522" s="3" t="s">
        <v>42</v>
      </c>
      <c r="D522" s="3" t="s">
        <v>52</v>
      </c>
      <c r="E522" s="3" t="s">
        <v>1712</v>
      </c>
      <c r="F522" s="173" t="s">
        <v>1713</v>
      </c>
      <c r="G522" s="173"/>
      <c r="H522" s="248"/>
      <c r="I522" s="174" t="s">
        <v>33</v>
      </c>
      <c r="J522" s="2" t="s">
        <v>32</v>
      </c>
      <c r="K522" s="177" t="s">
        <v>3022</v>
      </c>
      <c r="L522" s="177" t="s">
        <v>1979</v>
      </c>
      <c r="M522" s="1">
        <v>45545</v>
      </c>
      <c r="N522" s="1">
        <v>45554</v>
      </c>
      <c r="O522" s="3" t="s">
        <v>41</v>
      </c>
      <c r="P522" s="178">
        <v>9067.76</v>
      </c>
      <c r="Q522" s="179"/>
      <c r="R522" s="217">
        <v>4.9000000000000004</v>
      </c>
      <c r="S522" s="218">
        <f t="shared" si="27"/>
        <v>0.98000000000000009</v>
      </c>
      <c r="T522" s="180">
        <v>20</v>
      </c>
      <c r="U522" s="181">
        <v>19</v>
      </c>
      <c r="V522" s="181">
        <v>0</v>
      </c>
      <c r="W522" s="181">
        <v>0</v>
      </c>
      <c r="X522" s="182">
        <f t="shared" si="26"/>
        <v>19</v>
      </c>
      <c r="Y522" s="3">
        <v>16</v>
      </c>
      <c r="Z522" s="3" t="s">
        <v>2780</v>
      </c>
      <c r="AA522" s="2" t="s">
        <v>3474</v>
      </c>
    </row>
    <row r="523" spans="1:28" ht="23.25" hidden="1" customHeight="1">
      <c r="A523" s="239" t="s">
        <v>2943</v>
      </c>
      <c r="B523" s="3">
        <v>2024</v>
      </c>
      <c r="D523" s="171" t="s">
        <v>50</v>
      </c>
      <c r="E523" s="3" t="s">
        <v>2900</v>
      </c>
      <c r="F523" s="279" t="s">
        <v>3540</v>
      </c>
      <c r="G523" s="173"/>
      <c r="H523" s="248"/>
      <c r="I523" s="174" t="s">
        <v>44</v>
      </c>
      <c r="J523" s="2" t="s">
        <v>15</v>
      </c>
      <c r="K523" s="177" t="s">
        <v>3041</v>
      </c>
      <c r="L523" s="177" t="s">
        <v>3541</v>
      </c>
      <c r="M523" s="1">
        <v>45546</v>
      </c>
      <c r="N523" s="1">
        <v>45547</v>
      </c>
      <c r="O523" s="3" t="s">
        <v>41</v>
      </c>
      <c r="Q523" s="179"/>
      <c r="R523" s="217"/>
      <c r="S523" s="218">
        <f t="shared" si="27"/>
        <v>0</v>
      </c>
      <c r="T523" s="180"/>
      <c r="U523" s="181"/>
      <c r="V523" s="181"/>
      <c r="W523" s="181"/>
      <c r="X523" s="181">
        <f t="shared" si="26"/>
        <v>0</v>
      </c>
      <c r="Y523" s="3"/>
      <c r="Z523" s="3" t="s">
        <v>2784</v>
      </c>
      <c r="AA523" s="2" t="s">
        <v>3476</v>
      </c>
    </row>
    <row r="524" spans="1:28" ht="23.25" hidden="1" customHeight="1">
      <c r="A524" s="273" t="s">
        <v>2943</v>
      </c>
      <c r="B524" s="3">
        <v>2024</v>
      </c>
      <c r="C524" s="3" t="s">
        <v>46</v>
      </c>
      <c r="D524" s="3" t="s">
        <v>52</v>
      </c>
      <c r="E524" s="3" t="s">
        <v>1956</v>
      </c>
      <c r="F524" s="173" t="s">
        <v>1981</v>
      </c>
      <c r="G524" s="173"/>
      <c r="H524" s="248"/>
      <c r="I524" s="174" t="s">
        <v>44</v>
      </c>
      <c r="J524" s="2" t="s">
        <v>15</v>
      </c>
      <c r="K524" s="177" t="s">
        <v>3022</v>
      </c>
      <c r="L524" s="177" t="s">
        <v>1982</v>
      </c>
      <c r="M524" s="1">
        <v>45547</v>
      </c>
      <c r="N524" s="1">
        <v>45547</v>
      </c>
      <c r="O524" s="3" t="s">
        <v>41</v>
      </c>
      <c r="P524" s="178">
        <v>2266.94</v>
      </c>
      <c r="Q524" s="179"/>
      <c r="R524" s="217">
        <v>5</v>
      </c>
      <c r="S524" s="218">
        <f t="shared" si="27"/>
        <v>1</v>
      </c>
      <c r="T524" s="180">
        <v>20</v>
      </c>
      <c r="U524" s="181">
        <v>0</v>
      </c>
      <c r="V524" s="181">
        <v>10</v>
      </c>
      <c r="W524" s="181">
        <v>0</v>
      </c>
      <c r="X524" s="182">
        <f t="shared" si="26"/>
        <v>10</v>
      </c>
      <c r="Y524" s="3">
        <v>4</v>
      </c>
      <c r="Z524" s="3"/>
      <c r="AA524" s="2" t="s">
        <v>3535</v>
      </c>
    </row>
    <row r="525" spans="1:28" ht="23.25" hidden="1" customHeight="1">
      <c r="A525" s="239" t="s">
        <v>2943</v>
      </c>
      <c r="B525" s="3">
        <v>2024</v>
      </c>
      <c r="C525" s="3" t="s">
        <v>42</v>
      </c>
      <c r="D525" s="3" t="s">
        <v>52</v>
      </c>
      <c r="E525" s="239" t="s">
        <v>1770</v>
      </c>
      <c r="F525" s="173" t="s">
        <v>1984</v>
      </c>
      <c r="G525" s="211"/>
      <c r="H525" s="280"/>
      <c r="I525" s="242" t="s">
        <v>33</v>
      </c>
      <c r="J525" s="234" t="s">
        <v>29</v>
      </c>
      <c r="K525" s="212" t="s">
        <v>3022</v>
      </c>
      <c r="L525" s="177" t="s">
        <v>1985</v>
      </c>
      <c r="M525" s="1">
        <v>45548</v>
      </c>
      <c r="N525" s="1">
        <v>45548</v>
      </c>
      <c r="O525" s="3" t="s">
        <v>45</v>
      </c>
      <c r="P525" s="178">
        <f>49600/8</f>
        <v>6200</v>
      </c>
      <c r="Q525" s="179"/>
      <c r="R525" s="217">
        <v>5</v>
      </c>
      <c r="S525" s="218">
        <f t="shared" si="27"/>
        <v>1</v>
      </c>
      <c r="T525" s="181">
        <v>20</v>
      </c>
      <c r="U525" s="181">
        <v>5</v>
      </c>
      <c r="V525" s="181">
        <v>0</v>
      </c>
      <c r="W525" s="181">
        <v>0</v>
      </c>
      <c r="X525" s="182">
        <f t="shared" si="26"/>
        <v>5</v>
      </c>
      <c r="Y525" s="3">
        <v>4</v>
      </c>
      <c r="Z525" s="3"/>
      <c r="AA525" s="2" t="s">
        <v>1773</v>
      </c>
    </row>
    <row r="526" spans="1:28" ht="23.25" hidden="1" customHeight="1">
      <c r="A526" s="239" t="s">
        <v>2943</v>
      </c>
      <c r="B526" s="3">
        <v>2024</v>
      </c>
      <c r="C526" s="3" t="s">
        <v>42</v>
      </c>
      <c r="D526" s="3" t="s">
        <v>52</v>
      </c>
      <c r="E526" s="3" t="s">
        <v>1763</v>
      </c>
      <c r="F526" s="173" t="s">
        <v>1764</v>
      </c>
      <c r="G526" s="173"/>
      <c r="H526" s="248"/>
      <c r="I526" s="174" t="s">
        <v>33</v>
      </c>
      <c r="J526" s="2" t="s">
        <v>32</v>
      </c>
      <c r="K526" s="177" t="s">
        <v>3022</v>
      </c>
      <c r="L526" s="177" t="s">
        <v>1987</v>
      </c>
      <c r="M526" s="1">
        <v>45551</v>
      </c>
      <c r="N526" s="1">
        <v>45562</v>
      </c>
      <c r="O526" s="3" t="s">
        <v>45</v>
      </c>
      <c r="P526" s="178">
        <v>19900</v>
      </c>
      <c r="Q526" s="179"/>
      <c r="R526" s="217">
        <v>4.8</v>
      </c>
      <c r="S526" s="218">
        <f t="shared" si="27"/>
        <v>0.96</v>
      </c>
      <c r="T526" s="180">
        <v>20</v>
      </c>
      <c r="U526" s="181">
        <v>21</v>
      </c>
      <c r="V526" s="181">
        <v>0</v>
      </c>
      <c r="W526" s="181">
        <v>0</v>
      </c>
      <c r="X526" s="182">
        <f t="shared" si="26"/>
        <v>21</v>
      </c>
      <c r="Y526" s="3">
        <v>24</v>
      </c>
      <c r="Z526" s="3" t="s">
        <v>2780</v>
      </c>
      <c r="AA526" s="2" t="s">
        <v>1228</v>
      </c>
      <c r="AB526" s="293" t="s">
        <v>3542</v>
      </c>
    </row>
    <row r="527" spans="1:28" ht="23.25" hidden="1" customHeight="1">
      <c r="A527" s="275" t="s">
        <v>2943</v>
      </c>
      <c r="B527" s="3">
        <v>2024</v>
      </c>
      <c r="C527" s="3" t="s">
        <v>46</v>
      </c>
      <c r="D527" s="3" t="s">
        <v>52</v>
      </c>
      <c r="E527" s="3" t="s">
        <v>1989</v>
      </c>
      <c r="F527" s="173" t="s">
        <v>1990</v>
      </c>
      <c r="G527" s="173"/>
      <c r="H527" s="248"/>
      <c r="I527" s="174" t="s">
        <v>33</v>
      </c>
      <c r="J527" s="2" t="s">
        <v>22</v>
      </c>
      <c r="K527" s="177" t="s">
        <v>3022</v>
      </c>
      <c r="L527" s="177" t="s">
        <v>1991</v>
      </c>
      <c r="M527" s="1">
        <v>45551</v>
      </c>
      <c r="N527" s="1">
        <v>45555</v>
      </c>
      <c r="O527" s="3" t="s">
        <v>41</v>
      </c>
      <c r="P527" s="178">
        <v>12813.06</v>
      </c>
      <c r="Q527" s="179"/>
      <c r="R527" s="217">
        <v>4.7</v>
      </c>
      <c r="S527" s="218">
        <f t="shared" si="27"/>
        <v>0.94000000000000006</v>
      </c>
      <c r="T527" s="180">
        <v>20</v>
      </c>
      <c r="U527" s="181">
        <v>19</v>
      </c>
      <c r="V527" s="181">
        <v>0</v>
      </c>
      <c r="W527" s="181">
        <v>0</v>
      </c>
      <c r="X527" s="182">
        <f t="shared" si="26"/>
        <v>19</v>
      </c>
      <c r="Y527" s="3">
        <v>20</v>
      </c>
      <c r="Z527" s="3" t="s">
        <v>2780</v>
      </c>
      <c r="AA527" s="2" t="s">
        <v>3543</v>
      </c>
    </row>
    <row r="528" spans="1:28" ht="23.25" hidden="1" customHeight="1">
      <c r="A528" s="171" t="s">
        <v>2943</v>
      </c>
      <c r="B528" s="3">
        <v>2024</v>
      </c>
      <c r="C528" s="3" t="s">
        <v>42</v>
      </c>
      <c r="D528" s="3" t="s">
        <v>52</v>
      </c>
      <c r="E528" s="3" t="s">
        <v>1770</v>
      </c>
      <c r="F528" s="241" t="s">
        <v>1993</v>
      </c>
      <c r="G528" s="173"/>
      <c r="H528" s="248"/>
      <c r="I528" s="174" t="s">
        <v>33</v>
      </c>
      <c r="J528" s="2" t="s">
        <v>29</v>
      </c>
      <c r="K528" s="177" t="s">
        <v>3022</v>
      </c>
      <c r="L528" s="177" t="s">
        <v>1994</v>
      </c>
      <c r="M528" s="1">
        <v>45555</v>
      </c>
      <c r="N528" s="1">
        <v>45555</v>
      </c>
      <c r="O528" s="3" t="s">
        <v>45</v>
      </c>
      <c r="P528" s="178">
        <f>49600/8</f>
        <v>6200</v>
      </c>
      <c r="Q528" s="179"/>
      <c r="R528" s="217">
        <v>5</v>
      </c>
      <c r="S528" s="218">
        <f t="shared" si="27"/>
        <v>1</v>
      </c>
      <c r="T528" s="181">
        <v>20</v>
      </c>
      <c r="U528" s="181">
        <v>7</v>
      </c>
      <c r="V528" s="181">
        <v>0</v>
      </c>
      <c r="W528" s="181">
        <v>0</v>
      </c>
      <c r="X528" s="182">
        <f t="shared" si="26"/>
        <v>7</v>
      </c>
      <c r="Y528" s="3">
        <v>4</v>
      </c>
      <c r="Z528" s="3"/>
      <c r="AA528" s="2" t="s">
        <v>1773</v>
      </c>
    </row>
    <row r="529" spans="1:28" ht="23.25" hidden="1" customHeight="1">
      <c r="A529" s="171" t="s">
        <v>2943</v>
      </c>
      <c r="B529" s="3">
        <v>2024</v>
      </c>
      <c r="C529" s="3" t="s">
        <v>46</v>
      </c>
      <c r="D529" s="3" t="s">
        <v>52</v>
      </c>
      <c r="E529" s="3" t="s">
        <v>1695</v>
      </c>
      <c r="F529" s="173" t="s">
        <v>1996</v>
      </c>
      <c r="G529" s="173"/>
      <c r="H529" s="248"/>
      <c r="I529" s="174" t="s">
        <v>44</v>
      </c>
      <c r="J529" s="2" t="s">
        <v>15</v>
      </c>
      <c r="K529" s="177" t="s">
        <v>3041</v>
      </c>
      <c r="L529" s="177" t="s">
        <v>1997</v>
      </c>
      <c r="M529" s="1">
        <v>45558</v>
      </c>
      <c r="N529" s="1">
        <v>45562</v>
      </c>
      <c r="O529" s="3" t="s">
        <v>41</v>
      </c>
      <c r="P529" s="178">
        <v>12813.06</v>
      </c>
      <c r="Q529" s="179"/>
      <c r="R529" s="217">
        <v>4.8</v>
      </c>
      <c r="S529" s="218">
        <f t="shared" si="27"/>
        <v>0.96</v>
      </c>
      <c r="T529" s="180">
        <v>20</v>
      </c>
      <c r="U529" s="181">
        <v>4</v>
      </c>
      <c r="V529" s="181">
        <v>15</v>
      </c>
      <c r="W529" s="181">
        <v>0</v>
      </c>
      <c r="X529" s="182">
        <f t="shared" si="26"/>
        <v>19</v>
      </c>
      <c r="Y529" s="3">
        <v>20</v>
      </c>
      <c r="Z529" s="3"/>
      <c r="AA529" s="2" t="s">
        <v>3442</v>
      </c>
      <c r="AB529" s="293" t="s">
        <v>3544</v>
      </c>
    </row>
    <row r="530" spans="1:28" ht="23.25" hidden="1" customHeight="1">
      <c r="A530" s="239" t="s">
        <v>2943</v>
      </c>
      <c r="B530" s="3">
        <v>2024</v>
      </c>
      <c r="C530" s="281" t="s">
        <v>46</v>
      </c>
      <c r="D530" s="3" t="s">
        <v>52</v>
      </c>
      <c r="E530" s="3" t="s">
        <v>1964</v>
      </c>
      <c r="F530" s="173" t="s">
        <v>1999</v>
      </c>
      <c r="G530" s="173"/>
      <c r="H530" s="248"/>
      <c r="I530" s="174" t="s">
        <v>48</v>
      </c>
      <c r="J530" s="2" t="s">
        <v>18</v>
      </c>
      <c r="K530" s="177" t="s">
        <v>3041</v>
      </c>
      <c r="L530" s="177" t="s">
        <v>1997</v>
      </c>
      <c r="M530" s="1">
        <v>45558</v>
      </c>
      <c r="N530" s="1">
        <v>45562</v>
      </c>
      <c r="O530" s="3" t="s">
        <v>41</v>
      </c>
      <c r="P530" s="178">
        <f>9154.9+1027</f>
        <v>10181.9</v>
      </c>
      <c r="Q530" s="179"/>
      <c r="R530" s="217">
        <v>4.7</v>
      </c>
      <c r="S530" s="218">
        <f t="shared" si="27"/>
        <v>0.94000000000000006</v>
      </c>
      <c r="T530" s="180">
        <v>30</v>
      </c>
      <c r="U530" s="181">
        <v>0</v>
      </c>
      <c r="V530" s="181">
        <v>0</v>
      </c>
      <c r="W530" s="181">
        <v>61</v>
      </c>
      <c r="X530" s="182">
        <f t="shared" si="26"/>
        <v>61</v>
      </c>
      <c r="Y530" s="3">
        <v>20</v>
      </c>
      <c r="Z530" s="3"/>
      <c r="AA530" s="2" t="s">
        <v>3537</v>
      </c>
    </row>
    <row r="531" spans="1:28" ht="23.25" hidden="1" customHeight="1">
      <c r="A531" s="294" t="s">
        <v>2943</v>
      </c>
      <c r="B531" s="3">
        <v>2024</v>
      </c>
      <c r="C531" s="287"/>
      <c r="D531" s="295" t="s">
        <v>50</v>
      </c>
      <c r="E531" s="287" t="s">
        <v>2092</v>
      </c>
      <c r="F531" s="296" t="s">
        <v>3545</v>
      </c>
      <c r="G531" s="296"/>
      <c r="H531" s="297"/>
      <c r="I531" s="174" t="s">
        <v>33</v>
      </c>
      <c r="J531" s="298" t="s">
        <v>25</v>
      </c>
      <c r="K531" s="177" t="s">
        <v>3022</v>
      </c>
      <c r="L531" s="299" t="s">
        <v>2003</v>
      </c>
      <c r="M531" s="300">
        <v>45559</v>
      </c>
      <c r="N531" s="300">
        <v>45561</v>
      </c>
      <c r="O531" s="3" t="s">
        <v>41</v>
      </c>
      <c r="P531" s="301"/>
      <c r="Q531" s="302"/>
      <c r="R531" s="303"/>
      <c r="S531" s="218"/>
      <c r="T531" s="304"/>
      <c r="U531" s="305"/>
      <c r="V531" s="305"/>
      <c r="W531" s="305"/>
      <c r="X531" s="181">
        <f t="shared" si="26"/>
        <v>0</v>
      </c>
      <c r="Y531" s="287"/>
      <c r="Z531" s="287"/>
      <c r="AA531" s="298" t="s">
        <v>3546</v>
      </c>
      <c r="AB531" s="306"/>
    </row>
    <row r="532" spans="1:28" ht="23.25" hidden="1" customHeight="1">
      <c r="A532" s="307" t="s">
        <v>2943</v>
      </c>
      <c r="B532" s="21">
        <v>2024</v>
      </c>
      <c r="C532" s="287" t="s">
        <v>42</v>
      </c>
      <c r="D532" s="287" t="s">
        <v>52</v>
      </c>
      <c r="E532" s="287" t="s">
        <v>2001</v>
      </c>
      <c r="F532" s="296" t="s">
        <v>2002</v>
      </c>
      <c r="G532" s="296"/>
      <c r="H532" s="297"/>
      <c r="I532" s="174" t="s">
        <v>33</v>
      </c>
      <c r="J532" s="298" t="s">
        <v>13</v>
      </c>
      <c r="K532" s="177" t="s">
        <v>3022</v>
      </c>
      <c r="L532" s="299" t="s">
        <v>2003</v>
      </c>
      <c r="M532" s="300">
        <v>45559</v>
      </c>
      <c r="N532" s="300">
        <v>45559</v>
      </c>
      <c r="O532" s="3" t="s">
        <v>41</v>
      </c>
      <c r="P532" s="301">
        <v>4533.88</v>
      </c>
      <c r="Q532" s="302"/>
      <c r="R532" s="303">
        <v>4.7</v>
      </c>
      <c r="S532" s="218">
        <f t="shared" ref="S532:S573" si="28">R532/5</f>
        <v>0.94000000000000006</v>
      </c>
      <c r="T532" s="304">
        <v>25</v>
      </c>
      <c r="U532" s="305">
        <v>32</v>
      </c>
      <c r="V532" s="305">
        <v>0</v>
      </c>
      <c r="W532" s="305">
        <v>0</v>
      </c>
      <c r="X532" s="182">
        <f t="shared" si="26"/>
        <v>32</v>
      </c>
      <c r="Y532" s="287">
        <v>8</v>
      </c>
      <c r="Z532" s="287" t="s">
        <v>2780</v>
      </c>
      <c r="AA532" s="298" t="s">
        <v>3547</v>
      </c>
      <c r="AB532" s="308" t="s">
        <v>3548</v>
      </c>
    </row>
    <row r="533" spans="1:28" ht="23.25" hidden="1" customHeight="1">
      <c r="A533" s="309" t="s">
        <v>2943</v>
      </c>
      <c r="B533" s="3">
        <v>2024</v>
      </c>
      <c r="C533" s="287" t="s">
        <v>42</v>
      </c>
      <c r="D533" s="287" t="s">
        <v>52</v>
      </c>
      <c r="E533" s="287" t="s">
        <v>2006</v>
      </c>
      <c r="F533" s="296" t="s">
        <v>2007</v>
      </c>
      <c r="G533" s="296"/>
      <c r="H533" s="297"/>
      <c r="I533" s="310" t="s">
        <v>44</v>
      </c>
      <c r="J533" s="298" t="s">
        <v>15</v>
      </c>
      <c r="K533" s="299" t="s">
        <v>3022</v>
      </c>
      <c r="L533" s="299" t="s">
        <v>2008</v>
      </c>
      <c r="M533" s="300">
        <v>45566</v>
      </c>
      <c r="N533" s="300">
        <v>45575</v>
      </c>
      <c r="O533" s="287" t="s">
        <v>41</v>
      </c>
      <c r="P533" s="301">
        <v>16717.68</v>
      </c>
      <c r="Q533" s="302"/>
      <c r="R533" s="303">
        <v>4.7</v>
      </c>
      <c r="S533" s="218">
        <f t="shared" si="28"/>
        <v>0.94000000000000006</v>
      </c>
      <c r="T533" s="304">
        <v>40</v>
      </c>
      <c r="U533" s="305">
        <v>0</v>
      </c>
      <c r="V533" s="305">
        <v>43</v>
      </c>
      <c r="W533" s="305">
        <v>0</v>
      </c>
      <c r="X533" s="182">
        <f t="shared" si="26"/>
        <v>43</v>
      </c>
      <c r="Y533" s="287">
        <v>20</v>
      </c>
      <c r="Z533" s="287" t="s">
        <v>2780</v>
      </c>
      <c r="AA533" s="298" t="s">
        <v>2009</v>
      </c>
      <c r="AB533" s="311" t="s">
        <v>3549</v>
      </c>
    </row>
    <row r="534" spans="1:28" ht="23.25" hidden="1" customHeight="1">
      <c r="A534" s="309" t="s">
        <v>2943</v>
      </c>
      <c r="B534" s="3">
        <v>2024</v>
      </c>
      <c r="C534" s="287" t="s">
        <v>46</v>
      </c>
      <c r="D534" s="287" t="s">
        <v>52</v>
      </c>
      <c r="E534" s="287" t="s">
        <v>2011</v>
      </c>
      <c r="F534" s="296" t="s">
        <v>2012</v>
      </c>
      <c r="G534" s="173"/>
      <c r="H534" s="248"/>
      <c r="I534" s="310" t="s">
        <v>33</v>
      </c>
      <c r="J534" s="298" t="s">
        <v>35</v>
      </c>
      <c r="K534" s="299" t="s">
        <v>3022</v>
      </c>
      <c r="L534" s="299" t="s">
        <v>2013</v>
      </c>
      <c r="M534" s="300">
        <v>45569</v>
      </c>
      <c r="N534" s="300">
        <v>45572</v>
      </c>
      <c r="O534" s="287" t="s">
        <v>41</v>
      </c>
      <c r="P534" s="301">
        <v>0</v>
      </c>
      <c r="Q534" s="302"/>
      <c r="R534" s="303">
        <v>5</v>
      </c>
      <c r="S534" s="218">
        <f t="shared" si="28"/>
        <v>1</v>
      </c>
      <c r="T534" s="304">
        <v>10</v>
      </c>
      <c r="U534" s="305">
        <v>8</v>
      </c>
      <c r="V534" s="305">
        <v>0</v>
      </c>
      <c r="W534" s="305">
        <v>0</v>
      </c>
      <c r="X534" s="182">
        <f t="shared" si="26"/>
        <v>8</v>
      </c>
      <c r="Y534" s="287">
        <v>8</v>
      </c>
      <c r="Z534" s="287" t="s">
        <v>2784</v>
      </c>
      <c r="AA534" s="298" t="s">
        <v>492</v>
      </c>
      <c r="AB534" s="311" t="s">
        <v>3550</v>
      </c>
    </row>
    <row r="535" spans="1:28" ht="23.25" hidden="1" customHeight="1">
      <c r="A535" s="309" t="s">
        <v>2943</v>
      </c>
      <c r="B535" s="3">
        <v>2024</v>
      </c>
      <c r="C535" s="287" t="s">
        <v>42</v>
      </c>
      <c r="D535" s="287" t="s">
        <v>52</v>
      </c>
      <c r="E535" s="287" t="s">
        <v>2015</v>
      </c>
      <c r="F535" s="296" t="s">
        <v>2016</v>
      </c>
      <c r="G535" s="296"/>
      <c r="H535" s="297"/>
      <c r="I535" s="310" t="s">
        <v>33</v>
      </c>
      <c r="J535" s="298" t="s">
        <v>32</v>
      </c>
      <c r="K535" s="299" t="s">
        <v>3022</v>
      </c>
      <c r="L535" s="299" t="s">
        <v>2017</v>
      </c>
      <c r="M535" s="300">
        <v>45569</v>
      </c>
      <c r="N535" s="300">
        <v>45569</v>
      </c>
      <c r="O535" s="287" t="s">
        <v>45</v>
      </c>
      <c r="P535" s="301">
        <v>2500</v>
      </c>
      <c r="Q535" s="302"/>
      <c r="R535" s="303"/>
      <c r="S535" s="218">
        <f t="shared" si="28"/>
        <v>0</v>
      </c>
      <c r="T535" s="304">
        <v>80</v>
      </c>
      <c r="U535" s="305">
        <v>80</v>
      </c>
      <c r="V535" s="305">
        <v>0</v>
      </c>
      <c r="W535" s="305">
        <v>0</v>
      </c>
      <c r="X535" s="182">
        <f t="shared" si="26"/>
        <v>80</v>
      </c>
      <c r="Y535" s="287">
        <v>2</v>
      </c>
      <c r="Z535" s="287" t="s">
        <v>3299</v>
      </c>
      <c r="AA535" s="298" t="s">
        <v>3551</v>
      </c>
      <c r="AB535" s="306"/>
    </row>
    <row r="536" spans="1:28" ht="23.25" hidden="1" customHeight="1">
      <c r="A536" s="309" t="s">
        <v>2943</v>
      </c>
      <c r="B536" s="3">
        <v>2024</v>
      </c>
      <c r="C536" s="287" t="s">
        <v>42</v>
      </c>
      <c r="D536" s="287" t="s">
        <v>52</v>
      </c>
      <c r="E536" s="287" t="s">
        <v>2020</v>
      </c>
      <c r="F536" s="296" t="s">
        <v>2021</v>
      </c>
      <c r="G536" s="296"/>
      <c r="H536" s="297"/>
      <c r="I536" s="310" t="s">
        <v>33</v>
      </c>
      <c r="J536" s="298" t="s">
        <v>32</v>
      </c>
      <c r="K536" s="299" t="s">
        <v>3022</v>
      </c>
      <c r="L536" s="299" t="s">
        <v>3552</v>
      </c>
      <c r="M536" s="300">
        <v>45572</v>
      </c>
      <c r="N536" s="300">
        <v>45590</v>
      </c>
      <c r="O536" s="287" t="s">
        <v>45</v>
      </c>
      <c r="P536" s="301"/>
      <c r="Q536" s="302"/>
      <c r="R536" s="303"/>
      <c r="S536" s="218">
        <f t="shared" si="28"/>
        <v>0</v>
      </c>
      <c r="T536" s="304"/>
      <c r="U536" s="305"/>
      <c r="V536" s="305">
        <v>0</v>
      </c>
      <c r="W536" s="305">
        <v>0</v>
      </c>
      <c r="X536" s="182">
        <f t="shared" si="26"/>
        <v>0</v>
      </c>
      <c r="Y536" s="287"/>
      <c r="Z536" s="287" t="s">
        <v>3299</v>
      </c>
      <c r="AA536" s="298"/>
      <c r="AB536" s="306"/>
    </row>
    <row r="537" spans="1:28" ht="23.25" hidden="1" customHeight="1">
      <c r="A537" s="309" t="s">
        <v>2943</v>
      </c>
      <c r="B537" s="3">
        <v>2024</v>
      </c>
      <c r="C537" s="287" t="s">
        <v>42</v>
      </c>
      <c r="D537" s="287" t="s">
        <v>52</v>
      </c>
      <c r="E537" s="287" t="s">
        <v>2024</v>
      </c>
      <c r="F537" s="296" t="s">
        <v>2025</v>
      </c>
      <c r="G537" s="296"/>
      <c r="H537" s="297"/>
      <c r="I537" s="310" t="s">
        <v>33</v>
      </c>
      <c r="J537" s="298" t="s">
        <v>32</v>
      </c>
      <c r="K537" s="299" t="s">
        <v>3022</v>
      </c>
      <c r="L537" s="299" t="s">
        <v>2026</v>
      </c>
      <c r="M537" s="300">
        <v>45572</v>
      </c>
      <c r="N537" s="300">
        <v>45572</v>
      </c>
      <c r="O537" s="287" t="s">
        <v>45</v>
      </c>
      <c r="P537" s="301">
        <v>40000</v>
      </c>
      <c r="Q537" s="302"/>
      <c r="R537" s="303"/>
      <c r="S537" s="218">
        <f t="shared" si="28"/>
        <v>0</v>
      </c>
      <c r="T537" s="304">
        <v>170</v>
      </c>
      <c r="U537" s="305">
        <v>170</v>
      </c>
      <c r="V537" s="305">
        <v>0</v>
      </c>
      <c r="W537" s="305">
        <v>0</v>
      </c>
      <c r="X537" s="182">
        <f t="shared" si="26"/>
        <v>170</v>
      </c>
      <c r="Y537" s="287">
        <v>1</v>
      </c>
      <c r="Z537" s="287" t="s">
        <v>3299</v>
      </c>
      <c r="AA537" s="298" t="s">
        <v>2027</v>
      </c>
      <c r="AB537" s="306"/>
    </row>
    <row r="538" spans="1:28" ht="23.25" hidden="1" customHeight="1">
      <c r="A538" s="294" t="s">
        <v>2943</v>
      </c>
      <c r="B538" s="3">
        <v>2024</v>
      </c>
      <c r="C538" s="287" t="s">
        <v>46</v>
      </c>
      <c r="D538" s="287" t="s">
        <v>52</v>
      </c>
      <c r="E538" s="287" t="s">
        <v>1916</v>
      </c>
      <c r="F538" s="296" t="s">
        <v>2029</v>
      </c>
      <c r="G538" s="296"/>
      <c r="H538" s="297"/>
      <c r="I538" s="310" t="s">
        <v>44</v>
      </c>
      <c r="J538" s="298" t="s">
        <v>15</v>
      </c>
      <c r="K538" s="299" t="s">
        <v>3022</v>
      </c>
      <c r="L538" s="299" t="s">
        <v>2030</v>
      </c>
      <c r="M538" s="300">
        <v>45573</v>
      </c>
      <c r="N538" s="300">
        <v>45575</v>
      </c>
      <c r="O538" s="3" t="s">
        <v>41</v>
      </c>
      <c r="P538" s="178">
        <v>2614.2199999999998</v>
      </c>
      <c r="Q538" s="302"/>
      <c r="R538" s="303">
        <v>4.8</v>
      </c>
      <c r="S538" s="218">
        <f t="shared" si="28"/>
        <v>0.96</v>
      </c>
      <c r="T538" s="304">
        <v>20</v>
      </c>
      <c r="U538" s="305">
        <v>9</v>
      </c>
      <c r="V538" s="305">
        <v>22</v>
      </c>
      <c r="W538" s="305">
        <v>0</v>
      </c>
      <c r="X538" s="182">
        <f t="shared" si="26"/>
        <v>31</v>
      </c>
      <c r="Y538" s="3">
        <v>4</v>
      </c>
      <c r="Z538" s="3"/>
      <c r="AA538" s="12" t="s">
        <v>3529</v>
      </c>
      <c r="AB538" s="306"/>
    </row>
    <row r="539" spans="1:28" ht="23.25" hidden="1" customHeight="1">
      <c r="A539" s="307" t="s">
        <v>2943</v>
      </c>
      <c r="B539" s="3">
        <v>2024</v>
      </c>
      <c r="C539" s="287" t="s">
        <v>42</v>
      </c>
      <c r="D539" s="287" t="s">
        <v>52</v>
      </c>
      <c r="E539" s="287" t="s">
        <v>1775</v>
      </c>
      <c r="F539" s="296" t="s">
        <v>2032</v>
      </c>
      <c r="G539" s="296"/>
      <c r="H539" s="297"/>
      <c r="I539" s="310" t="s">
        <v>33</v>
      </c>
      <c r="J539" s="298" t="s">
        <v>25</v>
      </c>
      <c r="K539" s="299" t="s">
        <v>3022</v>
      </c>
      <c r="L539" s="299" t="s">
        <v>3553</v>
      </c>
      <c r="M539" s="300">
        <v>45573</v>
      </c>
      <c r="N539" s="300">
        <v>45576</v>
      </c>
      <c r="O539" s="287" t="s">
        <v>41</v>
      </c>
      <c r="P539" s="301">
        <v>12221.66</v>
      </c>
      <c r="Q539" s="302"/>
      <c r="R539" s="303">
        <v>5</v>
      </c>
      <c r="S539" s="312">
        <f t="shared" si="28"/>
        <v>1</v>
      </c>
      <c r="T539" s="304">
        <v>20</v>
      </c>
      <c r="U539" s="305">
        <v>11</v>
      </c>
      <c r="V539" s="305">
        <v>0</v>
      </c>
      <c r="W539" s="305">
        <v>0</v>
      </c>
      <c r="X539" s="182">
        <f t="shared" si="26"/>
        <v>11</v>
      </c>
      <c r="Y539" s="287">
        <v>16</v>
      </c>
      <c r="Z539" s="287" t="s">
        <v>2784</v>
      </c>
      <c r="AA539" s="298" t="s">
        <v>3496</v>
      </c>
      <c r="AB539" s="306"/>
    </row>
    <row r="540" spans="1:28" ht="23.25" hidden="1" customHeight="1">
      <c r="A540" s="309" t="s">
        <v>2943</v>
      </c>
      <c r="B540" s="3">
        <v>2024</v>
      </c>
      <c r="C540" s="287" t="s">
        <v>46</v>
      </c>
      <c r="D540" s="3" t="s">
        <v>52</v>
      </c>
      <c r="E540" s="287" t="s">
        <v>2035</v>
      </c>
      <c r="F540" s="296" t="s">
        <v>2036</v>
      </c>
      <c r="G540" s="296"/>
      <c r="H540" s="297"/>
      <c r="I540" s="310" t="s">
        <v>48</v>
      </c>
      <c r="J540" s="298" t="s">
        <v>18</v>
      </c>
      <c r="K540" s="299" t="s">
        <v>3022</v>
      </c>
      <c r="L540" s="299" t="s">
        <v>2037</v>
      </c>
      <c r="M540" s="300">
        <v>45573</v>
      </c>
      <c r="N540" s="300">
        <v>45573</v>
      </c>
      <c r="O540" s="287" t="s">
        <v>41</v>
      </c>
      <c r="P540" s="301">
        <v>0</v>
      </c>
      <c r="Q540" s="302"/>
      <c r="R540" s="303">
        <v>5</v>
      </c>
      <c r="S540" s="312">
        <f t="shared" si="28"/>
        <v>1</v>
      </c>
      <c r="T540" s="304">
        <v>40</v>
      </c>
      <c r="U540" s="305">
        <v>0</v>
      </c>
      <c r="V540" s="305">
        <v>0</v>
      </c>
      <c r="W540" s="305">
        <v>45</v>
      </c>
      <c r="X540" s="182">
        <f t="shared" si="26"/>
        <v>45</v>
      </c>
      <c r="Y540" s="287">
        <v>1</v>
      </c>
      <c r="Z540" s="287"/>
      <c r="AA540" s="298" t="s">
        <v>3554</v>
      </c>
      <c r="AB540" s="306"/>
    </row>
    <row r="541" spans="1:28" ht="23.25" hidden="1" customHeight="1">
      <c r="A541" s="309" t="s">
        <v>2943</v>
      </c>
      <c r="B541" s="3">
        <v>2024</v>
      </c>
      <c r="C541" s="287" t="s">
        <v>42</v>
      </c>
      <c r="D541" s="3" t="s">
        <v>52</v>
      </c>
      <c r="E541" s="287" t="s">
        <v>2040</v>
      </c>
      <c r="F541" s="296" t="s">
        <v>2041</v>
      </c>
      <c r="G541" s="296"/>
      <c r="H541" s="297"/>
      <c r="I541" s="310" t="s">
        <v>33</v>
      </c>
      <c r="J541" s="298" t="s">
        <v>32</v>
      </c>
      <c r="K541" s="299" t="s">
        <v>3022</v>
      </c>
      <c r="L541" s="299" t="s">
        <v>2042</v>
      </c>
      <c r="M541" s="300">
        <v>45575</v>
      </c>
      <c r="N541" s="300">
        <v>45579</v>
      </c>
      <c r="O541" s="287" t="s">
        <v>45</v>
      </c>
      <c r="P541" s="301">
        <v>6600</v>
      </c>
      <c r="Q541" s="302"/>
      <c r="R541" s="303"/>
      <c r="S541" s="312">
        <f t="shared" si="28"/>
        <v>0</v>
      </c>
      <c r="T541" s="304">
        <v>40</v>
      </c>
      <c r="U541" s="305">
        <v>40</v>
      </c>
      <c r="V541" s="305">
        <v>0</v>
      </c>
      <c r="W541" s="305">
        <v>0</v>
      </c>
      <c r="X541" s="182">
        <f t="shared" si="26"/>
        <v>40</v>
      </c>
      <c r="Y541" s="287">
        <v>4</v>
      </c>
      <c r="Z541" s="287" t="s">
        <v>3299</v>
      </c>
      <c r="AA541" s="298" t="s">
        <v>2043</v>
      </c>
      <c r="AB541" s="306"/>
    </row>
    <row r="542" spans="1:28" ht="23.25" hidden="1" customHeight="1">
      <c r="A542" s="313" t="s">
        <v>2943</v>
      </c>
      <c r="B542" s="3">
        <v>2024</v>
      </c>
      <c r="C542" s="287" t="s">
        <v>42</v>
      </c>
      <c r="D542" s="3" t="s">
        <v>52</v>
      </c>
      <c r="E542" s="314" t="s">
        <v>1770</v>
      </c>
      <c r="F542" s="315" t="s">
        <v>2045</v>
      </c>
      <c r="G542" s="316"/>
      <c r="H542" s="317"/>
      <c r="I542" s="318" t="s">
        <v>33</v>
      </c>
      <c r="J542" s="319" t="s">
        <v>29</v>
      </c>
      <c r="K542" s="320" t="s">
        <v>3022</v>
      </c>
      <c r="L542" s="299" t="s">
        <v>2046</v>
      </c>
      <c r="M542" s="300">
        <v>45576</v>
      </c>
      <c r="N542" s="300">
        <v>45576</v>
      </c>
      <c r="O542" s="287" t="s">
        <v>45</v>
      </c>
      <c r="P542" s="301">
        <f>49600/8</f>
        <v>6200</v>
      </c>
      <c r="Q542" s="302"/>
      <c r="R542" s="303">
        <v>5</v>
      </c>
      <c r="S542" s="312">
        <f t="shared" si="28"/>
        <v>1</v>
      </c>
      <c r="T542" s="305">
        <v>5</v>
      </c>
      <c r="U542" s="305">
        <v>0</v>
      </c>
      <c r="V542" s="305">
        <v>0</v>
      </c>
      <c r="W542" s="305">
        <v>0</v>
      </c>
      <c r="X542" s="182">
        <f t="shared" si="26"/>
        <v>0</v>
      </c>
      <c r="Y542" s="287">
        <v>4</v>
      </c>
      <c r="Z542" s="287" t="s">
        <v>2780</v>
      </c>
      <c r="AA542" s="298" t="s">
        <v>1773</v>
      </c>
      <c r="AB542" s="306"/>
    </row>
    <row r="543" spans="1:28" ht="23.25" hidden="1" customHeight="1">
      <c r="A543" s="309" t="s">
        <v>2943</v>
      </c>
      <c r="B543" s="3">
        <v>2024</v>
      </c>
      <c r="C543" s="287" t="s">
        <v>42</v>
      </c>
      <c r="D543" s="3" t="s">
        <v>52</v>
      </c>
      <c r="E543" s="287" t="s">
        <v>2048</v>
      </c>
      <c r="F543" s="296" t="s">
        <v>2049</v>
      </c>
      <c r="G543" s="296"/>
      <c r="H543" s="297"/>
      <c r="I543" s="310" t="s">
        <v>44</v>
      </c>
      <c r="J543" s="298" t="s">
        <v>15</v>
      </c>
      <c r="K543" s="299" t="s">
        <v>3041</v>
      </c>
      <c r="L543" s="299" t="s">
        <v>2050</v>
      </c>
      <c r="M543" s="300">
        <v>45579</v>
      </c>
      <c r="N543" s="300">
        <v>45582</v>
      </c>
      <c r="O543" s="287" t="s">
        <v>45</v>
      </c>
      <c r="P543" s="301">
        <v>10400</v>
      </c>
      <c r="Q543" s="302"/>
      <c r="R543" s="303">
        <v>4.7</v>
      </c>
      <c r="S543" s="312">
        <f t="shared" si="28"/>
        <v>0.94000000000000006</v>
      </c>
      <c r="T543" s="304">
        <v>40</v>
      </c>
      <c r="U543" s="305">
        <v>0</v>
      </c>
      <c r="V543" s="305">
        <v>34</v>
      </c>
      <c r="W543" s="305">
        <v>0</v>
      </c>
      <c r="X543" s="182">
        <f t="shared" si="26"/>
        <v>34</v>
      </c>
      <c r="Y543" s="287">
        <v>16</v>
      </c>
      <c r="Z543" s="287" t="s">
        <v>2780</v>
      </c>
      <c r="AA543" s="298" t="s">
        <v>3555</v>
      </c>
      <c r="AB543" s="306"/>
    </row>
    <row r="544" spans="1:28" ht="23.25" hidden="1" customHeight="1">
      <c r="A544" s="309" t="s">
        <v>2943</v>
      </c>
      <c r="B544" s="3">
        <v>2024</v>
      </c>
      <c r="C544" s="287" t="s">
        <v>42</v>
      </c>
      <c r="D544" s="3" t="s">
        <v>52</v>
      </c>
      <c r="E544" s="287" t="s">
        <v>2052</v>
      </c>
      <c r="F544" s="296" t="s">
        <v>2053</v>
      </c>
      <c r="G544" s="296"/>
      <c r="H544" s="297"/>
      <c r="I544" s="310" t="s">
        <v>44</v>
      </c>
      <c r="J544" s="298" t="s">
        <v>15</v>
      </c>
      <c r="K544" s="299" t="s">
        <v>3022</v>
      </c>
      <c r="L544" s="299" t="s">
        <v>2054</v>
      </c>
      <c r="M544" s="300">
        <v>45579</v>
      </c>
      <c r="N544" s="300">
        <v>45583</v>
      </c>
      <c r="O544" s="287" t="s">
        <v>41</v>
      </c>
      <c r="P544" s="301">
        <v>9067.76</v>
      </c>
      <c r="Q544" s="302"/>
      <c r="R544" s="303">
        <v>4.7</v>
      </c>
      <c r="S544" s="312">
        <f t="shared" si="28"/>
        <v>0.94000000000000006</v>
      </c>
      <c r="T544" s="304">
        <v>30</v>
      </c>
      <c r="U544" s="305">
        <v>0</v>
      </c>
      <c r="V544" s="305">
        <v>21</v>
      </c>
      <c r="W544" s="305">
        <v>0</v>
      </c>
      <c r="X544" s="182">
        <f t="shared" si="26"/>
        <v>21</v>
      </c>
      <c r="Y544" s="287">
        <v>16</v>
      </c>
      <c r="Z544" s="287" t="s">
        <v>2784</v>
      </c>
      <c r="AA544" s="298" t="s">
        <v>3474</v>
      </c>
      <c r="AB544" s="306"/>
    </row>
    <row r="545" spans="1:28" ht="23.25" hidden="1" customHeight="1">
      <c r="A545" s="309" t="s">
        <v>2943</v>
      </c>
      <c r="B545" s="3">
        <v>2024</v>
      </c>
      <c r="C545" s="287" t="s">
        <v>46</v>
      </c>
      <c r="D545" s="3" t="s">
        <v>52</v>
      </c>
      <c r="E545" s="287" t="s">
        <v>2056</v>
      </c>
      <c r="F545" s="296" t="s">
        <v>2057</v>
      </c>
      <c r="G545" s="296"/>
      <c r="H545" s="297"/>
      <c r="I545" s="310" t="s">
        <v>33</v>
      </c>
      <c r="J545" s="298" t="s">
        <v>22</v>
      </c>
      <c r="K545" s="299" t="s">
        <v>3022</v>
      </c>
      <c r="L545" s="299" t="s">
        <v>2058</v>
      </c>
      <c r="M545" s="300">
        <v>45579</v>
      </c>
      <c r="N545" s="300">
        <v>45595</v>
      </c>
      <c r="O545" s="287" t="s">
        <v>41</v>
      </c>
      <c r="P545" s="301">
        <v>20061.22</v>
      </c>
      <c r="Q545" s="302"/>
      <c r="R545" s="303">
        <v>5</v>
      </c>
      <c r="S545" s="312">
        <f t="shared" si="28"/>
        <v>1</v>
      </c>
      <c r="T545" s="304">
        <v>20</v>
      </c>
      <c r="U545" s="305">
        <v>16</v>
      </c>
      <c r="V545" s="305">
        <v>0</v>
      </c>
      <c r="W545" s="305">
        <v>0</v>
      </c>
      <c r="X545" s="182">
        <f t="shared" si="26"/>
        <v>16</v>
      </c>
      <c r="Y545" s="287">
        <v>24</v>
      </c>
      <c r="Z545" s="287" t="s">
        <v>2780</v>
      </c>
      <c r="AA545" s="298" t="s">
        <v>3507</v>
      </c>
      <c r="AB545" s="306"/>
    </row>
    <row r="546" spans="1:28" ht="23.25" hidden="1" customHeight="1">
      <c r="A546" s="313" t="s">
        <v>2943</v>
      </c>
      <c r="B546" s="3">
        <v>2024</v>
      </c>
      <c r="C546" s="287"/>
      <c r="D546" s="171" t="s">
        <v>50</v>
      </c>
      <c r="E546" s="287" t="s">
        <v>2900</v>
      </c>
      <c r="F546" s="321" t="s">
        <v>3556</v>
      </c>
      <c r="G546" s="296"/>
      <c r="H546" s="297"/>
      <c r="I546" s="310" t="s">
        <v>44</v>
      </c>
      <c r="J546" s="298"/>
      <c r="K546" s="299" t="s">
        <v>3041</v>
      </c>
      <c r="L546" s="299" t="s">
        <v>3557</v>
      </c>
      <c r="M546" s="300">
        <v>45581</v>
      </c>
      <c r="N546" s="300">
        <v>45582</v>
      </c>
      <c r="O546" s="287" t="s">
        <v>41</v>
      </c>
      <c r="P546" s="301"/>
      <c r="Q546" s="302"/>
      <c r="R546" s="303"/>
      <c r="S546" s="312">
        <f t="shared" si="28"/>
        <v>0</v>
      </c>
      <c r="T546" s="304"/>
      <c r="U546" s="305"/>
      <c r="V546" s="305"/>
      <c r="W546" s="305"/>
      <c r="X546" s="181">
        <f t="shared" si="26"/>
        <v>0</v>
      </c>
      <c r="Y546" s="287"/>
      <c r="Z546" s="287" t="s">
        <v>2784</v>
      </c>
      <c r="AA546" s="298" t="s">
        <v>3476</v>
      </c>
      <c r="AB546" s="306"/>
    </row>
    <row r="547" spans="1:28" ht="23.25" hidden="1" customHeight="1">
      <c r="A547" s="309" t="s">
        <v>2943</v>
      </c>
      <c r="B547" s="3">
        <v>2024</v>
      </c>
      <c r="C547" s="287" t="s">
        <v>42</v>
      </c>
      <c r="D547" s="3" t="s">
        <v>52</v>
      </c>
      <c r="E547" s="21" t="s">
        <v>2060</v>
      </c>
      <c r="F547" s="296" t="s">
        <v>2061</v>
      </c>
      <c r="G547" s="296"/>
      <c r="H547" s="297"/>
      <c r="I547" s="310" t="s">
        <v>33</v>
      </c>
      <c r="J547" s="298" t="s">
        <v>32</v>
      </c>
      <c r="K547" s="299" t="s">
        <v>3022</v>
      </c>
      <c r="L547" s="299" t="s">
        <v>2062</v>
      </c>
      <c r="M547" s="300">
        <v>45582</v>
      </c>
      <c r="N547" s="300">
        <v>45582</v>
      </c>
      <c r="O547" s="287" t="s">
        <v>45</v>
      </c>
      <c r="P547" s="301">
        <v>6500</v>
      </c>
      <c r="Q547" s="302"/>
      <c r="R547" s="303"/>
      <c r="S547" s="312">
        <f t="shared" si="28"/>
        <v>0</v>
      </c>
      <c r="T547" s="304">
        <v>20</v>
      </c>
      <c r="U547" s="305">
        <v>20</v>
      </c>
      <c r="V547" s="305">
        <v>0</v>
      </c>
      <c r="W547" s="305">
        <v>0</v>
      </c>
      <c r="X547" s="182">
        <f t="shared" si="26"/>
        <v>20</v>
      </c>
      <c r="Y547" s="287">
        <v>4</v>
      </c>
      <c r="Z547" s="287" t="s">
        <v>3299</v>
      </c>
      <c r="AA547" s="298" t="s">
        <v>2063</v>
      </c>
      <c r="AB547" s="306"/>
    </row>
    <row r="548" spans="1:28" ht="23.25" hidden="1" customHeight="1">
      <c r="A548" s="313" t="s">
        <v>2943</v>
      </c>
      <c r="B548" s="3">
        <v>2024</v>
      </c>
      <c r="C548" s="287" t="s">
        <v>42</v>
      </c>
      <c r="D548" s="3" t="s">
        <v>52</v>
      </c>
      <c r="E548" s="314" t="s">
        <v>1770</v>
      </c>
      <c r="F548" s="296" t="s">
        <v>2065</v>
      </c>
      <c r="G548" s="316"/>
      <c r="H548" s="317"/>
      <c r="I548" s="318" t="s">
        <v>33</v>
      </c>
      <c r="J548" s="319" t="s">
        <v>29</v>
      </c>
      <c r="K548" s="320" t="s">
        <v>3022</v>
      </c>
      <c r="L548" s="299" t="s">
        <v>2066</v>
      </c>
      <c r="M548" s="300">
        <v>45583</v>
      </c>
      <c r="N548" s="300">
        <v>45583</v>
      </c>
      <c r="O548" s="287" t="s">
        <v>45</v>
      </c>
      <c r="P548" s="301">
        <f>49600/8</f>
        <v>6200</v>
      </c>
      <c r="Q548" s="302"/>
      <c r="R548" s="303">
        <v>5</v>
      </c>
      <c r="S548" s="312">
        <f t="shared" si="28"/>
        <v>1</v>
      </c>
      <c r="T548" s="305">
        <v>8</v>
      </c>
      <c r="U548" s="305">
        <v>8</v>
      </c>
      <c r="V548" s="305">
        <v>0</v>
      </c>
      <c r="W548" s="305">
        <v>0</v>
      </c>
      <c r="X548" s="182">
        <f t="shared" si="26"/>
        <v>8</v>
      </c>
      <c r="Y548" s="287">
        <v>4</v>
      </c>
      <c r="Z548" s="287"/>
      <c r="AA548" s="298" t="s">
        <v>1773</v>
      </c>
      <c r="AB548" s="322" t="s">
        <v>3558</v>
      </c>
    </row>
    <row r="549" spans="1:28" ht="23.25" hidden="1" customHeight="1">
      <c r="A549" s="313" t="s">
        <v>2943</v>
      </c>
      <c r="B549" s="3">
        <v>2024</v>
      </c>
      <c r="C549" s="3" t="s">
        <v>42</v>
      </c>
      <c r="D549" s="3" t="s">
        <v>52</v>
      </c>
      <c r="E549" s="3" t="s">
        <v>2068</v>
      </c>
      <c r="F549" s="296" t="s">
        <v>2069</v>
      </c>
      <c r="G549" s="173"/>
      <c r="H549" s="248"/>
      <c r="I549" s="310" t="s">
        <v>33</v>
      </c>
      <c r="J549" s="298" t="s">
        <v>25</v>
      </c>
      <c r="K549" s="299" t="s">
        <v>3022</v>
      </c>
      <c r="L549" s="177" t="s">
        <v>3559</v>
      </c>
      <c r="M549" s="1">
        <v>45586</v>
      </c>
      <c r="N549" s="1">
        <v>45586</v>
      </c>
      <c r="O549" s="287" t="s">
        <v>41</v>
      </c>
      <c r="P549" s="178">
        <v>6539.2</v>
      </c>
      <c r="Q549" s="179"/>
      <c r="R549" s="217">
        <v>5</v>
      </c>
      <c r="S549" s="218">
        <f t="shared" si="28"/>
        <v>1</v>
      </c>
      <c r="T549" s="180">
        <v>0</v>
      </c>
      <c r="U549" s="181">
        <v>0</v>
      </c>
      <c r="V549" s="181">
        <v>0</v>
      </c>
      <c r="W549" s="181">
        <v>0</v>
      </c>
      <c r="X549" s="182">
        <f t="shared" si="26"/>
        <v>0</v>
      </c>
      <c r="Y549" s="3">
        <v>20</v>
      </c>
      <c r="Z549" s="3"/>
      <c r="AA549" s="2" t="s">
        <v>1639</v>
      </c>
    </row>
    <row r="550" spans="1:28" ht="23.25" hidden="1" customHeight="1">
      <c r="A550" s="239" t="s">
        <v>2943</v>
      </c>
      <c r="B550" s="3">
        <v>2024</v>
      </c>
      <c r="C550" s="3" t="s">
        <v>42</v>
      </c>
      <c r="D550" s="3" t="s">
        <v>52</v>
      </c>
      <c r="E550" s="3" t="s">
        <v>2072</v>
      </c>
      <c r="F550" s="173" t="s">
        <v>2073</v>
      </c>
      <c r="G550" s="173"/>
      <c r="H550" s="248"/>
      <c r="I550" s="174" t="s">
        <v>33</v>
      </c>
      <c r="J550" s="2" t="s">
        <v>29</v>
      </c>
      <c r="K550" s="177" t="s">
        <v>3041</v>
      </c>
      <c r="L550" s="177" t="s">
        <v>2070</v>
      </c>
      <c r="M550" s="1">
        <v>45586</v>
      </c>
      <c r="N550" s="1">
        <v>45586</v>
      </c>
      <c r="O550" s="3" t="s">
        <v>45</v>
      </c>
      <c r="P550" s="178">
        <v>44100</v>
      </c>
      <c r="Q550" s="179"/>
      <c r="R550" s="217">
        <v>5</v>
      </c>
      <c r="S550" s="218">
        <f t="shared" si="28"/>
        <v>1</v>
      </c>
      <c r="T550" s="180">
        <v>13</v>
      </c>
      <c r="U550" s="181">
        <v>0</v>
      </c>
      <c r="V550" s="181">
        <v>0</v>
      </c>
      <c r="W550" s="181">
        <v>0</v>
      </c>
      <c r="X550" s="182">
        <v>13</v>
      </c>
      <c r="Y550" s="3">
        <v>48</v>
      </c>
      <c r="Z550" s="3"/>
      <c r="AA550" s="2" t="s">
        <v>3560</v>
      </c>
    </row>
    <row r="551" spans="1:28" ht="23.25" hidden="1" customHeight="1">
      <c r="A551" s="275" t="s">
        <v>2943</v>
      </c>
      <c r="B551" s="3">
        <v>2024</v>
      </c>
      <c r="C551" s="3" t="s">
        <v>42</v>
      </c>
      <c r="D551" s="3" t="s">
        <v>52</v>
      </c>
      <c r="E551" s="3" t="s">
        <v>2075</v>
      </c>
      <c r="F551" s="248" t="s">
        <v>2076</v>
      </c>
      <c r="G551" s="173"/>
      <c r="H551" s="248"/>
      <c r="I551" s="310" t="s">
        <v>33</v>
      </c>
      <c r="J551" s="298" t="s">
        <v>32</v>
      </c>
      <c r="K551" s="299" t="s">
        <v>3022</v>
      </c>
      <c r="L551" s="177" t="s">
        <v>2070</v>
      </c>
      <c r="M551" s="1">
        <v>45586</v>
      </c>
      <c r="N551" s="1">
        <v>45586</v>
      </c>
      <c r="O551" s="3" t="s">
        <v>45</v>
      </c>
      <c r="P551" s="178">
        <v>36000</v>
      </c>
      <c r="Q551" s="179"/>
      <c r="R551" s="217"/>
      <c r="S551" s="218">
        <f t="shared" si="28"/>
        <v>0</v>
      </c>
      <c r="T551" s="180">
        <v>170</v>
      </c>
      <c r="U551" s="181">
        <v>170</v>
      </c>
      <c r="V551" s="181">
        <v>0</v>
      </c>
      <c r="W551" s="181">
        <v>0</v>
      </c>
      <c r="X551" s="182">
        <f t="shared" ref="X551:X573" si="29">SUM(U551:W551)</f>
        <v>170</v>
      </c>
      <c r="Y551" s="3">
        <v>1</v>
      </c>
      <c r="Z551" s="3" t="s">
        <v>3299</v>
      </c>
      <c r="AA551" s="2" t="s">
        <v>3561</v>
      </c>
    </row>
    <row r="552" spans="1:28" ht="23.25" hidden="1" customHeight="1">
      <c r="A552" s="239" t="s">
        <v>2943</v>
      </c>
      <c r="B552" s="3">
        <v>2024</v>
      </c>
      <c r="C552" s="281" t="s">
        <v>46</v>
      </c>
      <c r="D552" s="3" t="s">
        <v>52</v>
      </c>
      <c r="E552" s="3" t="s">
        <v>1964</v>
      </c>
      <c r="F552" s="173" t="s">
        <v>2078</v>
      </c>
      <c r="G552" s="173"/>
      <c r="H552" s="248"/>
      <c r="I552" s="174" t="s">
        <v>48</v>
      </c>
      <c r="J552" s="2" t="s">
        <v>18</v>
      </c>
      <c r="K552" s="177" t="s">
        <v>3041</v>
      </c>
      <c r="L552" s="177" t="s">
        <v>2079</v>
      </c>
      <c r="M552" s="1">
        <v>45586</v>
      </c>
      <c r="N552" s="1">
        <v>45590</v>
      </c>
      <c r="O552" s="3" t="s">
        <v>41</v>
      </c>
      <c r="P552" s="178">
        <f>9154.9+1027</f>
        <v>10181.9</v>
      </c>
      <c r="Q552" s="179"/>
      <c r="R552" s="217">
        <v>4.9000000000000004</v>
      </c>
      <c r="S552" s="218">
        <f t="shared" si="28"/>
        <v>0.98000000000000009</v>
      </c>
      <c r="T552" s="180">
        <v>60</v>
      </c>
      <c r="U552" s="181">
        <v>0</v>
      </c>
      <c r="V552" s="181">
        <v>0</v>
      </c>
      <c r="W552" s="181">
        <v>66</v>
      </c>
      <c r="X552" s="182">
        <f t="shared" si="29"/>
        <v>66</v>
      </c>
      <c r="Y552" s="3">
        <v>20</v>
      </c>
      <c r="Z552" s="3" t="s">
        <v>2784</v>
      </c>
      <c r="AA552" s="2" t="s">
        <v>3537</v>
      </c>
    </row>
    <row r="553" spans="1:28" ht="23.25" hidden="1" customHeight="1">
      <c r="A553" s="275" t="s">
        <v>2943</v>
      </c>
      <c r="B553" s="3">
        <v>2024</v>
      </c>
      <c r="C553" s="3" t="s">
        <v>42</v>
      </c>
      <c r="D553" s="3" t="s">
        <v>52</v>
      </c>
      <c r="E553" s="3" t="s">
        <v>2082</v>
      </c>
      <c r="F553" s="248" t="s">
        <v>2083</v>
      </c>
      <c r="G553" s="173"/>
      <c r="H553" s="248"/>
      <c r="I553" s="174" t="s">
        <v>33</v>
      </c>
      <c r="J553" s="2" t="s">
        <v>32</v>
      </c>
      <c r="K553" s="177" t="s">
        <v>3022</v>
      </c>
      <c r="L553" s="177" t="s">
        <v>2084</v>
      </c>
      <c r="M553" s="1">
        <v>45587</v>
      </c>
      <c r="N553" s="1">
        <v>45587</v>
      </c>
      <c r="O553" s="3" t="s">
        <v>45</v>
      </c>
      <c r="P553" s="178">
        <v>1700</v>
      </c>
      <c r="Q553" s="179"/>
      <c r="R553" s="217"/>
      <c r="S553" s="218">
        <f t="shared" si="28"/>
        <v>0</v>
      </c>
      <c r="T553" s="180">
        <v>140</v>
      </c>
      <c r="U553" s="181">
        <v>140</v>
      </c>
      <c r="V553" s="181">
        <v>0</v>
      </c>
      <c r="W553" s="181">
        <v>0</v>
      </c>
      <c r="X553" s="182">
        <f t="shared" si="29"/>
        <v>140</v>
      </c>
      <c r="Y553" s="3">
        <v>1</v>
      </c>
      <c r="Z553" s="3" t="s">
        <v>3299</v>
      </c>
      <c r="AA553" s="2" t="s">
        <v>2085</v>
      </c>
    </row>
    <row r="554" spans="1:28" ht="23.25" hidden="1" customHeight="1">
      <c r="A554" s="275" t="s">
        <v>2943</v>
      </c>
      <c r="B554" s="3">
        <v>2024</v>
      </c>
      <c r="C554" s="3" t="s">
        <v>42</v>
      </c>
      <c r="D554" s="3" t="s">
        <v>52</v>
      </c>
      <c r="E554" s="3" t="s">
        <v>2087</v>
      </c>
      <c r="F554" s="173" t="s">
        <v>2088</v>
      </c>
      <c r="G554" s="173"/>
      <c r="H554" s="248"/>
      <c r="I554" s="174" t="s">
        <v>44</v>
      </c>
      <c r="J554" s="2" t="s">
        <v>15</v>
      </c>
      <c r="K554" s="177" t="s">
        <v>3022</v>
      </c>
      <c r="L554" s="177" t="s">
        <v>2089</v>
      </c>
      <c r="M554" s="1">
        <v>45594</v>
      </c>
      <c r="N554" s="1">
        <v>45596</v>
      </c>
      <c r="O554" s="3" t="s">
        <v>41</v>
      </c>
      <c r="P554" s="178">
        <v>6800.82</v>
      </c>
      <c r="Q554" s="179"/>
      <c r="R554" s="217">
        <v>4.7</v>
      </c>
      <c r="S554" s="218">
        <f t="shared" si="28"/>
        <v>0.94000000000000006</v>
      </c>
      <c r="T554" s="180">
        <v>40</v>
      </c>
      <c r="U554" s="181">
        <v>0</v>
      </c>
      <c r="V554" s="181">
        <v>45</v>
      </c>
      <c r="W554" s="181">
        <v>0</v>
      </c>
      <c r="X554" s="182">
        <f t="shared" si="29"/>
        <v>45</v>
      </c>
      <c r="Y554" s="3">
        <v>12</v>
      </c>
      <c r="Z554" s="3" t="s">
        <v>2780</v>
      </c>
      <c r="AA554" s="2" t="s">
        <v>3562</v>
      </c>
    </row>
    <row r="555" spans="1:28" ht="23.25" hidden="1" customHeight="1">
      <c r="A555" s="273" t="s">
        <v>2943</v>
      </c>
      <c r="B555" s="3">
        <v>2024</v>
      </c>
      <c r="C555" s="3" t="s">
        <v>46</v>
      </c>
      <c r="D555" s="3" t="s">
        <v>52</v>
      </c>
      <c r="E555" s="3" t="s">
        <v>2092</v>
      </c>
      <c r="F555" s="173" t="s">
        <v>2093</v>
      </c>
      <c r="G555" s="173"/>
      <c r="H555" s="248"/>
      <c r="I555" s="174" t="s">
        <v>33</v>
      </c>
      <c r="J555" s="2" t="s">
        <v>25</v>
      </c>
      <c r="K555" s="177" t="s">
        <v>3022</v>
      </c>
      <c r="L555" s="177" t="s">
        <v>2094</v>
      </c>
      <c r="M555" s="1">
        <v>45594</v>
      </c>
      <c r="N555" s="1">
        <v>45596</v>
      </c>
      <c r="O555" s="3" t="s">
        <v>41</v>
      </c>
      <c r="P555" s="178">
        <v>3138.82</v>
      </c>
      <c r="Q555" s="179"/>
      <c r="R555" s="217">
        <v>5</v>
      </c>
      <c r="S555" s="218">
        <f t="shared" si="28"/>
        <v>1</v>
      </c>
      <c r="T555" s="180">
        <v>20</v>
      </c>
      <c r="U555" s="181">
        <v>19</v>
      </c>
      <c r="V555" s="181">
        <v>0</v>
      </c>
      <c r="W555" s="181">
        <v>0</v>
      </c>
      <c r="X555" s="182">
        <f t="shared" si="29"/>
        <v>19</v>
      </c>
      <c r="Y555" s="3">
        <v>4</v>
      </c>
      <c r="Z555" s="3" t="s">
        <v>2780</v>
      </c>
      <c r="AA555" s="2" t="s">
        <v>2095</v>
      </c>
    </row>
    <row r="556" spans="1:28" ht="23.25" hidden="1" customHeight="1">
      <c r="A556" s="275" t="s">
        <v>2943</v>
      </c>
      <c r="B556" s="3">
        <v>2024</v>
      </c>
      <c r="C556" s="3" t="s">
        <v>46</v>
      </c>
      <c r="D556" s="3" t="s">
        <v>52</v>
      </c>
      <c r="E556" s="3" t="s">
        <v>1989</v>
      </c>
      <c r="F556" s="173" t="s">
        <v>2097</v>
      </c>
      <c r="G556" s="174" t="s">
        <v>33</v>
      </c>
      <c r="H556" s="245" t="s">
        <v>22</v>
      </c>
      <c r="I556" s="310" t="s">
        <v>33</v>
      </c>
      <c r="J556" s="2" t="s">
        <v>22</v>
      </c>
      <c r="K556" s="177" t="s">
        <v>3022</v>
      </c>
      <c r="L556" s="177" t="s">
        <v>2098</v>
      </c>
      <c r="M556" s="1">
        <v>45600</v>
      </c>
      <c r="N556" s="1">
        <v>45604</v>
      </c>
      <c r="O556" s="3" t="s">
        <v>41</v>
      </c>
      <c r="P556" s="178">
        <v>12813.06</v>
      </c>
      <c r="Q556" s="179"/>
      <c r="R556" s="217">
        <v>4.7</v>
      </c>
      <c r="S556" s="218">
        <f t="shared" si="28"/>
        <v>0.94000000000000006</v>
      </c>
      <c r="T556" s="180">
        <v>20</v>
      </c>
      <c r="U556" s="181">
        <v>15</v>
      </c>
      <c r="V556" s="181">
        <v>0</v>
      </c>
      <c r="W556" s="181">
        <v>0</v>
      </c>
      <c r="X556" s="182">
        <f t="shared" si="29"/>
        <v>15</v>
      </c>
      <c r="Y556" s="3">
        <v>20</v>
      </c>
      <c r="Z556" s="3"/>
      <c r="AA556" s="2" t="s">
        <v>3543</v>
      </c>
      <c r="AB556" s="12"/>
    </row>
    <row r="557" spans="1:28" ht="23.25" hidden="1" customHeight="1">
      <c r="A557" s="275" t="s">
        <v>2943</v>
      </c>
      <c r="B557" s="3">
        <v>2024</v>
      </c>
      <c r="C557" s="3" t="s">
        <v>42</v>
      </c>
      <c r="D557" s="3" t="s">
        <v>52</v>
      </c>
      <c r="E557" s="3" t="s">
        <v>2100</v>
      </c>
      <c r="F557" s="173" t="s">
        <v>2101</v>
      </c>
      <c r="G557" s="173"/>
      <c r="H557" s="248"/>
      <c r="I557" s="310" t="s">
        <v>48</v>
      </c>
      <c r="J557" s="298" t="s">
        <v>18</v>
      </c>
      <c r="K557" s="177" t="s">
        <v>3041</v>
      </c>
      <c r="L557" s="177" t="s">
        <v>2102</v>
      </c>
      <c r="M557" s="1">
        <v>45600</v>
      </c>
      <c r="N557" s="1">
        <v>45608</v>
      </c>
      <c r="O557" s="3" t="s">
        <v>45</v>
      </c>
      <c r="P557" s="178">
        <v>10500</v>
      </c>
      <c r="Q557" s="179"/>
      <c r="R557" s="217">
        <v>4.8</v>
      </c>
      <c r="S557" s="218">
        <f t="shared" si="28"/>
        <v>0.96</v>
      </c>
      <c r="T557" s="180">
        <v>40</v>
      </c>
      <c r="U557" s="181">
        <v>0</v>
      </c>
      <c r="V557" s="181">
        <v>0</v>
      </c>
      <c r="W557" s="181">
        <v>41</v>
      </c>
      <c r="X557" s="182">
        <f t="shared" si="29"/>
        <v>41</v>
      </c>
      <c r="Y557" s="3">
        <v>16</v>
      </c>
      <c r="Z557" s="3"/>
      <c r="AA557" s="2" t="s">
        <v>2103</v>
      </c>
      <c r="AB557" s="278" t="s">
        <v>3563</v>
      </c>
    </row>
    <row r="558" spans="1:28" ht="23.25" hidden="1" customHeight="1">
      <c r="A558" s="239" t="s">
        <v>2943</v>
      </c>
      <c r="B558" s="3">
        <v>2024</v>
      </c>
      <c r="D558" s="171" t="s">
        <v>50</v>
      </c>
      <c r="E558" s="3" t="s">
        <v>2900</v>
      </c>
      <c r="F558" s="323" t="s">
        <v>3564</v>
      </c>
      <c r="G558" s="173"/>
      <c r="H558" s="248"/>
      <c r="I558" s="310" t="s">
        <v>44</v>
      </c>
      <c r="J558" s="298"/>
      <c r="K558" s="177" t="s">
        <v>3041</v>
      </c>
      <c r="L558" s="177" t="s">
        <v>3565</v>
      </c>
      <c r="M558" s="1">
        <v>45602</v>
      </c>
      <c r="N558" s="1">
        <v>45603</v>
      </c>
      <c r="O558" s="3" t="s">
        <v>41</v>
      </c>
      <c r="Q558" s="179"/>
      <c r="R558" s="217"/>
      <c r="S558" s="218">
        <f t="shared" si="28"/>
        <v>0</v>
      </c>
      <c r="T558" s="180"/>
      <c r="U558" s="181"/>
      <c r="V558" s="181"/>
      <c r="W558" s="181"/>
      <c r="X558" s="181">
        <f t="shared" si="29"/>
        <v>0</v>
      </c>
      <c r="Y558" s="3"/>
      <c r="Z558" s="3" t="s">
        <v>2784</v>
      </c>
      <c r="AA558" s="2" t="s">
        <v>3476</v>
      </c>
    </row>
    <row r="559" spans="1:28" ht="23.25" hidden="1" customHeight="1">
      <c r="A559" s="275" t="s">
        <v>2943</v>
      </c>
      <c r="B559" s="3">
        <v>2024</v>
      </c>
      <c r="C559" s="3" t="s">
        <v>42</v>
      </c>
      <c r="D559" s="3" t="s">
        <v>52</v>
      </c>
      <c r="E559" s="3" t="s">
        <v>2105</v>
      </c>
      <c r="F559" s="173" t="s">
        <v>2106</v>
      </c>
      <c r="G559" s="173"/>
      <c r="H559" s="248"/>
      <c r="I559" s="310" t="s">
        <v>33</v>
      </c>
      <c r="J559" s="298" t="s">
        <v>25</v>
      </c>
      <c r="K559" s="177" t="s">
        <v>3022</v>
      </c>
      <c r="L559" s="177" t="s">
        <v>2107</v>
      </c>
      <c r="M559" s="1">
        <v>45603</v>
      </c>
      <c r="N559" s="1">
        <v>45603</v>
      </c>
      <c r="O559" s="3" t="s">
        <v>41</v>
      </c>
      <c r="P559" s="178">
        <v>0</v>
      </c>
      <c r="Q559" s="179"/>
      <c r="R559" s="217">
        <v>4.8</v>
      </c>
      <c r="S559" s="218">
        <f t="shared" si="28"/>
        <v>0.96</v>
      </c>
      <c r="T559" s="180">
        <v>170</v>
      </c>
      <c r="U559" s="181">
        <v>96</v>
      </c>
      <c r="V559" s="181">
        <v>0</v>
      </c>
      <c r="W559" s="181">
        <v>0</v>
      </c>
      <c r="X559" s="182">
        <f t="shared" si="29"/>
        <v>96</v>
      </c>
      <c r="Y559" s="3">
        <v>2</v>
      </c>
      <c r="Z559" s="3"/>
      <c r="AA559" s="2" t="s">
        <v>492</v>
      </c>
    </row>
    <row r="560" spans="1:28" ht="23.25" hidden="1" customHeight="1">
      <c r="A560" s="239" t="s">
        <v>2943</v>
      </c>
      <c r="B560" s="3">
        <v>2024</v>
      </c>
      <c r="C560" s="3" t="s">
        <v>42</v>
      </c>
      <c r="D560" s="3" t="s">
        <v>52</v>
      </c>
      <c r="E560" s="239" t="s">
        <v>1770</v>
      </c>
      <c r="F560" s="173" t="s">
        <v>2109</v>
      </c>
      <c r="G560" s="211"/>
      <c r="H560" s="280"/>
      <c r="I560" s="318" t="s">
        <v>33</v>
      </c>
      <c r="J560" s="298" t="s">
        <v>29</v>
      </c>
      <c r="K560" s="212" t="s">
        <v>3022</v>
      </c>
      <c r="L560" s="177" t="s">
        <v>2110</v>
      </c>
      <c r="M560" s="1">
        <v>45604</v>
      </c>
      <c r="N560" s="1">
        <v>45604</v>
      </c>
      <c r="O560" s="3" t="s">
        <v>45</v>
      </c>
      <c r="P560" s="178">
        <f>49600/8</f>
        <v>6200</v>
      </c>
      <c r="Q560" s="179"/>
      <c r="R560" s="217">
        <v>5</v>
      </c>
      <c r="S560" s="218">
        <f t="shared" si="28"/>
        <v>1</v>
      </c>
      <c r="T560" s="181">
        <v>20</v>
      </c>
      <c r="U560" s="181">
        <v>6</v>
      </c>
      <c r="V560" s="181">
        <v>0</v>
      </c>
      <c r="W560" s="181">
        <v>0</v>
      </c>
      <c r="X560" s="182">
        <f t="shared" si="29"/>
        <v>6</v>
      </c>
      <c r="Y560" s="3">
        <v>4</v>
      </c>
      <c r="Z560" s="3"/>
      <c r="AA560" s="2" t="s">
        <v>3546</v>
      </c>
    </row>
    <row r="561" spans="1:28" ht="23.25" hidden="1" customHeight="1">
      <c r="A561" s="275" t="s">
        <v>2943</v>
      </c>
      <c r="B561" s="3">
        <v>2024</v>
      </c>
      <c r="C561" s="3" t="s">
        <v>46</v>
      </c>
      <c r="D561" s="3" t="s">
        <v>52</v>
      </c>
      <c r="E561" s="3" t="s">
        <v>2112</v>
      </c>
      <c r="F561" s="173" t="s">
        <v>2113</v>
      </c>
      <c r="G561" s="173"/>
      <c r="H561" s="248"/>
      <c r="I561" s="310" t="s">
        <v>44</v>
      </c>
      <c r="J561" s="298" t="s">
        <v>15</v>
      </c>
      <c r="K561" s="177" t="s">
        <v>3022</v>
      </c>
      <c r="L561" s="177" t="s">
        <v>2114</v>
      </c>
      <c r="M561" s="1">
        <v>45607</v>
      </c>
      <c r="N561" s="1">
        <v>45609</v>
      </c>
      <c r="O561" s="3" t="s">
        <v>41</v>
      </c>
      <c r="P561" s="178">
        <v>9416.44</v>
      </c>
      <c r="Q561" s="179"/>
      <c r="R561" s="217">
        <v>4.8</v>
      </c>
      <c r="S561" s="218">
        <f t="shared" si="28"/>
        <v>0.96</v>
      </c>
      <c r="T561" s="180">
        <v>40</v>
      </c>
      <c r="U561" s="181">
        <v>1</v>
      </c>
      <c r="V561" s="181">
        <v>46</v>
      </c>
      <c r="W561" s="181">
        <v>0</v>
      </c>
      <c r="X561" s="182">
        <f t="shared" si="29"/>
        <v>47</v>
      </c>
      <c r="Y561" s="3">
        <v>12</v>
      </c>
      <c r="Z561" s="3"/>
      <c r="AA561" s="2" t="s">
        <v>3566</v>
      </c>
    </row>
    <row r="562" spans="1:28" ht="23.25" hidden="1" customHeight="1">
      <c r="A562" s="275" t="s">
        <v>2943</v>
      </c>
      <c r="B562" s="3">
        <v>2024</v>
      </c>
      <c r="C562" s="3" t="s">
        <v>42</v>
      </c>
      <c r="D562" s="3" t="s">
        <v>52</v>
      </c>
      <c r="E562" s="3" t="s">
        <v>2116</v>
      </c>
      <c r="F562" s="324" t="s">
        <v>2117</v>
      </c>
      <c r="G562" s="173"/>
      <c r="H562" s="248"/>
      <c r="I562" s="310" t="s">
        <v>44</v>
      </c>
      <c r="J562" s="298" t="s">
        <v>15</v>
      </c>
      <c r="K562" s="177" t="s">
        <v>3022</v>
      </c>
      <c r="L562" s="177" t="s">
        <v>3567</v>
      </c>
      <c r="M562" s="1">
        <v>45614</v>
      </c>
      <c r="N562" s="1">
        <v>45617</v>
      </c>
      <c r="O562" s="3" t="s">
        <v>41</v>
      </c>
      <c r="P562" s="178">
        <v>6800.82</v>
      </c>
      <c r="Q562" s="179"/>
      <c r="R562" s="217">
        <v>4.7</v>
      </c>
      <c r="S562" s="218">
        <f t="shared" si="28"/>
        <v>0.94000000000000006</v>
      </c>
      <c r="T562" s="180">
        <v>40</v>
      </c>
      <c r="U562" s="181">
        <v>0</v>
      </c>
      <c r="V562" s="181">
        <v>37</v>
      </c>
      <c r="W562" s="181">
        <v>0</v>
      </c>
      <c r="X562" s="182">
        <f t="shared" si="29"/>
        <v>37</v>
      </c>
      <c r="Y562" s="3">
        <v>12</v>
      </c>
      <c r="Z562" s="3"/>
      <c r="AA562" s="2" t="s">
        <v>3457</v>
      </c>
    </row>
    <row r="563" spans="1:28" ht="23.25" hidden="1" customHeight="1">
      <c r="A563" s="275" t="s">
        <v>2943</v>
      </c>
      <c r="B563" s="3">
        <v>2024</v>
      </c>
      <c r="C563" s="3" t="s">
        <v>46</v>
      </c>
      <c r="D563" s="3" t="s">
        <v>52</v>
      </c>
      <c r="E563" s="3" t="s">
        <v>2120</v>
      </c>
      <c r="F563" s="173" t="s">
        <v>2121</v>
      </c>
      <c r="G563" s="173"/>
      <c r="H563" s="248"/>
      <c r="I563" s="174" t="s">
        <v>33</v>
      </c>
      <c r="J563" s="298" t="s">
        <v>25</v>
      </c>
      <c r="K563" s="177" t="s">
        <v>3022</v>
      </c>
      <c r="L563" s="177" t="s">
        <v>2122</v>
      </c>
      <c r="M563" s="1">
        <v>45614</v>
      </c>
      <c r="N563" s="1">
        <v>45618</v>
      </c>
      <c r="O563" s="3" t="s">
        <v>41</v>
      </c>
      <c r="P563" s="178">
        <v>12555.28</v>
      </c>
      <c r="Q563" s="179"/>
      <c r="R563" s="217">
        <v>4.8</v>
      </c>
      <c r="S563" s="218">
        <f t="shared" si="28"/>
        <v>0.96</v>
      </c>
      <c r="T563" s="180">
        <v>20</v>
      </c>
      <c r="U563" s="181">
        <v>20</v>
      </c>
      <c r="V563" s="181">
        <v>0</v>
      </c>
      <c r="W563" s="181">
        <v>0</v>
      </c>
      <c r="X563" s="182">
        <f t="shared" si="29"/>
        <v>20</v>
      </c>
      <c r="Y563" s="3">
        <v>16</v>
      </c>
      <c r="Z563" s="3"/>
      <c r="AA563" s="2" t="s">
        <v>1702</v>
      </c>
    </row>
    <row r="564" spans="1:28" ht="23.25" hidden="1" customHeight="1">
      <c r="A564" s="275" t="s">
        <v>2943</v>
      </c>
      <c r="B564" s="3">
        <v>2024</v>
      </c>
      <c r="C564" s="3" t="s">
        <v>42</v>
      </c>
      <c r="D564" s="3" t="s">
        <v>52</v>
      </c>
      <c r="E564" s="325" t="s">
        <v>2124</v>
      </c>
      <c r="F564" s="173" t="s">
        <v>2125</v>
      </c>
      <c r="G564" s="173"/>
      <c r="H564" s="248"/>
      <c r="I564" s="310" t="s">
        <v>44</v>
      </c>
      <c r="J564" s="298" t="s">
        <v>15</v>
      </c>
      <c r="K564" s="177" t="s">
        <v>3022</v>
      </c>
      <c r="L564" s="177" t="s">
        <v>2126</v>
      </c>
      <c r="M564" s="1">
        <v>45615</v>
      </c>
      <c r="N564" s="1">
        <v>45624</v>
      </c>
      <c r="O564" s="3" t="s">
        <v>41</v>
      </c>
      <c r="P564" s="178">
        <v>10250.44</v>
      </c>
      <c r="Q564" s="179"/>
      <c r="R564" s="217">
        <v>4</v>
      </c>
      <c r="S564" s="218">
        <f t="shared" si="28"/>
        <v>0.8</v>
      </c>
      <c r="T564" s="180">
        <v>20</v>
      </c>
      <c r="U564" s="181">
        <v>0</v>
      </c>
      <c r="V564" s="181">
        <v>19</v>
      </c>
      <c r="W564" s="181">
        <v>0</v>
      </c>
      <c r="X564" s="182">
        <f t="shared" si="29"/>
        <v>19</v>
      </c>
      <c r="Y564" s="3">
        <v>16</v>
      </c>
      <c r="Z564" s="3"/>
      <c r="AA564" s="2" t="s">
        <v>569</v>
      </c>
    </row>
    <row r="565" spans="1:28" ht="23.25" hidden="1" customHeight="1">
      <c r="A565" s="275" t="s">
        <v>2943</v>
      </c>
      <c r="B565" s="3">
        <v>2024</v>
      </c>
      <c r="C565" s="3" t="s">
        <v>42</v>
      </c>
      <c r="D565" s="3" t="s">
        <v>52</v>
      </c>
      <c r="E565" s="3" t="s">
        <v>2128</v>
      </c>
      <c r="F565" s="173" t="s">
        <v>2129</v>
      </c>
      <c r="G565" s="173"/>
      <c r="H565" s="248"/>
      <c r="I565" s="310" t="s">
        <v>33</v>
      </c>
      <c r="J565" s="2" t="s">
        <v>25</v>
      </c>
      <c r="K565" s="177" t="s">
        <v>3022</v>
      </c>
      <c r="L565" s="177" t="s">
        <v>3559</v>
      </c>
      <c r="M565" s="1">
        <v>45617</v>
      </c>
      <c r="N565" s="1">
        <v>45617</v>
      </c>
      <c r="O565" s="3" t="s">
        <v>41</v>
      </c>
      <c r="P565" s="178">
        <v>9154.9500000000007</v>
      </c>
      <c r="Q565" s="179"/>
      <c r="R565" s="217">
        <v>5</v>
      </c>
      <c r="S565" s="218">
        <f t="shared" si="28"/>
        <v>1</v>
      </c>
      <c r="T565" s="180">
        <v>0</v>
      </c>
      <c r="U565" s="181">
        <v>0</v>
      </c>
      <c r="V565" s="181">
        <v>0</v>
      </c>
      <c r="W565" s="181">
        <v>0</v>
      </c>
      <c r="X565" s="182">
        <f t="shared" si="29"/>
        <v>0</v>
      </c>
      <c r="Y565" s="3">
        <v>21</v>
      </c>
      <c r="Z565" s="3" t="s">
        <v>2780</v>
      </c>
      <c r="AA565" s="2" t="s">
        <v>3498</v>
      </c>
      <c r="AB565" s="288"/>
    </row>
    <row r="566" spans="1:28" ht="23.25" hidden="1" customHeight="1">
      <c r="A566" s="275" t="s">
        <v>2943</v>
      </c>
      <c r="B566" s="3">
        <v>2024</v>
      </c>
      <c r="C566" s="3" t="s">
        <v>42</v>
      </c>
      <c r="D566" s="3" t="s">
        <v>52</v>
      </c>
      <c r="E566" s="3" t="s">
        <v>2105</v>
      </c>
      <c r="F566" s="173" t="s">
        <v>2132</v>
      </c>
      <c r="G566" s="173"/>
      <c r="H566" s="248"/>
      <c r="I566" s="310" t="s">
        <v>33</v>
      </c>
      <c r="J566" s="2" t="s">
        <v>25</v>
      </c>
      <c r="K566" s="177" t="s">
        <v>3022</v>
      </c>
      <c r="L566" s="177" t="s">
        <v>3559</v>
      </c>
      <c r="M566" s="1">
        <v>45617</v>
      </c>
      <c r="N566" s="1">
        <v>45617</v>
      </c>
      <c r="O566" s="3" t="s">
        <v>41</v>
      </c>
      <c r="P566" s="178">
        <v>2615.6999999999998</v>
      </c>
      <c r="Q566" s="179"/>
      <c r="R566" s="217">
        <v>5</v>
      </c>
      <c r="S566" s="218">
        <f t="shared" si="28"/>
        <v>1</v>
      </c>
      <c r="T566" s="180">
        <v>0</v>
      </c>
      <c r="U566" s="181">
        <v>0</v>
      </c>
      <c r="V566" s="181">
        <v>0</v>
      </c>
      <c r="W566" s="181">
        <v>0</v>
      </c>
      <c r="X566" s="182">
        <f t="shared" si="29"/>
        <v>0</v>
      </c>
      <c r="Y566" s="3">
        <v>6</v>
      </c>
      <c r="Z566" s="3"/>
      <c r="AA566" s="2" t="s">
        <v>2133</v>
      </c>
      <c r="AB566" s="288"/>
    </row>
    <row r="567" spans="1:28" ht="23.25" hidden="1" customHeight="1">
      <c r="A567" s="171" t="s">
        <v>2943</v>
      </c>
      <c r="B567" s="3">
        <v>2024</v>
      </c>
      <c r="C567" s="3" t="s">
        <v>42</v>
      </c>
      <c r="D567" s="287" t="s">
        <v>52</v>
      </c>
      <c r="E567" s="3" t="s">
        <v>1770</v>
      </c>
      <c r="F567" s="241" t="s">
        <v>2135</v>
      </c>
      <c r="G567" s="173"/>
      <c r="H567" s="248"/>
      <c r="I567" s="174" t="s">
        <v>33</v>
      </c>
      <c r="J567" s="2" t="s">
        <v>29</v>
      </c>
      <c r="K567" s="177" t="s">
        <v>3022</v>
      </c>
      <c r="L567" s="177" t="s">
        <v>2136</v>
      </c>
      <c r="M567" s="1">
        <v>45618</v>
      </c>
      <c r="N567" s="1">
        <v>45618</v>
      </c>
      <c r="O567" s="3" t="s">
        <v>45</v>
      </c>
      <c r="P567" s="178">
        <f>49600/8</f>
        <v>6200</v>
      </c>
      <c r="Q567" s="179"/>
      <c r="R567" s="217">
        <v>5</v>
      </c>
      <c r="S567" s="218">
        <f t="shared" si="28"/>
        <v>1</v>
      </c>
      <c r="T567" s="181">
        <v>20</v>
      </c>
      <c r="U567" s="181">
        <v>6</v>
      </c>
      <c r="V567" s="181">
        <v>0</v>
      </c>
      <c r="W567" s="181">
        <v>0</v>
      </c>
      <c r="X567" s="182">
        <f t="shared" si="29"/>
        <v>6</v>
      </c>
      <c r="Y567" s="3"/>
      <c r="Z567" s="3"/>
      <c r="AB567" s="288"/>
    </row>
    <row r="568" spans="1:28" ht="23.25" hidden="1" customHeight="1">
      <c r="A568" s="275" t="s">
        <v>2943</v>
      </c>
      <c r="B568" s="3">
        <v>2024</v>
      </c>
      <c r="C568" s="3" t="s">
        <v>42</v>
      </c>
      <c r="D568" s="287" t="s">
        <v>52</v>
      </c>
      <c r="E568" s="3" t="s">
        <v>2048</v>
      </c>
      <c r="F568" s="173" t="s">
        <v>2138</v>
      </c>
      <c r="G568" s="174" t="s">
        <v>44</v>
      </c>
      <c r="H568" s="245" t="s">
        <v>15</v>
      </c>
      <c r="I568" s="310" t="s">
        <v>44</v>
      </c>
      <c r="J568" s="2" t="s">
        <v>15</v>
      </c>
      <c r="K568" s="177" t="s">
        <v>3022</v>
      </c>
      <c r="L568" s="177" t="s">
        <v>2139</v>
      </c>
      <c r="M568" s="1">
        <v>45621</v>
      </c>
      <c r="N568" s="1">
        <v>45624</v>
      </c>
      <c r="O568" s="3" t="s">
        <v>45</v>
      </c>
      <c r="P568" s="178">
        <v>10400</v>
      </c>
      <c r="Q568" s="179"/>
      <c r="R568" s="217">
        <v>4.7</v>
      </c>
      <c r="S568" s="218">
        <f t="shared" si="28"/>
        <v>0.94000000000000006</v>
      </c>
      <c r="T568" s="180">
        <v>40</v>
      </c>
      <c r="U568" s="181">
        <v>0</v>
      </c>
      <c r="V568" s="181">
        <v>46</v>
      </c>
      <c r="W568" s="181">
        <v>0</v>
      </c>
      <c r="X568" s="182">
        <f t="shared" si="29"/>
        <v>46</v>
      </c>
      <c r="Y568" s="3">
        <v>16</v>
      </c>
      <c r="Z568" s="3"/>
      <c r="AA568" s="2" t="s">
        <v>3555</v>
      </c>
      <c r="AB568" s="288"/>
    </row>
    <row r="569" spans="1:28" ht="23.25" hidden="1" customHeight="1">
      <c r="A569" s="275" t="s">
        <v>2943</v>
      </c>
      <c r="B569" s="3">
        <v>2024</v>
      </c>
      <c r="C569" s="3" t="s">
        <v>42</v>
      </c>
      <c r="D569" s="3" t="s">
        <v>52</v>
      </c>
      <c r="E569" s="3" t="s">
        <v>2052</v>
      </c>
      <c r="F569" s="173" t="s">
        <v>2141</v>
      </c>
      <c r="G569" s="173"/>
      <c r="H569" s="248"/>
      <c r="I569" s="174" t="s">
        <v>44</v>
      </c>
      <c r="J569" s="2" t="s">
        <v>15</v>
      </c>
      <c r="K569" s="177" t="s">
        <v>3022</v>
      </c>
      <c r="L569" s="177" t="s">
        <v>2139</v>
      </c>
      <c r="M569" s="1">
        <v>45621</v>
      </c>
      <c r="N569" s="1">
        <v>45624</v>
      </c>
      <c r="O569" s="3" t="s">
        <v>41</v>
      </c>
      <c r="P569" s="178">
        <v>9067.76</v>
      </c>
      <c r="Q569" s="179"/>
      <c r="R569" s="217">
        <v>4.9000000000000004</v>
      </c>
      <c r="S569" s="218">
        <f t="shared" si="28"/>
        <v>0.98000000000000009</v>
      </c>
      <c r="T569" s="180">
        <v>30</v>
      </c>
      <c r="U569" s="181">
        <v>0</v>
      </c>
      <c r="V569" s="181">
        <v>20</v>
      </c>
      <c r="W569" s="181">
        <v>0</v>
      </c>
      <c r="X569" s="182">
        <f t="shared" si="29"/>
        <v>20</v>
      </c>
      <c r="Y569" s="3">
        <v>16</v>
      </c>
      <c r="Z569" s="3" t="s">
        <v>2784</v>
      </c>
      <c r="AA569" s="2" t="s">
        <v>3474</v>
      </c>
    </row>
    <row r="570" spans="1:28" ht="23.25" hidden="1" customHeight="1">
      <c r="A570" s="275" t="s">
        <v>2943</v>
      </c>
      <c r="B570" s="3">
        <v>2024</v>
      </c>
      <c r="C570" s="3" t="s">
        <v>46</v>
      </c>
      <c r="D570" s="3" t="s">
        <v>52</v>
      </c>
      <c r="E570" s="16" t="s">
        <v>2830</v>
      </c>
      <c r="F570" s="173" t="s">
        <v>2143</v>
      </c>
      <c r="G570" s="173"/>
      <c r="H570" s="248"/>
      <c r="I570" s="310" t="s">
        <v>33</v>
      </c>
      <c r="J570" s="2" t="s">
        <v>32</v>
      </c>
      <c r="K570" s="177" t="s">
        <v>3022</v>
      </c>
      <c r="L570" s="177"/>
      <c r="M570" s="1">
        <v>45621</v>
      </c>
      <c r="N570" s="1">
        <v>45621</v>
      </c>
      <c r="O570" s="3" t="s">
        <v>41</v>
      </c>
      <c r="Q570" s="179"/>
      <c r="R570" s="217"/>
      <c r="S570" s="218">
        <f t="shared" si="28"/>
        <v>0</v>
      </c>
      <c r="T570" s="180"/>
      <c r="U570" s="181"/>
      <c r="V570" s="181"/>
      <c r="W570" s="181"/>
      <c r="X570" s="182">
        <f t="shared" si="29"/>
        <v>0</v>
      </c>
      <c r="Y570" s="3"/>
      <c r="Z570" s="3"/>
    </row>
    <row r="571" spans="1:28" ht="23.25" hidden="1" customHeight="1">
      <c r="A571" s="275" t="s">
        <v>2943</v>
      </c>
      <c r="B571" s="3">
        <v>2024</v>
      </c>
      <c r="C571" s="3" t="s">
        <v>42</v>
      </c>
      <c r="D571" s="3" t="s">
        <v>52</v>
      </c>
      <c r="E571" s="3" t="s">
        <v>2145</v>
      </c>
      <c r="F571" s="173" t="s">
        <v>2146</v>
      </c>
      <c r="G571" s="173"/>
      <c r="H571" s="248"/>
      <c r="I571" s="174" t="s">
        <v>33</v>
      </c>
      <c r="J571" s="2" t="s">
        <v>25</v>
      </c>
      <c r="K571" s="177" t="s">
        <v>3022</v>
      </c>
      <c r="L571" s="177" t="s">
        <v>2147</v>
      </c>
      <c r="M571" s="1">
        <v>45622</v>
      </c>
      <c r="N571" s="1">
        <v>45624</v>
      </c>
      <c r="O571" s="3" t="s">
        <v>41</v>
      </c>
      <c r="P571" s="178">
        <v>3040.86</v>
      </c>
      <c r="Q571" s="179"/>
      <c r="R571" s="217">
        <v>4.7</v>
      </c>
      <c r="S571" s="218">
        <f t="shared" si="28"/>
        <v>0.94000000000000006</v>
      </c>
      <c r="T571" s="180">
        <v>20</v>
      </c>
      <c r="U571" s="181">
        <v>20</v>
      </c>
      <c r="V571" s="181">
        <v>0</v>
      </c>
      <c r="W571" s="181">
        <v>0</v>
      </c>
      <c r="X571" s="182">
        <f t="shared" si="29"/>
        <v>20</v>
      </c>
      <c r="Y571" s="3">
        <v>8</v>
      </c>
      <c r="Z571" s="3"/>
      <c r="AA571" s="2" t="s">
        <v>2148</v>
      </c>
    </row>
    <row r="572" spans="1:28" ht="23.25" hidden="1" customHeight="1">
      <c r="A572" s="275" t="s">
        <v>2943</v>
      </c>
      <c r="B572" s="3">
        <v>2024</v>
      </c>
      <c r="C572" s="3" t="s">
        <v>42</v>
      </c>
      <c r="D572" s="3" t="s">
        <v>52</v>
      </c>
      <c r="E572" s="3" t="s">
        <v>2150</v>
      </c>
      <c r="F572" s="324" t="s">
        <v>2151</v>
      </c>
      <c r="G572" s="173"/>
      <c r="H572" s="248"/>
      <c r="I572" s="174" t="s">
        <v>33</v>
      </c>
      <c r="J572" s="2" t="s">
        <v>10</v>
      </c>
      <c r="K572" s="177" t="s">
        <v>3022</v>
      </c>
      <c r="L572" s="177" t="s">
        <v>3568</v>
      </c>
      <c r="M572" s="1">
        <v>45622</v>
      </c>
      <c r="N572" s="1">
        <v>45629</v>
      </c>
      <c r="O572" s="3" t="s">
        <v>45</v>
      </c>
      <c r="P572" s="178">
        <v>25000</v>
      </c>
      <c r="Q572" s="179"/>
      <c r="R572" s="217">
        <v>4.8</v>
      </c>
      <c r="S572" s="218">
        <f t="shared" si="28"/>
        <v>0.96</v>
      </c>
      <c r="T572" s="180">
        <v>30</v>
      </c>
      <c r="U572" s="181">
        <v>23</v>
      </c>
      <c r="V572" s="181">
        <v>4</v>
      </c>
      <c r="W572" s="181">
        <v>1</v>
      </c>
      <c r="X572" s="182">
        <f t="shared" si="29"/>
        <v>28</v>
      </c>
      <c r="Y572" s="3">
        <v>20</v>
      </c>
      <c r="Z572" s="3" t="s">
        <v>2780</v>
      </c>
    </row>
    <row r="573" spans="1:28" ht="23.25" hidden="1" customHeight="1">
      <c r="A573" s="275" t="s">
        <v>2943</v>
      </c>
      <c r="B573" s="3">
        <v>2024</v>
      </c>
      <c r="C573" s="3" t="s">
        <v>42</v>
      </c>
      <c r="D573" s="3" t="s">
        <v>52</v>
      </c>
      <c r="E573" s="3" t="s">
        <v>2154</v>
      </c>
      <c r="F573" s="173" t="s">
        <v>2155</v>
      </c>
      <c r="G573" s="173"/>
      <c r="H573" s="248"/>
      <c r="I573" s="174" t="s">
        <v>44</v>
      </c>
      <c r="J573" s="2" t="s">
        <v>15</v>
      </c>
      <c r="K573" s="177" t="s">
        <v>51</v>
      </c>
      <c r="L573" s="177" t="s">
        <v>2156</v>
      </c>
      <c r="M573" s="1">
        <v>45624</v>
      </c>
      <c r="N573" s="1">
        <v>45624</v>
      </c>
      <c r="O573" s="3" t="s">
        <v>49</v>
      </c>
      <c r="P573" s="178">
        <v>0</v>
      </c>
      <c r="Q573" s="179"/>
      <c r="R573" s="217">
        <v>4.9000000000000004</v>
      </c>
      <c r="S573" s="218">
        <f t="shared" si="28"/>
        <v>0.98000000000000009</v>
      </c>
      <c r="T573" s="180">
        <v>170</v>
      </c>
      <c r="U573" s="181">
        <v>36</v>
      </c>
      <c r="V573" s="181">
        <v>79</v>
      </c>
      <c r="W573" s="181">
        <v>23</v>
      </c>
      <c r="X573" s="182">
        <f t="shared" si="29"/>
        <v>138</v>
      </c>
      <c r="Y573" s="3">
        <v>8</v>
      </c>
      <c r="Z573" s="277"/>
      <c r="AA573" s="2" t="s">
        <v>492</v>
      </c>
      <c r="AB573" s="288"/>
    </row>
    <row r="574" spans="1:28" ht="15" hidden="1">
      <c r="A574" s="275" t="s">
        <v>2943</v>
      </c>
      <c r="B574" s="3">
        <v>2024</v>
      </c>
      <c r="C574" s="3" t="s">
        <v>42</v>
      </c>
      <c r="D574" s="171" t="s">
        <v>50</v>
      </c>
      <c r="E574" s="3" t="s">
        <v>2169</v>
      </c>
      <c r="F574" s="173" t="s">
        <v>3569</v>
      </c>
      <c r="G574" s="173"/>
      <c r="H574" s="248"/>
      <c r="I574" s="174" t="s">
        <v>48</v>
      </c>
      <c r="J574" s="2" t="s">
        <v>18</v>
      </c>
      <c r="K574" s="177" t="s">
        <v>3022</v>
      </c>
      <c r="L574" s="177" t="s">
        <v>3570</v>
      </c>
      <c r="M574" s="1">
        <v>45625</v>
      </c>
      <c r="N574" s="1" t="s">
        <v>3570</v>
      </c>
      <c r="O574" s="3" t="s">
        <v>41</v>
      </c>
      <c r="Q574" s="179"/>
      <c r="R574" s="217"/>
      <c r="S574" s="218"/>
      <c r="T574" s="180">
        <v>30</v>
      </c>
      <c r="U574" s="181"/>
      <c r="V574" s="181"/>
      <c r="W574" s="181"/>
      <c r="X574" s="181"/>
      <c r="Y574" s="3">
        <v>4</v>
      </c>
      <c r="Z574" s="3"/>
      <c r="AB574" s="288"/>
    </row>
    <row r="575" spans="1:28" ht="23.25" hidden="1" customHeight="1">
      <c r="A575" s="292" t="s">
        <v>2943</v>
      </c>
      <c r="B575" s="3">
        <v>2024</v>
      </c>
      <c r="C575" s="287" t="s">
        <v>46</v>
      </c>
      <c r="D575" s="3" t="s">
        <v>52</v>
      </c>
      <c r="E575" s="3" t="s">
        <v>1880</v>
      </c>
      <c r="F575" s="173" t="s">
        <v>2158</v>
      </c>
      <c r="G575" s="173"/>
      <c r="H575" s="248"/>
      <c r="I575" s="174" t="s">
        <v>44</v>
      </c>
      <c r="J575" s="2" t="s">
        <v>15</v>
      </c>
      <c r="K575" s="177" t="s">
        <v>3041</v>
      </c>
      <c r="L575" s="177" t="s">
        <v>2159</v>
      </c>
      <c r="M575" s="1">
        <v>45628</v>
      </c>
      <c r="N575" s="1">
        <v>45630</v>
      </c>
      <c r="O575" s="3" t="s">
        <v>41</v>
      </c>
      <c r="P575" s="178">
        <v>9416.4599999999991</v>
      </c>
      <c r="Q575" s="179"/>
      <c r="R575" s="217">
        <v>4.9000000000000004</v>
      </c>
      <c r="S575" s="218">
        <f>R575/5</f>
        <v>0.98000000000000009</v>
      </c>
      <c r="T575" s="180">
        <v>20</v>
      </c>
      <c r="U575" s="181">
        <v>0</v>
      </c>
      <c r="V575" s="181">
        <v>19</v>
      </c>
      <c r="W575" s="181">
        <v>0</v>
      </c>
      <c r="X575" s="182">
        <f t="shared" ref="X575:X580" si="30">SUM(U575:W575)</f>
        <v>19</v>
      </c>
      <c r="Y575" s="3">
        <v>12</v>
      </c>
      <c r="Z575" s="3" t="s">
        <v>2784</v>
      </c>
      <c r="AA575" s="2" t="s">
        <v>3519</v>
      </c>
      <c r="AB575" s="288"/>
    </row>
    <row r="576" spans="1:28" ht="23.25" hidden="1" customHeight="1">
      <c r="A576" s="286" t="s">
        <v>2943</v>
      </c>
      <c r="B576" s="3">
        <v>2024</v>
      </c>
      <c r="C576" s="287" t="s">
        <v>46</v>
      </c>
      <c r="D576" s="3" t="s">
        <v>52</v>
      </c>
      <c r="E576" s="3" t="s">
        <v>2161</v>
      </c>
      <c r="F576" s="173" t="s">
        <v>2162</v>
      </c>
      <c r="G576" s="173"/>
      <c r="H576" s="248"/>
      <c r="I576" s="174" t="s">
        <v>33</v>
      </c>
      <c r="J576" s="2" t="s">
        <v>32</v>
      </c>
      <c r="K576" s="177" t="s">
        <v>3022</v>
      </c>
      <c r="L576" s="177" t="s">
        <v>2163</v>
      </c>
      <c r="M576" s="1">
        <v>45631</v>
      </c>
      <c r="N576" s="1">
        <v>45631</v>
      </c>
      <c r="O576" s="3" t="s">
        <v>45</v>
      </c>
      <c r="P576" s="178">
        <v>28900</v>
      </c>
      <c r="Q576" s="179"/>
      <c r="R576" s="217">
        <v>5</v>
      </c>
      <c r="S576" s="218">
        <f>R576/5</f>
        <v>1</v>
      </c>
      <c r="T576" s="180">
        <v>170</v>
      </c>
      <c r="U576" s="181">
        <v>118</v>
      </c>
      <c r="V576" s="181">
        <v>0</v>
      </c>
      <c r="W576" s="181">
        <v>0</v>
      </c>
      <c r="X576" s="182">
        <f t="shared" si="30"/>
        <v>118</v>
      </c>
      <c r="Y576" s="3">
        <v>1</v>
      </c>
      <c r="Z576" s="3"/>
      <c r="AA576" s="2" t="s">
        <v>2164</v>
      </c>
      <c r="AB576" s="288"/>
    </row>
    <row r="577" spans="1:30" ht="23.25" hidden="1" customHeight="1">
      <c r="A577" s="292" t="s">
        <v>2943</v>
      </c>
      <c r="B577" s="3">
        <v>2024</v>
      </c>
      <c r="C577" s="287" t="s">
        <v>42</v>
      </c>
      <c r="D577" s="3" t="s">
        <v>52</v>
      </c>
      <c r="E577" s="239" t="s">
        <v>1770</v>
      </c>
      <c r="F577" s="173" t="s">
        <v>2166</v>
      </c>
      <c r="G577" s="211"/>
      <c r="H577" s="280"/>
      <c r="I577" s="242" t="s">
        <v>33</v>
      </c>
      <c r="J577" s="2" t="s">
        <v>29</v>
      </c>
      <c r="K577" s="212" t="s">
        <v>3022</v>
      </c>
      <c r="L577" s="177" t="s">
        <v>2167</v>
      </c>
      <c r="M577" s="1">
        <v>45632</v>
      </c>
      <c r="N577" s="1">
        <v>45632</v>
      </c>
      <c r="O577" s="3" t="s">
        <v>45</v>
      </c>
      <c r="P577" s="178">
        <f>49600/8</f>
        <v>6200</v>
      </c>
      <c r="Q577" s="179"/>
      <c r="R577" s="217">
        <v>5</v>
      </c>
      <c r="S577" s="218">
        <f>R577/5</f>
        <v>1</v>
      </c>
      <c r="T577" s="181">
        <v>40</v>
      </c>
      <c r="U577" s="181">
        <v>4</v>
      </c>
      <c r="V577" s="181">
        <v>0</v>
      </c>
      <c r="W577" s="181">
        <v>0</v>
      </c>
      <c r="X577" s="182">
        <f t="shared" si="30"/>
        <v>4</v>
      </c>
      <c r="Y577" s="3">
        <v>4</v>
      </c>
      <c r="Z577" s="3"/>
      <c r="AA577" s="2" t="s">
        <v>1773</v>
      </c>
      <c r="AB577" s="288"/>
    </row>
    <row r="578" spans="1:30" ht="23.25" hidden="1" customHeight="1">
      <c r="A578" s="275" t="s">
        <v>2943</v>
      </c>
      <c r="B578" s="3">
        <v>2024</v>
      </c>
      <c r="C578" s="3" t="s">
        <v>42</v>
      </c>
      <c r="D578" s="3" t="s">
        <v>52</v>
      </c>
      <c r="E578" s="3" t="s">
        <v>2169</v>
      </c>
      <c r="F578" s="173" t="s">
        <v>2170</v>
      </c>
      <c r="G578" s="173"/>
      <c r="H578" s="248"/>
      <c r="I578" s="174" t="s">
        <v>48</v>
      </c>
      <c r="J578" s="2" t="s">
        <v>18</v>
      </c>
      <c r="K578" s="177" t="s">
        <v>3041</v>
      </c>
      <c r="L578" s="177" t="s">
        <v>2167</v>
      </c>
      <c r="M578" s="1">
        <v>45632</v>
      </c>
      <c r="N578" s="1">
        <v>45632</v>
      </c>
      <c r="O578" s="3" t="s">
        <v>41</v>
      </c>
      <c r="P578" s="178">
        <v>3680.45</v>
      </c>
      <c r="Q578" s="179"/>
      <c r="R578" s="217">
        <v>4.8</v>
      </c>
      <c r="S578" s="218">
        <f>R578/5</f>
        <v>0.96</v>
      </c>
      <c r="T578" s="180">
        <v>30</v>
      </c>
      <c r="U578" s="181">
        <v>0</v>
      </c>
      <c r="V578" s="181">
        <v>0</v>
      </c>
      <c r="W578" s="181">
        <v>49</v>
      </c>
      <c r="X578" s="182">
        <f t="shared" si="30"/>
        <v>49</v>
      </c>
      <c r="Y578" s="3">
        <v>4</v>
      </c>
      <c r="Z578" s="3" t="s">
        <v>2780</v>
      </c>
      <c r="AA578" s="2" t="s">
        <v>3571</v>
      </c>
      <c r="AB578" s="288"/>
    </row>
    <row r="579" spans="1:30" ht="23.25" hidden="1" customHeight="1">
      <c r="A579" s="239" t="s">
        <v>2943</v>
      </c>
      <c r="B579" s="3">
        <v>2024</v>
      </c>
      <c r="C579" s="281" t="s">
        <v>46</v>
      </c>
      <c r="D579" s="3" t="s">
        <v>52</v>
      </c>
      <c r="E579" s="3" t="s">
        <v>1964</v>
      </c>
      <c r="F579" s="173" t="s">
        <v>2173</v>
      </c>
      <c r="G579" s="173"/>
      <c r="H579" s="248"/>
      <c r="I579" s="174" t="s">
        <v>48</v>
      </c>
      <c r="J579" s="2" t="s">
        <v>18</v>
      </c>
      <c r="K579" s="177" t="s">
        <v>3041</v>
      </c>
      <c r="L579" s="177" t="s">
        <v>2174</v>
      </c>
      <c r="M579" s="1">
        <v>45635</v>
      </c>
      <c r="N579" s="1">
        <v>45639</v>
      </c>
      <c r="O579" s="3" t="s">
        <v>41</v>
      </c>
      <c r="P579" s="178">
        <f>9154.9+1027</f>
        <v>10181.9</v>
      </c>
      <c r="Q579" s="179"/>
      <c r="R579" s="217">
        <v>4.9000000000000004</v>
      </c>
      <c r="S579" s="218"/>
      <c r="T579" s="180">
        <v>60</v>
      </c>
      <c r="U579" s="181">
        <v>0</v>
      </c>
      <c r="V579" s="181">
        <v>0</v>
      </c>
      <c r="W579" s="181">
        <v>94</v>
      </c>
      <c r="X579" s="181">
        <f t="shared" si="30"/>
        <v>94</v>
      </c>
      <c r="Y579" s="3">
        <v>20</v>
      </c>
      <c r="Z579" s="3"/>
      <c r="AA579" s="2" t="s">
        <v>3537</v>
      </c>
      <c r="AB579" s="288"/>
    </row>
    <row r="580" spans="1:30" ht="23.25" hidden="1" customHeight="1">
      <c r="A580" s="275" t="s">
        <v>2943</v>
      </c>
      <c r="B580" s="3">
        <v>2025</v>
      </c>
      <c r="C580" s="3" t="s">
        <v>42</v>
      </c>
      <c r="D580" s="3" t="s">
        <v>52</v>
      </c>
      <c r="E580" s="3" t="s">
        <v>2180</v>
      </c>
      <c r="F580" s="173" t="s">
        <v>2181</v>
      </c>
      <c r="G580" s="173"/>
      <c r="H580" s="173"/>
      <c r="I580" s="174" t="s">
        <v>44</v>
      </c>
      <c r="J580" s="2" t="s">
        <v>15</v>
      </c>
      <c r="K580" s="177" t="s">
        <v>3041</v>
      </c>
      <c r="L580" s="3" t="s">
        <v>2182</v>
      </c>
      <c r="M580" s="1">
        <v>45684</v>
      </c>
      <c r="N580" s="1">
        <v>45688</v>
      </c>
      <c r="O580" s="3" t="s">
        <v>41</v>
      </c>
      <c r="P580" s="178">
        <v>12813.06</v>
      </c>
      <c r="Q580" s="179"/>
      <c r="R580" s="217">
        <v>4.8</v>
      </c>
      <c r="S580" s="218"/>
      <c r="T580" s="180">
        <v>20</v>
      </c>
      <c r="U580" s="181">
        <v>7</v>
      </c>
      <c r="V580" s="181">
        <v>14</v>
      </c>
      <c r="W580" s="181">
        <v>0</v>
      </c>
      <c r="X580" s="181">
        <f t="shared" si="30"/>
        <v>21</v>
      </c>
      <c r="Y580" s="3">
        <v>20</v>
      </c>
      <c r="Z580" s="3" t="s">
        <v>2784</v>
      </c>
      <c r="AA580" s="2" t="s">
        <v>3572</v>
      </c>
      <c r="AB580" s="12"/>
    </row>
    <row r="581" spans="1:30" ht="23.25" hidden="1" customHeight="1">
      <c r="A581" s="281"/>
      <c r="B581" s="3">
        <v>2025</v>
      </c>
      <c r="C581" s="3" t="s">
        <v>42</v>
      </c>
      <c r="D581" s="3" t="s">
        <v>52</v>
      </c>
      <c r="E581" s="3" t="s">
        <v>2184</v>
      </c>
      <c r="F581" s="173" t="s">
        <v>2177</v>
      </c>
      <c r="G581" s="173"/>
      <c r="H581" s="173"/>
      <c r="I581" s="174" t="s">
        <v>33</v>
      </c>
      <c r="K581" s="177" t="s">
        <v>3022</v>
      </c>
      <c r="L581" s="177" t="s">
        <v>2185</v>
      </c>
      <c r="M581" s="1">
        <v>45689</v>
      </c>
      <c r="N581" s="177" t="s">
        <v>2185</v>
      </c>
      <c r="Q581" s="179"/>
      <c r="R581" s="217"/>
      <c r="S581" s="218"/>
      <c r="T581" s="180">
        <v>49</v>
      </c>
      <c r="U581" s="181">
        <v>49</v>
      </c>
      <c r="V581" s="181">
        <v>0</v>
      </c>
      <c r="W581" s="181">
        <v>0</v>
      </c>
      <c r="X581" s="181">
        <v>49</v>
      </c>
      <c r="Y581" s="3"/>
      <c r="Z581" s="3" t="s">
        <v>2780</v>
      </c>
      <c r="AB581" s="288"/>
    </row>
    <row r="582" spans="1:30" ht="23.25" hidden="1" customHeight="1">
      <c r="A582" s="275" t="s">
        <v>2943</v>
      </c>
      <c r="B582" s="3">
        <v>2025</v>
      </c>
      <c r="C582" s="3" t="s">
        <v>42</v>
      </c>
      <c r="D582" s="326" t="s">
        <v>52</v>
      </c>
      <c r="E582" s="3" t="s">
        <v>2187</v>
      </c>
      <c r="F582" s="173" t="s">
        <v>2188</v>
      </c>
      <c r="G582" s="173"/>
      <c r="H582" s="173"/>
      <c r="I582" s="174" t="s">
        <v>44</v>
      </c>
      <c r="J582" s="2" t="s">
        <v>15</v>
      </c>
      <c r="K582" s="177" t="s">
        <v>3041</v>
      </c>
      <c r="L582" s="177" t="s">
        <v>2189</v>
      </c>
      <c r="M582" s="1">
        <v>45691</v>
      </c>
      <c r="N582" s="1">
        <v>45694</v>
      </c>
      <c r="O582" s="3" t="s">
        <v>41</v>
      </c>
      <c r="P582" s="178">
        <v>9067.76</v>
      </c>
      <c r="Q582" s="179"/>
      <c r="R582" s="217">
        <v>4.7</v>
      </c>
      <c r="S582" s="218"/>
      <c r="T582" s="180">
        <v>30</v>
      </c>
      <c r="U582" s="181">
        <v>0</v>
      </c>
      <c r="V582" s="181">
        <v>26</v>
      </c>
      <c r="W582" s="181">
        <v>0</v>
      </c>
      <c r="X582" s="181">
        <f t="shared" ref="X582:X600" si="31">SUM(U582:W582)</f>
        <v>26</v>
      </c>
      <c r="Y582" s="3">
        <v>16</v>
      </c>
      <c r="Z582" s="3" t="s">
        <v>2784</v>
      </c>
      <c r="AA582" s="2" t="s">
        <v>3474</v>
      </c>
      <c r="AB582" s="288"/>
      <c r="AC582" s="327" t="s">
        <v>3573</v>
      </c>
    </row>
    <row r="583" spans="1:30" ht="23.25" hidden="1" customHeight="1">
      <c r="A583" s="273"/>
      <c r="B583" s="3">
        <v>2025</v>
      </c>
      <c r="C583" s="3" t="s">
        <v>46</v>
      </c>
      <c r="D583" s="3" t="s">
        <v>52</v>
      </c>
      <c r="E583" s="3" t="s">
        <v>2191</v>
      </c>
      <c r="F583" s="173" t="s">
        <v>2192</v>
      </c>
      <c r="G583" s="173"/>
      <c r="H583" s="173"/>
      <c r="I583" s="174" t="s">
        <v>33</v>
      </c>
      <c r="J583" s="2" t="s">
        <v>35</v>
      </c>
      <c r="K583" s="177" t="s">
        <v>3022</v>
      </c>
      <c r="L583" s="177" t="s">
        <v>2193</v>
      </c>
      <c r="M583" s="328">
        <v>45691</v>
      </c>
      <c r="N583" s="1">
        <v>45692</v>
      </c>
      <c r="O583" s="3" t="s">
        <v>41</v>
      </c>
      <c r="P583" s="187">
        <v>0</v>
      </c>
      <c r="Q583" s="179"/>
      <c r="R583" s="217">
        <v>4.9000000000000004</v>
      </c>
      <c r="S583" s="218"/>
      <c r="T583" s="180">
        <v>10</v>
      </c>
      <c r="U583" s="181">
        <v>8</v>
      </c>
      <c r="V583" s="181">
        <v>0</v>
      </c>
      <c r="W583" s="181">
        <v>0</v>
      </c>
      <c r="X583" s="181">
        <f t="shared" si="31"/>
        <v>8</v>
      </c>
      <c r="Y583" s="3">
        <v>8</v>
      </c>
      <c r="Z583" s="3" t="s">
        <v>2780</v>
      </c>
      <c r="AA583" s="2" t="s">
        <v>492</v>
      </c>
      <c r="AB583" s="288"/>
    </row>
    <row r="584" spans="1:30" ht="23.25" hidden="1" customHeight="1">
      <c r="A584" s="275" t="s">
        <v>2943</v>
      </c>
      <c r="B584" s="3">
        <v>2025</v>
      </c>
      <c r="C584" s="3" t="s">
        <v>42</v>
      </c>
      <c r="D584" s="3" t="s">
        <v>52</v>
      </c>
      <c r="E584" s="3" t="s">
        <v>2195</v>
      </c>
      <c r="F584" s="173" t="s">
        <v>2196</v>
      </c>
      <c r="G584" s="173"/>
      <c r="H584" s="173"/>
      <c r="I584" s="174" t="s">
        <v>33</v>
      </c>
      <c r="J584" s="2" t="s">
        <v>10</v>
      </c>
      <c r="K584" s="177" t="s">
        <v>3022</v>
      </c>
      <c r="L584" s="3" t="s">
        <v>2197</v>
      </c>
      <c r="M584" s="1">
        <v>45691</v>
      </c>
      <c r="N584" s="1">
        <v>45693</v>
      </c>
      <c r="O584" s="3" t="s">
        <v>41</v>
      </c>
      <c r="P584" s="178">
        <v>9416.4599999999991</v>
      </c>
      <c r="Q584" s="179"/>
      <c r="R584" s="217">
        <v>5</v>
      </c>
      <c r="S584" s="218"/>
      <c r="T584" s="180">
        <v>20</v>
      </c>
      <c r="U584" s="181">
        <v>14</v>
      </c>
      <c r="V584" s="181">
        <v>0</v>
      </c>
      <c r="W584" s="181">
        <v>0</v>
      </c>
      <c r="X584" s="181">
        <f t="shared" si="31"/>
        <v>14</v>
      </c>
      <c r="Y584" s="3">
        <v>12</v>
      </c>
      <c r="Z584" s="3" t="s">
        <v>3574</v>
      </c>
      <c r="AA584" s="2" t="s">
        <v>3525</v>
      </c>
      <c r="AB584" s="288"/>
      <c r="AC584" s="327" t="s">
        <v>3575</v>
      </c>
    </row>
    <row r="585" spans="1:30" ht="23.25" hidden="1" customHeight="1">
      <c r="A585" s="275" t="s">
        <v>2943</v>
      </c>
      <c r="B585" s="3">
        <v>2025</v>
      </c>
      <c r="C585" s="3" t="s">
        <v>42</v>
      </c>
      <c r="D585" s="326" t="s">
        <v>52</v>
      </c>
      <c r="E585" s="3" t="s">
        <v>2199</v>
      </c>
      <c r="F585" s="173" t="s">
        <v>2200</v>
      </c>
      <c r="G585" s="173"/>
      <c r="H585" s="173"/>
      <c r="I585" s="174" t="s">
        <v>48</v>
      </c>
      <c r="J585" s="2" t="s">
        <v>18</v>
      </c>
      <c r="K585" s="177" t="s">
        <v>3041</v>
      </c>
      <c r="L585" s="3" t="s">
        <v>2201</v>
      </c>
      <c r="M585" s="1">
        <v>45691</v>
      </c>
      <c r="N585" s="1">
        <v>45705</v>
      </c>
      <c r="O585" s="3" t="s">
        <v>41</v>
      </c>
      <c r="P585" s="178">
        <v>11334.7</v>
      </c>
      <c r="Q585" s="179"/>
      <c r="R585" s="217">
        <v>4.7</v>
      </c>
      <c r="S585" s="218"/>
      <c r="T585" s="180">
        <v>20</v>
      </c>
      <c r="U585" s="181">
        <v>0</v>
      </c>
      <c r="V585" s="181">
        <v>0</v>
      </c>
      <c r="W585" s="181">
        <v>30</v>
      </c>
      <c r="X585" s="181">
        <f t="shared" si="31"/>
        <v>30</v>
      </c>
      <c r="Y585" s="3">
        <v>20</v>
      </c>
      <c r="Z585" s="3" t="s">
        <v>2784</v>
      </c>
      <c r="AA585" s="2" t="s">
        <v>3481</v>
      </c>
    </row>
    <row r="586" spans="1:30" ht="23.25" hidden="1" customHeight="1">
      <c r="A586" s="273"/>
      <c r="B586" s="3">
        <v>2025</v>
      </c>
      <c r="C586" s="3" t="s">
        <v>42</v>
      </c>
      <c r="D586" s="326" t="s">
        <v>52</v>
      </c>
      <c r="E586" s="3" t="s">
        <v>2203</v>
      </c>
      <c r="F586" s="173" t="s">
        <v>2204</v>
      </c>
      <c r="G586" s="173"/>
      <c r="H586" s="173"/>
      <c r="I586" s="174" t="s">
        <v>33</v>
      </c>
      <c r="J586" s="2" t="s">
        <v>25</v>
      </c>
      <c r="K586" s="177" t="s">
        <v>3022</v>
      </c>
      <c r="L586" s="177" t="s">
        <v>2205</v>
      </c>
      <c r="M586" s="1">
        <v>45694</v>
      </c>
      <c r="N586" s="1">
        <v>45702</v>
      </c>
      <c r="O586" s="3" t="s">
        <v>41</v>
      </c>
      <c r="P586" s="187">
        <v>15277.08</v>
      </c>
      <c r="Q586" s="179"/>
      <c r="R586" s="217">
        <v>5</v>
      </c>
      <c r="S586" s="218"/>
      <c r="T586" s="180">
        <v>11</v>
      </c>
      <c r="U586" s="181">
        <v>11</v>
      </c>
      <c r="V586" s="181">
        <v>0</v>
      </c>
      <c r="W586" s="181">
        <v>0</v>
      </c>
      <c r="X586" s="181">
        <f t="shared" si="31"/>
        <v>11</v>
      </c>
      <c r="Y586" s="3">
        <v>20</v>
      </c>
      <c r="Z586" s="3" t="s">
        <v>2784</v>
      </c>
      <c r="AA586" s="2" t="s">
        <v>3496</v>
      </c>
      <c r="AC586" s="278" t="s">
        <v>3576</v>
      </c>
    </row>
    <row r="587" spans="1:30" ht="23.25" hidden="1" customHeight="1">
      <c r="A587" s="275" t="s">
        <v>2943</v>
      </c>
      <c r="B587" s="3">
        <v>2025</v>
      </c>
      <c r="C587" s="3" t="s">
        <v>42</v>
      </c>
      <c r="D587" s="326" t="s">
        <v>52</v>
      </c>
      <c r="E587" s="3" t="s">
        <v>2207</v>
      </c>
      <c r="F587" s="173" t="s">
        <v>3577</v>
      </c>
      <c r="G587" s="173"/>
      <c r="H587" s="173"/>
      <c r="I587" s="174" t="s">
        <v>33</v>
      </c>
      <c r="J587" s="2" t="s">
        <v>7</v>
      </c>
      <c r="K587" s="177" t="s">
        <v>3022</v>
      </c>
      <c r="L587" s="244" t="s">
        <v>2209</v>
      </c>
      <c r="M587" s="1">
        <v>45698</v>
      </c>
      <c r="N587" s="1">
        <v>45702</v>
      </c>
      <c r="O587" s="3" t="s">
        <v>45</v>
      </c>
      <c r="P587" s="178">
        <f>402.17*12</f>
        <v>4826.04</v>
      </c>
      <c r="Q587" s="179"/>
      <c r="R587" s="217">
        <v>4.8</v>
      </c>
      <c r="S587" s="218"/>
      <c r="T587" s="180">
        <v>40</v>
      </c>
      <c r="U587" s="181">
        <v>43</v>
      </c>
      <c r="V587" s="181">
        <v>0</v>
      </c>
      <c r="W587" s="181">
        <v>0</v>
      </c>
      <c r="X587" s="181">
        <f t="shared" si="31"/>
        <v>43</v>
      </c>
      <c r="Y587" s="3">
        <v>12</v>
      </c>
      <c r="Z587" s="3" t="s">
        <v>2780</v>
      </c>
      <c r="AA587" s="2" t="s">
        <v>1747</v>
      </c>
      <c r="AB587" s="288"/>
    </row>
    <row r="588" spans="1:30" ht="23.25" hidden="1" customHeight="1">
      <c r="A588" s="275" t="s">
        <v>2943</v>
      </c>
      <c r="B588" s="3">
        <v>2025</v>
      </c>
      <c r="C588" s="3" t="s">
        <v>42</v>
      </c>
      <c r="D588" s="326" t="s">
        <v>52</v>
      </c>
      <c r="E588" s="3" t="s">
        <v>2211</v>
      </c>
      <c r="F588" s="173" t="s">
        <v>3578</v>
      </c>
      <c r="G588" s="174" t="s">
        <v>44</v>
      </c>
      <c r="H588" s="2" t="s">
        <v>15</v>
      </c>
      <c r="I588" s="174" t="s">
        <v>44</v>
      </c>
      <c r="J588" s="2" t="s">
        <v>15</v>
      </c>
      <c r="K588" s="177" t="s">
        <v>3022</v>
      </c>
      <c r="L588" s="3" t="s">
        <v>2213</v>
      </c>
      <c r="M588" s="1">
        <v>45699</v>
      </c>
      <c r="N588" s="1">
        <v>45708</v>
      </c>
      <c r="O588" s="3" t="s">
        <v>41</v>
      </c>
      <c r="P588" s="178">
        <v>16717.68</v>
      </c>
      <c r="Q588" s="179"/>
      <c r="R588" s="217">
        <v>4.8</v>
      </c>
      <c r="S588" s="218"/>
      <c r="T588" s="180">
        <v>40</v>
      </c>
      <c r="U588" s="181">
        <v>6</v>
      </c>
      <c r="V588" s="181">
        <v>48</v>
      </c>
      <c r="W588" s="181">
        <v>0</v>
      </c>
      <c r="X588" s="181">
        <f t="shared" si="31"/>
        <v>54</v>
      </c>
      <c r="Y588" s="3">
        <v>20</v>
      </c>
      <c r="Z588" s="3" t="s">
        <v>2780</v>
      </c>
      <c r="AA588" s="2" t="s">
        <v>3464</v>
      </c>
    </row>
    <row r="589" spans="1:30" ht="23.25" hidden="1" customHeight="1">
      <c r="A589" s="281"/>
      <c r="B589" s="3">
        <v>2025</v>
      </c>
      <c r="C589" s="3" t="s">
        <v>46</v>
      </c>
      <c r="D589" s="3" t="s">
        <v>52</v>
      </c>
      <c r="E589" s="3" t="s">
        <v>2215</v>
      </c>
      <c r="F589" s="173" t="s">
        <v>2216</v>
      </c>
      <c r="G589" s="173"/>
      <c r="H589" s="173"/>
      <c r="I589" s="174" t="s">
        <v>33</v>
      </c>
      <c r="J589" s="2" t="s">
        <v>25</v>
      </c>
      <c r="K589" s="177" t="s">
        <v>3022</v>
      </c>
      <c r="L589" s="177" t="s">
        <v>2217</v>
      </c>
      <c r="M589" s="1">
        <v>45706</v>
      </c>
      <c r="N589" s="1">
        <v>45707</v>
      </c>
      <c r="O589" s="3" t="s">
        <v>45</v>
      </c>
      <c r="P589" s="178">
        <v>8954.4</v>
      </c>
      <c r="Q589" s="179"/>
      <c r="R589" s="217">
        <v>5</v>
      </c>
      <c r="S589" s="218"/>
      <c r="T589" s="180">
        <v>3</v>
      </c>
      <c r="U589" s="181">
        <v>3</v>
      </c>
      <c r="V589" s="181">
        <v>0</v>
      </c>
      <c r="W589" s="181">
        <v>0</v>
      </c>
      <c r="X589" s="181">
        <f t="shared" si="31"/>
        <v>3</v>
      </c>
      <c r="Y589" s="3">
        <v>16</v>
      </c>
      <c r="Z589" s="3" t="s">
        <v>2780</v>
      </c>
      <c r="AA589" s="2" t="s">
        <v>1611</v>
      </c>
    </row>
    <row r="590" spans="1:30" ht="23.25" hidden="1" customHeight="1">
      <c r="A590" s="275" t="s">
        <v>2943</v>
      </c>
      <c r="B590" s="3">
        <v>2025</v>
      </c>
      <c r="C590" s="3" t="s">
        <v>42</v>
      </c>
      <c r="D590" s="3" t="s">
        <v>52</v>
      </c>
      <c r="E590" s="3" t="s">
        <v>2219</v>
      </c>
      <c r="F590" s="173" t="s">
        <v>2220</v>
      </c>
      <c r="G590" s="173"/>
      <c r="H590" s="173"/>
      <c r="I590" s="174" t="s">
        <v>33</v>
      </c>
      <c r="J590" s="2" t="s">
        <v>10</v>
      </c>
      <c r="K590" s="177" t="s">
        <v>3022</v>
      </c>
      <c r="L590" s="3" t="s">
        <v>2221</v>
      </c>
      <c r="M590" s="1">
        <v>45706</v>
      </c>
      <c r="N590" s="1">
        <v>45708</v>
      </c>
      <c r="O590" s="3" t="s">
        <v>41</v>
      </c>
      <c r="P590" s="178">
        <v>4533.88</v>
      </c>
      <c r="Q590" s="179"/>
      <c r="R590" s="217">
        <v>4.8</v>
      </c>
      <c r="S590" s="218"/>
      <c r="T590" s="180">
        <v>25</v>
      </c>
      <c r="U590" s="181">
        <v>21</v>
      </c>
      <c r="V590" s="181">
        <v>0</v>
      </c>
      <c r="W590" s="181">
        <v>0</v>
      </c>
      <c r="X590" s="181">
        <f t="shared" si="31"/>
        <v>21</v>
      </c>
      <c r="Y590" s="3">
        <v>8</v>
      </c>
      <c r="Z590" s="21" t="s">
        <v>3574</v>
      </c>
      <c r="AA590" s="2" t="s">
        <v>3547</v>
      </c>
    </row>
    <row r="591" spans="1:30" ht="23.25" hidden="1" customHeight="1">
      <c r="A591" s="275" t="s">
        <v>2943</v>
      </c>
      <c r="B591" s="3">
        <v>2025</v>
      </c>
      <c r="C591" s="3" t="s">
        <v>42</v>
      </c>
      <c r="D591" s="3" t="s">
        <v>52</v>
      </c>
      <c r="E591" s="325" t="s">
        <v>2223</v>
      </c>
      <c r="F591" s="173" t="s">
        <v>2224</v>
      </c>
      <c r="G591" s="173"/>
      <c r="H591" s="173"/>
      <c r="I591" s="174" t="s">
        <v>48</v>
      </c>
      <c r="J591" s="2" t="s">
        <v>18</v>
      </c>
      <c r="K591" s="177" t="s">
        <v>3041</v>
      </c>
      <c r="L591" s="177" t="s">
        <v>2225</v>
      </c>
      <c r="M591" s="1">
        <v>45709</v>
      </c>
      <c r="N591" s="1">
        <v>45709</v>
      </c>
      <c r="O591" s="3" t="s">
        <v>41</v>
      </c>
      <c r="P591" s="178">
        <v>2677.79</v>
      </c>
      <c r="Q591" s="179"/>
      <c r="R591" s="217">
        <v>4.8</v>
      </c>
      <c r="S591" s="218"/>
      <c r="T591" s="180">
        <v>30</v>
      </c>
      <c r="U591" s="181">
        <v>0</v>
      </c>
      <c r="V591" s="181">
        <v>0</v>
      </c>
      <c r="W591" s="181">
        <v>44</v>
      </c>
      <c r="X591" s="181">
        <f t="shared" si="31"/>
        <v>44</v>
      </c>
      <c r="Y591" s="3">
        <v>4</v>
      </c>
      <c r="Z591" s="3" t="s">
        <v>2784</v>
      </c>
      <c r="AA591" s="2" t="s">
        <v>492</v>
      </c>
      <c r="AD591" s="278" t="s">
        <v>3579</v>
      </c>
    </row>
    <row r="592" spans="1:30" ht="23.25" hidden="1" customHeight="1">
      <c r="A592" s="275" t="s">
        <v>2943</v>
      </c>
      <c r="B592" s="3">
        <v>2025</v>
      </c>
      <c r="C592" s="3" t="s">
        <v>42</v>
      </c>
      <c r="D592" s="326" t="s">
        <v>52</v>
      </c>
      <c r="E592" s="3" t="s">
        <v>2227</v>
      </c>
      <c r="F592" s="173" t="s">
        <v>2228</v>
      </c>
      <c r="G592" s="173"/>
      <c r="H592" s="173"/>
      <c r="I592" s="174" t="s">
        <v>44</v>
      </c>
      <c r="J592" s="2" t="s">
        <v>15</v>
      </c>
      <c r="K592" s="177" t="s">
        <v>3041</v>
      </c>
      <c r="L592" s="244" t="s">
        <v>2229</v>
      </c>
      <c r="M592" s="1">
        <v>45712</v>
      </c>
      <c r="N592" s="1">
        <v>45716</v>
      </c>
      <c r="O592" s="3" t="s">
        <v>41</v>
      </c>
      <c r="P592" s="178">
        <v>12813.06</v>
      </c>
      <c r="Q592" s="179"/>
      <c r="R592" s="217">
        <v>4.7</v>
      </c>
      <c r="S592" s="218"/>
      <c r="T592" s="180">
        <v>40</v>
      </c>
      <c r="U592" s="181">
        <v>7</v>
      </c>
      <c r="V592" s="181">
        <v>42</v>
      </c>
      <c r="W592" s="181">
        <v>0</v>
      </c>
      <c r="X592" s="181">
        <f t="shared" si="31"/>
        <v>49</v>
      </c>
      <c r="Y592" s="3">
        <v>20</v>
      </c>
      <c r="Z592" s="3" t="s">
        <v>2780</v>
      </c>
      <c r="AA592" s="2" t="s">
        <v>3572</v>
      </c>
      <c r="AD592" s="329" t="s">
        <v>3580</v>
      </c>
    </row>
    <row r="593" spans="1:30" ht="23.25" hidden="1" customHeight="1">
      <c r="A593" s="275" t="s">
        <v>2943</v>
      </c>
      <c r="B593" s="3">
        <v>2025</v>
      </c>
      <c r="C593" s="3" t="s">
        <v>42</v>
      </c>
      <c r="D593" s="3" t="s">
        <v>52</v>
      </c>
      <c r="E593" s="325" t="s">
        <v>2231</v>
      </c>
      <c r="F593" s="173" t="s">
        <v>2232</v>
      </c>
      <c r="G593" s="173"/>
      <c r="H593" s="173"/>
      <c r="I593" s="174" t="s">
        <v>33</v>
      </c>
      <c r="J593" s="2" t="s">
        <v>25</v>
      </c>
      <c r="K593" s="177" t="s">
        <v>3022</v>
      </c>
      <c r="L593" s="244" t="s">
        <v>2233</v>
      </c>
      <c r="M593" s="1">
        <v>45726</v>
      </c>
      <c r="N593" s="1">
        <v>45728</v>
      </c>
      <c r="O593" s="3" t="s">
        <v>45</v>
      </c>
      <c r="P593" s="178">
        <v>4800</v>
      </c>
      <c r="Q593" s="179"/>
      <c r="R593" s="217">
        <v>4.8</v>
      </c>
      <c r="S593" s="218"/>
      <c r="T593" s="180">
        <v>20</v>
      </c>
      <c r="U593" s="181">
        <v>16</v>
      </c>
      <c r="V593" s="181">
        <v>0</v>
      </c>
      <c r="W593" s="181">
        <v>0</v>
      </c>
      <c r="X593" s="181">
        <f t="shared" si="31"/>
        <v>16</v>
      </c>
      <c r="Y593" s="3">
        <v>16</v>
      </c>
      <c r="Z593" s="3" t="s">
        <v>3574</v>
      </c>
      <c r="AA593" s="2" t="s">
        <v>2234</v>
      </c>
      <c r="AD593" s="274" t="s">
        <v>3581</v>
      </c>
    </row>
    <row r="594" spans="1:30" ht="23.25" hidden="1" customHeight="1">
      <c r="A594" s="273"/>
      <c r="B594" s="3">
        <v>2025</v>
      </c>
      <c r="C594" s="3" t="s">
        <v>42</v>
      </c>
      <c r="D594" s="326" t="s">
        <v>52</v>
      </c>
      <c r="E594" s="3" t="s">
        <v>2236</v>
      </c>
      <c r="F594" s="173" t="s">
        <v>2237</v>
      </c>
      <c r="G594" s="173"/>
      <c r="H594" s="173"/>
      <c r="I594" s="174" t="s">
        <v>33</v>
      </c>
      <c r="J594" s="2" t="s">
        <v>10</v>
      </c>
      <c r="K594" s="177" t="s">
        <v>3022</v>
      </c>
      <c r="L594" s="330" t="s">
        <v>3582</v>
      </c>
      <c r="M594" s="1">
        <v>45727</v>
      </c>
      <c r="N594" s="1">
        <v>45751</v>
      </c>
      <c r="O594" s="3" t="s">
        <v>45</v>
      </c>
      <c r="P594" s="187">
        <v>32000</v>
      </c>
      <c r="Q594" s="179"/>
      <c r="R594" s="217">
        <v>4.7</v>
      </c>
      <c r="S594" s="218"/>
      <c r="T594" s="180">
        <v>30</v>
      </c>
      <c r="U594" s="181">
        <v>27</v>
      </c>
      <c r="V594" s="181">
        <v>0</v>
      </c>
      <c r="W594" s="181">
        <v>0</v>
      </c>
      <c r="X594" s="181">
        <f t="shared" si="31"/>
        <v>27</v>
      </c>
      <c r="Y594" s="3">
        <v>40</v>
      </c>
      <c r="Z594" s="3" t="s">
        <v>2780</v>
      </c>
      <c r="AA594" s="2" t="s">
        <v>2239</v>
      </c>
      <c r="AD594" s="327"/>
    </row>
    <row r="595" spans="1:30" ht="23.25" hidden="1" customHeight="1">
      <c r="A595" s="275"/>
      <c r="B595" s="3">
        <v>2025</v>
      </c>
      <c r="C595" s="3" t="s">
        <v>42</v>
      </c>
      <c r="D595" s="3" t="s">
        <v>52</v>
      </c>
      <c r="E595" s="3" t="s">
        <v>2241</v>
      </c>
      <c r="F595" s="173" t="s">
        <v>2242</v>
      </c>
      <c r="G595" s="173"/>
      <c r="H595" s="173"/>
      <c r="I595" s="174" t="s">
        <v>48</v>
      </c>
      <c r="J595" s="2" t="s">
        <v>18</v>
      </c>
      <c r="K595" s="177" t="s">
        <v>3041</v>
      </c>
      <c r="L595" s="177" t="s">
        <v>2243</v>
      </c>
      <c r="M595" s="1">
        <v>45727</v>
      </c>
      <c r="N595" s="1" t="s">
        <v>2243</v>
      </c>
      <c r="O595" s="3" t="s">
        <v>49</v>
      </c>
      <c r="P595" s="178">
        <v>0</v>
      </c>
      <c r="Q595" s="179"/>
      <c r="R595" s="217">
        <v>5</v>
      </c>
      <c r="S595" s="218"/>
      <c r="T595" s="180">
        <v>170</v>
      </c>
      <c r="U595" s="181">
        <v>29</v>
      </c>
      <c r="V595" s="181">
        <v>25</v>
      </c>
      <c r="W595" s="181">
        <v>60</v>
      </c>
      <c r="X595" s="181">
        <f t="shared" si="31"/>
        <v>114</v>
      </c>
      <c r="Y595" s="3">
        <v>2</v>
      </c>
      <c r="Z595" s="3" t="s">
        <v>2784</v>
      </c>
      <c r="AA595" s="2" t="s">
        <v>492</v>
      </c>
      <c r="AD595" s="327" t="s">
        <v>3583</v>
      </c>
    </row>
    <row r="596" spans="1:30" ht="23.25" hidden="1" customHeight="1">
      <c r="A596" s="275" t="s">
        <v>2943</v>
      </c>
      <c r="B596" s="3">
        <v>2025</v>
      </c>
      <c r="C596" s="3" t="s">
        <v>42</v>
      </c>
      <c r="D596" s="3" t="s">
        <v>52</v>
      </c>
      <c r="E596" s="3" t="s">
        <v>2219</v>
      </c>
      <c r="F596" s="173" t="s">
        <v>2245</v>
      </c>
      <c r="G596" s="173"/>
      <c r="H596" s="173"/>
      <c r="I596" s="174" t="s">
        <v>44</v>
      </c>
      <c r="J596" s="2" t="s">
        <v>15</v>
      </c>
      <c r="K596" s="177" t="s">
        <v>3041</v>
      </c>
      <c r="L596" s="2" t="s">
        <v>2246</v>
      </c>
      <c r="M596" s="1">
        <v>45729</v>
      </c>
      <c r="N596" s="1">
        <v>45730</v>
      </c>
      <c r="O596" s="3" t="s">
        <v>41</v>
      </c>
      <c r="P596" s="178">
        <v>4533.88</v>
      </c>
      <c r="Q596" s="179"/>
      <c r="R596" s="217">
        <v>4.8</v>
      </c>
      <c r="S596" s="218"/>
      <c r="T596" s="180">
        <v>25</v>
      </c>
      <c r="U596" s="181">
        <v>11</v>
      </c>
      <c r="V596" s="181">
        <v>12</v>
      </c>
      <c r="W596" s="181">
        <v>1</v>
      </c>
      <c r="X596" s="181">
        <f t="shared" si="31"/>
        <v>24</v>
      </c>
      <c r="Y596" s="3">
        <v>8</v>
      </c>
      <c r="Z596" s="287" t="s">
        <v>3574</v>
      </c>
      <c r="AA596" s="2" t="s">
        <v>3547</v>
      </c>
      <c r="AD596" s="277" t="s">
        <v>3584</v>
      </c>
    </row>
    <row r="597" spans="1:30" ht="23.25" hidden="1" customHeight="1">
      <c r="A597" s="275" t="s">
        <v>2943</v>
      </c>
      <c r="B597" s="3">
        <v>2025</v>
      </c>
      <c r="C597" s="3" t="s">
        <v>42</v>
      </c>
      <c r="D597" s="326" t="s">
        <v>52</v>
      </c>
      <c r="E597" s="3" t="s">
        <v>2248</v>
      </c>
      <c r="F597" s="173" t="s">
        <v>2249</v>
      </c>
      <c r="G597" s="173"/>
      <c r="H597" s="173"/>
      <c r="I597" s="174" t="s">
        <v>33</v>
      </c>
      <c r="J597" s="2" t="s">
        <v>22</v>
      </c>
      <c r="K597" s="177" t="s">
        <v>3022</v>
      </c>
      <c r="L597" s="2" t="s">
        <v>2250</v>
      </c>
      <c r="M597" s="1">
        <v>45733</v>
      </c>
      <c r="N597" s="1">
        <v>45737</v>
      </c>
      <c r="O597" s="3" t="s">
        <v>41</v>
      </c>
      <c r="P597" s="178">
        <v>12813.06</v>
      </c>
      <c r="Q597" s="179"/>
      <c r="R597" s="217">
        <v>4.8</v>
      </c>
      <c r="S597" s="218"/>
      <c r="T597" s="180">
        <v>20</v>
      </c>
      <c r="U597" s="181">
        <v>21</v>
      </c>
      <c r="V597" s="181">
        <v>0</v>
      </c>
      <c r="W597" s="181">
        <v>0</v>
      </c>
      <c r="X597" s="181">
        <f t="shared" si="31"/>
        <v>21</v>
      </c>
      <c r="Y597" s="3">
        <v>20</v>
      </c>
      <c r="Z597" s="3" t="s">
        <v>2780</v>
      </c>
      <c r="AA597" s="2" t="s">
        <v>3543</v>
      </c>
      <c r="AD597" s="274" t="s">
        <v>3585</v>
      </c>
    </row>
    <row r="598" spans="1:30" ht="23.25" hidden="1" customHeight="1">
      <c r="A598" s="275" t="s">
        <v>2943</v>
      </c>
      <c r="B598" s="3">
        <v>2025</v>
      </c>
      <c r="C598" s="3" t="s">
        <v>42</v>
      </c>
      <c r="D598" s="326" t="s">
        <v>52</v>
      </c>
      <c r="E598" s="3" t="s">
        <v>2252</v>
      </c>
      <c r="F598" s="173" t="s">
        <v>2253</v>
      </c>
      <c r="G598" s="173"/>
      <c r="H598" s="173"/>
      <c r="I598" s="174" t="s">
        <v>48</v>
      </c>
      <c r="J598" s="2" t="s">
        <v>18</v>
      </c>
      <c r="K598" s="177" t="s">
        <v>51</v>
      </c>
      <c r="L598" s="177" t="s">
        <v>2254</v>
      </c>
      <c r="M598" s="1">
        <v>45733</v>
      </c>
      <c r="N598" s="1">
        <v>45737</v>
      </c>
      <c r="O598" s="3" t="s">
        <v>49</v>
      </c>
      <c r="P598" s="178">
        <f>4708.23+830.87</f>
        <v>5539.0999999999995</v>
      </c>
      <c r="Q598" s="179"/>
      <c r="R598" s="217">
        <v>4.8</v>
      </c>
      <c r="S598" s="218"/>
      <c r="T598" s="180">
        <v>30</v>
      </c>
      <c r="U598" s="181">
        <v>0</v>
      </c>
      <c r="V598" s="181">
        <v>0</v>
      </c>
      <c r="W598" s="181">
        <v>38</v>
      </c>
      <c r="X598" s="181">
        <f t="shared" si="31"/>
        <v>38</v>
      </c>
      <c r="Y598" s="3">
        <v>12</v>
      </c>
      <c r="Z598" s="3" t="s">
        <v>2784</v>
      </c>
      <c r="AA598" s="2" t="s">
        <v>3586</v>
      </c>
      <c r="AD598" s="278" t="s">
        <v>3587</v>
      </c>
    </row>
    <row r="599" spans="1:30" ht="23.25" hidden="1" customHeight="1">
      <c r="A599" s="281"/>
      <c r="B599" s="3">
        <v>2025</v>
      </c>
      <c r="C599" s="3" t="s">
        <v>46</v>
      </c>
      <c r="D599" s="3" t="s">
        <v>52</v>
      </c>
      <c r="E599" s="3" t="s">
        <v>2830</v>
      </c>
      <c r="F599" s="173" t="s">
        <v>2256</v>
      </c>
      <c r="G599" s="173"/>
      <c r="H599" s="173"/>
      <c r="I599" s="174" t="s">
        <v>48</v>
      </c>
      <c r="J599" s="2" t="s">
        <v>18</v>
      </c>
      <c r="K599" s="177" t="s">
        <v>3041</v>
      </c>
      <c r="L599" s="177" t="s">
        <v>2257</v>
      </c>
      <c r="M599" s="1">
        <v>45736</v>
      </c>
      <c r="N599" s="1">
        <v>45737</v>
      </c>
      <c r="O599" s="3" t="s">
        <v>45</v>
      </c>
      <c r="P599" s="178">
        <v>0</v>
      </c>
      <c r="Q599" s="179"/>
      <c r="R599" s="217">
        <v>4.9000000000000004</v>
      </c>
      <c r="S599" s="218"/>
      <c r="T599" s="180">
        <v>170</v>
      </c>
      <c r="U599" s="181">
        <v>0</v>
      </c>
      <c r="V599" s="181">
        <v>0</v>
      </c>
      <c r="W599" s="181">
        <v>97</v>
      </c>
      <c r="X599" s="181">
        <f t="shared" si="31"/>
        <v>97</v>
      </c>
      <c r="Y599" s="3">
        <v>16</v>
      </c>
      <c r="Z599" s="3" t="s">
        <v>2784</v>
      </c>
      <c r="AA599" s="2" t="s">
        <v>2258</v>
      </c>
    </row>
    <row r="600" spans="1:30" ht="23.25" hidden="1" customHeight="1">
      <c r="A600" s="275" t="s">
        <v>2943</v>
      </c>
      <c r="B600" s="3">
        <v>2025</v>
      </c>
      <c r="C600" s="3" t="s">
        <v>42</v>
      </c>
      <c r="D600" s="3" t="s">
        <v>52</v>
      </c>
      <c r="E600" s="3" t="s">
        <v>2260</v>
      </c>
      <c r="F600" s="173" t="s">
        <v>2261</v>
      </c>
      <c r="G600" s="173"/>
      <c r="H600" s="173"/>
      <c r="I600" s="174" t="s">
        <v>48</v>
      </c>
      <c r="J600" s="2" t="s">
        <v>18</v>
      </c>
      <c r="K600" s="177" t="s">
        <v>51</v>
      </c>
      <c r="L600" s="177" t="s">
        <v>2262</v>
      </c>
      <c r="M600" s="1">
        <v>45740</v>
      </c>
      <c r="N600" s="1">
        <v>45744</v>
      </c>
      <c r="O600" s="3" t="s">
        <v>49</v>
      </c>
      <c r="P600" s="178">
        <f>4708.23+830.87</f>
        <v>5539.0999999999995</v>
      </c>
      <c r="Q600" s="179"/>
      <c r="R600" s="217">
        <v>4.7</v>
      </c>
      <c r="S600" s="218"/>
      <c r="T600" s="180">
        <v>30</v>
      </c>
      <c r="U600" s="181">
        <v>0</v>
      </c>
      <c r="V600" s="181">
        <v>0</v>
      </c>
      <c r="W600" s="181">
        <v>38</v>
      </c>
      <c r="X600" s="181">
        <f t="shared" si="31"/>
        <v>38</v>
      </c>
      <c r="Y600" s="3">
        <v>12</v>
      </c>
      <c r="Z600" s="3" t="s">
        <v>2784</v>
      </c>
      <c r="AA600" s="2" t="s">
        <v>3586</v>
      </c>
    </row>
    <row r="601" spans="1:30" ht="23.25" hidden="1" customHeight="1">
      <c r="A601" s="275" t="s">
        <v>2943</v>
      </c>
      <c r="B601" s="3">
        <v>2025</v>
      </c>
      <c r="C601" s="3" t="s">
        <v>42</v>
      </c>
      <c r="D601" s="3" t="s">
        <v>50</v>
      </c>
      <c r="E601" s="3" t="s">
        <v>3588</v>
      </c>
      <c r="F601" s="173" t="s">
        <v>3589</v>
      </c>
      <c r="G601" s="173"/>
      <c r="H601" s="173"/>
      <c r="I601" s="174" t="s">
        <v>33</v>
      </c>
      <c r="J601" s="2" t="s">
        <v>25</v>
      </c>
      <c r="K601" s="177" t="s">
        <v>3022</v>
      </c>
      <c r="L601" s="177" t="s">
        <v>3590</v>
      </c>
      <c r="M601" s="1">
        <v>45741</v>
      </c>
      <c r="N601" s="1">
        <v>45741</v>
      </c>
      <c r="O601" s="3" t="s">
        <v>41</v>
      </c>
      <c r="Q601" s="179"/>
      <c r="R601" s="217"/>
      <c r="S601" s="218"/>
      <c r="T601" s="180">
        <v>170</v>
      </c>
      <c r="U601" s="181"/>
      <c r="V601" s="181"/>
      <c r="W601" s="181"/>
      <c r="X601" s="181"/>
      <c r="Y601" s="3">
        <v>2</v>
      </c>
      <c r="Z601" s="3" t="s">
        <v>3574</v>
      </c>
      <c r="AA601" s="2" t="s">
        <v>3591</v>
      </c>
    </row>
    <row r="602" spans="1:30" ht="23.25" hidden="1" customHeight="1">
      <c r="A602" s="281"/>
      <c r="B602" s="3">
        <v>2025</v>
      </c>
      <c r="C602" s="3" t="s">
        <v>42</v>
      </c>
      <c r="D602" s="326" t="s">
        <v>52</v>
      </c>
      <c r="E602" s="3" t="s">
        <v>2264</v>
      </c>
      <c r="F602" s="173" t="s">
        <v>2265</v>
      </c>
      <c r="G602" s="174" t="s">
        <v>33</v>
      </c>
      <c r="H602" s="2" t="s">
        <v>35</v>
      </c>
      <c r="I602" s="174" t="s">
        <v>33</v>
      </c>
      <c r="J602" s="2" t="s">
        <v>35</v>
      </c>
      <c r="K602" s="177" t="s">
        <v>3022</v>
      </c>
      <c r="L602" s="177" t="s">
        <v>2266</v>
      </c>
      <c r="M602" s="1">
        <v>45743</v>
      </c>
      <c r="N602" s="1">
        <v>45744</v>
      </c>
      <c r="O602" s="3" t="s">
        <v>41</v>
      </c>
      <c r="P602" s="178">
        <v>0</v>
      </c>
      <c r="Q602" s="179"/>
      <c r="R602" s="217">
        <v>5</v>
      </c>
      <c r="S602" s="218"/>
      <c r="T602" s="180">
        <v>12</v>
      </c>
      <c r="U602" s="181">
        <v>8</v>
      </c>
      <c r="V602" s="181">
        <v>0</v>
      </c>
      <c r="W602" s="181">
        <v>0</v>
      </c>
      <c r="X602" s="181">
        <f>SUM(U602:W602)</f>
        <v>8</v>
      </c>
      <c r="Y602" s="3">
        <v>8</v>
      </c>
      <c r="Z602" s="3" t="s">
        <v>2780</v>
      </c>
      <c r="AA602" s="2" t="s">
        <v>492</v>
      </c>
    </row>
    <row r="603" spans="1:30" ht="23.25" hidden="1" customHeight="1">
      <c r="A603" s="275" t="s">
        <v>2943</v>
      </c>
      <c r="B603" s="3">
        <v>2025</v>
      </c>
      <c r="C603" s="3" t="s">
        <v>42</v>
      </c>
      <c r="D603" s="326" t="s">
        <v>52</v>
      </c>
      <c r="E603" s="3" t="s">
        <v>2180</v>
      </c>
      <c r="F603" s="173" t="s">
        <v>1334</v>
      </c>
      <c r="G603" s="173"/>
      <c r="H603" s="173"/>
      <c r="I603" s="174" t="s">
        <v>44</v>
      </c>
      <c r="J603" s="2" t="s">
        <v>15</v>
      </c>
      <c r="K603" s="177" t="s">
        <v>3041</v>
      </c>
      <c r="L603" s="177" t="s">
        <v>2268</v>
      </c>
      <c r="M603" s="1">
        <v>45747</v>
      </c>
      <c r="N603" s="1">
        <v>45751</v>
      </c>
      <c r="O603" s="3" t="s">
        <v>41</v>
      </c>
      <c r="P603" s="178">
        <v>12813.06</v>
      </c>
      <c r="Q603" s="179"/>
      <c r="R603" s="217">
        <v>4.5999999999999996</v>
      </c>
      <c r="S603" s="218"/>
      <c r="T603" s="180">
        <v>20</v>
      </c>
      <c r="U603" s="181">
        <v>1</v>
      </c>
      <c r="V603" s="181">
        <v>22</v>
      </c>
      <c r="W603" s="181">
        <v>0</v>
      </c>
      <c r="X603" s="181">
        <f>SUM(U603:W603)</f>
        <v>23</v>
      </c>
      <c r="Y603" s="3">
        <v>20</v>
      </c>
      <c r="Z603" s="3" t="s">
        <v>2784</v>
      </c>
      <c r="AA603" s="2" t="s">
        <v>3572</v>
      </c>
      <c r="AD603" s="331" t="s">
        <v>3592</v>
      </c>
    </row>
    <row r="604" spans="1:30" ht="23.25" hidden="1" customHeight="1">
      <c r="A604" s="281"/>
      <c r="B604" s="3">
        <v>2025</v>
      </c>
      <c r="C604" s="3" t="s">
        <v>42</v>
      </c>
      <c r="D604" s="326" t="s">
        <v>52</v>
      </c>
      <c r="E604" s="3" t="s">
        <v>2270</v>
      </c>
      <c r="F604" s="173" t="s">
        <v>2271</v>
      </c>
      <c r="G604" s="173"/>
      <c r="H604" s="173"/>
      <c r="I604" s="174" t="s">
        <v>33</v>
      </c>
      <c r="J604" s="2" t="s">
        <v>10</v>
      </c>
      <c r="K604" s="177" t="s">
        <v>3022</v>
      </c>
      <c r="L604" s="177" t="s">
        <v>2272</v>
      </c>
      <c r="M604" s="1">
        <v>45748</v>
      </c>
      <c r="N604" s="1">
        <v>45758</v>
      </c>
      <c r="O604" s="3" t="s">
        <v>41</v>
      </c>
      <c r="P604" s="178">
        <v>13374.14</v>
      </c>
      <c r="Q604" s="179"/>
      <c r="R604" s="217">
        <v>4.8</v>
      </c>
      <c r="S604" s="218"/>
      <c r="T604" s="180">
        <v>20</v>
      </c>
      <c r="U604" s="181">
        <v>20</v>
      </c>
      <c r="V604" s="181">
        <v>0</v>
      </c>
      <c r="W604" s="181">
        <v>0</v>
      </c>
      <c r="X604" s="181">
        <f>SUM(U604:W604)</f>
        <v>20</v>
      </c>
      <c r="Y604" s="3">
        <v>16</v>
      </c>
      <c r="Z604" s="3" t="s">
        <v>2780</v>
      </c>
      <c r="AA604" s="2" t="s">
        <v>2273</v>
      </c>
      <c r="AD604" s="274" t="s">
        <v>3593</v>
      </c>
    </row>
    <row r="605" spans="1:30" ht="23.25" hidden="1" customHeight="1">
      <c r="A605" s="281"/>
      <c r="B605" s="3">
        <v>2025</v>
      </c>
      <c r="C605" s="3" t="s">
        <v>46</v>
      </c>
      <c r="D605" s="3" t="s">
        <v>52</v>
      </c>
      <c r="E605" s="3" t="s">
        <v>2275</v>
      </c>
      <c r="F605" s="173" t="s">
        <v>2276</v>
      </c>
      <c r="G605" s="174" t="s">
        <v>33</v>
      </c>
      <c r="H605" s="2" t="s">
        <v>25</v>
      </c>
      <c r="I605" s="174" t="s">
        <v>33</v>
      </c>
      <c r="J605" s="2" t="s">
        <v>25</v>
      </c>
      <c r="K605" s="177" t="s">
        <v>3022</v>
      </c>
      <c r="L605" s="177" t="s">
        <v>3594</v>
      </c>
      <c r="M605" s="1">
        <v>45748</v>
      </c>
      <c r="N605" s="1">
        <v>45870</v>
      </c>
      <c r="O605" s="3" t="s">
        <v>45</v>
      </c>
      <c r="P605" s="178">
        <v>40716</v>
      </c>
      <c r="Q605" s="179"/>
      <c r="R605" s="217">
        <v>5</v>
      </c>
      <c r="S605" s="218"/>
      <c r="T605" s="180">
        <v>13</v>
      </c>
      <c r="U605" s="181">
        <v>13</v>
      </c>
      <c r="V605" s="181">
        <v>0</v>
      </c>
      <c r="W605" s="181">
        <v>0</v>
      </c>
      <c r="X605" s="181">
        <f>SUM(U605:W605)</f>
        <v>13</v>
      </c>
      <c r="Y605" s="3">
        <v>16</v>
      </c>
      <c r="Z605" s="3" t="s">
        <v>2772</v>
      </c>
      <c r="AA605" s="2" t="s">
        <v>2278</v>
      </c>
    </row>
    <row r="606" spans="1:30" ht="23.25" hidden="1" customHeight="1">
      <c r="A606" s="281"/>
      <c r="B606" s="3">
        <v>2025</v>
      </c>
      <c r="C606" s="281" t="s">
        <v>42</v>
      </c>
      <c r="D606" s="3" t="s">
        <v>52</v>
      </c>
      <c r="E606" s="3" t="s">
        <v>2280</v>
      </c>
      <c r="F606" s="173" t="s">
        <v>2281</v>
      </c>
      <c r="G606" s="173"/>
      <c r="H606" s="173"/>
      <c r="I606" s="174" t="s">
        <v>44</v>
      </c>
      <c r="J606" s="2" t="s">
        <v>15</v>
      </c>
      <c r="K606" s="177" t="s">
        <v>3041</v>
      </c>
      <c r="L606" s="177" t="s">
        <v>2282</v>
      </c>
      <c r="M606" s="1">
        <v>45750</v>
      </c>
      <c r="N606" s="1">
        <v>45751</v>
      </c>
      <c r="O606" s="3" t="s">
        <v>49</v>
      </c>
      <c r="P606" s="178">
        <v>0</v>
      </c>
      <c r="Q606" s="179"/>
      <c r="R606" s="217">
        <v>4.9000000000000004</v>
      </c>
      <c r="S606" s="218"/>
      <c r="T606" s="180">
        <v>170</v>
      </c>
      <c r="U606" s="181">
        <v>20</v>
      </c>
      <c r="V606" s="181">
        <v>151</v>
      </c>
      <c r="W606" s="181">
        <v>79</v>
      </c>
      <c r="X606" s="181">
        <f>SUM(U606:W606)</f>
        <v>250</v>
      </c>
      <c r="Y606" s="3">
        <v>12</v>
      </c>
      <c r="Z606" s="3" t="s">
        <v>2784</v>
      </c>
      <c r="AA606" s="2" t="s">
        <v>492</v>
      </c>
    </row>
    <row r="607" spans="1:30" ht="23.25" hidden="1" customHeight="1">
      <c r="A607" s="281"/>
      <c r="B607" s="3">
        <v>2025</v>
      </c>
      <c r="C607" s="3" t="s">
        <v>42</v>
      </c>
      <c r="D607" s="3" t="s">
        <v>50</v>
      </c>
      <c r="E607" s="3" t="s">
        <v>3595</v>
      </c>
      <c r="F607" s="173" t="s">
        <v>3596</v>
      </c>
      <c r="G607" s="173"/>
      <c r="H607" s="173"/>
      <c r="I607" s="174" t="s">
        <v>33</v>
      </c>
      <c r="J607" s="2" t="s">
        <v>25</v>
      </c>
      <c r="K607" s="177" t="s">
        <v>3022</v>
      </c>
      <c r="L607" s="177" t="s">
        <v>3597</v>
      </c>
      <c r="M607" s="1">
        <v>45754</v>
      </c>
      <c r="N607" s="1">
        <v>45758</v>
      </c>
      <c r="O607" s="3" t="s">
        <v>41</v>
      </c>
      <c r="Q607" s="179"/>
      <c r="R607" s="217"/>
      <c r="S607" s="218"/>
      <c r="T607" s="180">
        <v>20</v>
      </c>
      <c r="U607" s="181"/>
      <c r="V607" s="181"/>
      <c r="W607" s="181"/>
      <c r="X607" s="181"/>
      <c r="Y607" s="3">
        <v>16</v>
      </c>
      <c r="Z607" s="3"/>
      <c r="AA607" s="2" t="s">
        <v>3598</v>
      </c>
    </row>
    <row r="608" spans="1:30" ht="23.25" hidden="1" customHeight="1">
      <c r="A608" s="281"/>
      <c r="B608" s="3">
        <v>2025</v>
      </c>
      <c r="C608" s="281" t="s">
        <v>42</v>
      </c>
      <c r="D608" s="3" t="s">
        <v>52</v>
      </c>
      <c r="E608" s="3" t="s">
        <v>2284</v>
      </c>
      <c r="F608" s="173" t="s">
        <v>2141</v>
      </c>
      <c r="G608" s="173"/>
      <c r="H608" s="173"/>
      <c r="I608" s="174" t="s">
        <v>44</v>
      </c>
      <c r="J608" s="2" t="s">
        <v>15</v>
      </c>
      <c r="K608" s="177" t="s">
        <v>3041</v>
      </c>
      <c r="L608" s="177" t="s">
        <v>2285</v>
      </c>
      <c r="M608" s="1">
        <v>45754</v>
      </c>
      <c r="N608" s="1">
        <v>45757</v>
      </c>
      <c r="O608" s="3" t="s">
        <v>41</v>
      </c>
      <c r="P608" s="178">
        <v>9067.76</v>
      </c>
      <c r="Q608" s="179"/>
      <c r="R608" s="217">
        <v>5</v>
      </c>
      <c r="S608" s="218"/>
      <c r="T608" s="180">
        <v>30</v>
      </c>
      <c r="U608" s="181">
        <v>0</v>
      </c>
      <c r="V608" s="181">
        <v>32</v>
      </c>
      <c r="W608" s="181">
        <v>0</v>
      </c>
      <c r="X608" s="181">
        <f>SUM(U608:W608)</f>
        <v>32</v>
      </c>
      <c r="Y608" s="3">
        <v>16</v>
      </c>
      <c r="Z608" s="3" t="s">
        <v>2784</v>
      </c>
      <c r="AA608" s="2" t="s">
        <v>3474</v>
      </c>
      <c r="AD608" s="331" t="s">
        <v>3599</v>
      </c>
    </row>
    <row r="609" spans="1:32" ht="23.25" hidden="1" customHeight="1">
      <c r="A609" s="332"/>
      <c r="B609" s="3">
        <v>2025</v>
      </c>
      <c r="C609" s="281" t="s">
        <v>42</v>
      </c>
      <c r="D609" s="3" t="s">
        <v>52</v>
      </c>
      <c r="E609" s="3" t="s">
        <v>2287</v>
      </c>
      <c r="F609" s="173" t="s">
        <v>2288</v>
      </c>
      <c r="G609" s="173"/>
      <c r="H609" s="173"/>
      <c r="I609" s="174" t="s">
        <v>44</v>
      </c>
      <c r="J609" s="2" t="s">
        <v>15</v>
      </c>
      <c r="K609" s="177" t="s">
        <v>3041</v>
      </c>
      <c r="L609" s="330" t="s">
        <v>2289</v>
      </c>
      <c r="M609" s="1">
        <v>45757</v>
      </c>
      <c r="N609" s="1">
        <v>45762</v>
      </c>
      <c r="O609" s="3" t="s">
        <v>45</v>
      </c>
      <c r="P609" s="178">
        <v>10400</v>
      </c>
      <c r="Q609" s="179"/>
      <c r="R609" s="217">
        <v>4.9000000000000004</v>
      </c>
      <c r="S609" s="218"/>
      <c r="T609" s="180">
        <v>40</v>
      </c>
      <c r="U609" s="181">
        <v>4</v>
      </c>
      <c r="V609" s="181">
        <v>37</v>
      </c>
      <c r="W609" s="181">
        <v>0</v>
      </c>
      <c r="X609" s="181">
        <f>SUM(U609:W609)</f>
        <v>41</v>
      </c>
      <c r="Y609" s="3">
        <v>16</v>
      </c>
      <c r="Z609" s="3" t="s">
        <v>2780</v>
      </c>
      <c r="AA609" s="2" t="s">
        <v>2018</v>
      </c>
      <c r="AB609" s="288"/>
      <c r="AD609" s="333" t="s">
        <v>3600</v>
      </c>
    </row>
    <row r="610" spans="1:32" ht="23.25" hidden="1" customHeight="1">
      <c r="A610" s="281"/>
      <c r="B610" s="3">
        <v>2025</v>
      </c>
      <c r="C610" s="3" t="s">
        <v>42</v>
      </c>
      <c r="D610" s="3" t="s">
        <v>52</v>
      </c>
      <c r="E610" s="3" t="s">
        <v>2291</v>
      </c>
      <c r="F610" s="173" t="s">
        <v>2292</v>
      </c>
      <c r="G610" s="173"/>
      <c r="H610" s="173"/>
      <c r="I610" s="174" t="s">
        <v>33</v>
      </c>
      <c r="J610" s="2" t="s">
        <v>22</v>
      </c>
      <c r="K610" s="177" t="s">
        <v>3022</v>
      </c>
      <c r="L610" s="177" t="s">
        <v>2293</v>
      </c>
      <c r="M610" s="1">
        <v>45757</v>
      </c>
      <c r="N610" s="1">
        <v>45757</v>
      </c>
      <c r="O610" s="3" t="s">
        <v>45</v>
      </c>
      <c r="P610" s="178">
        <v>0</v>
      </c>
      <c r="Q610" s="179"/>
      <c r="R610" s="217">
        <v>4.5999999999999996</v>
      </c>
      <c r="S610" s="218"/>
      <c r="T610" s="180">
        <v>75</v>
      </c>
      <c r="U610" s="181">
        <v>75</v>
      </c>
      <c r="V610" s="181">
        <v>0</v>
      </c>
      <c r="W610" s="181">
        <v>0</v>
      </c>
      <c r="X610" s="181">
        <f>SUM(U610:W610)</f>
        <v>75</v>
      </c>
      <c r="Y610" s="3">
        <v>2</v>
      </c>
      <c r="Z610" s="3" t="s">
        <v>3574</v>
      </c>
      <c r="AA610" s="2" t="s">
        <v>2294</v>
      </c>
    </row>
    <row r="611" spans="1:32" ht="23.25" hidden="1" customHeight="1">
      <c r="A611" s="281"/>
      <c r="B611" s="3">
        <v>2025</v>
      </c>
      <c r="C611" s="3" t="s">
        <v>42</v>
      </c>
      <c r="D611" s="326" t="s">
        <v>52</v>
      </c>
      <c r="E611" s="3" t="s">
        <v>2296</v>
      </c>
      <c r="F611" s="173" t="s">
        <v>2297</v>
      </c>
      <c r="G611" s="173"/>
      <c r="H611" s="173"/>
      <c r="I611" s="174" t="s">
        <v>51</v>
      </c>
      <c r="J611" s="2" t="s">
        <v>22</v>
      </c>
      <c r="K611" s="177" t="s">
        <v>3041</v>
      </c>
      <c r="L611" s="177" t="s">
        <v>2298</v>
      </c>
      <c r="M611" s="1">
        <v>45758</v>
      </c>
      <c r="N611" s="1">
        <v>45758</v>
      </c>
      <c r="O611" s="3" t="s">
        <v>45</v>
      </c>
      <c r="P611" s="178">
        <v>0</v>
      </c>
      <c r="Q611" s="179"/>
      <c r="R611" s="217"/>
      <c r="S611" s="218"/>
      <c r="T611" s="180">
        <v>150</v>
      </c>
      <c r="U611" s="181">
        <v>0</v>
      </c>
      <c r="V611" s="181">
        <v>100</v>
      </c>
      <c r="W611" s="181">
        <v>0</v>
      </c>
      <c r="X611" s="181">
        <v>100</v>
      </c>
      <c r="Y611" s="3">
        <v>1</v>
      </c>
      <c r="Z611" s="3" t="s">
        <v>2772</v>
      </c>
      <c r="AA611" s="2" t="s">
        <v>2299</v>
      </c>
      <c r="AD611" s="334"/>
    </row>
    <row r="612" spans="1:32" ht="23.25" hidden="1" customHeight="1">
      <c r="A612" s="275" t="s">
        <v>2943</v>
      </c>
      <c r="B612" s="3">
        <v>2025</v>
      </c>
      <c r="C612" s="3" t="s">
        <v>42</v>
      </c>
      <c r="D612" s="3" t="s">
        <v>52</v>
      </c>
      <c r="E612" s="3" t="s">
        <v>2231</v>
      </c>
      <c r="F612" s="173" t="s">
        <v>2301</v>
      </c>
      <c r="G612" s="173"/>
      <c r="H612" s="173"/>
      <c r="I612" s="174" t="s">
        <v>33</v>
      </c>
      <c r="J612" s="2" t="s">
        <v>25</v>
      </c>
      <c r="K612" s="177" t="s">
        <v>3022</v>
      </c>
      <c r="L612" s="244" t="s">
        <v>2302</v>
      </c>
      <c r="M612" s="1">
        <v>45761</v>
      </c>
      <c r="N612" s="1">
        <v>45762</v>
      </c>
      <c r="O612" s="3" t="s">
        <v>45</v>
      </c>
      <c r="P612" s="178">
        <v>4800</v>
      </c>
      <c r="Q612" s="179"/>
      <c r="R612" s="217">
        <v>4.8</v>
      </c>
      <c r="S612" s="218"/>
      <c r="T612" s="180">
        <v>20</v>
      </c>
      <c r="U612" s="181">
        <v>20</v>
      </c>
      <c r="V612" s="181">
        <v>0</v>
      </c>
      <c r="W612" s="181">
        <v>0</v>
      </c>
      <c r="X612" s="181">
        <f t="shared" ref="X612:X618" si="32">SUM(U612:W612)</f>
        <v>20</v>
      </c>
      <c r="Y612" s="3">
        <v>8</v>
      </c>
      <c r="Z612" s="3" t="s">
        <v>3574</v>
      </c>
      <c r="AA612" s="2" t="s">
        <v>2234</v>
      </c>
      <c r="AD612" s="274" t="s">
        <v>3601</v>
      </c>
    </row>
    <row r="613" spans="1:32" ht="23.25" hidden="1" customHeight="1">
      <c r="A613" s="281"/>
      <c r="B613" s="3">
        <v>2025</v>
      </c>
      <c r="C613" s="281" t="s">
        <v>42</v>
      </c>
      <c r="D613" s="3" t="s">
        <v>52</v>
      </c>
      <c r="E613" s="3" t="s">
        <v>2287</v>
      </c>
      <c r="F613" s="173" t="s">
        <v>2304</v>
      </c>
      <c r="G613" s="173"/>
      <c r="H613" s="173"/>
      <c r="I613" s="174" t="s">
        <v>44</v>
      </c>
      <c r="J613" s="2" t="s">
        <v>15</v>
      </c>
      <c r="K613" s="177" t="s">
        <v>3041</v>
      </c>
      <c r="L613" s="330" t="s">
        <v>2305</v>
      </c>
      <c r="M613" s="1">
        <v>45769</v>
      </c>
      <c r="N613" s="1">
        <v>45777</v>
      </c>
      <c r="O613" s="3" t="s">
        <v>45</v>
      </c>
      <c r="P613" s="178">
        <v>10400</v>
      </c>
      <c r="Q613" s="179"/>
      <c r="R613" s="217">
        <v>4.8</v>
      </c>
      <c r="S613" s="218"/>
      <c r="T613" s="180">
        <v>40</v>
      </c>
      <c r="U613" s="181">
        <v>6</v>
      </c>
      <c r="V613" s="181">
        <v>34</v>
      </c>
      <c r="W613" s="181">
        <v>0</v>
      </c>
      <c r="X613" s="181">
        <f t="shared" si="32"/>
        <v>40</v>
      </c>
      <c r="Y613" s="3">
        <v>16</v>
      </c>
      <c r="Z613" s="3" t="s">
        <v>2780</v>
      </c>
      <c r="AA613" s="2" t="s">
        <v>2018</v>
      </c>
      <c r="AC613" s="12"/>
      <c r="AD613" s="12"/>
    </row>
    <row r="614" spans="1:32" ht="23.25" hidden="1" customHeight="1">
      <c r="A614" s="281"/>
      <c r="B614" s="3">
        <v>2025</v>
      </c>
      <c r="C614" s="281" t="s">
        <v>42</v>
      </c>
      <c r="D614" s="3" t="s">
        <v>52</v>
      </c>
      <c r="E614" s="3" t="s">
        <v>2307</v>
      </c>
      <c r="F614" s="173" t="s">
        <v>2308</v>
      </c>
      <c r="G614" s="173"/>
      <c r="H614" s="173"/>
      <c r="I614" s="174" t="s">
        <v>44</v>
      </c>
      <c r="J614" s="2" t="s">
        <v>15</v>
      </c>
      <c r="K614" s="177" t="s">
        <v>3041</v>
      </c>
      <c r="L614" s="177" t="s">
        <v>2309</v>
      </c>
      <c r="M614" s="1">
        <v>45770</v>
      </c>
      <c r="N614" s="1">
        <v>45772</v>
      </c>
      <c r="O614" s="3" t="s">
        <v>41</v>
      </c>
      <c r="P614" s="178">
        <v>6800.82</v>
      </c>
      <c r="Q614" s="179"/>
      <c r="R614" s="217">
        <v>4.7</v>
      </c>
      <c r="S614" s="218"/>
      <c r="T614" s="180">
        <v>30</v>
      </c>
      <c r="U614" s="181">
        <v>1</v>
      </c>
      <c r="V614" s="181">
        <v>47</v>
      </c>
      <c r="W614" s="181">
        <v>0</v>
      </c>
      <c r="X614" s="181">
        <f t="shared" si="32"/>
        <v>48</v>
      </c>
      <c r="Y614" s="3">
        <v>12</v>
      </c>
      <c r="Z614" s="3" t="s">
        <v>2784</v>
      </c>
      <c r="AA614" s="2" t="s">
        <v>3535</v>
      </c>
      <c r="AD614" s="12"/>
    </row>
    <row r="615" spans="1:32" ht="23.25" hidden="1" customHeight="1">
      <c r="A615" s="281"/>
      <c r="B615" s="3">
        <v>2025</v>
      </c>
      <c r="C615" s="3" t="s">
        <v>42</v>
      </c>
      <c r="D615" s="326" t="s">
        <v>52</v>
      </c>
      <c r="E615" s="3" t="s">
        <v>2311</v>
      </c>
      <c r="F615" s="173" t="s">
        <v>2312</v>
      </c>
      <c r="G615" s="173"/>
      <c r="H615" s="173"/>
      <c r="I615" s="174" t="s">
        <v>33</v>
      </c>
      <c r="J615" s="2" t="s">
        <v>25</v>
      </c>
      <c r="K615" s="177" t="s">
        <v>3022</v>
      </c>
      <c r="L615" s="177" t="s">
        <v>2313</v>
      </c>
      <c r="M615" s="1">
        <v>45771</v>
      </c>
      <c r="N615" s="1">
        <v>45777</v>
      </c>
      <c r="O615" s="3" t="s">
        <v>41</v>
      </c>
      <c r="P615" s="178">
        <v>15277.08</v>
      </c>
      <c r="Q615" s="179"/>
      <c r="R615" s="217">
        <v>4.84</v>
      </c>
      <c r="S615" s="218"/>
      <c r="T615" s="180">
        <v>20</v>
      </c>
      <c r="U615" s="181">
        <v>16</v>
      </c>
      <c r="V615" s="181">
        <v>0</v>
      </c>
      <c r="W615" s="181">
        <v>0</v>
      </c>
      <c r="X615" s="181">
        <f t="shared" si="32"/>
        <v>16</v>
      </c>
      <c r="Y615" s="3">
        <v>20</v>
      </c>
      <c r="Z615" s="3" t="s">
        <v>2784</v>
      </c>
      <c r="AA615" s="2" t="s">
        <v>3496</v>
      </c>
      <c r="AD615" s="335" t="s">
        <v>3602</v>
      </c>
    </row>
    <row r="616" spans="1:32" ht="23.25" hidden="1" customHeight="1">
      <c r="A616" s="281"/>
      <c r="B616" s="3">
        <v>2025</v>
      </c>
      <c r="C616" s="3" t="s">
        <v>42</v>
      </c>
      <c r="D616" s="3" t="s">
        <v>52</v>
      </c>
      <c r="E616" s="3" t="s">
        <v>2315</v>
      </c>
      <c r="F616" s="173" t="s">
        <v>2316</v>
      </c>
      <c r="G616" s="173"/>
      <c r="H616" s="173"/>
      <c r="I616" s="174" t="s">
        <v>33</v>
      </c>
      <c r="J616" s="245" t="s">
        <v>32</v>
      </c>
      <c r="K616" s="177" t="s">
        <v>3022</v>
      </c>
      <c r="L616" s="177" t="s">
        <v>2317</v>
      </c>
      <c r="M616" s="1">
        <v>45772</v>
      </c>
      <c r="N616" s="1">
        <v>45772</v>
      </c>
      <c r="O616" s="3" t="s">
        <v>41</v>
      </c>
      <c r="Q616" s="179"/>
      <c r="R616" s="217">
        <v>5</v>
      </c>
      <c r="S616" s="218"/>
      <c r="T616" s="180">
        <v>170</v>
      </c>
      <c r="U616" s="181">
        <v>170</v>
      </c>
      <c r="V616" s="181">
        <v>0</v>
      </c>
      <c r="W616" s="181">
        <v>0</v>
      </c>
      <c r="X616" s="181">
        <f t="shared" si="32"/>
        <v>170</v>
      </c>
      <c r="Y616" s="3">
        <v>2</v>
      </c>
      <c r="Z616" s="3" t="s">
        <v>2939</v>
      </c>
      <c r="AA616" s="245" t="s">
        <v>3603</v>
      </c>
      <c r="AC616" s="12"/>
    </row>
    <row r="617" spans="1:32" ht="23.25" hidden="1" customHeight="1">
      <c r="A617" s="281"/>
      <c r="B617" s="3">
        <v>2025</v>
      </c>
      <c r="C617" s="281" t="s">
        <v>42</v>
      </c>
      <c r="D617" s="3" t="s">
        <v>52</v>
      </c>
      <c r="E617" s="3" t="s">
        <v>2319</v>
      </c>
      <c r="F617" s="173" t="s">
        <v>2320</v>
      </c>
      <c r="G617" s="173"/>
      <c r="H617" s="173"/>
      <c r="I617" s="174" t="s">
        <v>33</v>
      </c>
      <c r="J617" s="245" t="s">
        <v>32</v>
      </c>
      <c r="K617" s="177" t="s">
        <v>3022</v>
      </c>
      <c r="L617" s="177" t="s">
        <v>2321</v>
      </c>
      <c r="M617" s="1">
        <v>45775</v>
      </c>
      <c r="N617" s="1">
        <v>45775</v>
      </c>
      <c r="O617" s="3" t="s">
        <v>41</v>
      </c>
      <c r="Q617" s="179"/>
      <c r="R617" s="217">
        <v>4.9000000000000004</v>
      </c>
      <c r="S617" s="218"/>
      <c r="T617" s="180">
        <v>80</v>
      </c>
      <c r="U617" s="181">
        <v>80</v>
      </c>
      <c r="V617" s="181">
        <v>0</v>
      </c>
      <c r="W617" s="181">
        <v>0</v>
      </c>
      <c r="X617" s="181">
        <f t="shared" si="32"/>
        <v>80</v>
      </c>
      <c r="Y617" s="3">
        <v>1</v>
      </c>
      <c r="Z617" s="3" t="s">
        <v>3604</v>
      </c>
      <c r="AF617" s="336" t="s">
        <v>3605</v>
      </c>
    </row>
    <row r="618" spans="1:32" ht="23.25" hidden="1" customHeight="1">
      <c r="A618" s="281"/>
      <c r="B618" s="3">
        <v>2025</v>
      </c>
      <c r="C618" s="3" t="s">
        <v>42</v>
      </c>
      <c r="D618" s="3" t="s">
        <v>52</v>
      </c>
      <c r="E618" s="326" t="s">
        <v>3606</v>
      </c>
      <c r="F618" s="173" t="s">
        <v>1722</v>
      </c>
      <c r="G618" s="173"/>
      <c r="H618" s="173"/>
      <c r="I618" s="174" t="s">
        <v>44</v>
      </c>
      <c r="J618" s="2" t="s">
        <v>15</v>
      </c>
      <c r="K618" s="177" t="s">
        <v>3041</v>
      </c>
      <c r="L618" s="177" t="s">
        <v>2324</v>
      </c>
      <c r="M618" s="1">
        <v>45776</v>
      </c>
      <c r="N618" s="1">
        <v>45776</v>
      </c>
      <c r="O618" s="3" t="s">
        <v>45</v>
      </c>
      <c r="P618" s="178">
        <v>8000</v>
      </c>
      <c r="Q618" s="179"/>
      <c r="R618" s="217">
        <v>4.9000000000000004</v>
      </c>
      <c r="S618" s="218"/>
      <c r="T618" s="180">
        <v>170</v>
      </c>
      <c r="U618" s="181">
        <v>27</v>
      </c>
      <c r="V618" s="181">
        <v>131</v>
      </c>
      <c r="W618" s="181">
        <v>18</v>
      </c>
      <c r="X618" s="181">
        <f t="shared" si="32"/>
        <v>176</v>
      </c>
      <c r="Y618" s="3">
        <v>4</v>
      </c>
      <c r="Z618" s="3" t="s">
        <v>2780</v>
      </c>
      <c r="AA618" s="2" t="s">
        <v>492</v>
      </c>
    </row>
    <row r="619" spans="1:32" ht="23.25" hidden="1" customHeight="1">
      <c r="A619" s="281"/>
      <c r="B619" s="3">
        <v>2025</v>
      </c>
      <c r="C619" s="3" t="s">
        <v>42</v>
      </c>
      <c r="D619" s="326" t="s">
        <v>52</v>
      </c>
      <c r="E619" s="3" t="s">
        <v>2326</v>
      </c>
      <c r="F619" s="173" t="s">
        <v>2327</v>
      </c>
      <c r="G619" s="173"/>
      <c r="H619" s="173"/>
      <c r="I619" s="174" t="s">
        <v>33</v>
      </c>
      <c r="J619" s="2" t="s">
        <v>29</v>
      </c>
      <c r="K619" s="177" t="s">
        <v>3022</v>
      </c>
      <c r="L619" s="177" t="s">
        <v>2328</v>
      </c>
      <c r="M619" s="1">
        <v>45778</v>
      </c>
      <c r="O619" s="3" t="s">
        <v>45</v>
      </c>
      <c r="P619" s="178">
        <v>12000</v>
      </c>
      <c r="Q619" s="179"/>
      <c r="R619" s="217"/>
      <c r="S619" s="218"/>
      <c r="T619" s="180"/>
      <c r="U619" s="181"/>
      <c r="V619" s="181"/>
      <c r="W619" s="181"/>
      <c r="X619" s="181"/>
      <c r="Y619" s="3"/>
      <c r="Z619" s="3" t="s">
        <v>2780</v>
      </c>
      <c r="AA619" s="2" t="s">
        <v>977</v>
      </c>
      <c r="AD619" s="285" t="s">
        <v>3607</v>
      </c>
    </row>
    <row r="620" spans="1:32" ht="23.25" hidden="1" customHeight="1">
      <c r="A620" s="286" t="s">
        <v>2943</v>
      </c>
      <c r="B620" s="3">
        <v>2025</v>
      </c>
      <c r="C620" s="3" t="s">
        <v>42</v>
      </c>
      <c r="D620" s="3" t="s">
        <v>52</v>
      </c>
      <c r="E620" s="3" t="s">
        <v>2227</v>
      </c>
      <c r="F620" s="173" t="s">
        <v>2330</v>
      </c>
      <c r="G620" s="173"/>
      <c r="H620" s="173"/>
      <c r="I620" s="174" t="s">
        <v>44</v>
      </c>
      <c r="J620" s="2" t="s">
        <v>15</v>
      </c>
      <c r="K620" s="177" t="s">
        <v>3041</v>
      </c>
      <c r="L620" s="244" t="s">
        <v>2331</v>
      </c>
      <c r="M620" s="1">
        <v>45782</v>
      </c>
      <c r="N620" s="1">
        <v>45786</v>
      </c>
      <c r="O620" s="3" t="s">
        <v>41</v>
      </c>
      <c r="P620" s="178">
        <v>12813.06</v>
      </c>
      <c r="Q620" s="179"/>
      <c r="R620" s="217">
        <v>4.7</v>
      </c>
      <c r="S620" s="218"/>
      <c r="T620" s="180">
        <v>40</v>
      </c>
      <c r="U620" s="181">
        <v>6</v>
      </c>
      <c r="V620" s="181">
        <v>38</v>
      </c>
      <c r="W620" s="181">
        <v>0</v>
      </c>
      <c r="X620" s="181">
        <f t="shared" ref="X620:X631" si="33">SUM(U620:W620)</f>
        <v>44</v>
      </c>
      <c r="Y620" s="3">
        <v>20</v>
      </c>
      <c r="Z620" s="3" t="s">
        <v>2780</v>
      </c>
      <c r="AA620" s="2" t="s">
        <v>3572</v>
      </c>
      <c r="AB620" s="288"/>
      <c r="AD620" s="278" t="s">
        <v>3608</v>
      </c>
    </row>
    <row r="621" spans="1:32" ht="23.25" hidden="1" customHeight="1">
      <c r="A621" s="281"/>
      <c r="B621" s="3">
        <v>2025</v>
      </c>
      <c r="C621" s="3" t="s">
        <v>42</v>
      </c>
      <c r="D621" s="3" t="s">
        <v>52</v>
      </c>
      <c r="E621" s="3" t="s">
        <v>2333</v>
      </c>
      <c r="F621" s="173" t="s">
        <v>2334</v>
      </c>
      <c r="G621" s="173"/>
      <c r="H621" s="173"/>
      <c r="I621" s="174" t="s">
        <v>48</v>
      </c>
      <c r="J621" s="2" t="s">
        <v>18</v>
      </c>
      <c r="K621" s="177" t="s">
        <v>3041</v>
      </c>
      <c r="L621" s="177" t="s">
        <v>2335</v>
      </c>
      <c r="M621" s="1">
        <v>45789</v>
      </c>
      <c r="N621" s="1">
        <v>45793</v>
      </c>
      <c r="O621" s="3" t="s">
        <v>41</v>
      </c>
      <c r="P621" s="178">
        <f>4708.23+830.87</f>
        <v>5539.0999999999995</v>
      </c>
      <c r="Q621" s="179"/>
      <c r="R621" s="217">
        <v>4.7</v>
      </c>
      <c r="S621" s="218">
        <v>0.89</v>
      </c>
      <c r="T621" s="180">
        <v>30</v>
      </c>
      <c r="U621" s="181">
        <v>0</v>
      </c>
      <c r="V621" s="181">
        <v>8</v>
      </c>
      <c r="W621" s="181">
        <v>33</v>
      </c>
      <c r="X621" s="181">
        <f t="shared" si="33"/>
        <v>41</v>
      </c>
      <c r="Y621" s="3">
        <v>12</v>
      </c>
      <c r="Z621" s="3" t="s">
        <v>2784</v>
      </c>
      <c r="AA621" s="2" t="s">
        <v>3586</v>
      </c>
      <c r="AD621" s="327" t="s">
        <v>3609</v>
      </c>
    </row>
    <row r="622" spans="1:32" ht="24.75" hidden="1" customHeight="1">
      <c r="A622" s="275"/>
      <c r="B622" s="3">
        <v>2025</v>
      </c>
      <c r="C622" s="3" t="s">
        <v>42</v>
      </c>
      <c r="D622" s="3" t="s">
        <v>52</v>
      </c>
      <c r="E622" s="3" t="s">
        <v>2337</v>
      </c>
      <c r="F622" s="173" t="s">
        <v>2338</v>
      </c>
      <c r="G622" s="173"/>
      <c r="H622" s="173"/>
      <c r="I622" s="174" t="s">
        <v>33</v>
      </c>
      <c r="J622" s="245" t="s">
        <v>32</v>
      </c>
      <c r="K622" s="177" t="s">
        <v>3022</v>
      </c>
      <c r="L622" s="244" t="s">
        <v>2339</v>
      </c>
      <c r="M622" s="1">
        <v>45797</v>
      </c>
      <c r="N622" s="1">
        <v>45797</v>
      </c>
      <c r="O622" s="3" t="s">
        <v>41</v>
      </c>
      <c r="Q622" s="179"/>
      <c r="R622" s="217">
        <v>5</v>
      </c>
      <c r="S622" s="218"/>
      <c r="T622" s="180">
        <v>170</v>
      </c>
      <c r="U622" s="181">
        <v>170</v>
      </c>
      <c r="V622" s="181">
        <v>0</v>
      </c>
      <c r="W622" s="181">
        <v>0</v>
      </c>
      <c r="X622" s="181">
        <f t="shared" si="33"/>
        <v>170</v>
      </c>
      <c r="Y622" s="3">
        <v>2</v>
      </c>
      <c r="Z622" s="3" t="s">
        <v>3604</v>
      </c>
      <c r="AA622" s="2" t="s">
        <v>3610</v>
      </c>
    </row>
    <row r="623" spans="1:32" ht="23.25" hidden="1" customHeight="1">
      <c r="A623" s="275"/>
      <c r="B623" s="3">
        <v>2025</v>
      </c>
      <c r="C623" s="3" t="s">
        <v>42</v>
      </c>
      <c r="D623" s="3" t="s">
        <v>52</v>
      </c>
      <c r="E623" s="3" t="s">
        <v>2342</v>
      </c>
      <c r="F623" s="173" t="s">
        <v>2343</v>
      </c>
      <c r="G623" s="173"/>
      <c r="H623" s="173"/>
      <c r="I623" s="174" t="s">
        <v>48</v>
      </c>
      <c r="J623" s="2" t="s">
        <v>18</v>
      </c>
      <c r="K623" s="177" t="s">
        <v>3041</v>
      </c>
      <c r="L623" s="244" t="s">
        <v>2344</v>
      </c>
      <c r="M623" s="1">
        <v>45799</v>
      </c>
      <c r="N623" s="1">
        <v>45799</v>
      </c>
      <c r="O623" s="3" t="s">
        <v>41</v>
      </c>
      <c r="Q623" s="179"/>
      <c r="R623" s="217"/>
      <c r="S623" s="218"/>
      <c r="T623" s="180">
        <v>40</v>
      </c>
      <c r="U623" s="181">
        <v>0</v>
      </c>
      <c r="V623" s="181">
        <v>0</v>
      </c>
      <c r="W623" s="181">
        <v>40</v>
      </c>
      <c r="X623" s="181">
        <f t="shared" si="33"/>
        <v>40</v>
      </c>
      <c r="Y623" s="3">
        <v>3</v>
      </c>
      <c r="Z623" s="3" t="s">
        <v>2777</v>
      </c>
      <c r="AA623" s="337" t="s">
        <v>3470</v>
      </c>
      <c r="AC623" s="12"/>
    </row>
    <row r="624" spans="1:32" ht="23.25" hidden="1" customHeight="1">
      <c r="A624" s="275"/>
      <c r="B624" s="3">
        <v>2025</v>
      </c>
      <c r="C624" s="3" t="s">
        <v>42</v>
      </c>
      <c r="D624" s="3" t="s">
        <v>52</v>
      </c>
      <c r="E624" s="3" t="s">
        <v>2342</v>
      </c>
      <c r="F624" s="173" t="s">
        <v>2346</v>
      </c>
      <c r="G624" s="173"/>
      <c r="H624" s="173"/>
      <c r="I624" s="174" t="s">
        <v>48</v>
      </c>
      <c r="J624" s="2" t="s">
        <v>18</v>
      </c>
      <c r="K624" s="177" t="s">
        <v>3041</v>
      </c>
      <c r="L624" s="338" t="s">
        <v>2347</v>
      </c>
      <c r="M624" s="1">
        <v>45800</v>
      </c>
      <c r="N624" s="1">
        <v>45800</v>
      </c>
      <c r="O624" s="3" t="s">
        <v>41</v>
      </c>
      <c r="Q624" s="179"/>
      <c r="R624" s="217"/>
      <c r="S624" s="218"/>
      <c r="T624" s="180">
        <v>40</v>
      </c>
      <c r="U624" s="181">
        <v>0</v>
      </c>
      <c r="V624" s="181">
        <v>0</v>
      </c>
      <c r="W624" s="181">
        <v>40</v>
      </c>
      <c r="X624" s="181">
        <f t="shared" si="33"/>
        <v>40</v>
      </c>
      <c r="Y624" s="3">
        <v>3</v>
      </c>
      <c r="Z624" s="3" t="s">
        <v>2777</v>
      </c>
      <c r="AA624" s="337" t="s">
        <v>3470</v>
      </c>
    </row>
    <row r="625" spans="1:30" ht="23.25" hidden="1" customHeight="1">
      <c r="A625" s="281"/>
      <c r="B625" s="3">
        <v>2025</v>
      </c>
      <c r="C625" s="3" t="s">
        <v>42</v>
      </c>
      <c r="D625" s="3" t="s">
        <v>52</v>
      </c>
      <c r="E625" s="3" t="s">
        <v>2349</v>
      </c>
      <c r="F625" s="173" t="s">
        <v>2350</v>
      </c>
      <c r="G625" s="173"/>
      <c r="H625" s="173"/>
      <c r="I625" s="174" t="s">
        <v>33</v>
      </c>
      <c r="J625" s="2" t="s">
        <v>25</v>
      </c>
      <c r="K625" s="177" t="s">
        <v>3022</v>
      </c>
      <c r="L625" s="177" t="s">
        <v>2351</v>
      </c>
      <c r="M625" s="1">
        <v>45803</v>
      </c>
      <c r="N625" s="1">
        <v>45807</v>
      </c>
      <c r="O625" s="3" t="s">
        <v>41</v>
      </c>
      <c r="P625" s="178">
        <v>6800.66</v>
      </c>
      <c r="Q625" s="179"/>
      <c r="R625" s="217">
        <v>4.9000000000000004</v>
      </c>
      <c r="S625" s="218"/>
      <c r="T625" s="180">
        <v>15</v>
      </c>
      <c r="U625" s="181">
        <v>18</v>
      </c>
      <c r="V625" s="181">
        <v>0</v>
      </c>
      <c r="W625" s="181">
        <v>0</v>
      </c>
      <c r="X625" s="181">
        <f t="shared" si="33"/>
        <v>18</v>
      </c>
      <c r="Y625" s="3">
        <v>12</v>
      </c>
      <c r="Z625" s="3" t="s">
        <v>2784</v>
      </c>
      <c r="AA625" s="2" t="s">
        <v>2352</v>
      </c>
      <c r="AD625" s="285" t="s">
        <v>3611</v>
      </c>
    </row>
    <row r="626" spans="1:30" ht="23.25" hidden="1" customHeight="1">
      <c r="A626" s="281"/>
      <c r="B626" s="3">
        <v>2025</v>
      </c>
      <c r="C626" s="3" t="s">
        <v>42</v>
      </c>
      <c r="D626" s="326" t="s">
        <v>52</v>
      </c>
      <c r="E626" s="3" t="s">
        <v>2354</v>
      </c>
      <c r="F626" s="173" t="s">
        <v>2355</v>
      </c>
      <c r="G626" s="173"/>
      <c r="H626" s="173"/>
      <c r="I626" s="174" t="s">
        <v>33</v>
      </c>
      <c r="J626" s="245" t="s">
        <v>13</v>
      </c>
      <c r="K626" s="177" t="s">
        <v>3022</v>
      </c>
      <c r="L626" s="177" t="s">
        <v>2356</v>
      </c>
      <c r="M626" s="1">
        <v>45804</v>
      </c>
      <c r="N626" s="1">
        <v>45807</v>
      </c>
      <c r="O626" s="3" t="s">
        <v>41</v>
      </c>
      <c r="P626" s="178">
        <v>6800.82</v>
      </c>
      <c r="Q626" s="179"/>
      <c r="R626" s="217">
        <v>4.9000000000000004</v>
      </c>
      <c r="S626" s="218"/>
      <c r="T626" s="180">
        <v>30</v>
      </c>
      <c r="U626" s="181">
        <v>18</v>
      </c>
      <c r="V626" s="181">
        <v>0</v>
      </c>
      <c r="W626" s="181">
        <v>0</v>
      </c>
      <c r="X626" s="181">
        <f t="shared" si="33"/>
        <v>18</v>
      </c>
      <c r="Y626" s="3">
        <v>12</v>
      </c>
      <c r="Z626" s="3" t="s">
        <v>2772</v>
      </c>
      <c r="AA626" s="2" t="s">
        <v>3562</v>
      </c>
    </row>
    <row r="627" spans="1:30" ht="23.25" hidden="1" customHeight="1">
      <c r="A627" s="281"/>
      <c r="B627" s="3">
        <v>2025</v>
      </c>
      <c r="C627" s="3" t="s">
        <v>42</v>
      </c>
      <c r="D627" s="3" t="s">
        <v>52</v>
      </c>
      <c r="E627" s="3" t="s">
        <v>2358</v>
      </c>
      <c r="F627" s="173" t="s">
        <v>2359</v>
      </c>
      <c r="G627" s="173"/>
      <c r="H627" s="173"/>
      <c r="I627" s="174" t="s">
        <v>33</v>
      </c>
      <c r="J627" s="2" t="s">
        <v>29</v>
      </c>
      <c r="K627" s="177" t="s">
        <v>3022</v>
      </c>
      <c r="L627" s="177" t="s">
        <v>3612</v>
      </c>
      <c r="M627" s="1">
        <v>45805</v>
      </c>
      <c r="N627" s="1">
        <v>45811</v>
      </c>
      <c r="O627" s="3" t="s">
        <v>45</v>
      </c>
      <c r="P627" s="178">
        <v>19200</v>
      </c>
      <c r="Q627" s="179"/>
      <c r="R627" s="217">
        <v>4.7</v>
      </c>
      <c r="S627" s="218"/>
      <c r="T627" s="180">
        <v>30</v>
      </c>
      <c r="U627" s="181">
        <v>38</v>
      </c>
      <c r="V627" s="181">
        <v>0</v>
      </c>
      <c r="W627" s="181">
        <v>0</v>
      </c>
      <c r="X627" s="181">
        <f t="shared" si="33"/>
        <v>38</v>
      </c>
      <c r="Y627" s="3">
        <v>16</v>
      </c>
      <c r="Z627" s="3" t="s">
        <v>2780</v>
      </c>
      <c r="AA627" s="2" t="s">
        <v>977</v>
      </c>
      <c r="AD627" s="12"/>
    </row>
    <row r="628" spans="1:30" ht="23.25" customHeight="1">
      <c r="A628" s="275" t="s">
        <v>2943</v>
      </c>
      <c r="B628" s="3">
        <v>2026</v>
      </c>
      <c r="C628" s="3" t="s">
        <v>42</v>
      </c>
      <c r="D628" s="326" t="s">
        <v>52</v>
      </c>
      <c r="E628" s="3" t="s">
        <v>2207</v>
      </c>
      <c r="F628" s="173" t="s">
        <v>3613</v>
      </c>
      <c r="G628" s="173"/>
      <c r="H628" s="248"/>
      <c r="I628" s="174" t="s">
        <v>33</v>
      </c>
      <c r="J628" s="2" t="s">
        <v>7</v>
      </c>
      <c r="K628" s="177" t="s">
        <v>3022</v>
      </c>
      <c r="L628" s="177" t="s">
        <v>2363</v>
      </c>
      <c r="M628" s="1">
        <v>45809</v>
      </c>
      <c r="O628" s="3" t="s">
        <v>45</v>
      </c>
      <c r="P628" s="178">
        <v>13673.78</v>
      </c>
      <c r="Q628" s="179"/>
      <c r="R628" s="217">
        <v>4.8</v>
      </c>
      <c r="S628" s="218"/>
      <c r="T628" s="180">
        <v>15</v>
      </c>
      <c r="U628" s="181">
        <v>15</v>
      </c>
      <c r="V628" s="181">
        <v>0</v>
      </c>
      <c r="W628" s="181">
        <v>0</v>
      </c>
      <c r="X628" s="181">
        <f t="shared" si="33"/>
        <v>15</v>
      </c>
      <c r="Y628" s="3">
        <v>12</v>
      </c>
      <c r="Z628" s="3" t="s">
        <v>2780</v>
      </c>
      <c r="AA628" s="2" t="s">
        <v>1747</v>
      </c>
    </row>
    <row r="629" spans="1:30" ht="23.25" hidden="1" customHeight="1">
      <c r="A629" s="281"/>
      <c r="B629" s="3">
        <v>2025</v>
      </c>
      <c r="C629" s="3" t="s">
        <v>42</v>
      </c>
      <c r="D629" s="3" t="s">
        <v>52</v>
      </c>
      <c r="E629" s="3" t="s">
        <v>2365</v>
      </c>
      <c r="F629" s="173" t="s">
        <v>2366</v>
      </c>
      <c r="G629" s="173"/>
      <c r="H629" s="173"/>
      <c r="I629" s="174" t="s">
        <v>48</v>
      </c>
      <c r="J629" s="2" t="s">
        <v>18</v>
      </c>
      <c r="K629" s="177" t="s">
        <v>3041</v>
      </c>
      <c r="L629" s="177" t="s">
        <v>2367</v>
      </c>
      <c r="M629" s="1">
        <v>45810</v>
      </c>
      <c r="N629" s="1">
        <v>45814</v>
      </c>
      <c r="O629" s="3" t="s">
        <v>41</v>
      </c>
      <c r="P629" s="178">
        <v>5539.1</v>
      </c>
      <c r="Q629" s="179"/>
      <c r="R629" s="217">
        <v>4.8</v>
      </c>
      <c r="S629" s="218"/>
      <c r="T629" s="180">
        <v>30</v>
      </c>
      <c r="U629" s="181">
        <v>0</v>
      </c>
      <c r="V629" s="181">
        <v>0</v>
      </c>
      <c r="W629" s="181">
        <v>31</v>
      </c>
      <c r="X629" s="181">
        <f t="shared" si="33"/>
        <v>31</v>
      </c>
      <c r="Y629" s="3">
        <v>12</v>
      </c>
      <c r="Z629" s="3" t="s">
        <v>2784</v>
      </c>
      <c r="AA629" s="2" t="s">
        <v>3586</v>
      </c>
      <c r="AD629" s="339" t="s">
        <v>3614</v>
      </c>
    </row>
    <row r="630" spans="1:30" ht="23.25" hidden="1" customHeight="1">
      <c r="A630" s="281"/>
      <c r="B630" s="3">
        <v>2025</v>
      </c>
      <c r="C630" s="3" t="s">
        <v>42</v>
      </c>
      <c r="D630" s="326" t="s">
        <v>52</v>
      </c>
      <c r="E630" s="3" t="s">
        <v>2369</v>
      </c>
      <c r="F630" s="173" t="s">
        <v>2370</v>
      </c>
      <c r="G630" s="173"/>
      <c r="H630" s="173"/>
      <c r="I630" s="174" t="s">
        <v>33</v>
      </c>
      <c r="J630" s="245" t="s">
        <v>13</v>
      </c>
      <c r="K630" s="177" t="s">
        <v>3022</v>
      </c>
      <c r="L630" s="177" t="s">
        <v>3615</v>
      </c>
      <c r="M630" s="1">
        <v>45810</v>
      </c>
      <c r="N630" s="1">
        <v>45820</v>
      </c>
      <c r="O630" s="3" t="s">
        <v>45</v>
      </c>
      <c r="P630" s="178">
        <v>45000</v>
      </c>
      <c r="Q630" s="179"/>
      <c r="R630" s="217">
        <v>4.84</v>
      </c>
      <c r="S630" s="218"/>
      <c r="T630" s="180">
        <v>30</v>
      </c>
      <c r="U630" s="181">
        <v>21</v>
      </c>
      <c r="V630" s="181">
        <v>4</v>
      </c>
      <c r="W630" s="181">
        <v>4</v>
      </c>
      <c r="X630" s="181">
        <f t="shared" si="33"/>
        <v>29</v>
      </c>
      <c r="Y630" s="3">
        <v>25</v>
      </c>
      <c r="Z630" s="3" t="s">
        <v>2772</v>
      </c>
      <c r="AA630" s="2" t="s">
        <v>3616</v>
      </c>
    </row>
    <row r="631" spans="1:30" ht="23.25" hidden="1" customHeight="1">
      <c r="A631" s="275" t="s">
        <v>2943</v>
      </c>
      <c r="B631" s="3">
        <v>2025</v>
      </c>
      <c r="C631" s="3" t="s">
        <v>42</v>
      </c>
      <c r="D631" s="3" t="s">
        <v>52</v>
      </c>
      <c r="E631" s="3" t="s">
        <v>2373</v>
      </c>
      <c r="F631" s="173" t="s">
        <v>2036</v>
      </c>
      <c r="G631" s="173"/>
      <c r="H631" s="173"/>
      <c r="I631" s="174" t="s">
        <v>48</v>
      </c>
      <c r="J631" s="2" t="s">
        <v>18</v>
      </c>
      <c r="K631" s="177" t="s">
        <v>3041</v>
      </c>
      <c r="L631" s="177" t="s">
        <v>3617</v>
      </c>
      <c r="M631" s="1">
        <v>45812</v>
      </c>
      <c r="N631" s="1">
        <v>45812</v>
      </c>
      <c r="O631" s="3" t="s">
        <v>41</v>
      </c>
      <c r="P631" s="178">
        <v>1700.2</v>
      </c>
      <c r="Q631" s="179"/>
      <c r="R631" s="217">
        <v>5</v>
      </c>
      <c r="S631" s="218"/>
      <c r="T631" s="180">
        <v>33</v>
      </c>
      <c r="U631" s="181">
        <v>0</v>
      </c>
      <c r="V631" s="181">
        <v>0</v>
      </c>
      <c r="W631" s="181">
        <v>30</v>
      </c>
      <c r="X631" s="181">
        <f t="shared" si="33"/>
        <v>30</v>
      </c>
      <c r="Y631" s="3">
        <v>3</v>
      </c>
      <c r="Z631" s="3" t="s">
        <v>2784</v>
      </c>
      <c r="AA631" s="2" t="s">
        <v>2038</v>
      </c>
    </row>
    <row r="632" spans="1:30" ht="23.25" hidden="1" customHeight="1">
      <c r="A632" s="275"/>
      <c r="B632" s="3">
        <v>2025</v>
      </c>
      <c r="C632" s="3" t="s">
        <v>42</v>
      </c>
      <c r="D632" s="3" t="s">
        <v>50</v>
      </c>
      <c r="E632" s="3" t="s">
        <v>2342</v>
      </c>
      <c r="F632" s="173" t="s">
        <v>3618</v>
      </c>
      <c r="G632" s="173"/>
      <c r="H632" s="173"/>
      <c r="I632" s="174" t="s">
        <v>48</v>
      </c>
      <c r="J632" s="2" t="s">
        <v>18</v>
      </c>
      <c r="K632" s="177" t="s">
        <v>3022</v>
      </c>
      <c r="L632" s="244" t="s">
        <v>3619</v>
      </c>
      <c r="M632" s="1">
        <v>45813</v>
      </c>
      <c r="N632" s="1">
        <v>45813</v>
      </c>
      <c r="O632" s="3" t="s">
        <v>41</v>
      </c>
      <c r="Q632" s="179"/>
      <c r="R632" s="217"/>
      <c r="S632" s="218"/>
      <c r="T632" s="180">
        <v>40</v>
      </c>
      <c r="U632" s="181">
        <v>0</v>
      </c>
      <c r="V632" s="181">
        <v>0</v>
      </c>
      <c r="W632" s="181">
        <v>40</v>
      </c>
      <c r="X632" s="181">
        <v>40</v>
      </c>
      <c r="Y632" s="3">
        <v>3</v>
      </c>
      <c r="Z632" s="3" t="s">
        <v>2777</v>
      </c>
      <c r="AA632" s="337" t="s">
        <v>3470</v>
      </c>
    </row>
    <row r="633" spans="1:30" ht="23.25" hidden="1" customHeight="1">
      <c r="A633" s="286"/>
      <c r="B633" s="3">
        <v>2025</v>
      </c>
      <c r="C633" s="3" t="s">
        <v>42</v>
      </c>
      <c r="D633" s="3" t="s">
        <v>50</v>
      </c>
      <c r="E633" s="3" t="s">
        <v>2342</v>
      </c>
      <c r="F633" s="173" t="s">
        <v>3620</v>
      </c>
      <c r="G633" s="173"/>
      <c r="H633" s="173"/>
      <c r="I633" s="174" t="s">
        <v>48</v>
      </c>
      <c r="J633" s="2" t="s">
        <v>18</v>
      </c>
      <c r="K633" s="177" t="s">
        <v>3022</v>
      </c>
      <c r="L633" s="244" t="s">
        <v>3621</v>
      </c>
      <c r="M633" s="1">
        <v>45814</v>
      </c>
      <c r="N633" s="1">
        <v>45814</v>
      </c>
      <c r="O633" s="3" t="s">
        <v>41</v>
      </c>
      <c r="Q633" s="179"/>
      <c r="R633" s="217"/>
      <c r="S633" s="218"/>
      <c r="T633" s="180">
        <v>40</v>
      </c>
      <c r="U633" s="181">
        <v>0</v>
      </c>
      <c r="V633" s="181">
        <v>0</v>
      </c>
      <c r="W633" s="181">
        <v>40</v>
      </c>
      <c r="X633" s="181">
        <v>40</v>
      </c>
      <c r="Y633" s="3">
        <v>3</v>
      </c>
      <c r="Z633" s="3" t="s">
        <v>2777</v>
      </c>
      <c r="AA633" s="337" t="s">
        <v>3470</v>
      </c>
      <c r="AB633" s="288"/>
    </row>
    <row r="634" spans="1:30" ht="36" hidden="1" customHeight="1">
      <c r="A634" s="281"/>
      <c r="B634" s="3">
        <v>2025</v>
      </c>
      <c r="C634" s="3" t="s">
        <v>42</v>
      </c>
      <c r="D634" s="326" t="s">
        <v>52</v>
      </c>
      <c r="E634" s="3" t="s">
        <v>2311</v>
      </c>
      <c r="F634" s="173" t="s">
        <v>2376</v>
      </c>
      <c r="G634" s="173"/>
      <c r="H634" s="173"/>
      <c r="I634" s="174" t="s">
        <v>33</v>
      </c>
      <c r="J634" s="2" t="s">
        <v>25</v>
      </c>
      <c r="K634" s="177" t="s">
        <v>3022</v>
      </c>
      <c r="L634" s="177" t="s">
        <v>2377</v>
      </c>
      <c r="M634" s="1">
        <v>45817</v>
      </c>
      <c r="N634" s="1">
        <v>45825</v>
      </c>
      <c r="O634" s="3" t="s">
        <v>41</v>
      </c>
      <c r="P634" s="178">
        <v>15277.08</v>
      </c>
      <c r="Q634" s="179"/>
      <c r="R634" s="217">
        <v>4.9000000000000004</v>
      </c>
      <c r="S634" s="218"/>
      <c r="T634" s="180">
        <v>20</v>
      </c>
      <c r="U634" s="181">
        <v>14</v>
      </c>
      <c r="V634" s="181">
        <v>0</v>
      </c>
      <c r="W634" s="181">
        <v>0</v>
      </c>
      <c r="X634" s="181">
        <f>SUM(U634:W634)</f>
        <v>14</v>
      </c>
      <c r="Y634" s="3">
        <v>20</v>
      </c>
      <c r="Z634" s="3" t="s">
        <v>2784</v>
      </c>
      <c r="AA634" s="2" t="s">
        <v>3496</v>
      </c>
      <c r="AD634" s="278" t="s">
        <v>3622</v>
      </c>
    </row>
    <row r="635" spans="1:30" ht="23.25" hidden="1" customHeight="1">
      <c r="A635" s="281"/>
      <c r="B635" s="3">
        <v>2025</v>
      </c>
      <c r="C635" s="3" t="s">
        <v>42</v>
      </c>
      <c r="D635" s="326" t="s">
        <v>52</v>
      </c>
      <c r="E635" s="3" t="s">
        <v>2379</v>
      </c>
      <c r="F635" s="173" t="s">
        <v>2380</v>
      </c>
      <c r="G635" s="173"/>
      <c r="H635" s="173"/>
      <c r="I635" s="174" t="s">
        <v>33</v>
      </c>
      <c r="J635" s="2" t="s">
        <v>35</v>
      </c>
      <c r="K635" s="177" t="s">
        <v>3022</v>
      </c>
      <c r="L635" s="177" t="s">
        <v>3623</v>
      </c>
      <c r="M635" s="1">
        <v>45817</v>
      </c>
      <c r="N635" s="1">
        <v>45818</v>
      </c>
      <c r="O635" s="3" t="s">
        <v>45</v>
      </c>
      <c r="P635" s="178">
        <v>3040.75</v>
      </c>
      <c r="Q635" s="179"/>
      <c r="R635" s="217">
        <v>4.8</v>
      </c>
      <c r="S635" s="218"/>
      <c r="T635" s="180">
        <v>30</v>
      </c>
      <c r="U635" s="181">
        <v>0</v>
      </c>
      <c r="V635" s="181">
        <v>0</v>
      </c>
      <c r="W635" s="181">
        <v>27</v>
      </c>
      <c r="X635" s="181">
        <f>SUM(U635:W635)</f>
        <v>27</v>
      </c>
      <c r="Y635" s="3">
        <v>8</v>
      </c>
      <c r="Z635" s="3" t="s">
        <v>2780</v>
      </c>
      <c r="AA635" s="2" t="s">
        <v>3624</v>
      </c>
      <c r="AD635" s="278" t="s">
        <v>3625</v>
      </c>
    </row>
    <row r="636" spans="1:30" ht="23.25" hidden="1" customHeight="1">
      <c r="A636" s="286"/>
      <c r="B636" s="3">
        <v>2025</v>
      </c>
      <c r="C636" s="3" t="s">
        <v>42</v>
      </c>
      <c r="D636" s="3" t="s">
        <v>50</v>
      </c>
      <c r="E636" s="3" t="s">
        <v>2342</v>
      </c>
      <c r="F636" s="173" t="s">
        <v>3626</v>
      </c>
      <c r="G636" s="173"/>
      <c r="H636" s="173"/>
      <c r="I636" s="174" t="s">
        <v>48</v>
      </c>
      <c r="J636" s="2" t="s">
        <v>18</v>
      </c>
      <c r="K636" s="177" t="s">
        <v>3022</v>
      </c>
      <c r="L636" s="244" t="s">
        <v>3627</v>
      </c>
      <c r="M636" s="1">
        <v>45820</v>
      </c>
      <c r="N636" s="1">
        <v>45820</v>
      </c>
      <c r="O636" s="3" t="s">
        <v>41</v>
      </c>
      <c r="Q636" s="179"/>
      <c r="R636" s="217"/>
      <c r="S636" s="218"/>
      <c r="T636" s="180">
        <v>40</v>
      </c>
      <c r="U636" s="181">
        <v>0</v>
      </c>
      <c r="V636" s="181">
        <v>0</v>
      </c>
      <c r="W636" s="181">
        <v>40</v>
      </c>
      <c r="X636" s="181">
        <v>40</v>
      </c>
      <c r="Y636" s="3">
        <v>3</v>
      </c>
      <c r="Z636" s="3" t="s">
        <v>2777</v>
      </c>
      <c r="AA636" s="337" t="s">
        <v>3470</v>
      </c>
      <c r="AB636" s="288"/>
    </row>
    <row r="637" spans="1:30" ht="23.25" hidden="1" customHeight="1">
      <c r="A637" s="332"/>
      <c r="B637" s="3">
        <v>2025</v>
      </c>
      <c r="C637" s="3" t="s">
        <v>42</v>
      </c>
      <c r="D637" s="326" t="s">
        <v>52</v>
      </c>
      <c r="E637" s="3" t="s">
        <v>2384</v>
      </c>
      <c r="F637" s="173" t="s">
        <v>2385</v>
      </c>
      <c r="G637" s="173"/>
      <c r="H637" s="173"/>
      <c r="I637" s="174" t="s">
        <v>33</v>
      </c>
      <c r="J637" s="245" t="s">
        <v>13</v>
      </c>
      <c r="K637" s="177" t="s">
        <v>3022</v>
      </c>
      <c r="L637" s="177" t="s">
        <v>2386</v>
      </c>
      <c r="M637" s="1">
        <v>45820</v>
      </c>
      <c r="N637" s="1">
        <v>45821</v>
      </c>
      <c r="O637" s="3" t="s">
        <v>41</v>
      </c>
      <c r="P637" s="178">
        <v>5125.22</v>
      </c>
      <c r="Q637" s="179"/>
      <c r="R637" s="217">
        <v>4.9000000000000004</v>
      </c>
      <c r="S637" s="218"/>
      <c r="T637" s="180">
        <v>20</v>
      </c>
      <c r="U637" s="181">
        <v>14</v>
      </c>
      <c r="V637" s="181">
        <v>0</v>
      </c>
      <c r="W637" s="181">
        <v>0</v>
      </c>
      <c r="X637" s="181">
        <f>SUM(U637:W637)</f>
        <v>14</v>
      </c>
      <c r="Y637" s="3">
        <v>8</v>
      </c>
      <c r="Z637" s="3" t="s">
        <v>2780</v>
      </c>
      <c r="AA637" s="12" t="s">
        <v>3543</v>
      </c>
      <c r="AB637" s="288"/>
    </row>
    <row r="638" spans="1:30" ht="23.25" hidden="1" customHeight="1">
      <c r="A638" s="286"/>
      <c r="B638" s="3">
        <v>2025</v>
      </c>
      <c r="C638" s="3" t="s">
        <v>42</v>
      </c>
      <c r="D638" s="3" t="s">
        <v>50</v>
      </c>
      <c r="E638" s="3" t="s">
        <v>2342</v>
      </c>
      <c r="F638" s="173" t="s">
        <v>3628</v>
      </c>
      <c r="G638" s="173"/>
      <c r="H638" s="173"/>
      <c r="I638" s="174" t="s">
        <v>48</v>
      </c>
      <c r="J638" s="2" t="s">
        <v>18</v>
      </c>
      <c r="K638" s="177" t="s">
        <v>3022</v>
      </c>
      <c r="L638" s="244" t="s">
        <v>3629</v>
      </c>
      <c r="M638" s="1">
        <v>45821</v>
      </c>
      <c r="N638" s="1">
        <v>45821</v>
      </c>
      <c r="O638" s="3" t="s">
        <v>41</v>
      </c>
      <c r="Q638" s="179"/>
      <c r="R638" s="217"/>
      <c r="S638" s="218"/>
      <c r="T638" s="180">
        <v>40</v>
      </c>
      <c r="U638" s="181">
        <v>0</v>
      </c>
      <c r="V638" s="181">
        <v>0</v>
      </c>
      <c r="W638" s="181">
        <v>40</v>
      </c>
      <c r="X638" s="181">
        <v>40</v>
      </c>
      <c r="Y638" s="3">
        <v>3</v>
      </c>
      <c r="Z638" s="3" t="s">
        <v>2777</v>
      </c>
      <c r="AA638" s="340" t="s">
        <v>3470</v>
      </c>
      <c r="AB638" s="288"/>
    </row>
    <row r="639" spans="1:30" ht="23.25" hidden="1" customHeight="1">
      <c r="A639" s="332"/>
      <c r="B639" s="3">
        <v>2025</v>
      </c>
      <c r="C639" s="3" t="s">
        <v>42</v>
      </c>
      <c r="D639" s="326" t="s">
        <v>52</v>
      </c>
      <c r="E639" s="3" t="s">
        <v>2388</v>
      </c>
      <c r="F639" s="173" t="s">
        <v>2389</v>
      </c>
      <c r="G639" s="173"/>
      <c r="H639" s="173"/>
      <c r="I639" s="174" t="s">
        <v>33</v>
      </c>
      <c r="J639" s="245" t="s">
        <v>13</v>
      </c>
      <c r="K639" s="177" t="s">
        <v>3022</v>
      </c>
      <c r="L639" s="177" t="s">
        <v>2390</v>
      </c>
      <c r="M639" s="1">
        <v>45824</v>
      </c>
      <c r="N639" s="1">
        <v>45826</v>
      </c>
      <c r="O639" s="3" t="s">
        <v>45</v>
      </c>
      <c r="P639" s="178">
        <v>15025</v>
      </c>
      <c r="Q639" s="179"/>
      <c r="R639" s="217">
        <v>4.5999999999999996</v>
      </c>
      <c r="S639" s="218"/>
      <c r="T639" s="180">
        <v>30</v>
      </c>
      <c r="U639" s="181">
        <v>33</v>
      </c>
      <c r="V639" s="181">
        <v>0</v>
      </c>
      <c r="W639" s="181">
        <v>0</v>
      </c>
      <c r="X639" s="181">
        <f t="shared" ref="X639:X647" si="34">SUM(U639:W639)</f>
        <v>33</v>
      </c>
      <c r="Y639" s="3">
        <v>15</v>
      </c>
      <c r="Z639" s="3" t="s">
        <v>2784</v>
      </c>
      <c r="AA639" s="12" t="s">
        <v>2391</v>
      </c>
      <c r="AB639" s="288"/>
      <c r="AD639" s="274" t="s">
        <v>3630</v>
      </c>
    </row>
    <row r="640" spans="1:30" ht="23.25" hidden="1" customHeight="1">
      <c r="A640" s="332"/>
      <c r="B640" s="3">
        <v>2025</v>
      </c>
      <c r="C640" s="3" t="s">
        <v>42</v>
      </c>
      <c r="D640" s="3" t="s">
        <v>52</v>
      </c>
      <c r="E640" s="3" t="s">
        <v>2393</v>
      </c>
      <c r="F640" s="173" t="s">
        <v>2394</v>
      </c>
      <c r="G640" s="173"/>
      <c r="H640" s="173"/>
      <c r="I640" s="174" t="s">
        <v>48</v>
      </c>
      <c r="J640" s="2" t="s">
        <v>18</v>
      </c>
      <c r="K640" s="177" t="s">
        <v>3041</v>
      </c>
      <c r="L640" s="177" t="s">
        <v>2395</v>
      </c>
      <c r="M640" s="1">
        <v>45831</v>
      </c>
      <c r="N640" s="1">
        <v>45835</v>
      </c>
      <c r="O640" s="3" t="s">
        <v>41</v>
      </c>
      <c r="P640" s="178">
        <v>11334.44</v>
      </c>
      <c r="Q640" s="179"/>
      <c r="R640" s="217">
        <v>4.8</v>
      </c>
      <c r="S640" s="218"/>
      <c r="T640" s="180">
        <v>40</v>
      </c>
      <c r="U640" s="181">
        <v>0</v>
      </c>
      <c r="V640" s="181">
        <v>0</v>
      </c>
      <c r="W640" s="181">
        <v>42</v>
      </c>
      <c r="X640" s="181">
        <f t="shared" si="34"/>
        <v>42</v>
      </c>
      <c r="Y640" s="3">
        <v>20</v>
      </c>
      <c r="Z640" s="3" t="s">
        <v>2784</v>
      </c>
      <c r="AA640" s="12" t="s">
        <v>3476</v>
      </c>
      <c r="AB640" s="288"/>
      <c r="AD640" s="327" t="s">
        <v>3631</v>
      </c>
    </row>
    <row r="641" spans="1:30" ht="23.25" hidden="1" customHeight="1">
      <c r="A641" s="332"/>
      <c r="B641" s="3">
        <v>2025</v>
      </c>
      <c r="C641" s="3" t="s">
        <v>42</v>
      </c>
      <c r="D641" s="326" t="s">
        <v>52</v>
      </c>
      <c r="E641" s="3" t="s">
        <v>2397</v>
      </c>
      <c r="F641" s="173" t="s">
        <v>2398</v>
      </c>
      <c r="G641" s="173"/>
      <c r="H641" s="173"/>
      <c r="I641" s="174" t="s">
        <v>33</v>
      </c>
      <c r="J641" s="2" t="s">
        <v>22</v>
      </c>
      <c r="K641" s="177" t="s">
        <v>3022</v>
      </c>
      <c r="L641" s="177" t="s">
        <v>2399</v>
      </c>
      <c r="M641" s="1">
        <v>45832</v>
      </c>
      <c r="N641" s="1">
        <v>45834</v>
      </c>
      <c r="O641" s="3" t="s">
        <v>41</v>
      </c>
      <c r="P641" s="178">
        <v>4533.88</v>
      </c>
      <c r="Q641" s="179"/>
      <c r="R641" s="217">
        <v>4.8</v>
      </c>
      <c r="S641" s="218"/>
      <c r="T641" s="180">
        <v>20</v>
      </c>
      <c r="U641" s="181">
        <v>22</v>
      </c>
      <c r="V641" s="181">
        <v>0</v>
      </c>
      <c r="W641" s="181">
        <v>0</v>
      </c>
      <c r="X641" s="181">
        <f t="shared" si="34"/>
        <v>22</v>
      </c>
      <c r="Y641" s="3">
        <v>8</v>
      </c>
      <c r="Z641" s="3" t="s">
        <v>3574</v>
      </c>
      <c r="AA641" s="12" t="s">
        <v>2400</v>
      </c>
      <c r="AB641" s="288"/>
    </row>
    <row r="642" spans="1:30" ht="23.25" hidden="1" customHeight="1">
      <c r="A642" s="332"/>
      <c r="B642" s="3">
        <v>2025</v>
      </c>
      <c r="C642" s="3" t="s">
        <v>42</v>
      </c>
      <c r="D642" s="3" t="s">
        <v>52</v>
      </c>
      <c r="E642" s="3" t="s">
        <v>2402</v>
      </c>
      <c r="F642" s="173" t="s">
        <v>2403</v>
      </c>
      <c r="G642" s="173"/>
      <c r="H642" s="173"/>
      <c r="I642" s="174" t="s">
        <v>33</v>
      </c>
      <c r="J642" s="2" t="s">
        <v>25</v>
      </c>
      <c r="K642" s="177" t="s">
        <v>3022</v>
      </c>
      <c r="L642" s="277" t="s">
        <v>3632</v>
      </c>
      <c r="M642" s="1">
        <v>45832</v>
      </c>
      <c r="N642" s="1">
        <v>45841</v>
      </c>
      <c r="O642" s="3" t="s">
        <v>41</v>
      </c>
      <c r="P642" s="178">
        <v>12555.28</v>
      </c>
      <c r="Q642" s="179"/>
      <c r="R642" s="217">
        <v>4.9000000000000004</v>
      </c>
      <c r="S642" s="218">
        <v>1</v>
      </c>
      <c r="T642" s="180">
        <v>20</v>
      </c>
      <c r="U642" s="181">
        <v>9</v>
      </c>
      <c r="V642" s="181">
        <v>0</v>
      </c>
      <c r="W642" s="181">
        <v>0</v>
      </c>
      <c r="X642" s="181">
        <f t="shared" si="34"/>
        <v>9</v>
      </c>
      <c r="Y642" s="3">
        <v>16</v>
      </c>
      <c r="Z642" s="3" t="s">
        <v>2784</v>
      </c>
      <c r="AA642" s="2" t="s">
        <v>2405</v>
      </c>
      <c r="AB642" s="288"/>
      <c r="AD642" s="278" t="s">
        <v>3633</v>
      </c>
    </row>
    <row r="643" spans="1:30" ht="23.25" hidden="1" customHeight="1">
      <c r="A643" s="281"/>
      <c r="B643" s="3">
        <v>2025</v>
      </c>
      <c r="C643" s="3" t="s">
        <v>42</v>
      </c>
      <c r="D643" s="326" t="s">
        <v>52</v>
      </c>
      <c r="E643" s="3" t="s">
        <v>2407</v>
      </c>
      <c r="F643" s="173" t="s">
        <v>2408</v>
      </c>
      <c r="G643" s="173"/>
      <c r="H643" s="173"/>
      <c r="I643" s="174" t="s">
        <v>44</v>
      </c>
      <c r="J643" s="2" t="s">
        <v>15</v>
      </c>
      <c r="K643" s="177" t="s">
        <v>3041</v>
      </c>
      <c r="L643" s="177" t="s">
        <v>2409</v>
      </c>
      <c r="M643" s="1">
        <v>45833</v>
      </c>
      <c r="N643" s="1">
        <v>45833</v>
      </c>
      <c r="O643" s="3" t="s">
        <v>41</v>
      </c>
      <c r="P643" s="178">
        <v>0</v>
      </c>
      <c r="Q643" s="179"/>
      <c r="R643" s="217">
        <v>5</v>
      </c>
      <c r="S643" s="218"/>
      <c r="T643" s="180">
        <v>20</v>
      </c>
      <c r="U643" s="181">
        <v>0</v>
      </c>
      <c r="V643" s="181">
        <v>20</v>
      </c>
      <c r="W643" s="181">
        <v>0</v>
      </c>
      <c r="X643" s="181">
        <f t="shared" si="34"/>
        <v>20</v>
      </c>
      <c r="Y643" s="3">
        <v>4</v>
      </c>
      <c r="Z643" s="3" t="s">
        <v>2772</v>
      </c>
      <c r="AA643" s="2" t="s">
        <v>3634</v>
      </c>
    </row>
    <row r="644" spans="1:30" ht="23.25" hidden="1" customHeight="1">
      <c r="A644" s="275"/>
      <c r="B644" s="3">
        <v>2025</v>
      </c>
      <c r="C644" s="3" t="s">
        <v>42</v>
      </c>
      <c r="D644" s="3" t="s">
        <v>52</v>
      </c>
      <c r="E644" s="3" t="s">
        <v>2412</v>
      </c>
      <c r="F644" s="173" t="s">
        <v>2413</v>
      </c>
      <c r="G644" s="173"/>
      <c r="H644" s="173"/>
      <c r="I644" s="174" t="s">
        <v>48</v>
      </c>
      <c r="J644" s="2" t="s">
        <v>18</v>
      </c>
      <c r="K644" s="177" t="s">
        <v>3041</v>
      </c>
      <c r="L644" s="244" t="s">
        <v>3635</v>
      </c>
      <c r="M644" s="1">
        <v>45838</v>
      </c>
      <c r="N644" s="1">
        <v>45842</v>
      </c>
      <c r="O644" s="3" t="s">
        <v>41</v>
      </c>
      <c r="Q644" s="179"/>
      <c r="R644" s="217">
        <v>4.8</v>
      </c>
      <c r="S644" s="218">
        <v>0.8</v>
      </c>
      <c r="T644" s="180">
        <v>25</v>
      </c>
      <c r="U644" s="181">
        <v>0</v>
      </c>
      <c r="V644" s="181">
        <v>0</v>
      </c>
      <c r="W644" s="181">
        <v>25</v>
      </c>
      <c r="X644" s="181">
        <f t="shared" si="34"/>
        <v>25</v>
      </c>
      <c r="Y644" s="3">
        <v>5</v>
      </c>
      <c r="Z644" s="3" t="s">
        <v>2939</v>
      </c>
      <c r="AA644" s="341" t="s">
        <v>1033</v>
      </c>
    </row>
    <row r="645" spans="1:30" ht="23.25" hidden="1" customHeight="1">
      <c r="A645" s="281"/>
      <c r="B645" s="3">
        <v>2025</v>
      </c>
      <c r="C645" s="3" t="s">
        <v>42</v>
      </c>
      <c r="D645" s="3" t="s">
        <v>52</v>
      </c>
      <c r="E645" s="3" t="s">
        <v>2416</v>
      </c>
      <c r="F645" s="173" t="s">
        <v>2170</v>
      </c>
      <c r="G645" s="173"/>
      <c r="H645" s="173"/>
      <c r="I645" s="174" t="s">
        <v>48</v>
      </c>
      <c r="J645" s="2" t="s">
        <v>18</v>
      </c>
      <c r="K645" s="177" t="s">
        <v>3041</v>
      </c>
      <c r="L645" s="177" t="s">
        <v>2417</v>
      </c>
      <c r="M645" s="1">
        <v>45842</v>
      </c>
      <c r="N645" s="1">
        <v>45842</v>
      </c>
      <c r="O645" s="3" t="s">
        <v>41</v>
      </c>
      <c r="P645" s="178">
        <v>5834.98</v>
      </c>
      <c r="Q645" s="179"/>
      <c r="R645" s="217">
        <v>4.87</v>
      </c>
      <c r="S645" s="218">
        <v>0.85</v>
      </c>
      <c r="T645" s="180">
        <v>30</v>
      </c>
      <c r="U645" s="181">
        <v>0</v>
      </c>
      <c r="V645" s="181">
        <v>0</v>
      </c>
      <c r="W645" s="181">
        <v>24</v>
      </c>
      <c r="X645" s="181">
        <f t="shared" si="34"/>
        <v>24</v>
      </c>
      <c r="Y645" s="3">
        <v>4</v>
      </c>
      <c r="Z645" s="3" t="s">
        <v>2772</v>
      </c>
      <c r="AA645" s="245" t="s">
        <v>2418</v>
      </c>
    </row>
    <row r="646" spans="1:30" ht="23.25" hidden="1" customHeight="1">
      <c r="A646" s="281"/>
      <c r="B646" s="3">
        <v>2025</v>
      </c>
      <c r="C646" s="281" t="s">
        <v>42</v>
      </c>
      <c r="D646" s="3" t="s">
        <v>52</v>
      </c>
      <c r="E646" s="3" t="s">
        <v>2420</v>
      </c>
      <c r="F646" s="173" t="s">
        <v>2421</v>
      </c>
      <c r="G646" s="173"/>
      <c r="H646" s="173"/>
      <c r="I646" s="174" t="s">
        <v>44</v>
      </c>
      <c r="J646" s="2" t="s">
        <v>15</v>
      </c>
      <c r="K646" s="177" t="s">
        <v>3041</v>
      </c>
      <c r="L646" s="177" t="s">
        <v>3636</v>
      </c>
      <c r="M646" s="1">
        <v>45842</v>
      </c>
      <c r="N646" s="1">
        <v>45904</v>
      </c>
      <c r="O646" s="3" t="s">
        <v>41</v>
      </c>
      <c r="P646" s="178">
        <v>6800.82</v>
      </c>
      <c r="Q646" s="179"/>
      <c r="R646" s="217">
        <v>4.7</v>
      </c>
      <c r="S646" s="218"/>
      <c r="T646" s="180">
        <v>30</v>
      </c>
      <c r="U646" s="181">
        <v>0</v>
      </c>
      <c r="V646" s="181">
        <v>46</v>
      </c>
      <c r="W646" s="181">
        <v>0</v>
      </c>
      <c r="X646" s="181">
        <f t="shared" si="34"/>
        <v>46</v>
      </c>
      <c r="Y646" s="3">
        <v>12</v>
      </c>
      <c r="Z646" s="3" t="s">
        <v>2772</v>
      </c>
      <c r="AA646" s="2" t="s">
        <v>1472</v>
      </c>
      <c r="AD646" s="278" t="s">
        <v>3637</v>
      </c>
    </row>
    <row r="647" spans="1:30" ht="23.25" hidden="1" customHeight="1">
      <c r="A647" s="281"/>
      <c r="B647" s="3">
        <v>2025</v>
      </c>
      <c r="C647" s="3" t="s">
        <v>42</v>
      </c>
      <c r="D647" s="326" t="s">
        <v>52</v>
      </c>
      <c r="E647" s="3" t="s">
        <v>2424</v>
      </c>
      <c r="F647" s="173" t="s">
        <v>2425</v>
      </c>
      <c r="G647" s="173"/>
      <c r="H647" s="173"/>
      <c r="I647" s="174" t="s">
        <v>48</v>
      </c>
      <c r="J647" s="2" t="s">
        <v>18</v>
      </c>
      <c r="K647" s="177" t="s">
        <v>3041</v>
      </c>
      <c r="L647" s="177" t="s">
        <v>2426</v>
      </c>
      <c r="M647" s="1">
        <v>45845</v>
      </c>
      <c r="N647" s="1">
        <v>45849</v>
      </c>
      <c r="O647" s="3" t="s">
        <v>41</v>
      </c>
      <c r="P647" s="178">
        <v>7687.84</v>
      </c>
      <c r="Q647" s="179"/>
      <c r="R647" s="217">
        <v>4.9000000000000004</v>
      </c>
      <c r="S647" s="218">
        <v>1</v>
      </c>
      <c r="T647" s="180">
        <v>30</v>
      </c>
      <c r="U647" s="181">
        <v>0</v>
      </c>
      <c r="V647" s="181">
        <v>37</v>
      </c>
      <c r="W647" s="181">
        <v>0</v>
      </c>
      <c r="X647" s="181">
        <f t="shared" si="34"/>
        <v>37</v>
      </c>
      <c r="Y647" s="3">
        <v>12</v>
      </c>
      <c r="Z647" s="3" t="s">
        <v>2780</v>
      </c>
      <c r="AA647" s="2" t="s">
        <v>3638</v>
      </c>
    </row>
    <row r="648" spans="1:30" ht="23.25" hidden="1" customHeight="1">
      <c r="A648" s="281"/>
      <c r="B648" s="3">
        <v>2025</v>
      </c>
      <c r="C648" s="342" t="s">
        <v>42</v>
      </c>
      <c r="D648" s="287" t="s">
        <v>52</v>
      </c>
      <c r="E648" s="287" t="s">
        <v>2429</v>
      </c>
      <c r="F648" s="296" t="s">
        <v>2430</v>
      </c>
      <c r="G648" s="173"/>
      <c r="H648" s="173"/>
      <c r="I648" s="174" t="s">
        <v>33</v>
      </c>
      <c r="J648" s="343" t="s">
        <v>13</v>
      </c>
      <c r="K648" s="177" t="s">
        <v>3022</v>
      </c>
      <c r="L648" s="299" t="s">
        <v>3639</v>
      </c>
      <c r="M648" s="300">
        <v>45848</v>
      </c>
      <c r="N648" s="300">
        <v>45945</v>
      </c>
      <c r="O648" s="287" t="s">
        <v>45</v>
      </c>
      <c r="P648" s="301"/>
      <c r="Q648" s="302"/>
      <c r="R648" s="303">
        <v>4.63</v>
      </c>
      <c r="S648" s="312"/>
      <c r="T648" s="304">
        <v>30</v>
      </c>
      <c r="U648" s="305">
        <v>20</v>
      </c>
      <c r="V648" s="305">
        <v>4</v>
      </c>
      <c r="W648" s="305">
        <v>0</v>
      </c>
      <c r="X648" s="305">
        <v>24</v>
      </c>
      <c r="Y648" s="287">
        <v>20</v>
      </c>
      <c r="Z648" s="3" t="s">
        <v>2772</v>
      </c>
      <c r="AA648" s="298" t="s">
        <v>3640</v>
      </c>
      <c r="AB648" s="306"/>
      <c r="AC648" s="298"/>
      <c r="AD648" s="298"/>
    </row>
    <row r="649" spans="1:30" ht="23.25" hidden="1" customHeight="1">
      <c r="A649" s="281"/>
      <c r="B649" s="3">
        <v>2025</v>
      </c>
      <c r="C649" s="287" t="s">
        <v>42</v>
      </c>
      <c r="D649" s="344" t="s">
        <v>52</v>
      </c>
      <c r="E649" s="3" t="s">
        <v>2433</v>
      </c>
      <c r="F649" s="173" t="s">
        <v>2434</v>
      </c>
      <c r="G649" s="173"/>
      <c r="H649" s="173"/>
      <c r="I649" s="174" t="s">
        <v>44</v>
      </c>
      <c r="J649" s="2" t="s">
        <v>15</v>
      </c>
      <c r="K649" s="177" t="s">
        <v>3022</v>
      </c>
      <c r="L649" s="177" t="s">
        <v>2435</v>
      </c>
      <c r="M649" s="1">
        <v>45859</v>
      </c>
      <c r="N649" s="1">
        <v>45867</v>
      </c>
      <c r="O649" s="3" t="s">
        <v>41</v>
      </c>
      <c r="P649" s="178">
        <v>12555.28</v>
      </c>
      <c r="Q649" s="179"/>
      <c r="R649" s="217">
        <v>4.8</v>
      </c>
      <c r="S649" s="218"/>
      <c r="T649" s="180">
        <v>30</v>
      </c>
      <c r="U649" s="181">
        <v>0</v>
      </c>
      <c r="V649" s="181">
        <v>30</v>
      </c>
      <c r="W649" s="181">
        <v>0</v>
      </c>
      <c r="X649" s="181">
        <f>SUM(U649:W649)</f>
        <v>30</v>
      </c>
      <c r="Y649" s="3">
        <v>16</v>
      </c>
      <c r="Z649" s="3" t="s">
        <v>2780</v>
      </c>
      <c r="AA649" s="2" t="s">
        <v>3641</v>
      </c>
      <c r="AB649" s="288"/>
      <c r="AC649" s="298"/>
      <c r="AD649" s="345" t="s">
        <v>3642</v>
      </c>
    </row>
    <row r="650" spans="1:30" ht="23.25" hidden="1" customHeight="1">
      <c r="A650" s="281"/>
      <c r="B650" s="3">
        <v>2025</v>
      </c>
      <c r="C650" s="287" t="s">
        <v>42</v>
      </c>
      <c r="D650" s="344" t="s">
        <v>52</v>
      </c>
      <c r="E650" s="287" t="s">
        <v>2397</v>
      </c>
      <c r="F650" s="296" t="s">
        <v>2437</v>
      </c>
      <c r="G650" s="296"/>
      <c r="H650" s="296"/>
      <c r="I650" s="310" t="s">
        <v>33</v>
      </c>
      <c r="J650" s="298" t="s">
        <v>22</v>
      </c>
      <c r="K650" s="177" t="s">
        <v>3022</v>
      </c>
      <c r="L650" s="299" t="s">
        <v>2438</v>
      </c>
      <c r="M650" s="300">
        <v>45860</v>
      </c>
      <c r="N650" s="300">
        <v>45862</v>
      </c>
      <c r="O650" s="287" t="s">
        <v>41</v>
      </c>
      <c r="P650" s="301">
        <v>4533.88</v>
      </c>
      <c r="Q650" s="302"/>
      <c r="R650" s="303">
        <v>4.87</v>
      </c>
      <c r="S650" s="312"/>
      <c r="T650" s="304">
        <v>20</v>
      </c>
      <c r="U650" s="305">
        <v>21</v>
      </c>
      <c r="V650" s="305">
        <v>0</v>
      </c>
      <c r="W650" s="305">
        <v>0</v>
      </c>
      <c r="X650" s="181">
        <f>SUM(U650:W650)</f>
        <v>21</v>
      </c>
      <c r="Y650" s="287">
        <v>8</v>
      </c>
      <c r="Z650" s="287" t="s">
        <v>3574</v>
      </c>
      <c r="AA650" s="298" t="s">
        <v>2400</v>
      </c>
      <c r="AB650" s="306"/>
      <c r="AC650" s="298"/>
      <c r="AD650" s="345" t="s">
        <v>3643</v>
      </c>
    </row>
    <row r="651" spans="1:30" ht="23.25" hidden="1" customHeight="1">
      <c r="A651" s="281"/>
      <c r="B651" s="3">
        <v>2025</v>
      </c>
      <c r="C651" s="287" t="s">
        <v>42</v>
      </c>
      <c r="D651" s="344" t="s">
        <v>52</v>
      </c>
      <c r="E651" s="287" t="s">
        <v>2440</v>
      </c>
      <c r="F651" s="296" t="s">
        <v>2441</v>
      </c>
      <c r="G651" s="296"/>
      <c r="H651" s="296"/>
      <c r="I651" s="310" t="s">
        <v>33</v>
      </c>
      <c r="J651" s="343" t="s">
        <v>13</v>
      </c>
      <c r="K651" s="177" t="s">
        <v>3022</v>
      </c>
      <c r="L651" s="299" t="s">
        <v>3644</v>
      </c>
      <c r="M651" s="300">
        <v>45869</v>
      </c>
      <c r="N651" s="300">
        <v>45870</v>
      </c>
      <c r="O651" s="287" t="s">
        <v>41</v>
      </c>
      <c r="P651" s="346">
        <v>4533.88</v>
      </c>
      <c r="Q651" s="302"/>
      <c r="R651" s="303">
        <v>4.8499999999999996</v>
      </c>
      <c r="S651" s="312"/>
      <c r="T651" s="304">
        <v>20</v>
      </c>
      <c r="U651" s="305">
        <v>14</v>
      </c>
      <c r="V651" s="305">
        <v>13</v>
      </c>
      <c r="W651" s="305">
        <v>0</v>
      </c>
      <c r="X651" s="181">
        <f>SUM(U651:W651)</f>
        <v>27</v>
      </c>
      <c r="Y651" s="287">
        <v>8</v>
      </c>
      <c r="Z651" s="287" t="s">
        <v>2784</v>
      </c>
      <c r="AA651" s="298" t="s">
        <v>3547</v>
      </c>
      <c r="AB651" s="306"/>
      <c r="AC651" s="298"/>
      <c r="AD651" s="347" t="s">
        <v>3645</v>
      </c>
    </row>
    <row r="652" spans="1:30" ht="23.25" hidden="1" customHeight="1">
      <c r="A652" s="281"/>
      <c r="B652" s="3">
        <v>2025</v>
      </c>
      <c r="C652" s="287" t="s">
        <v>42</v>
      </c>
      <c r="D652" s="344" t="s">
        <v>52</v>
      </c>
      <c r="E652" s="287" t="s">
        <v>2444</v>
      </c>
      <c r="F652" s="296" t="s">
        <v>2445</v>
      </c>
      <c r="G652" s="296"/>
      <c r="H652" s="296"/>
      <c r="I652" s="310" t="s">
        <v>33</v>
      </c>
      <c r="J652" s="348" t="s">
        <v>2965</v>
      </c>
      <c r="K652" s="299" t="s">
        <v>3022</v>
      </c>
      <c r="L652" s="349" t="s">
        <v>3646</v>
      </c>
      <c r="M652" s="300">
        <v>45873</v>
      </c>
      <c r="N652" s="300">
        <v>45898</v>
      </c>
      <c r="O652" s="287" t="s">
        <v>41</v>
      </c>
      <c r="P652" s="301"/>
      <c r="Q652" s="302"/>
      <c r="R652" s="303">
        <v>4.8600000000000003</v>
      </c>
      <c r="S652" s="312"/>
      <c r="T652" s="304">
        <v>20</v>
      </c>
      <c r="U652" s="305">
        <v>14</v>
      </c>
      <c r="V652" s="305">
        <v>12</v>
      </c>
      <c r="W652" s="305">
        <v>0</v>
      </c>
      <c r="X652" s="181">
        <v>26</v>
      </c>
      <c r="Y652" s="287">
        <v>36</v>
      </c>
      <c r="Z652" s="287" t="s">
        <v>2784</v>
      </c>
      <c r="AA652" s="298" t="s">
        <v>3481</v>
      </c>
      <c r="AB652" s="306"/>
      <c r="AC652" s="298"/>
      <c r="AD652" s="298"/>
    </row>
    <row r="653" spans="1:30" ht="23.25" hidden="1" customHeight="1">
      <c r="A653" s="281"/>
      <c r="B653" s="3">
        <v>2025</v>
      </c>
      <c r="C653" s="287" t="s">
        <v>42</v>
      </c>
      <c r="D653" s="344" t="s">
        <v>52</v>
      </c>
      <c r="E653" s="287" t="s">
        <v>2448</v>
      </c>
      <c r="F653" s="296" t="s">
        <v>2449</v>
      </c>
      <c r="G653" s="296"/>
      <c r="H653" s="296"/>
      <c r="I653" s="310" t="s">
        <v>33</v>
      </c>
      <c r="J653" s="298" t="s">
        <v>25</v>
      </c>
      <c r="K653" s="299" t="s">
        <v>3022</v>
      </c>
      <c r="L653" s="350" t="s">
        <v>3647</v>
      </c>
      <c r="M653" s="300">
        <v>45874</v>
      </c>
      <c r="N653" s="300">
        <v>45904</v>
      </c>
      <c r="O653" s="287" t="s">
        <v>45</v>
      </c>
      <c r="P653" s="301">
        <v>37800</v>
      </c>
      <c r="Q653" s="302"/>
      <c r="R653" s="303">
        <v>4.4800000000000004</v>
      </c>
      <c r="S653" s="312"/>
      <c r="T653" s="304">
        <v>30</v>
      </c>
      <c r="U653" s="305">
        <v>28</v>
      </c>
      <c r="V653" s="305">
        <v>0</v>
      </c>
      <c r="W653" s="305">
        <v>0</v>
      </c>
      <c r="X653" s="181">
        <v>28</v>
      </c>
      <c r="Y653" s="287">
        <v>40</v>
      </c>
      <c r="Z653" s="287" t="s">
        <v>3574</v>
      </c>
      <c r="AA653" s="298" t="s">
        <v>2451</v>
      </c>
      <c r="AB653" s="306"/>
      <c r="AC653" s="298"/>
      <c r="AD653" s="298"/>
    </row>
    <row r="654" spans="1:30" ht="23.25" hidden="1" customHeight="1">
      <c r="A654" s="281"/>
      <c r="B654" s="3">
        <v>2025</v>
      </c>
      <c r="C654" s="287" t="s">
        <v>42</v>
      </c>
      <c r="D654" s="344" t="s">
        <v>52</v>
      </c>
      <c r="E654" s="3" t="s">
        <v>2407</v>
      </c>
      <c r="F654" s="173" t="s">
        <v>2453</v>
      </c>
      <c r="G654" s="173"/>
      <c r="H654" s="173"/>
      <c r="I654" s="310" t="s">
        <v>44</v>
      </c>
      <c r="J654" s="298" t="s">
        <v>15</v>
      </c>
      <c r="K654" s="177" t="s">
        <v>3022</v>
      </c>
      <c r="L654" s="177" t="s">
        <v>2454</v>
      </c>
      <c r="M654" s="1">
        <v>45876</v>
      </c>
      <c r="N654" s="1">
        <v>45876</v>
      </c>
      <c r="O654" s="287" t="s">
        <v>41</v>
      </c>
      <c r="P654" s="178">
        <v>0</v>
      </c>
      <c r="Q654" s="179"/>
      <c r="R654" s="217">
        <v>4.8</v>
      </c>
      <c r="S654" s="218"/>
      <c r="T654" s="180">
        <v>20</v>
      </c>
      <c r="U654" s="181">
        <v>0</v>
      </c>
      <c r="V654" s="181">
        <v>20</v>
      </c>
      <c r="W654" s="181">
        <v>0</v>
      </c>
      <c r="X654" s="181">
        <f>SUM(U654:W654)</f>
        <v>20</v>
      </c>
      <c r="Y654" s="3">
        <v>4</v>
      </c>
      <c r="Z654" s="3" t="s">
        <v>2772</v>
      </c>
      <c r="AA654" s="2" t="s">
        <v>3634</v>
      </c>
      <c r="AD654" s="12"/>
    </row>
    <row r="655" spans="1:30" ht="23.25" hidden="1" customHeight="1">
      <c r="A655" s="281"/>
      <c r="B655" s="3">
        <v>2025</v>
      </c>
      <c r="C655" s="287" t="s">
        <v>42</v>
      </c>
      <c r="D655" s="344" t="s">
        <v>52</v>
      </c>
      <c r="E655" s="3" t="s">
        <v>3648</v>
      </c>
      <c r="F655" s="173" t="s">
        <v>2458</v>
      </c>
      <c r="G655" s="173"/>
      <c r="H655" s="173"/>
      <c r="I655" s="310" t="s">
        <v>33</v>
      </c>
      <c r="J655" s="343" t="s">
        <v>32</v>
      </c>
      <c r="K655" s="177" t="s">
        <v>3022</v>
      </c>
      <c r="L655" s="177" t="s">
        <v>2459</v>
      </c>
      <c r="M655" s="1">
        <v>45877</v>
      </c>
      <c r="N655" s="1">
        <v>45877</v>
      </c>
      <c r="O655" s="287" t="s">
        <v>41</v>
      </c>
      <c r="Q655" s="179"/>
      <c r="R655" s="217">
        <v>4.9000000000000004</v>
      </c>
      <c r="S655" s="218"/>
      <c r="T655" s="180">
        <v>170</v>
      </c>
      <c r="U655" s="181">
        <v>170</v>
      </c>
      <c r="V655" s="181">
        <v>0</v>
      </c>
      <c r="W655" s="181">
        <v>0</v>
      </c>
      <c r="X655" s="181">
        <v>0</v>
      </c>
      <c r="Y655" s="3">
        <v>2</v>
      </c>
      <c r="Z655" s="3" t="s">
        <v>2939</v>
      </c>
      <c r="AA655" s="245" t="s">
        <v>3649</v>
      </c>
      <c r="AD655" s="12"/>
    </row>
    <row r="656" spans="1:30" ht="23.25" hidden="1" customHeight="1">
      <c r="A656" s="281"/>
      <c r="B656" s="3">
        <v>2025</v>
      </c>
      <c r="C656" s="287" t="s">
        <v>42</v>
      </c>
      <c r="D656" s="344" t="s">
        <v>52</v>
      </c>
      <c r="E656" s="3" t="s">
        <v>2457</v>
      </c>
      <c r="F656" s="173" t="s">
        <v>2462</v>
      </c>
      <c r="G656" s="173"/>
      <c r="H656" s="173"/>
      <c r="I656" s="310" t="s">
        <v>33</v>
      </c>
      <c r="J656" s="298" t="s">
        <v>32</v>
      </c>
      <c r="K656" s="177" t="s">
        <v>3022</v>
      </c>
      <c r="L656" s="3" t="s">
        <v>2459</v>
      </c>
      <c r="M656" s="1">
        <v>45877</v>
      </c>
      <c r="N656" s="1">
        <v>45877</v>
      </c>
      <c r="O656" s="287" t="s">
        <v>41</v>
      </c>
      <c r="Q656" s="179"/>
      <c r="R656" s="217">
        <v>4.9000000000000004</v>
      </c>
      <c r="S656" s="218">
        <v>0.97</v>
      </c>
      <c r="T656" s="180">
        <v>170</v>
      </c>
      <c r="U656" s="181">
        <v>170</v>
      </c>
      <c r="V656" s="181">
        <v>0</v>
      </c>
      <c r="W656" s="181">
        <v>0</v>
      </c>
      <c r="X656" s="181">
        <f t="shared" ref="X656:X664" si="35">SUM(U656:W656)</f>
        <v>170</v>
      </c>
      <c r="Y656" s="3">
        <v>2</v>
      </c>
      <c r="Z656" s="3" t="s">
        <v>2939</v>
      </c>
      <c r="AA656" s="245" t="s">
        <v>3650</v>
      </c>
      <c r="AD656" s="12"/>
    </row>
    <row r="657" spans="1:30" ht="23.25" hidden="1" customHeight="1">
      <c r="A657" s="281"/>
      <c r="B657" s="3">
        <v>2025</v>
      </c>
      <c r="C657" s="3" t="s">
        <v>42</v>
      </c>
      <c r="D657" s="326" t="s">
        <v>52</v>
      </c>
      <c r="E657" s="3" t="s">
        <v>2465</v>
      </c>
      <c r="F657" s="173" t="s">
        <v>2466</v>
      </c>
      <c r="G657" s="173"/>
      <c r="H657" s="173"/>
      <c r="I657" s="174" t="s">
        <v>33</v>
      </c>
      <c r="J657" s="245" t="s">
        <v>32</v>
      </c>
      <c r="K657" s="177" t="s">
        <v>3022</v>
      </c>
      <c r="L657" s="177" t="s">
        <v>2467</v>
      </c>
      <c r="M657" s="1">
        <v>45880</v>
      </c>
      <c r="N657" s="1">
        <v>45884</v>
      </c>
      <c r="O657" s="287" t="s">
        <v>45</v>
      </c>
      <c r="P657" s="178">
        <v>16500</v>
      </c>
      <c r="Q657" s="179"/>
      <c r="R657" s="217">
        <v>4.9000000000000004</v>
      </c>
      <c r="S657" s="218"/>
      <c r="T657" s="180">
        <v>20</v>
      </c>
      <c r="U657" s="181">
        <v>19</v>
      </c>
      <c r="V657" s="181">
        <v>0</v>
      </c>
      <c r="W657" s="181">
        <v>0</v>
      </c>
      <c r="X657" s="181">
        <f t="shared" si="35"/>
        <v>19</v>
      </c>
      <c r="Y657" s="3">
        <v>20</v>
      </c>
      <c r="Z657" s="3" t="s">
        <v>2772</v>
      </c>
      <c r="AA657" s="2" t="s">
        <v>810</v>
      </c>
      <c r="AD657" s="12"/>
    </row>
    <row r="658" spans="1:30" ht="23.25" hidden="1" customHeight="1">
      <c r="A658" s="281"/>
      <c r="B658" s="3">
        <v>2025</v>
      </c>
      <c r="C658" s="3" t="s">
        <v>42</v>
      </c>
      <c r="D658" s="326" t="s">
        <v>52</v>
      </c>
      <c r="E658" s="3" t="s">
        <v>2469</v>
      </c>
      <c r="F658" s="173" t="s">
        <v>2470</v>
      </c>
      <c r="G658" s="173"/>
      <c r="H658" s="173"/>
      <c r="I658" s="174" t="s">
        <v>33</v>
      </c>
      <c r="J658" s="2" t="s">
        <v>10</v>
      </c>
      <c r="K658" s="177" t="s">
        <v>3022</v>
      </c>
      <c r="L658" s="177" t="s">
        <v>2471</v>
      </c>
      <c r="M658" s="1">
        <v>45881</v>
      </c>
      <c r="N658" s="1">
        <v>45884</v>
      </c>
      <c r="O658" s="287" t="s">
        <v>41</v>
      </c>
      <c r="P658" s="178">
        <v>10030.61</v>
      </c>
      <c r="Q658" s="179"/>
      <c r="R658" s="217">
        <v>4.9000000000000004</v>
      </c>
      <c r="S658" s="218"/>
      <c r="T658" s="180">
        <v>20</v>
      </c>
      <c r="U658" s="181">
        <v>19</v>
      </c>
      <c r="V658" s="181">
        <v>0</v>
      </c>
      <c r="W658" s="181">
        <v>0</v>
      </c>
      <c r="X658" s="181">
        <f t="shared" si="35"/>
        <v>19</v>
      </c>
      <c r="Y658" s="3">
        <v>12</v>
      </c>
      <c r="Z658" s="3" t="s">
        <v>2784</v>
      </c>
      <c r="AA658" s="2" t="s">
        <v>2472</v>
      </c>
    </row>
    <row r="659" spans="1:30" ht="23.25" hidden="1" customHeight="1">
      <c r="A659" s="281"/>
      <c r="B659" s="3">
        <v>2025</v>
      </c>
      <c r="C659" s="3" t="s">
        <v>42</v>
      </c>
      <c r="D659" s="3" t="s">
        <v>52</v>
      </c>
      <c r="E659" s="3" t="s">
        <v>2373</v>
      </c>
      <c r="F659" s="248" t="s">
        <v>2474</v>
      </c>
      <c r="G659" s="173"/>
      <c r="H659" s="173"/>
      <c r="I659" s="174" t="s">
        <v>48</v>
      </c>
      <c r="J659" s="2" t="s">
        <v>18</v>
      </c>
      <c r="K659" s="177" t="s">
        <v>3041</v>
      </c>
      <c r="L659" s="177" t="s">
        <v>2475</v>
      </c>
      <c r="M659" s="1">
        <v>45881</v>
      </c>
      <c r="N659" s="1" t="s">
        <v>2475</v>
      </c>
      <c r="O659" s="3" t="s">
        <v>41</v>
      </c>
      <c r="P659" s="178">
        <v>1700.2</v>
      </c>
      <c r="Q659" s="179"/>
      <c r="R659" s="217"/>
      <c r="S659" s="218"/>
      <c r="T659" s="180">
        <v>0</v>
      </c>
      <c r="U659" s="181">
        <v>0</v>
      </c>
      <c r="V659" s="181">
        <v>0</v>
      </c>
      <c r="W659" s="181">
        <v>31</v>
      </c>
      <c r="X659" s="181">
        <f t="shared" si="35"/>
        <v>31</v>
      </c>
      <c r="Y659" s="3">
        <v>3</v>
      </c>
      <c r="Z659" s="3" t="s">
        <v>2784</v>
      </c>
      <c r="AA659" s="2" t="s">
        <v>2038</v>
      </c>
    </row>
    <row r="660" spans="1:30" ht="23.25" hidden="1" customHeight="1">
      <c r="A660" s="281"/>
      <c r="B660" s="3">
        <v>2025</v>
      </c>
      <c r="C660" s="3" t="s">
        <v>42</v>
      </c>
      <c r="D660" s="3" t="s">
        <v>52</v>
      </c>
      <c r="E660" s="3" t="s">
        <v>2477</v>
      </c>
      <c r="F660" s="173" t="s">
        <v>2478</v>
      </c>
      <c r="G660" s="173"/>
      <c r="H660" s="173"/>
      <c r="I660" s="174" t="s">
        <v>33</v>
      </c>
      <c r="J660" s="2" t="s">
        <v>25</v>
      </c>
      <c r="K660" s="177" t="s">
        <v>3041</v>
      </c>
      <c r="L660" s="177" t="s">
        <v>2479</v>
      </c>
      <c r="M660" s="1">
        <v>45885</v>
      </c>
      <c r="N660" s="1">
        <v>45886</v>
      </c>
      <c r="O660" s="287" t="s">
        <v>45</v>
      </c>
      <c r="P660" s="178">
        <v>43500</v>
      </c>
      <c r="Q660" s="179"/>
      <c r="R660" s="217">
        <v>5</v>
      </c>
      <c r="S660" s="218"/>
      <c r="T660" s="180">
        <v>15</v>
      </c>
      <c r="U660" s="181">
        <v>15</v>
      </c>
      <c r="V660" s="181">
        <v>0</v>
      </c>
      <c r="W660" s="181">
        <v>0</v>
      </c>
      <c r="X660" s="181">
        <f t="shared" si="35"/>
        <v>15</v>
      </c>
      <c r="Y660" s="3">
        <v>16</v>
      </c>
      <c r="Z660" s="3" t="s">
        <v>2784</v>
      </c>
      <c r="AA660" s="2" t="s">
        <v>2480</v>
      </c>
    </row>
    <row r="661" spans="1:30" ht="23.25" hidden="1" customHeight="1">
      <c r="A661" s="281"/>
      <c r="B661" s="3">
        <v>2025</v>
      </c>
      <c r="C661" s="3" t="s">
        <v>42</v>
      </c>
      <c r="D661" s="326" t="s">
        <v>52</v>
      </c>
      <c r="E661" s="3" t="s">
        <v>3651</v>
      </c>
      <c r="F661" s="173" t="s">
        <v>2483</v>
      </c>
      <c r="G661" s="173"/>
      <c r="H661" s="173"/>
      <c r="I661" s="351" t="s">
        <v>33</v>
      </c>
      <c r="J661" s="245" t="s">
        <v>32</v>
      </c>
      <c r="K661" s="177" t="s">
        <v>3041</v>
      </c>
      <c r="L661" s="177" t="s">
        <v>2484</v>
      </c>
      <c r="M661" s="1">
        <v>45887</v>
      </c>
      <c r="N661" s="1">
        <v>45887</v>
      </c>
      <c r="O661" s="287" t="s">
        <v>45</v>
      </c>
      <c r="P661" s="178">
        <v>13081.64</v>
      </c>
      <c r="Q661" s="179"/>
      <c r="R661" s="217"/>
      <c r="S661" s="218"/>
      <c r="T661" s="180">
        <v>100</v>
      </c>
      <c r="U661" s="181">
        <v>100</v>
      </c>
      <c r="V661" s="181">
        <v>0</v>
      </c>
      <c r="W661" s="181">
        <v>0</v>
      </c>
      <c r="X661" s="181">
        <f t="shared" si="35"/>
        <v>100</v>
      </c>
      <c r="Y661" s="3">
        <v>1.5</v>
      </c>
      <c r="Z661" s="3" t="s">
        <v>2939</v>
      </c>
      <c r="AA661" s="2" t="s">
        <v>2485</v>
      </c>
    </row>
    <row r="662" spans="1:30" ht="23.25" hidden="1" customHeight="1">
      <c r="A662" s="281"/>
      <c r="B662" s="3">
        <v>2025</v>
      </c>
      <c r="C662" s="3" t="s">
        <v>42</v>
      </c>
      <c r="D662" s="326" t="s">
        <v>52</v>
      </c>
      <c r="E662" s="3" t="s">
        <v>2482</v>
      </c>
      <c r="F662" s="173" t="s">
        <v>3652</v>
      </c>
      <c r="G662" s="173"/>
      <c r="H662" s="173"/>
      <c r="I662" s="174" t="s">
        <v>33</v>
      </c>
      <c r="J662" s="2" t="s">
        <v>32</v>
      </c>
      <c r="K662" s="177" t="s">
        <v>3041</v>
      </c>
      <c r="L662" s="3" t="s">
        <v>2484</v>
      </c>
      <c r="M662" s="1">
        <v>45887</v>
      </c>
      <c r="N662" s="1" t="s">
        <v>2484</v>
      </c>
      <c r="O662" s="3" t="s">
        <v>49</v>
      </c>
      <c r="Q662" s="179"/>
      <c r="R662" s="217">
        <v>4.8899999999999997</v>
      </c>
      <c r="S662" s="218">
        <v>0.88600000000000001</v>
      </c>
      <c r="T662" s="180">
        <v>114</v>
      </c>
      <c r="U662" s="181">
        <v>114</v>
      </c>
      <c r="V662" s="181">
        <v>0</v>
      </c>
      <c r="W662" s="181">
        <v>0</v>
      </c>
      <c r="X662" s="181">
        <f t="shared" si="35"/>
        <v>114</v>
      </c>
      <c r="Y662" s="3">
        <v>3</v>
      </c>
      <c r="Z662" s="3" t="s">
        <v>2939</v>
      </c>
      <c r="AA662" s="245" t="s">
        <v>3653</v>
      </c>
    </row>
    <row r="663" spans="1:30" ht="23.25" hidden="1" customHeight="1">
      <c r="A663" s="281"/>
      <c r="B663" s="3">
        <v>2025</v>
      </c>
      <c r="C663" s="3" t="s">
        <v>42</v>
      </c>
      <c r="D663" s="326" t="s">
        <v>52</v>
      </c>
      <c r="E663" s="3" t="s">
        <v>2490</v>
      </c>
      <c r="F663" s="173" t="s">
        <v>2491</v>
      </c>
      <c r="G663" s="173"/>
      <c r="H663" s="173"/>
      <c r="I663" s="310" t="s">
        <v>44</v>
      </c>
      <c r="J663" s="298" t="s">
        <v>15</v>
      </c>
      <c r="K663" s="177" t="s">
        <v>3022</v>
      </c>
      <c r="L663" s="177" t="s">
        <v>2492</v>
      </c>
      <c r="M663" s="1">
        <v>45890</v>
      </c>
      <c r="N663" s="1">
        <v>45891</v>
      </c>
      <c r="O663" s="3" t="s">
        <v>41</v>
      </c>
      <c r="P663" s="257">
        <v>4500</v>
      </c>
      <c r="Q663" s="179"/>
      <c r="R663" s="217">
        <v>4.7</v>
      </c>
      <c r="S663" s="218"/>
      <c r="T663" s="180">
        <v>400</v>
      </c>
      <c r="U663" s="181">
        <v>132</v>
      </c>
      <c r="V663" s="181">
        <v>359</v>
      </c>
      <c r="W663" s="181">
        <v>0</v>
      </c>
      <c r="X663" s="181">
        <f t="shared" si="35"/>
        <v>491</v>
      </c>
      <c r="Y663" s="3">
        <v>8</v>
      </c>
      <c r="Z663" s="3" t="s">
        <v>2772</v>
      </c>
      <c r="AA663" s="12" t="s">
        <v>492</v>
      </c>
    </row>
    <row r="664" spans="1:30" ht="23.25" hidden="1" customHeight="1">
      <c r="A664" s="281"/>
      <c r="B664" s="3">
        <v>2025</v>
      </c>
      <c r="C664" s="3" t="s">
        <v>42</v>
      </c>
      <c r="D664" s="326" t="s">
        <v>52</v>
      </c>
      <c r="E664" s="3" t="s">
        <v>2494</v>
      </c>
      <c r="F664" s="248" t="s">
        <v>3654</v>
      </c>
      <c r="G664" s="173"/>
      <c r="H664" s="173"/>
      <c r="I664" s="174" t="s">
        <v>44</v>
      </c>
      <c r="J664" s="2" t="s">
        <v>15</v>
      </c>
      <c r="K664" s="177" t="s">
        <v>3022</v>
      </c>
      <c r="L664" s="177" t="s">
        <v>2496</v>
      </c>
      <c r="M664" s="1">
        <v>45894</v>
      </c>
      <c r="N664" s="1">
        <v>45895</v>
      </c>
      <c r="O664" s="3" t="s">
        <v>41</v>
      </c>
      <c r="P664" s="257">
        <v>4000</v>
      </c>
      <c r="Q664" s="179"/>
      <c r="R664" s="217">
        <v>4.7</v>
      </c>
      <c r="S664" s="218"/>
      <c r="T664" s="180">
        <v>20</v>
      </c>
      <c r="U664" s="181">
        <v>0</v>
      </c>
      <c r="V664" s="181">
        <v>27</v>
      </c>
      <c r="W664" s="181">
        <v>0</v>
      </c>
      <c r="X664" s="181">
        <f t="shared" si="35"/>
        <v>27</v>
      </c>
      <c r="Y664" s="3">
        <v>8</v>
      </c>
      <c r="Z664" s="3" t="s">
        <v>2772</v>
      </c>
      <c r="AA664" s="2" t="s">
        <v>3457</v>
      </c>
    </row>
    <row r="665" spans="1:30" ht="23.25" hidden="1" customHeight="1">
      <c r="A665" s="332"/>
      <c r="B665" s="3">
        <v>2025</v>
      </c>
      <c r="C665" s="3" t="s">
        <v>42</v>
      </c>
      <c r="D665" s="326" t="s">
        <v>52</v>
      </c>
      <c r="E665" s="3" t="s">
        <v>2433</v>
      </c>
      <c r="F665" s="248" t="s">
        <v>3655</v>
      </c>
      <c r="G665" s="173"/>
      <c r="H665" s="173"/>
      <c r="I665" s="174" t="s">
        <v>44</v>
      </c>
      <c r="J665" s="2" t="s">
        <v>15</v>
      </c>
      <c r="K665" s="177" t="s">
        <v>3041</v>
      </c>
      <c r="L665" s="177" t="s">
        <v>3656</v>
      </c>
      <c r="M665" s="1">
        <v>45894</v>
      </c>
      <c r="N665" s="1">
        <v>45905</v>
      </c>
      <c r="O665" s="3" t="s">
        <v>41</v>
      </c>
      <c r="Q665" s="179"/>
      <c r="R665" s="217">
        <v>4.7699999999999996</v>
      </c>
      <c r="S665" s="218"/>
      <c r="T665" s="180">
        <v>30</v>
      </c>
      <c r="U665" s="181">
        <v>0</v>
      </c>
      <c r="V665" s="181">
        <v>63</v>
      </c>
      <c r="W665" s="181">
        <v>0</v>
      </c>
      <c r="X665" s="181">
        <v>63</v>
      </c>
      <c r="Y665" s="3">
        <v>16</v>
      </c>
      <c r="Z665" s="3" t="s">
        <v>2780</v>
      </c>
      <c r="AA665" s="2" t="s">
        <v>3641</v>
      </c>
      <c r="AB665" s="288"/>
    </row>
    <row r="666" spans="1:30" ht="23.25" hidden="1" customHeight="1">
      <c r="A666" s="281"/>
      <c r="B666" s="3">
        <v>2025</v>
      </c>
      <c r="C666" s="3" t="s">
        <v>42</v>
      </c>
      <c r="D666" s="326" t="s">
        <v>52</v>
      </c>
      <c r="E666" s="3" t="s">
        <v>2501</v>
      </c>
      <c r="F666" s="173" t="s">
        <v>2502</v>
      </c>
      <c r="G666" s="173"/>
      <c r="H666" s="173"/>
      <c r="I666" s="174" t="s">
        <v>44</v>
      </c>
      <c r="J666" s="2" t="s">
        <v>15</v>
      </c>
      <c r="K666" s="177" t="s">
        <v>3022</v>
      </c>
      <c r="L666" s="177" t="s">
        <v>2503</v>
      </c>
      <c r="M666" s="1">
        <v>45896</v>
      </c>
      <c r="N666" s="1" t="s">
        <v>2503</v>
      </c>
      <c r="O666" s="3" t="s">
        <v>41</v>
      </c>
      <c r="P666" s="257">
        <v>2000</v>
      </c>
      <c r="Q666" s="179"/>
      <c r="R666" s="217">
        <v>4.5999999999999996</v>
      </c>
      <c r="S666" s="218"/>
      <c r="T666" s="180">
        <v>50</v>
      </c>
      <c r="U666" s="181">
        <v>0</v>
      </c>
      <c r="V666" s="181">
        <v>42</v>
      </c>
      <c r="W666" s="181">
        <v>0</v>
      </c>
      <c r="X666" s="181">
        <f>SUM(U666:W666)</f>
        <v>42</v>
      </c>
      <c r="Y666" s="3">
        <v>4</v>
      </c>
      <c r="Z666" s="3" t="s">
        <v>2780</v>
      </c>
      <c r="AA666" s="2" t="s">
        <v>2504</v>
      </c>
    </row>
    <row r="667" spans="1:30" ht="23.25" hidden="1" customHeight="1">
      <c r="A667" s="281"/>
      <c r="B667" s="3">
        <v>2025</v>
      </c>
      <c r="C667" s="3" t="s">
        <v>42</v>
      </c>
      <c r="D667" s="3" t="s">
        <v>52</v>
      </c>
      <c r="E667" s="3" t="s">
        <v>2506</v>
      </c>
      <c r="F667" s="173" t="s">
        <v>2507</v>
      </c>
      <c r="G667" s="173"/>
      <c r="H667" s="173"/>
      <c r="I667" s="174" t="s">
        <v>44</v>
      </c>
      <c r="J667" s="2" t="s">
        <v>15</v>
      </c>
      <c r="K667" s="177" t="s">
        <v>3022</v>
      </c>
      <c r="L667" s="177" t="s">
        <v>2508</v>
      </c>
      <c r="M667" s="1">
        <v>45897</v>
      </c>
      <c r="N667" s="1">
        <v>45897</v>
      </c>
      <c r="O667" s="3" t="s">
        <v>41</v>
      </c>
      <c r="P667" s="257">
        <v>2000</v>
      </c>
      <c r="Q667" s="179"/>
      <c r="R667" s="217">
        <v>4.8899999999999997</v>
      </c>
      <c r="S667" s="218"/>
      <c r="T667" s="180">
        <v>27</v>
      </c>
      <c r="U667" s="181">
        <v>8</v>
      </c>
      <c r="V667" s="181">
        <v>19</v>
      </c>
      <c r="W667" s="181">
        <v>0</v>
      </c>
      <c r="X667" s="181">
        <f>SUM(U667:W667)</f>
        <v>27</v>
      </c>
      <c r="Y667" s="3">
        <v>4</v>
      </c>
      <c r="Z667" s="3" t="s">
        <v>2780</v>
      </c>
      <c r="AA667" s="2" t="s">
        <v>3657</v>
      </c>
    </row>
    <row r="668" spans="1:30" ht="23.25" hidden="1" customHeight="1">
      <c r="A668" s="332"/>
      <c r="B668" s="3">
        <v>2025</v>
      </c>
      <c r="C668" s="3" t="s">
        <v>42</v>
      </c>
      <c r="D668" s="326" t="s">
        <v>52</v>
      </c>
      <c r="E668" s="3" t="s">
        <v>2510</v>
      </c>
      <c r="F668" s="173" t="s">
        <v>2511</v>
      </c>
      <c r="G668" s="173"/>
      <c r="H668" s="173"/>
      <c r="I668" s="174" t="s">
        <v>44</v>
      </c>
      <c r="J668" s="2" t="s">
        <v>15</v>
      </c>
      <c r="K668" s="177" t="s">
        <v>3022</v>
      </c>
      <c r="L668" s="177" t="s">
        <v>2508</v>
      </c>
      <c r="M668" s="1">
        <v>45897</v>
      </c>
      <c r="N668" s="1" t="s">
        <v>2508</v>
      </c>
      <c r="O668" s="3" t="s">
        <v>41</v>
      </c>
      <c r="P668" s="257">
        <v>2000</v>
      </c>
      <c r="Q668" s="179"/>
      <c r="R668" s="217">
        <v>4.5</v>
      </c>
      <c r="S668" s="218"/>
      <c r="T668" s="180">
        <v>50</v>
      </c>
      <c r="U668" s="181">
        <v>0</v>
      </c>
      <c r="V668" s="181">
        <v>40</v>
      </c>
      <c r="W668" s="181">
        <v>0</v>
      </c>
      <c r="X668" s="181">
        <f>SUM(U668:W668)</f>
        <v>40</v>
      </c>
      <c r="Y668" s="3">
        <v>4</v>
      </c>
      <c r="Z668" s="3" t="s">
        <v>2780</v>
      </c>
      <c r="AA668" s="2" t="s">
        <v>1944</v>
      </c>
      <c r="AB668" s="288"/>
    </row>
    <row r="669" spans="1:30" ht="23.25" hidden="1" customHeight="1">
      <c r="A669" s="281"/>
      <c r="B669" s="3">
        <v>2025</v>
      </c>
      <c r="C669" s="3" t="s">
        <v>42</v>
      </c>
      <c r="D669" s="326" t="s">
        <v>52</v>
      </c>
      <c r="E669" s="3" t="s">
        <v>2513</v>
      </c>
      <c r="F669" s="173" t="s">
        <v>3658</v>
      </c>
      <c r="G669" s="173"/>
      <c r="H669" s="173"/>
      <c r="I669" s="174" t="s">
        <v>44</v>
      </c>
      <c r="J669" s="2" t="s">
        <v>15</v>
      </c>
      <c r="K669" s="177" t="s">
        <v>3041</v>
      </c>
      <c r="L669" s="177" t="s">
        <v>2515</v>
      </c>
      <c r="M669" s="1">
        <v>45902</v>
      </c>
      <c r="N669" s="1">
        <v>45904</v>
      </c>
      <c r="O669" s="3" t="s">
        <v>41</v>
      </c>
      <c r="Q669" s="179"/>
      <c r="R669" s="217">
        <v>4.8</v>
      </c>
      <c r="S669" s="218"/>
      <c r="T669" s="180">
        <v>40</v>
      </c>
      <c r="U669" s="181">
        <v>0</v>
      </c>
      <c r="V669" s="181">
        <v>47</v>
      </c>
      <c r="W669" s="181">
        <v>0</v>
      </c>
      <c r="X669" s="181">
        <v>47</v>
      </c>
      <c r="Y669" s="3">
        <v>12</v>
      </c>
      <c r="Z669" s="3" t="s">
        <v>2772</v>
      </c>
      <c r="AA669" s="2" t="s">
        <v>3562</v>
      </c>
    </row>
    <row r="670" spans="1:30" ht="23.25" hidden="1" customHeight="1">
      <c r="A670" s="281"/>
      <c r="B670" s="3">
        <v>2025</v>
      </c>
      <c r="C670" s="281" t="s">
        <v>42</v>
      </c>
      <c r="D670" s="3" t="s">
        <v>52</v>
      </c>
      <c r="E670" s="3" t="s">
        <v>2517</v>
      </c>
      <c r="F670" s="173" t="s">
        <v>2518</v>
      </c>
      <c r="G670" s="173"/>
      <c r="H670" s="173"/>
      <c r="I670" s="174" t="s">
        <v>33</v>
      </c>
      <c r="J670" s="245" t="s">
        <v>32</v>
      </c>
      <c r="K670" s="177" t="s">
        <v>3022</v>
      </c>
      <c r="L670" s="177" t="s">
        <v>2519</v>
      </c>
      <c r="M670" s="1">
        <v>45905</v>
      </c>
      <c r="N670" s="1" t="s">
        <v>2519</v>
      </c>
      <c r="O670" s="3" t="s">
        <v>41</v>
      </c>
      <c r="Q670" s="179"/>
      <c r="R670" s="217">
        <v>4.9000000000000004</v>
      </c>
      <c r="S670" s="218"/>
      <c r="T670" s="180">
        <v>25</v>
      </c>
      <c r="U670" s="181">
        <v>23</v>
      </c>
      <c r="V670" s="181">
        <v>0</v>
      </c>
      <c r="W670" s="181">
        <v>0</v>
      </c>
      <c r="X670" s="181">
        <v>23</v>
      </c>
      <c r="Y670" s="3">
        <v>4</v>
      </c>
      <c r="Z670" s="3" t="s">
        <v>2780</v>
      </c>
      <c r="AA670" s="245" t="s">
        <v>3659</v>
      </c>
    </row>
    <row r="671" spans="1:30" ht="23.25" hidden="1" customHeight="1">
      <c r="A671" s="281"/>
      <c r="B671" s="3">
        <v>2025</v>
      </c>
      <c r="C671" s="3" t="s">
        <v>42</v>
      </c>
      <c r="D671" s="326" t="s">
        <v>52</v>
      </c>
      <c r="E671" s="3" t="s">
        <v>2379</v>
      </c>
      <c r="F671" s="173" t="s">
        <v>2522</v>
      </c>
      <c r="G671" s="173"/>
      <c r="H671" s="173"/>
      <c r="I671" s="174" t="s">
        <v>33</v>
      </c>
      <c r="J671" s="2" t="s">
        <v>35</v>
      </c>
      <c r="K671" s="177" t="s">
        <v>3022</v>
      </c>
      <c r="L671" s="177" t="s">
        <v>3660</v>
      </c>
      <c r="M671" s="1">
        <v>45908</v>
      </c>
      <c r="N671" s="1">
        <v>45909</v>
      </c>
      <c r="O671" s="3" t="s">
        <v>41</v>
      </c>
      <c r="Q671" s="179"/>
      <c r="R671" s="217">
        <v>4.4000000000000004</v>
      </c>
      <c r="S671" s="218"/>
      <c r="T671" s="180">
        <v>30</v>
      </c>
      <c r="U671" s="181">
        <v>21</v>
      </c>
      <c r="V671" s="181">
        <v>0</v>
      </c>
      <c r="W671" s="181">
        <v>0</v>
      </c>
      <c r="X671" s="181">
        <v>21</v>
      </c>
      <c r="Y671" s="3">
        <v>8</v>
      </c>
      <c r="Z671" s="3" t="s">
        <v>2780</v>
      </c>
      <c r="AA671" s="2" t="s">
        <v>3624</v>
      </c>
    </row>
    <row r="672" spans="1:30" ht="23.25" hidden="1" customHeight="1">
      <c r="A672" s="281"/>
      <c r="B672" s="3">
        <v>2025</v>
      </c>
      <c r="C672" s="3" t="s">
        <v>42</v>
      </c>
      <c r="D672" s="326" t="s">
        <v>52</v>
      </c>
      <c r="E672" s="3" t="s">
        <v>2525</v>
      </c>
      <c r="F672" s="173" t="s">
        <v>2526</v>
      </c>
      <c r="G672" s="173"/>
      <c r="H672" s="173"/>
      <c r="I672" s="174" t="s">
        <v>33</v>
      </c>
      <c r="J672" s="2" t="s">
        <v>25</v>
      </c>
      <c r="K672" s="177" t="s">
        <v>3022</v>
      </c>
      <c r="L672" s="177" t="s">
        <v>2527</v>
      </c>
      <c r="M672" s="1">
        <v>45910</v>
      </c>
      <c r="N672" s="1">
        <v>45911</v>
      </c>
      <c r="O672" s="3" t="s">
        <v>45</v>
      </c>
      <c r="P672" s="178">
        <v>37706.28</v>
      </c>
      <c r="Q672" s="179"/>
      <c r="R672" s="217">
        <v>4.7</v>
      </c>
      <c r="S672" s="218"/>
      <c r="T672" s="180">
        <v>30</v>
      </c>
      <c r="U672" s="181">
        <v>26</v>
      </c>
      <c r="V672" s="181">
        <v>0</v>
      </c>
      <c r="W672" s="181">
        <v>0</v>
      </c>
      <c r="X672" s="181">
        <v>26</v>
      </c>
      <c r="Y672" s="3">
        <v>6</v>
      </c>
      <c r="Z672" s="3" t="s">
        <v>2772</v>
      </c>
      <c r="AA672" s="2" t="s">
        <v>2528</v>
      </c>
    </row>
    <row r="673" spans="1:30" ht="23.25" hidden="1" customHeight="1">
      <c r="A673" s="281"/>
      <c r="B673" s="3">
        <v>2025</v>
      </c>
      <c r="C673" s="3" t="s">
        <v>42</v>
      </c>
      <c r="D673" s="326" t="s">
        <v>52</v>
      </c>
      <c r="E673" s="3" t="s">
        <v>2342</v>
      </c>
      <c r="F673" s="173" t="s">
        <v>2530</v>
      </c>
      <c r="G673" s="173"/>
      <c r="H673" s="173"/>
      <c r="I673" s="351" t="s">
        <v>48</v>
      </c>
      <c r="J673" s="245" t="s">
        <v>18</v>
      </c>
      <c r="K673" s="177" t="s">
        <v>3022</v>
      </c>
      <c r="L673" s="177" t="s">
        <v>2531</v>
      </c>
      <c r="M673" s="1">
        <v>45911</v>
      </c>
      <c r="N673" s="1">
        <v>45911</v>
      </c>
      <c r="O673" s="3" t="s">
        <v>41</v>
      </c>
      <c r="Q673" s="179"/>
      <c r="R673" s="217"/>
      <c r="S673" s="218"/>
      <c r="T673" s="180">
        <v>88</v>
      </c>
      <c r="U673" s="181">
        <v>0</v>
      </c>
      <c r="V673" s="181">
        <v>0</v>
      </c>
      <c r="W673" s="181">
        <v>88</v>
      </c>
      <c r="X673" s="181">
        <v>88</v>
      </c>
      <c r="Y673" s="3">
        <v>3</v>
      </c>
      <c r="Z673" s="3" t="s">
        <v>2777</v>
      </c>
      <c r="AA673" s="337" t="s">
        <v>3470</v>
      </c>
    </row>
    <row r="674" spans="1:30" ht="23.25" hidden="1" customHeight="1">
      <c r="A674" s="281"/>
      <c r="B674" s="3">
        <v>2025</v>
      </c>
      <c r="C674" s="3" t="s">
        <v>42</v>
      </c>
      <c r="D674" s="3" t="s">
        <v>52</v>
      </c>
      <c r="E674" s="3" t="s">
        <v>2416</v>
      </c>
      <c r="F674" s="173" t="s">
        <v>2533</v>
      </c>
      <c r="G674" s="173"/>
      <c r="H674" s="173"/>
      <c r="I674" s="174" t="s">
        <v>48</v>
      </c>
      <c r="J674" s="2" t="s">
        <v>18</v>
      </c>
      <c r="K674" s="177" t="s">
        <v>3041</v>
      </c>
      <c r="L674" s="177" t="s">
        <v>2534</v>
      </c>
      <c r="M674" s="1">
        <v>45912</v>
      </c>
      <c r="N674" s="1">
        <v>45912</v>
      </c>
      <c r="O674" s="3" t="s">
        <v>41</v>
      </c>
      <c r="Q674" s="179"/>
      <c r="R674" s="217">
        <v>4.87</v>
      </c>
      <c r="S674" s="218"/>
      <c r="T674" s="180">
        <v>30</v>
      </c>
      <c r="U674" s="181">
        <v>0</v>
      </c>
      <c r="V674" s="181">
        <v>33</v>
      </c>
      <c r="W674" s="181">
        <v>0</v>
      </c>
      <c r="X674" s="181">
        <v>33</v>
      </c>
      <c r="Y674" s="3">
        <v>4</v>
      </c>
      <c r="Z674" s="3" t="s">
        <v>2772</v>
      </c>
      <c r="AA674" s="245" t="s">
        <v>2418</v>
      </c>
    </row>
    <row r="675" spans="1:30" ht="23.25" hidden="1" customHeight="1">
      <c r="A675" s="332"/>
      <c r="B675" s="3">
        <v>2025</v>
      </c>
      <c r="C675" s="3" t="s">
        <v>42</v>
      </c>
      <c r="D675" s="326" t="s">
        <v>52</v>
      </c>
      <c r="E675" s="3" t="s">
        <v>2342</v>
      </c>
      <c r="F675" s="173" t="s">
        <v>2536</v>
      </c>
      <c r="G675" s="173"/>
      <c r="H675" s="173"/>
      <c r="I675" s="174" t="s">
        <v>48</v>
      </c>
      <c r="J675" s="245" t="s">
        <v>18</v>
      </c>
      <c r="K675" s="177" t="s">
        <v>3022</v>
      </c>
      <c r="L675" s="177" t="s">
        <v>2534</v>
      </c>
      <c r="M675" s="1">
        <v>45912</v>
      </c>
      <c r="N675" s="1">
        <v>45912</v>
      </c>
      <c r="O675" s="3" t="s">
        <v>41</v>
      </c>
      <c r="Q675" s="179"/>
      <c r="R675" s="217"/>
      <c r="S675" s="218"/>
      <c r="T675" s="180">
        <v>128</v>
      </c>
      <c r="U675" s="181">
        <v>0</v>
      </c>
      <c r="V675" s="181">
        <v>0</v>
      </c>
      <c r="W675" s="181">
        <v>128</v>
      </c>
      <c r="X675" s="181">
        <v>128</v>
      </c>
      <c r="Y675" s="3">
        <v>3</v>
      </c>
      <c r="Z675" s="3" t="s">
        <v>2777</v>
      </c>
      <c r="AA675" s="337" t="s">
        <v>3470</v>
      </c>
      <c r="AB675" s="288"/>
    </row>
    <row r="676" spans="1:30" ht="23.25" hidden="1" customHeight="1">
      <c r="A676" s="281"/>
      <c r="B676" s="3">
        <v>2025</v>
      </c>
      <c r="C676" s="3" t="s">
        <v>42</v>
      </c>
      <c r="D676" s="326" t="s">
        <v>52</v>
      </c>
      <c r="E676" s="3" t="s">
        <v>2538</v>
      </c>
      <c r="F676" s="173" t="s">
        <v>2539</v>
      </c>
      <c r="G676" s="173"/>
      <c r="H676" s="173"/>
      <c r="I676" s="351" t="s">
        <v>33</v>
      </c>
      <c r="J676" s="245" t="s">
        <v>32</v>
      </c>
      <c r="K676" s="177" t="s">
        <v>3022</v>
      </c>
      <c r="L676" s="177" t="s">
        <v>2540</v>
      </c>
      <c r="M676" s="1">
        <v>45916</v>
      </c>
      <c r="N676" s="1">
        <v>45916</v>
      </c>
      <c r="O676" s="3" t="s">
        <v>41</v>
      </c>
      <c r="Q676" s="179"/>
      <c r="R676" s="217">
        <v>4.9000000000000004</v>
      </c>
      <c r="S676" s="218"/>
      <c r="T676" s="180">
        <v>80</v>
      </c>
      <c r="U676" s="181">
        <v>80</v>
      </c>
      <c r="V676" s="181">
        <v>0</v>
      </c>
      <c r="W676" s="181">
        <v>0</v>
      </c>
      <c r="X676" s="181">
        <v>80</v>
      </c>
      <c r="Y676" s="3">
        <v>2</v>
      </c>
      <c r="Z676" s="3" t="s">
        <v>2939</v>
      </c>
      <c r="AA676" s="341"/>
    </row>
    <row r="677" spans="1:30" ht="23.25" hidden="1" customHeight="1">
      <c r="A677" s="281"/>
      <c r="B677" s="3">
        <v>2025</v>
      </c>
      <c r="C677" s="3" t="s">
        <v>42</v>
      </c>
      <c r="D677" s="3" t="s">
        <v>52</v>
      </c>
      <c r="E677" s="3" t="s">
        <v>2542</v>
      </c>
      <c r="F677" s="173" t="s">
        <v>2543</v>
      </c>
      <c r="G677" s="173"/>
      <c r="H677" s="173"/>
      <c r="I677" s="174" t="s">
        <v>33</v>
      </c>
      <c r="J677" s="2" t="s">
        <v>25</v>
      </c>
      <c r="K677" s="177" t="s">
        <v>3041</v>
      </c>
      <c r="L677" s="177" t="s">
        <v>3661</v>
      </c>
      <c r="M677" s="1">
        <v>45922</v>
      </c>
      <c r="N677" s="1">
        <v>45926</v>
      </c>
      <c r="O677" s="3" t="s">
        <v>45</v>
      </c>
      <c r="P677" s="178">
        <v>18925</v>
      </c>
      <c r="Q677" s="179"/>
      <c r="R677" s="217">
        <v>4.9000000000000004</v>
      </c>
      <c r="S677" s="218"/>
      <c r="T677" s="180">
        <v>20</v>
      </c>
      <c r="U677" s="181">
        <v>18</v>
      </c>
      <c r="V677" s="181">
        <v>5</v>
      </c>
      <c r="W677" s="181">
        <v>0</v>
      </c>
      <c r="X677" s="181">
        <v>23</v>
      </c>
      <c r="Y677" s="3" t="s">
        <v>2545</v>
      </c>
      <c r="Z677" s="3" t="s">
        <v>2784</v>
      </c>
      <c r="AA677" s="2" t="s">
        <v>2546</v>
      </c>
    </row>
    <row r="678" spans="1:30" ht="23.25" hidden="1" customHeight="1">
      <c r="A678" s="281"/>
      <c r="B678" s="3">
        <v>2025</v>
      </c>
      <c r="C678" s="3" t="s">
        <v>42</v>
      </c>
      <c r="D678" s="326" t="s">
        <v>52</v>
      </c>
      <c r="E678" s="3" t="s">
        <v>2548</v>
      </c>
      <c r="F678" s="173" t="s">
        <v>2549</v>
      </c>
      <c r="G678" s="173"/>
      <c r="H678" s="173"/>
      <c r="I678" s="174" t="s">
        <v>44</v>
      </c>
      <c r="J678" s="2" t="s">
        <v>15</v>
      </c>
      <c r="K678" s="177" t="s">
        <v>3041</v>
      </c>
      <c r="L678" s="177" t="s">
        <v>3662</v>
      </c>
      <c r="M678" s="1">
        <v>45924</v>
      </c>
      <c r="N678" s="1">
        <v>45931</v>
      </c>
      <c r="O678" s="3" t="s">
        <v>41</v>
      </c>
      <c r="P678" s="178">
        <v>0</v>
      </c>
      <c r="Q678" s="179"/>
      <c r="R678" s="217">
        <v>4.4000000000000004</v>
      </c>
      <c r="S678" s="218"/>
      <c r="T678" s="180">
        <v>40</v>
      </c>
      <c r="U678" s="181">
        <v>0</v>
      </c>
      <c r="V678" s="181">
        <v>49</v>
      </c>
      <c r="W678" s="181">
        <v>0</v>
      </c>
      <c r="X678" s="181">
        <v>49</v>
      </c>
      <c r="Y678" s="3">
        <v>16</v>
      </c>
      <c r="Z678" s="3" t="s">
        <v>2772</v>
      </c>
      <c r="AA678" s="2" t="s">
        <v>2551</v>
      </c>
    </row>
    <row r="679" spans="1:30" ht="23.25" hidden="1" customHeight="1">
      <c r="A679" s="281"/>
      <c r="B679" s="3">
        <v>2025</v>
      </c>
      <c r="C679" s="287" t="s">
        <v>42</v>
      </c>
      <c r="D679" s="326" t="s">
        <v>52</v>
      </c>
      <c r="E679" s="3" t="s">
        <v>2553</v>
      </c>
      <c r="F679" s="173" t="s">
        <v>2554</v>
      </c>
      <c r="G679" s="173"/>
      <c r="H679" s="173"/>
      <c r="I679" s="174" t="s">
        <v>48</v>
      </c>
      <c r="J679" s="2" t="s">
        <v>18</v>
      </c>
      <c r="K679" s="177" t="s">
        <v>3041</v>
      </c>
      <c r="L679" s="177" t="s">
        <v>2555</v>
      </c>
      <c r="M679" s="1">
        <v>45925</v>
      </c>
      <c r="N679" s="1">
        <v>45926</v>
      </c>
      <c r="O679" s="3" t="s">
        <v>49</v>
      </c>
      <c r="Q679" s="179"/>
      <c r="R679" s="217">
        <v>4.9000000000000004</v>
      </c>
      <c r="S679" s="218"/>
      <c r="T679" s="180">
        <v>170</v>
      </c>
      <c r="U679" s="181">
        <v>43</v>
      </c>
      <c r="V679" s="181">
        <v>139</v>
      </c>
      <c r="W679" s="181">
        <v>46</v>
      </c>
      <c r="X679" s="181">
        <v>228</v>
      </c>
      <c r="Y679" s="3">
        <v>14</v>
      </c>
      <c r="Z679" s="3" t="s">
        <v>2780</v>
      </c>
      <c r="AA679" s="2" t="s">
        <v>492</v>
      </c>
    </row>
    <row r="680" spans="1:30" ht="23.25" hidden="1" customHeight="1">
      <c r="A680" s="332"/>
      <c r="B680" s="3">
        <v>2025</v>
      </c>
      <c r="C680" s="287" t="s">
        <v>42</v>
      </c>
      <c r="D680" s="326" t="s">
        <v>52</v>
      </c>
      <c r="E680" s="3" t="s">
        <v>2440</v>
      </c>
      <c r="F680" s="173" t="s">
        <v>2557</v>
      </c>
      <c r="G680" s="173"/>
      <c r="H680" s="173"/>
      <c r="I680" s="174" t="s">
        <v>33</v>
      </c>
      <c r="J680" s="245" t="s">
        <v>13</v>
      </c>
      <c r="K680" s="177" t="s">
        <v>3022</v>
      </c>
      <c r="L680" s="177" t="s">
        <v>2558</v>
      </c>
      <c r="M680" s="1">
        <v>45932</v>
      </c>
      <c r="N680" s="1">
        <v>45933</v>
      </c>
      <c r="O680" s="3" t="s">
        <v>41</v>
      </c>
      <c r="Q680" s="179"/>
      <c r="R680" s="217">
        <v>4.8499999999999996</v>
      </c>
      <c r="S680" s="218"/>
      <c r="T680" s="180">
        <v>20</v>
      </c>
      <c r="U680" s="181">
        <v>6</v>
      </c>
      <c r="V680" s="181">
        <v>22</v>
      </c>
      <c r="W680" s="181">
        <v>0</v>
      </c>
      <c r="X680" s="181">
        <v>28</v>
      </c>
      <c r="Y680" s="3">
        <v>8</v>
      </c>
      <c r="Z680" s="3" t="s">
        <v>2784</v>
      </c>
      <c r="AA680" s="2" t="s">
        <v>3547</v>
      </c>
      <c r="AB680" s="288"/>
    </row>
    <row r="681" spans="1:30" ht="23.25" hidden="1" customHeight="1">
      <c r="A681" s="281"/>
      <c r="B681" s="3">
        <v>2025</v>
      </c>
      <c r="C681" s="287" t="s">
        <v>42</v>
      </c>
      <c r="D681" s="3" t="s">
        <v>52</v>
      </c>
      <c r="E681" s="3" t="s">
        <v>2560</v>
      </c>
      <c r="F681" s="248" t="s">
        <v>2561</v>
      </c>
      <c r="G681" s="173"/>
      <c r="H681" s="173"/>
      <c r="I681" s="174" t="s">
        <v>33</v>
      </c>
      <c r="J681" s="2" t="s">
        <v>25</v>
      </c>
      <c r="K681" s="177" t="s">
        <v>3022</v>
      </c>
      <c r="L681" s="330" t="s">
        <v>3663</v>
      </c>
      <c r="M681" s="1">
        <v>45932</v>
      </c>
      <c r="N681" s="1">
        <v>45947</v>
      </c>
      <c r="O681" s="3" t="s">
        <v>41</v>
      </c>
      <c r="P681" s="178">
        <v>0</v>
      </c>
      <c r="Q681" s="179"/>
      <c r="R681" s="217"/>
      <c r="S681" s="218"/>
      <c r="T681" s="180">
        <v>20</v>
      </c>
      <c r="U681" s="181">
        <v>16</v>
      </c>
      <c r="V681" s="181">
        <v>0</v>
      </c>
      <c r="W681" s="181">
        <v>0</v>
      </c>
      <c r="X681" s="181">
        <v>16</v>
      </c>
      <c r="Y681" s="3">
        <v>48</v>
      </c>
      <c r="Z681" s="3" t="s">
        <v>2780</v>
      </c>
      <c r="AA681" s="245" t="s">
        <v>3664</v>
      </c>
    </row>
    <row r="682" spans="1:30" ht="23.25" hidden="1" customHeight="1">
      <c r="A682" s="281"/>
      <c r="B682" s="3">
        <v>2025</v>
      </c>
      <c r="C682" s="3" t="s">
        <v>42</v>
      </c>
      <c r="D682" s="3" t="s">
        <v>52</v>
      </c>
      <c r="E682" s="3" t="s">
        <v>2565</v>
      </c>
      <c r="F682" s="173" t="s">
        <v>2566</v>
      </c>
      <c r="G682" s="173"/>
      <c r="H682" s="173"/>
      <c r="I682" s="174" t="s">
        <v>44</v>
      </c>
      <c r="J682" s="2" t="s">
        <v>15</v>
      </c>
      <c r="K682" s="177" t="s">
        <v>3022</v>
      </c>
      <c r="L682" s="177" t="s">
        <v>3665</v>
      </c>
      <c r="M682" s="1">
        <v>45932</v>
      </c>
      <c r="N682" s="1">
        <v>45936</v>
      </c>
      <c r="O682" s="3" t="s">
        <v>41</v>
      </c>
      <c r="Q682" s="179"/>
      <c r="R682" s="217">
        <v>4.5999999999999996</v>
      </c>
      <c r="S682" s="218"/>
      <c r="T682" s="180">
        <v>30</v>
      </c>
      <c r="U682" s="181">
        <v>0</v>
      </c>
      <c r="V682" s="181">
        <v>40</v>
      </c>
      <c r="W682" s="181">
        <v>0</v>
      </c>
      <c r="X682" s="181">
        <v>40</v>
      </c>
      <c r="Y682" s="3">
        <v>12</v>
      </c>
      <c r="Z682" s="3" t="s">
        <v>2780</v>
      </c>
      <c r="AA682" s="2" t="s">
        <v>3638</v>
      </c>
    </row>
    <row r="683" spans="1:30" ht="23.25" hidden="1" customHeight="1">
      <c r="A683" s="281"/>
      <c r="B683" s="3">
        <v>2025</v>
      </c>
      <c r="C683" s="3" t="s">
        <v>42</v>
      </c>
      <c r="D683" s="326" t="s">
        <v>52</v>
      </c>
      <c r="E683" s="3" t="s">
        <v>2569</v>
      </c>
      <c r="F683" s="173" t="s">
        <v>2570</v>
      </c>
      <c r="G683" s="173"/>
      <c r="H683" s="173"/>
      <c r="I683" s="351" t="s">
        <v>33</v>
      </c>
      <c r="J683" s="245" t="s">
        <v>32</v>
      </c>
      <c r="K683" s="177" t="s">
        <v>3022</v>
      </c>
      <c r="L683" s="177" t="s">
        <v>2571</v>
      </c>
      <c r="M683" s="1">
        <v>45933</v>
      </c>
      <c r="N683" s="1">
        <v>45933</v>
      </c>
      <c r="O683" s="3" t="s">
        <v>45</v>
      </c>
      <c r="P683" s="178">
        <v>0</v>
      </c>
      <c r="Q683" s="179"/>
      <c r="R683" s="217">
        <v>4.76</v>
      </c>
      <c r="S683" s="218">
        <v>1</v>
      </c>
      <c r="T683" s="180">
        <v>80</v>
      </c>
      <c r="U683" s="181">
        <v>80</v>
      </c>
      <c r="V683" s="181">
        <v>0</v>
      </c>
      <c r="W683" s="181">
        <v>0</v>
      </c>
      <c r="X683" s="181">
        <v>80</v>
      </c>
      <c r="Y683" s="3">
        <v>4</v>
      </c>
      <c r="Z683" s="3" t="s">
        <v>2939</v>
      </c>
      <c r="AA683" s="341"/>
    </row>
    <row r="684" spans="1:30" ht="23.25" hidden="1" customHeight="1">
      <c r="A684" s="281"/>
      <c r="B684" s="3">
        <v>2025</v>
      </c>
      <c r="C684" s="3" t="s">
        <v>42</v>
      </c>
      <c r="D684" s="326" t="s">
        <v>52</v>
      </c>
      <c r="E684" s="3" t="s">
        <v>2296</v>
      </c>
      <c r="F684" s="173" t="s">
        <v>2573</v>
      </c>
      <c r="G684" s="173"/>
      <c r="H684" s="173"/>
      <c r="I684" s="174" t="s">
        <v>51</v>
      </c>
      <c r="J684" s="2" t="s">
        <v>22</v>
      </c>
      <c r="K684" s="177" t="s">
        <v>3041</v>
      </c>
      <c r="L684" s="177" t="s">
        <v>2574</v>
      </c>
      <c r="M684" s="1">
        <v>45936</v>
      </c>
      <c r="N684" s="1" t="s">
        <v>2574</v>
      </c>
      <c r="O684" s="3" t="s">
        <v>45</v>
      </c>
      <c r="P684" s="178">
        <v>0</v>
      </c>
      <c r="Q684" s="179"/>
      <c r="R684" s="217">
        <v>4.9000000000000004</v>
      </c>
      <c r="S684" s="218"/>
      <c r="T684" s="180">
        <v>150</v>
      </c>
      <c r="U684" s="181">
        <v>20</v>
      </c>
      <c r="V684" s="181">
        <v>50</v>
      </c>
      <c r="W684" s="181">
        <v>0</v>
      </c>
      <c r="X684" s="181">
        <v>90</v>
      </c>
      <c r="Y684" s="3">
        <v>1</v>
      </c>
      <c r="Z684" s="3" t="s">
        <v>2772</v>
      </c>
      <c r="AA684" s="2" t="s">
        <v>2299</v>
      </c>
    </row>
    <row r="685" spans="1:30" ht="23.25" hidden="1" customHeight="1">
      <c r="A685" s="281"/>
      <c r="B685" s="3">
        <v>2025</v>
      </c>
      <c r="C685" s="3" t="s">
        <v>42</v>
      </c>
      <c r="D685" s="3" t="s">
        <v>52</v>
      </c>
      <c r="E685" s="3" t="s">
        <v>2576</v>
      </c>
      <c r="F685" s="248" t="s">
        <v>2577</v>
      </c>
      <c r="G685" s="173"/>
      <c r="H685" s="173"/>
      <c r="I685" s="174" t="s">
        <v>44</v>
      </c>
      <c r="J685" s="2" t="s">
        <v>15</v>
      </c>
      <c r="K685" s="177" t="s">
        <v>3022</v>
      </c>
      <c r="L685" s="177" t="s">
        <v>3666</v>
      </c>
      <c r="M685" s="1">
        <v>45938</v>
      </c>
      <c r="N685" s="1">
        <v>45940</v>
      </c>
      <c r="O685" s="3" t="s">
        <v>41</v>
      </c>
      <c r="Q685" s="179"/>
      <c r="R685" s="217">
        <v>4.9000000000000004</v>
      </c>
      <c r="S685" s="218"/>
      <c r="T685" s="180">
        <v>20</v>
      </c>
      <c r="U685" s="181">
        <v>0</v>
      </c>
      <c r="V685" s="181">
        <v>28</v>
      </c>
      <c r="W685" s="181">
        <v>0</v>
      </c>
      <c r="X685" s="181">
        <v>28</v>
      </c>
      <c r="Y685" s="3">
        <v>12</v>
      </c>
      <c r="Z685" s="3" t="s">
        <v>2784</v>
      </c>
      <c r="AA685" s="2" t="s">
        <v>2579</v>
      </c>
    </row>
    <row r="686" spans="1:30" ht="23.25" hidden="1" customHeight="1">
      <c r="A686" s="281"/>
      <c r="B686" s="3">
        <v>2025</v>
      </c>
      <c r="C686" s="287" t="s">
        <v>42</v>
      </c>
      <c r="D686" s="3" t="s">
        <v>52</v>
      </c>
      <c r="E686" s="3" t="s">
        <v>2581</v>
      </c>
      <c r="F686" s="173" t="s">
        <v>2582</v>
      </c>
      <c r="G686" s="173"/>
      <c r="H686" s="173"/>
      <c r="I686" s="174" t="s">
        <v>48</v>
      </c>
      <c r="J686" s="2" t="s">
        <v>18</v>
      </c>
      <c r="K686" s="177" t="s">
        <v>3041</v>
      </c>
      <c r="L686" s="177" t="s">
        <v>2583</v>
      </c>
      <c r="M686" s="1">
        <v>45944</v>
      </c>
      <c r="N686" s="1">
        <v>45946</v>
      </c>
      <c r="O686" s="3" t="s">
        <v>41</v>
      </c>
      <c r="Q686" s="179"/>
      <c r="R686" s="217">
        <v>4.8099999999999996</v>
      </c>
      <c r="S686" s="218"/>
      <c r="T686" s="180">
        <v>20</v>
      </c>
      <c r="U686" s="181">
        <v>0</v>
      </c>
      <c r="V686" s="181">
        <v>0</v>
      </c>
      <c r="W686" s="181">
        <v>30</v>
      </c>
      <c r="X686" s="181">
        <v>30</v>
      </c>
      <c r="Y686" s="3">
        <v>12</v>
      </c>
      <c r="Z686" s="3" t="s">
        <v>2784</v>
      </c>
      <c r="AA686" s="2" t="s">
        <v>3586</v>
      </c>
      <c r="AD686" s="274" t="s">
        <v>3667</v>
      </c>
    </row>
    <row r="687" spans="1:30" ht="23.25" hidden="1" customHeight="1">
      <c r="A687" s="281"/>
      <c r="B687" s="3">
        <v>2025</v>
      </c>
      <c r="C687" s="287" t="s">
        <v>42</v>
      </c>
      <c r="D687" s="326" t="s">
        <v>50</v>
      </c>
      <c r="E687" s="3" t="s">
        <v>3668</v>
      </c>
      <c r="F687" s="173" t="s">
        <v>3669</v>
      </c>
      <c r="G687" s="173"/>
      <c r="H687" s="173"/>
      <c r="I687" s="351" t="s">
        <v>33</v>
      </c>
      <c r="J687" s="245" t="s">
        <v>32</v>
      </c>
      <c r="K687" s="177" t="s">
        <v>3041</v>
      </c>
      <c r="L687" s="177" t="s">
        <v>3670</v>
      </c>
      <c r="M687" s="1">
        <v>45946</v>
      </c>
      <c r="N687" s="1">
        <v>45946</v>
      </c>
      <c r="O687" s="3" t="s">
        <v>45</v>
      </c>
      <c r="Q687" s="179"/>
      <c r="R687" s="217"/>
      <c r="S687" s="218"/>
      <c r="T687" s="180">
        <v>170</v>
      </c>
      <c r="U687" s="181">
        <v>170</v>
      </c>
      <c r="V687" s="181">
        <v>0</v>
      </c>
      <c r="W687" s="181">
        <v>0</v>
      </c>
      <c r="X687" s="181">
        <v>170</v>
      </c>
      <c r="Y687" s="3">
        <v>1.5</v>
      </c>
      <c r="Z687" s="3" t="s">
        <v>3604</v>
      </c>
      <c r="AA687" s="341" t="s">
        <v>3671</v>
      </c>
    </row>
    <row r="688" spans="1:30" ht="23.25" hidden="1" customHeight="1">
      <c r="A688" s="281"/>
      <c r="B688" s="3">
        <v>2025</v>
      </c>
      <c r="C688" s="287" t="s">
        <v>42</v>
      </c>
      <c r="D688" s="3" t="s">
        <v>52</v>
      </c>
      <c r="E688" s="3" t="s">
        <v>3672</v>
      </c>
      <c r="F688" s="173" t="s">
        <v>2587</v>
      </c>
      <c r="G688" s="173"/>
      <c r="H688" s="173"/>
      <c r="I688" s="174" t="s">
        <v>33</v>
      </c>
      <c r="J688" s="2" t="s">
        <v>22</v>
      </c>
      <c r="K688" s="177" t="s">
        <v>3041</v>
      </c>
      <c r="L688" s="177" t="s">
        <v>3673</v>
      </c>
      <c r="M688" s="1">
        <v>45950</v>
      </c>
      <c r="N688" s="1">
        <v>45954</v>
      </c>
      <c r="O688" s="3" t="s">
        <v>45</v>
      </c>
      <c r="P688" s="178">
        <v>18925</v>
      </c>
      <c r="Q688" s="179"/>
      <c r="R688" s="217">
        <v>4.9800000000000004</v>
      </c>
      <c r="S688" s="218"/>
      <c r="T688" s="180">
        <v>20</v>
      </c>
      <c r="U688" s="181">
        <v>18</v>
      </c>
      <c r="V688" s="181">
        <v>3</v>
      </c>
      <c r="W688" s="181">
        <v>0</v>
      </c>
      <c r="X688" s="181">
        <v>21</v>
      </c>
      <c r="Y688" s="3" t="s">
        <v>2545</v>
      </c>
      <c r="Z688" s="3" t="s">
        <v>2784</v>
      </c>
      <c r="AA688" s="12" t="s">
        <v>2546</v>
      </c>
    </row>
    <row r="689" spans="1:27" ht="31.5" hidden="1" customHeight="1">
      <c r="A689" s="281"/>
      <c r="B689" s="3">
        <v>2025</v>
      </c>
      <c r="C689" s="287" t="s">
        <v>42</v>
      </c>
      <c r="D689" s="3" t="s">
        <v>52</v>
      </c>
      <c r="E689" s="3" t="s">
        <v>2590</v>
      </c>
      <c r="F689" s="173" t="s">
        <v>2591</v>
      </c>
      <c r="G689" s="173"/>
      <c r="H689" s="173"/>
      <c r="I689" s="174" t="s">
        <v>48</v>
      </c>
      <c r="J689" s="245" t="s">
        <v>18</v>
      </c>
      <c r="K689" s="177" t="s">
        <v>51</v>
      </c>
      <c r="L689" s="177" t="s">
        <v>2592</v>
      </c>
      <c r="M689" s="1">
        <v>45950</v>
      </c>
      <c r="N689" s="1">
        <v>45951</v>
      </c>
      <c r="O689" s="3" t="s">
        <v>49</v>
      </c>
      <c r="P689" s="178">
        <v>0</v>
      </c>
      <c r="Q689" s="179"/>
      <c r="R689" s="217">
        <v>4.9000000000000004</v>
      </c>
      <c r="S689" s="218"/>
      <c r="T689" s="180">
        <v>170</v>
      </c>
      <c r="U689" s="181">
        <v>35</v>
      </c>
      <c r="V689" s="181">
        <v>104</v>
      </c>
      <c r="W689" s="181">
        <v>40</v>
      </c>
      <c r="X689" s="181">
        <v>179</v>
      </c>
      <c r="Y689" s="3">
        <v>14</v>
      </c>
      <c r="Z689" s="3" t="s">
        <v>2784</v>
      </c>
      <c r="AA689" s="2" t="s">
        <v>492</v>
      </c>
    </row>
    <row r="690" spans="1:27" ht="23.25" hidden="1" customHeight="1">
      <c r="A690" s="281"/>
      <c r="B690" s="3">
        <v>2025</v>
      </c>
      <c r="C690" s="287" t="s">
        <v>42</v>
      </c>
      <c r="D690" s="326" t="s">
        <v>52</v>
      </c>
      <c r="E690" s="3" t="s">
        <v>2594</v>
      </c>
      <c r="F690" s="173" t="s">
        <v>2595</v>
      </c>
      <c r="G690" s="173"/>
      <c r="H690" s="173"/>
      <c r="I690" s="351" t="s">
        <v>33</v>
      </c>
      <c r="J690" s="245" t="s">
        <v>32</v>
      </c>
      <c r="K690" s="177" t="s">
        <v>3022</v>
      </c>
      <c r="L690" s="290" t="s">
        <v>2596</v>
      </c>
      <c r="M690" s="1">
        <v>45953</v>
      </c>
      <c r="N690" s="1">
        <v>45953</v>
      </c>
      <c r="O690" s="3" t="s">
        <v>41</v>
      </c>
      <c r="Q690" s="179"/>
      <c r="R690" s="217"/>
      <c r="S690" s="218"/>
      <c r="T690" s="180"/>
      <c r="U690" s="181"/>
      <c r="V690" s="181">
        <v>0</v>
      </c>
      <c r="W690" s="181">
        <v>0</v>
      </c>
      <c r="X690" s="181"/>
      <c r="Y690" s="3">
        <v>2</v>
      </c>
      <c r="Z690" s="3" t="s">
        <v>3604</v>
      </c>
      <c r="AA690" s="341"/>
    </row>
    <row r="691" spans="1:27" ht="23.25" hidden="1" customHeight="1">
      <c r="A691" s="281"/>
      <c r="B691" s="3">
        <v>2025</v>
      </c>
      <c r="C691" s="287" t="s">
        <v>42</v>
      </c>
      <c r="D691" s="3" t="s">
        <v>52</v>
      </c>
      <c r="E691" s="3" t="s">
        <v>2602</v>
      </c>
      <c r="F691" s="173" t="s">
        <v>2253</v>
      </c>
      <c r="G691" s="173"/>
      <c r="H691" s="173"/>
      <c r="I691" s="174" t="s">
        <v>48</v>
      </c>
      <c r="J691" s="2" t="s">
        <v>18</v>
      </c>
      <c r="K691" s="177" t="s">
        <v>3022</v>
      </c>
      <c r="L691" s="177" t="s">
        <v>2603</v>
      </c>
      <c r="M691" s="1">
        <v>45964</v>
      </c>
      <c r="N691" s="1">
        <v>45968</v>
      </c>
      <c r="O691" s="3" t="s">
        <v>41</v>
      </c>
      <c r="Q691" s="179"/>
      <c r="R691" s="217">
        <v>4.93</v>
      </c>
      <c r="S691" s="218"/>
      <c r="T691" s="180">
        <v>30</v>
      </c>
      <c r="U691" s="181">
        <v>0</v>
      </c>
      <c r="V691" s="181">
        <v>0</v>
      </c>
      <c r="W691" s="181">
        <v>33</v>
      </c>
      <c r="X691" s="181">
        <v>33</v>
      </c>
      <c r="Y691" s="3">
        <v>20</v>
      </c>
      <c r="Z691" s="3" t="s">
        <v>2784</v>
      </c>
      <c r="AA691" s="2" t="s">
        <v>3586</v>
      </c>
    </row>
    <row r="692" spans="1:27" ht="23.25" hidden="1" customHeight="1">
      <c r="A692" s="281"/>
      <c r="B692" s="3">
        <v>2025</v>
      </c>
      <c r="C692" s="287" t="s">
        <v>42</v>
      </c>
      <c r="D692" s="326" t="s">
        <v>52</v>
      </c>
      <c r="E692" s="3" t="s">
        <v>2342</v>
      </c>
      <c r="F692" s="173" t="s">
        <v>3674</v>
      </c>
      <c r="G692" s="173"/>
      <c r="H692" s="173"/>
      <c r="I692" s="174" t="s">
        <v>48</v>
      </c>
      <c r="J692" s="2" t="s">
        <v>18</v>
      </c>
      <c r="K692" s="177" t="s">
        <v>3022</v>
      </c>
      <c r="L692" s="177" t="s">
        <v>2606</v>
      </c>
      <c r="M692" s="1">
        <v>45967</v>
      </c>
      <c r="N692" s="1">
        <v>45967</v>
      </c>
      <c r="O692" s="3" t="s">
        <v>41</v>
      </c>
      <c r="Q692" s="179"/>
      <c r="R692" s="217"/>
      <c r="S692" s="218"/>
      <c r="T692" s="180">
        <v>39</v>
      </c>
      <c r="U692" s="181">
        <v>0</v>
      </c>
      <c r="V692" s="181">
        <v>0</v>
      </c>
      <c r="W692" s="181">
        <v>39</v>
      </c>
      <c r="X692" s="181">
        <v>39</v>
      </c>
      <c r="Y692" s="3">
        <v>4</v>
      </c>
      <c r="Z692" s="3" t="s">
        <v>2777</v>
      </c>
      <c r="AA692" s="337" t="s">
        <v>3470</v>
      </c>
    </row>
    <row r="693" spans="1:27" ht="23.25" customHeight="1">
      <c r="A693" s="281"/>
      <c r="B693" s="3">
        <v>2026</v>
      </c>
      <c r="C693" s="287" t="s">
        <v>42</v>
      </c>
      <c r="D693" s="326" t="s">
        <v>50</v>
      </c>
      <c r="E693" s="3" t="s">
        <v>2296</v>
      </c>
      <c r="F693" s="173" t="s">
        <v>3675</v>
      </c>
      <c r="G693" s="173"/>
      <c r="H693" s="173"/>
      <c r="I693" s="174" t="s">
        <v>51</v>
      </c>
      <c r="J693" s="2" t="s">
        <v>22</v>
      </c>
      <c r="K693" s="177" t="s">
        <v>3041</v>
      </c>
      <c r="L693" s="177" t="s">
        <v>3676</v>
      </c>
      <c r="M693" s="1">
        <v>45967</v>
      </c>
      <c r="N693" s="244" t="s">
        <v>2606</v>
      </c>
      <c r="O693" s="3" t="s">
        <v>45</v>
      </c>
      <c r="P693" s="178">
        <v>0</v>
      </c>
      <c r="Q693" s="179"/>
      <c r="R693" s="217"/>
      <c r="S693" s="218"/>
      <c r="T693" s="180"/>
      <c r="U693" s="181"/>
      <c r="V693" s="181"/>
      <c r="W693" s="181"/>
      <c r="X693" s="181"/>
      <c r="Y693" s="3">
        <v>1</v>
      </c>
      <c r="Z693" s="3" t="s">
        <v>2772</v>
      </c>
      <c r="AA693" s="2" t="s">
        <v>3677</v>
      </c>
    </row>
    <row r="694" spans="1:27" ht="23.25" hidden="1" customHeight="1">
      <c r="A694" s="275"/>
      <c r="B694" s="3">
        <v>2025</v>
      </c>
      <c r="C694" s="287" t="s">
        <v>42</v>
      </c>
      <c r="D694" s="3" t="s">
        <v>52</v>
      </c>
      <c r="E694" s="3" t="s">
        <v>2608</v>
      </c>
      <c r="F694" s="205" t="s">
        <v>2530</v>
      </c>
      <c r="G694" s="173"/>
      <c r="H694" s="173"/>
      <c r="I694" s="174" t="s">
        <v>48</v>
      </c>
      <c r="J694" s="2" t="s">
        <v>18</v>
      </c>
      <c r="K694" s="177" t="s">
        <v>3041</v>
      </c>
      <c r="L694" s="244" t="s">
        <v>2606</v>
      </c>
      <c r="M694" s="1">
        <v>45967</v>
      </c>
      <c r="N694" s="244" t="s">
        <v>2606</v>
      </c>
      <c r="O694" s="3" t="s">
        <v>41</v>
      </c>
      <c r="P694" s="178">
        <f>2350.32+1971.21+1743.77+1169.53+730.8</f>
        <v>7965.630000000001</v>
      </c>
      <c r="Q694" s="179"/>
      <c r="R694" s="217"/>
      <c r="S694" s="218"/>
      <c r="T694" s="180">
        <v>39</v>
      </c>
      <c r="U694" s="181">
        <v>0</v>
      </c>
      <c r="V694" s="181">
        <v>0</v>
      </c>
      <c r="W694" s="181">
        <v>39</v>
      </c>
      <c r="X694" s="181">
        <v>39</v>
      </c>
      <c r="Y694" s="3">
        <v>4</v>
      </c>
      <c r="Z694" s="3" t="s">
        <v>2777</v>
      </c>
      <c r="AA694" s="337" t="s">
        <v>3678</v>
      </c>
    </row>
    <row r="695" spans="1:27" ht="23.25" hidden="1" customHeight="1">
      <c r="A695" s="281"/>
      <c r="B695" s="3">
        <v>2025</v>
      </c>
      <c r="C695" s="287" t="s">
        <v>42</v>
      </c>
      <c r="D695" s="326" t="s">
        <v>52</v>
      </c>
      <c r="E695" s="3" t="s">
        <v>2611</v>
      </c>
      <c r="F695" s="173" t="s">
        <v>2612</v>
      </c>
      <c r="G695" s="173"/>
      <c r="H695" s="173"/>
      <c r="I695" s="351" t="s">
        <v>33</v>
      </c>
      <c r="J695" s="245" t="s">
        <v>32</v>
      </c>
      <c r="K695" s="177" t="s">
        <v>3022</v>
      </c>
      <c r="L695" s="177" t="s">
        <v>2613</v>
      </c>
      <c r="M695" s="1">
        <v>45968</v>
      </c>
      <c r="N695" s="1">
        <v>45968</v>
      </c>
      <c r="O695" s="3" t="s">
        <v>41</v>
      </c>
      <c r="Q695" s="179"/>
      <c r="R695" s="217">
        <v>5</v>
      </c>
      <c r="S695" s="218"/>
      <c r="T695" s="180">
        <v>170</v>
      </c>
      <c r="U695" s="181">
        <v>170</v>
      </c>
      <c r="V695" s="181">
        <v>0</v>
      </c>
      <c r="W695" s="181">
        <v>0</v>
      </c>
      <c r="X695" s="181">
        <v>170</v>
      </c>
      <c r="Y695" s="3">
        <v>2</v>
      </c>
      <c r="Z695" s="3" t="s">
        <v>3604</v>
      </c>
      <c r="AA695" s="245" t="s">
        <v>3679</v>
      </c>
    </row>
    <row r="696" spans="1:27" ht="23.25" hidden="1" customHeight="1">
      <c r="A696" s="281"/>
      <c r="B696" s="3">
        <v>2025</v>
      </c>
      <c r="C696" s="287" t="s">
        <v>42</v>
      </c>
      <c r="D696" s="326" t="s">
        <v>52</v>
      </c>
      <c r="E696" s="3" t="s">
        <v>2465</v>
      </c>
      <c r="F696" s="173" t="s">
        <v>2615</v>
      </c>
      <c r="G696" s="173"/>
      <c r="H696" s="173"/>
      <c r="I696" s="174" t="s">
        <v>33</v>
      </c>
      <c r="J696" s="245" t="s">
        <v>32</v>
      </c>
      <c r="K696" s="177" t="s">
        <v>3022</v>
      </c>
      <c r="L696" s="177" t="s">
        <v>3680</v>
      </c>
      <c r="M696" s="1">
        <v>45971</v>
      </c>
      <c r="N696" s="1" t="s">
        <v>3681</v>
      </c>
      <c r="O696" s="3" t="s">
        <v>45</v>
      </c>
      <c r="P696" s="178">
        <v>16000</v>
      </c>
      <c r="Q696" s="179"/>
      <c r="R696" s="217">
        <v>5</v>
      </c>
      <c r="S696" s="218"/>
      <c r="T696" s="180">
        <v>20</v>
      </c>
      <c r="U696" s="181">
        <v>13</v>
      </c>
      <c r="V696" s="181">
        <v>0</v>
      </c>
      <c r="W696" s="181">
        <v>0</v>
      </c>
      <c r="X696" s="181">
        <v>13</v>
      </c>
      <c r="Y696" s="3">
        <v>20</v>
      </c>
      <c r="Z696" s="3" t="s">
        <v>2772</v>
      </c>
      <c r="AA696" s="2" t="s">
        <v>810</v>
      </c>
    </row>
    <row r="697" spans="1:27" ht="23.25" hidden="1" customHeight="1">
      <c r="A697" s="281"/>
      <c r="B697" s="3">
        <v>2025</v>
      </c>
      <c r="C697" s="287" t="s">
        <v>42</v>
      </c>
      <c r="D697" s="3" t="s">
        <v>52</v>
      </c>
      <c r="E697" s="3" t="s">
        <v>2618</v>
      </c>
      <c r="F697" s="173" t="s">
        <v>2212</v>
      </c>
      <c r="G697" s="173"/>
      <c r="H697" s="173"/>
      <c r="I697" s="174" t="s">
        <v>44</v>
      </c>
      <c r="J697" s="2" t="s">
        <v>15</v>
      </c>
      <c r="K697" s="177" t="s">
        <v>3022</v>
      </c>
      <c r="L697" s="330" t="s">
        <v>2619</v>
      </c>
      <c r="M697" s="1">
        <v>45972</v>
      </c>
      <c r="N697" s="1">
        <v>45980</v>
      </c>
      <c r="O697" s="3" t="s">
        <v>41</v>
      </c>
      <c r="Q697" s="179"/>
      <c r="R697" s="217">
        <v>4.76</v>
      </c>
      <c r="S697" s="218"/>
      <c r="T697" s="180">
        <v>25</v>
      </c>
      <c r="U697" s="181">
        <v>0</v>
      </c>
      <c r="V697" s="181">
        <v>34</v>
      </c>
      <c r="W697" s="181">
        <v>0</v>
      </c>
      <c r="X697" s="181">
        <v>34</v>
      </c>
      <c r="Y697" s="3">
        <v>20</v>
      </c>
      <c r="Z697" s="3" t="s">
        <v>2780</v>
      </c>
      <c r="AA697" s="2" t="s">
        <v>2009</v>
      </c>
    </row>
    <row r="698" spans="1:27" ht="30.75" hidden="1" customHeight="1">
      <c r="A698" s="281"/>
      <c r="B698" s="3">
        <v>2025</v>
      </c>
      <c r="C698" s="287" t="s">
        <v>42</v>
      </c>
      <c r="D698" s="3" t="s">
        <v>50</v>
      </c>
      <c r="E698" s="3" t="s">
        <v>3682</v>
      </c>
      <c r="F698" s="173" t="s">
        <v>3683</v>
      </c>
      <c r="G698" s="173"/>
      <c r="H698" s="173"/>
      <c r="I698" s="174" t="s">
        <v>33</v>
      </c>
      <c r="J698" s="2" t="s">
        <v>25</v>
      </c>
      <c r="K698" s="177" t="s">
        <v>3022</v>
      </c>
      <c r="L698" s="177" t="s">
        <v>2623</v>
      </c>
      <c r="M698" s="1">
        <v>45978</v>
      </c>
      <c r="N698" s="1">
        <v>45980</v>
      </c>
      <c r="Q698" s="179"/>
      <c r="R698" s="217"/>
      <c r="S698" s="218"/>
      <c r="T698" s="180"/>
      <c r="U698" s="181"/>
      <c r="V698" s="181"/>
      <c r="W698" s="181"/>
      <c r="X698" s="181"/>
      <c r="Y698" s="3"/>
      <c r="Z698" s="3"/>
    </row>
    <row r="699" spans="1:27" ht="23.25" hidden="1" customHeight="1">
      <c r="A699" s="281"/>
      <c r="B699" s="3">
        <v>2025</v>
      </c>
      <c r="C699" s="287" t="s">
        <v>42</v>
      </c>
      <c r="D699" s="3" t="s">
        <v>52</v>
      </c>
      <c r="E699" s="3" t="s">
        <v>2621</v>
      </c>
      <c r="F699" s="173" t="s">
        <v>2622</v>
      </c>
      <c r="G699" s="173"/>
      <c r="H699" s="173"/>
      <c r="I699" s="174" t="s">
        <v>44</v>
      </c>
      <c r="J699" s="2" t="s">
        <v>15</v>
      </c>
      <c r="K699" s="177" t="s">
        <v>3022</v>
      </c>
      <c r="L699" s="177" t="s">
        <v>2623</v>
      </c>
      <c r="M699" s="1">
        <v>45978</v>
      </c>
      <c r="N699" s="1">
        <v>45980</v>
      </c>
      <c r="O699" s="3" t="s">
        <v>41</v>
      </c>
      <c r="Q699" s="179"/>
      <c r="R699" s="217">
        <v>4.8600000000000003</v>
      </c>
      <c r="S699" s="218"/>
      <c r="T699" s="180">
        <v>30</v>
      </c>
      <c r="U699" s="181">
        <v>0</v>
      </c>
      <c r="V699" s="181">
        <v>45</v>
      </c>
      <c r="W699" s="181">
        <v>0</v>
      </c>
      <c r="X699" s="181">
        <v>45</v>
      </c>
      <c r="Y699" s="3">
        <v>12</v>
      </c>
      <c r="Z699" s="3" t="s">
        <v>2772</v>
      </c>
      <c r="AA699" s="2" t="s">
        <v>3641</v>
      </c>
    </row>
    <row r="700" spans="1:27" ht="32.25" hidden="1" customHeight="1">
      <c r="A700" s="281"/>
      <c r="B700" s="3">
        <v>2025</v>
      </c>
      <c r="C700" s="287" t="s">
        <v>42</v>
      </c>
      <c r="D700" s="326" t="s">
        <v>52</v>
      </c>
      <c r="E700" s="3" t="s">
        <v>2625</v>
      </c>
      <c r="F700" s="173" t="s">
        <v>2626</v>
      </c>
      <c r="G700" s="173"/>
      <c r="H700" s="173"/>
      <c r="I700" s="174" t="s">
        <v>33</v>
      </c>
      <c r="J700" s="245" t="s">
        <v>32</v>
      </c>
      <c r="K700" s="177" t="s">
        <v>3022</v>
      </c>
      <c r="L700" s="177" t="s">
        <v>2627</v>
      </c>
      <c r="M700" s="1">
        <v>45978</v>
      </c>
      <c r="N700" s="1">
        <v>45979</v>
      </c>
      <c r="O700" s="3" t="s">
        <v>41</v>
      </c>
      <c r="Q700" s="179"/>
      <c r="R700" s="217">
        <v>4.82</v>
      </c>
      <c r="S700" s="218"/>
      <c r="T700" s="180"/>
      <c r="U700" s="181"/>
      <c r="V700" s="181">
        <v>0</v>
      </c>
      <c r="W700" s="181">
        <v>0</v>
      </c>
      <c r="X700" s="181">
        <v>72</v>
      </c>
      <c r="Y700" s="3">
        <v>8</v>
      </c>
      <c r="Z700" s="3" t="s">
        <v>2777</v>
      </c>
      <c r="AA700" s="352" t="s">
        <v>3684</v>
      </c>
    </row>
    <row r="701" spans="1:27" ht="23.25" hidden="1" customHeight="1">
      <c r="A701" s="281"/>
      <c r="B701" s="3">
        <v>2025</v>
      </c>
      <c r="C701" s="3" t="s">
        <v>42</v>
      </c>
      <c r="D701" s="326" t="s">
        <v>52</v>
      </c>
      <c r="E701" s="3" t="s">
        <v>2629</v>
      </c>
      <c r="F701" s="248" t="s">
        <v>2630</v>
      </c>
      <c r="G701" s="173"/>
      <c r="H701" s="173"/>
      <c r="I701" s="174" t="s">
        <v>33</v>
      </c>
      <c r="J701" s="2" t="s">
        <v>25</v>
      </c>
      <c r="K701" s="177" t="s">
        <v>3022</v>
      </c>
      <c r="L701" s="177" t="s">
        <v>2631</v>
      </c>
      <c r="M701" s="1">
        <v>45985</v>
      </c>
      <c r="N701" s="1">
        <v>45987</v>
      </c>
      <c r="O701" s="3" t="s">
        <v>41</v>
      </c>
      <c r="Q701" s="179"/>
      <c r="R701" s="217">
        <v>4.8</v>
      </c>
      <c r="S701" s="218"/>
      <c r="T701" s="180">
        <v>20</v>
      </c>
      <c r="U701" s="181">
        <v>16</v>
      </c>
      <c r="V701" s="181">
        <v>0</v>
      </c>
      <c r="W701" s="181">
        <v>0</v>
      </c>
      <c r="X701" s="181">
        <f>SUM(Tabela24[[#This Row],[P. Servidores]:[P. Sociedade]])</f>
        <v>16</v>
      </c>
      <c r="Y701" s="3">
        <v>12</v>
      </c>
      <c r="Z701" s="3" t="s">
        <v>2780</v>
      </c>
      <c r="AA701" s="2" t="s">
        <v>2632</v>
      </c>
    </row>
    <row r="702" spans="1:27" ht="23.25" hidden="1" customHeight="1">
      <c r="A702" s="281"/>
      <c r="B702" s="3">
        <v>2025</v>
      </c>
      <c r="C702" s="3" t="s">
        <v>42</v>
      </c>
      <c r="D702" s="326" t="s">
        <v>52</v>
      </c>
      <c r="E702" s="3" t="s">
        <v>2634</v>
      </c>
      <c r="F702" s="173" t="s">
        <v>2635</v>
      </c>
      <c r="G702" s="173"/>
      <c r="H702" s="173"/>
      <c r="I702" s="174" t="s">
        <v>33</v>
      </c>
      <c r="J702" s="2" t="s">
        <v>10</v>
      </c>
      <c r="K702" s="177" t="s">
        <v>3022</v>
      </c>
      <c r="L702" s="330" t="s">
        <v>2636</v>
      </c>
      <c r="M702" s="1">
        <v>45985</v>
      </c>
      <c r="N702" s="1">
        <v>45989</v>
      </c>
      <c r="O702" s="3" t="s">
        <v>45</v>
      </c>
      <c r="P702" s="178">
        <v>6600</v>
      </c>
      <c r="Q702" s="179"/>
      <c r="R702" s="217">
        <v>4.8899999999999997</v>
      </c>
      <c r="S702" s="218"/>
      <c r="T702" s="180">
        <v>30</v>
      </c>
      <c r="U702" s="181">
        <v>20</v>
      </c>
      <c r="V702" s="181">
        <v>0</v>
      </c>
      <c r="W702" s="181">
        <v>0</v>
      </c>
      <c r="X702" s="181">
        <v>20</v>
      </c>
      <c r="Y702" s="3">
        <v>12</v>
      </c>
      <c r="Z702" s="3" t="s">
        <v>2772</v>
      </c>
      <c r="AA702" s="277" t="s">
        <v>2637</v>
      </c>
    </row>
    <row r="703" spans="1:27" ht="23.25" hidden="1" customHeight="1">
      <c r="A703" s="281"/>
      <c r="B703" s="3">
        <v>2025</v>
      </c>
      <c r="C703" s="3" t="s">
        <v>42</v>
      </c>
      <c r="D703" s="3" t="s">
        <v>52</v>
      </c>
      <c r="E703" s="21" t="s">
        <v>2639</v>
      </c>
      <c r="F703" s="248" t="s">
        <v>2640</v>
      </c>
      <c r="G703" s="173"/>
      <c r="H703" s="173"/>
      <c r="I703" s="174" t="s">
        <v>48</v>
      </c>
      <c r="J703" s="2" t="s">
        <v>18</v>
      </c>
      <c r="K703" s="177" t="s">
        <v>3022</v>
      </c>
      <c r="L703" s="349" t="s">
        <v>2636</v>
      </c>
      <c r="M703" s="1">
        <v>45985</v>
      </c>
      <c r="N703" s="1">
        <v>45989</v>
      </c>
      <c r="O703" s="3" t="s">
        <v>41</v>
      </c>
      <c r="Q703" s="179"/>
      <c r="R703" s="217">
        <v>4.5199999999999996</v>
      </c>
      <c r="S703" s="218"/>
      <c r="T703" s="180">
        <v>50</v>
      </c>
      <c r="U703" s="181">
        <v>1</v>
      </c>
      <c r="V703" s="181">
        <v>38</v>
      </c>
      <c r="W703" s="181">
        <v>15</v>
      </c>
      <c r="X703" s="181">
        <v>54</v>
      </c>
      <c r="Y703" s="3">
        <v>12</v>
      </c>
      <c r="Z703" s="3" t="s">
        <v>2784</v>
      </c>
      <c r="AA703" s="2" t="s">
        <v>3685</v>
      </c>
    </row>
    <row r="704" spans="1:27" ht="23.25" hidden="1" customHeight="1">
      <c r="A704" s="281"/>
      <c r="B704" s="3">
        <v>2025</v>
      </c>
      <c r="C704" s="3" t="s">
        <v>42</v>
      </c>
      <c r="D704" s="3" t="s">
        <v>52</v>
      </c>
      <c r="E704" s="3" t="s">
        <v>2598</v>
      </c>
      <c r="F704" s="173" t="s">
        <v>2413</v>
      </c>
      <c r="G704" s="173"/>
      <c r="H704" s="173"/>
      <c r="I704" s="174" t="s">
        <v>48</v>
      </c>
      <c r="J704" s="277" t="s">
        <v>3686</v>
      </c>
      <c r="K704" s="177" t="s">
        <v>3041</v>
      </c>
      <c r="L704" s="349" t="s">
        <v>3687</v>
      </c>
      <c r="M704" s="1">
        <v>45985</v>
      </c>
      <c r="N704" s="1">
        <v>45958</v>
      </c>
      <c r="O704" s="3" t="s">
        <v>41</v>
      </c>
      <c r="Q704" s="179"/>
      <c r="R704" s="217">
        <v>4.92</v>
      </c>
      <c r="S704" s="218"/>
      <c r="T704" s="180">
        <v>25</v>
      </c>
      <c r="U704" s="181">
        <v>0</v>
      </c>
      <c r="V704" s="181">
        <v>0</v>
      </c>
      <c r="W704" s="181">
        <v>25</v>
      </c>
      <c r="X704" s="181">
        <f>SUM(Tabela24[[#This Row],[P. Servidores]:[P. Sociedade]])</f>
        <v>25</v>
      </c>
      <c r="Y704" s="3">
        <v>6</v>
      </c>
      <c r="Z704" s="3"/>
      <c r="AA704" s="341" t="s">
        <v>1033</v>
      </c>
    </row>
    <row r="705" spans="1:30" ht="23.25" hidden="1" customHeight="1">
      <c r="A705" s="332"/>
      <c r="B705" s="3">
        <v>2025</v>
      </c>
      <c r="C705" s="3" t="s">
        <v>42</v>
      </c>
      <c r="D705" s="3" t="s">
        <v>52</v>
      </c>
      <c r="E705" s="3" t="s">
        <v>2645</v>
      </c>
      <c r="F705" s="173" t="s">
        <v>2646</v>
      </c>
      <c r="G705" s="173"/>
      <c r="H705" s="173"/>
      <c r="I705" s="174" t="s">
        <v>33</v>
      </c>
      <c r="J705" s="2" t="s">
        <v>25</v>
      </c>
      <c r="K705" s="177" t="s">
        <v>3022</v>
      </c>
      <c r="L705" s="330" t="s">
        <v>2647</v>
      </c>
      <c r="M705" s="1">
        <v>45994</v>
      </c>
      <c r="N705" s="1">
        <v>46001</v>
      </c>
      <c r="O705" s="3" t="s">
        <v>41</v>
      </c>
      <c r="Q705" s="179"/>
      <c r="R705" s="217">
        <v>4.93</v>
      </c>
      <c r="S705" s="218"/>
      <c r="T705" s="180">
        <v>15</v>
      </c>
      <c r="U705" s="181">
        <v>15</v>
      </c>
      <c r="V705" s="181">
        <v>0</v>
      </c>
      <c r="W705" s="181">
        <v>0</v>
      </c>
      <c r="X705" s="181">
        <f>SUM(Tabela24[[#This Row],[P. Servidores]:[P. Sociedade]])</f>
        <v>15</v>
      </c>
      <c r="Y705" s="3">
        <v>12</v>
      </c>
      <c r="Z705" s="3" t="s">
        <v>2812</v>
      </c>
      <c r="AA705" s="2" t="s">
        <v>3688</v>
      </c>
      <c r="AB705" s="288"/>
    </row>
    <row r="706" spans="1:30" ht="23.25" hidden="1" customHeight="1">
      <c r="A706" s="286" t="s">
        <v>2943</v>
      </c>
      <c r="B706" s="3">
        <v>2025</v>
      </c>
      <c r="C706" s="3" t="s">
        <v>42</v>
      </c>
      <c r="D706" s="3" t="s">
        <v>52</v>
      </c>
      <c r="E706" s="3" t="s">
        <v>3689</v>
      </c>
      <c r="F706" s="173" t="s">
        <v>2654</v>
      </c>
      <c r="G706" s="173"/>
      <c r="H706" s="173"/>
      <c r="I706" s="174" t="s">
        <v>48</v>
      </c>
      <c r="J706" s="2" t="s">
        <v>18</v>
      </c>
      <c r="K706" s="177" t="s">
        <v>3041</v>
      </c>
      <c r="L706" s="1" t="s">
        <v>2655</v>
      </c>
      <c r="M706" s="1">
        <v>46011</v>
      </c>
      <c r="N706" s="1">
        <v>46011</v>
      </c>
      <c r="O706" s="3" t="s">
        <v>41</v>
      </c>
      <c r="P706" s="178">
        <v>0</v>
      </c>
      <c r="Q706" s="179"/>
      <c r="R706" s="217">
        <v>5</v>
      </c>
      <c r="S706" s="218">
        <v>0.92900000000000005</v>
      </c>
      <c r="T706" s="180">
        <v>25</v>
      </c>
      <c r="U706" s="181">
        <v>0</v>
      </c>
      <c r="V706" s="181">
        <v>0</v>
      </c>
      <c r="W706" s="181">
        <v>25</v>
      </c>
      <c r="X706" s="181">
        <f>SUM(Tabela24[[#This Row],[P. Servidores]:[P. Sociedade]])</f>
        <v>25</v>
      </c>
      <c r="Y706" s="3">
        <v>1</v>
      </c>
      <c r="Z706" s="3" t="s">
        <v>2939</v>
      </c>
      <c r="AA706" s="2" t="s">
        <v>1033</v>
      </c>
      <c r="AB706" s="288"/>
    </row>
    <row r="707" spans="1:30" ht="23.25" customHeight="1">
      <c r="A707" s="332"/>
      <c r="B707" s="281">
        <v>46091</v>
      </c>
      <c r="C707" s="3" t="s">
        <v>42</v>
      </c>
      <c r="D707" s="3" t="s">
        <v>52</v>
      </c>
      <c r="E707" s="3" t="s">
        <v>2657</v>
      </c>
      <c r="F707" s="173" t="s">
        <v>2117</v>
      </c>
      <c r="G707" s="173"/>
      <c r="H707" s="173"/>
      <c r="I707" s="174" t="s">
        <v>44</v>
      </c>
      <c r="J707" s="2" t="s">
        <v>15</v>
      </c>
      <c r="K707" s="177" t="s">
        <v>3041</v>
      </c>
      <c r="L707" s="177" t="s">
        <v>2658</v>
      </c>
      <c r="M707" s="1">
        <v>46042</v>
      </c>
      <c r="N707" s="1">
        <v>46044</v>
      </c>
      <c r="O707" s="3" t="s">
        <v>41</v>
      </c>
      <c r="P707" s="353">
        <v>4533.88</v>
      </c>
      <c r="Q707" s="179"/>
      <c r="R707" s="217">
        <v>4.82</v>
      </c>
      <c r="S707" s="218"/>
      <c r="T707" s="180">
        <v>50</v>
      </c>
      <c r="U707" s="181">
        <v>0</v>
      </c>
      <c r="V707" s="181">
        <v>55</v>
      </c>
      <c r="W707" s="181">
        <v>0</v>
      </c>
      <c r="X707" s="181">
        <f>SUM(Tabela24[[#This Row],[P. Servidores]:[P. Sociedade]])</f>
        <v>55</v>
      </c>
      <c r="Y707" s="24">
        <v>8</v>
      </c>
      <c r="Z707" s="3" t="s">
        <v>2772</v>
      </c>
      <c r="AA707" s="2" t="s">
        <v>2771</v>
      </c>
      <c r="AB707" s="288"/>
      <c r="AD707" s="331" t="s">
        <v>3690</v>
      </c>
    </row>
    <row r="708" spans="1:30" ht="23.25" customHeight="1">
      <c r="A708" s="332"/>
      <c r="B708" s="3">
        <v>2026</v>
      </c>
      <c r="C708" s="3" t="s">
        <v>42</v>
      </c>
      <c r="D708" s="3" t="s">
        <v>52</v>
      </c>
      <c r="E708" s="3" t="s">
        <v>2660</v>
      </c>
      <c r="F708" s="205" t="s">
        <v>2661</v>
      </c>
      <c r="G708" s="354"/>
      <c r="H708" s="354"/>
      <c r="I708" s="355" t="s">
        <v>33</v>
      </c>
      <c r="J708" s="2" t="s">
        <v>18</v>
      </c>
      <c r="K708" s="177" t="s">
        <v>3022</v>
      </c>
      <c r="L708" s="177" t="s">
        <v>2662</v>
      </c>
      <c r="M708" s="1">
        <v>46045</v>
      </c>
      <c r="N708" s="1">
        <v>46045</v>
      </c>
      <c r="O708" s="3" t="s">
        <v>41</v>
      </c>
      <c r="P708" s="178">
        <v>5427.88</v>
      </c>
      <c r="Q708" s="356"/>
      <c r="R708" s="357"/>
      <c r="S708" s="218"/>
      <c r="T708" s="180">
        <v>80</v>
      </c>
      <c r="U708" s="181">
        <v>0</v>
      </c>
      <c r="V708" s="181">
        <v>0</v>
      </c>
      <c r="W708" s="181">
        <v>25</v>
      </c>
      <c r="X708" s="181">
        <f>SUM(Tabela24[[#This Row],[P. Servidores]:[P. Sociedade]])</f>
        <v>25</v>
      </c>
      <c r="Y708" s="3">
        <v>4</v>
      </c>
      <c r="Z708" s="3" t="s">
        <v>2777</v>
      </c>
      <c r="AA708" s="337" t="s">
        <v>3678</v>
      </c>
      <c r="AB708" s="288"/>
    </row>
    <row r="709" spans="1:30" ht="23.25" customHeight="1">
      <c r="A709" s="332"/>
      <c r="B709" s="3">
        <v>2026</v>
      </c>
      <c r="C709" s="3" t="s">
        <v>42</v>
      </c>
      <c r="D709" s="3" t="s">
        <v>52</v>
      </c>
      <c r="E709" s="3" t="s">
        <v>2664</v>
      </c>
      <c r="F709" s="173" t="s">
        <v>2665</v>
      </c>
      <c r="G709" s="173"/>
      <c r="H709" s="173"/>
      <c r="I709" s="174" t="s">
        <v>33</v>
      </c>
      <c r="J709" s="2" t="s">
        <v>25</v>
      </c>
      <c r="K709" s="177" t="s">
        <v>3022</v>
      </c>
      <c r="L709" s="330" t="s">
        <v>3691</v>
      </c>
      <c r="M709" s="1">
        <v>46048</v>
      </c>
      <c r="N709" s="358">
        <v>46063</v>
      </c>
      <c r="O709" s="3" t="s">
        <v>45</v>
      </c>
      <c r="P709" s="178">
        <v>31500</v>
      </c>
      <c r="Q709" s="179"/>
      <c r="R709" s="217">
        <v>4.82</v>
      </c>
      <c r="S709" s="218"/>
      <c r="T709" s="180">
        <v>30</v>
      </c>
      <c r="U709" s="181">
        <v>23</v>
      </c>
      <c r="V709" s="181">
        <v>0</v>
      </c>
      <c r="W709" s="181">
        <v>0</v>
      </c>
      <c r="X709" s="181">
        <f>SUM(Tabela24[[#This Row],[P. Servidores]:[P. Sociedade]])</f>
        <v>23</v>
      </c>
      <c r="Y709" s="3">
        <v>42</v>
      </c>
      <c r="Z709" s="3" t="s">
        <v>3574</v>
      </c>
      <c r="AA709" s="2" t="s">
        <v>2667</v>
      </c>
      <c r="AB709" s="288"/>
    </row>
    <row r="710" spans="1:30" ht="23.25" customHeight="1">
      <c r="A710" s="332"/>
      <c r="B710" s="281">
        <v>46091</v>
      </c>
      <c r="C710" s="3" t="s">
        <v>42</v>
      </c>
      <c r="D710" s="3" t="s">
        <v>52</v>
      </c>
      <c r="E710" s="3" t="s">
        <v>2669</v>
      </c>
      <c r="F710" s="173" t="s">
        <v>2670</v>
      </c>
      <c r="G710" s="173"/>
      <c r="H710" s="173"/>
      <c r="I710" s="174" t="s">
        <v>44</v>
      </c>
      <c r="J710" s="2" t="s">
        <v>15</v>
      </c>
      <c r="K710" s="177" t="s">
        <v>3041</v>
      </c>
      <c r="L710" s="177" t="s">
        <v>3692</v>
      </c>
      <c r="M710" s="1">
        <v>46078</v>
      </c>
      <c r="N710" s="1">
        <v>46080</v>
      </c>
      <c r="O710" s="3" t="s">
        <v>41</v>
      </c>
      <c r="P710" s="187">
        <v>9211.69</v>
      </c>
      <c r="Q710" s="359"/>
      <c r="R710" s="217">
        <v>4.7699999999999996</v>
      </c>
      <c r="S710" s="360"/>
      <c r="T710" s="361">
        <v>20</v>
      </c>
      <c r="U710" s="362">
        <v>0</v>
      </c>
      <c r="V710" s="362">
        <v>44</v>
      </c>
      <c r="W710" s="362">
        <v>0</v>
      </c>
      <c r="X710" s="181">
        <f>SUM(Tabela24[[#This Row],[P. Servidores]:[P. Sociedade]])</f>
        <v>44</v>
      </c>
      <c r="Y710" s="24">
        <v>12</v>
      </c>
      <c r="Z710" s="3" t="s">
        <v>2784</v>
      </c>
      <c r="AA710" s="2" t="s">
        <v>2783</v>
      </c>
      <c r="AB710" s="288"/>
    </row>
    <row r="711" spans="1:30" ht="23.25" customHeight="1">
      <c r="A711" s="332"/>
      <c r="B711" s="281">
        <v>46091</v>
      </c>
      <c r="C711" s="3" t="s">
        <v>42</v>
      </c>
      <c r="D711" s="3" t="s">
        <v>52</v>
      </c>
      <c r="E711" s="177" t="s">
        <v>2785</v>
      </c>
      <c r="F711" s="173" t="s">
        <v>2675</v>
      </c>
      <c r="G711" s="173"/>
      <c r="H711" s="173"/>
      <c r="I711" s="174" t="s">
        <v>33</v>
      </c>
      <c r="J711" s="245" t="s">
        <v>2676</v>
      </c>
      <c r="K711" s="177" t="s">
        <v>3022</v>
      </c>
      <c r="L711" s="177" t="s">
        <v>2786</v>
      </c>
      <c r="M711" s="1">
        <v>46078</v>
      </c>
      <c r="N711" s="1">
        <v>46083</v>
      </c>
      <c r="O711" s="3" t="s">
        <v>41</v>
      </c>
      <c r="P711" s="178">
        <v>0</v>
      </c>
      <c r="Q711" s="179"/>
      <c r="R711" s="217">
        <v>4.76</v>
      </c>
      <c r="S711" s="218"/>
      <c r="T711" s="361">
        <v>20</v>
      </c>
      <c r="U711" s="362">
        <v>18</v>
      </c>
      <c r="V711" s="362">
        <v>0</v>
      </c>
      <c r="W711" s="362">
        <v>0</v>
      </c>
      <c r="X711" s="181">
        <f>SUM(Tabela24[[#This Row],[P. Servidores]:[P. Sociedade]])</f>
        <v>18</v>
      </c>
      <c r="Y711" s="24">
        <v>16</v>
      </c>
      <c r="Z711" s="24" t="s">
        <v>2780</v>
      </c>
      <c r="AA711" s="363" t="s">
        <v>2678</v>
      </c>
      <c r="AB711" s="288"/>
    </row>
    <row r="712" spans="1:30" ht="23.25" customHeight="1">
      <c r="A712" s="364"/>
      <c r="B712" s="365">
        <v>46091</v>
      </c>
      <c r="C712" s="366" t="s">
        <v>42</v>
      </c>
      <c r="D712" s="366" t="s">
        <v>52</v>
      </c>
      <c r="E712" s="3" t="s">
        <v>2680</v>
      </c>
      <c r="F712" s="205" t="s">
        <v>2681</v>
      </c>
      <c r="I712" s="355" t="s">
        <v>48</v>
      </c>
      <c r="J712" s="2" t="s">
        <v>18</v>
      </c>
      <c r="K712" s="3" t="s">
        <v>3041</v>
      </c>
      <c r="L712" s="3" t="s">
        <v>2789</v>
      </c>
      <c r="M712" s="1">
        <v>46085</v>
      </c>
      <c r="N712" s="1">
        <v>46087</v>
      </c>
      <c r="O712" s="3" t="s">
        <v>41</v>
      </c>
      <c r="P712" s="178">
        <v>9416</v>
      </c>
      <c r="R712" s="3">
        <v>4.9000000000000004</v>
      </c>
      <c r="T712" s="181">
        <v>20</v>
      </c>
      <c r="U712" s="181">
        <v>0</v>
      </c>
      <c r="V712" s="181">
        <v>20</v>
      </c>
      <c r="W712" s="181">
        <v>0</v>
      </c>
      <c r="X712" s="181">
        <v>20</v>
      </c>
      <c r="Y712" s="3">
        <v>12</v>
      </c>
      <c r="Z712" s="24" t="s">
        <v>2784</v>
      </c>
      <c r="AA712" s="245" t="s">
        <v>2790</v>
      </c>
      <c r="AB712" s="288"/>
    </row>
    <row r="713" spans="1:30" ht="23.25" customHeight="1">
      <c r="A713" s="332"/>
      <c r="B713" s="281">
        <v>46091</v>
      </c>
      <c r="C713" s="3" t="s">
        <v>42</v>
      </c>
      <c r="D713" s="3" t="s">
        <v>52</v>
      </c>
      <c r="E713" s="177" t="s">
        <v>2791</v>
      </c>
      <c r="F713" s="173" t="s">
        <v>2685</v>
      </c>
      <c r="G713" s="173"/>
      <c r="H713" s="173"/>
      <c r="I713" s="174" t="s">
        <v>44</v>
      </c>
      <c r="J713" s="2" t="s">
        <v>15</v>
      </c>
      <c r="K713" s="177" t="s">
        <v>3041</v>
      </c>
      <c r="L713" s="177" t="s">
        <v>2793</v>
      </c>
      <c r="M713" s="1">
        <v>46090</v>
      </c>
      <c r="N713" s="1">
        <v>46094</v>
      </c>
      <c r="O713" s="3" t="s">
        <v>41</v>
      </c>
      <c r="P713" s="178">
        <v>12813.06</v>
      </c>
      <c r="Q713" s="179"/>
      <c r="R713" s="217">
        <v>4.93</v>
      </c>
      <c r="S713" s="218"/>
      <c r="T713" s="180">
        <v>20</v>
      </c>
      <c r="U713" s="181">
        <v>8</v>
      </c>
      <c r="V713" s="181">
        <v>11</v>
      </c>
      <c r="W713" s="181">
        <v>0</v>
      </c>
      <c r="X713" s="181">
        <v>19</v>
      </c>
      <c r="Y713" s="3">
        <v>20</v>
      </c>
      <c r="Z713" s="3" t="s">
        <v>2780</v>
      </c>
      <c r="AA713" s="2" t="s">
        <v>3693</v>
      </c>
      <c r="AB713" s="288"/>
    </row>
    <row r="714" spans="1:30" ht="23.25" customHeight="1">
      <c r="A714" s="281"/>
      <c r="B714" s="281">
        <v>46091</v>
      </c>
      <c r="C714" s="3" t="s">
        <v>42</v>
      </c>
      <c r="D714" s="3" t="s">
        <v>52</v>
      </c>
      <c r="E714" s="3" t="s">
        <v>2688</v>
      </c>
      <c r="F714" s="173" t="s">
        <v>2689</v>
      </c>
      <c r="G714" s="173"/>
      <c r="H714" s="173"/>
      <c r="I714" s="174" t="s">
        <v>33</v>
      </c>
      <c r="J714" s="245" t="s">
        <v>32</v>
      </c>
      <c r="K714" s="177" t="s">
        <v>3022</v>
      </c>
      <c r="L714" s="177" t="s">
        <v>3694</v>
      </c>
      <c r="M714" s="1">
        <v>46097</v>
      </c>
      <c r="N714" s="1">
        <v>46101</v>
      </c>
      <c r="O714" s="3" t="s">
        <v>41</v>
      </c>
      <c r="P714" s="178">
        <v>16717.68</v>
      </c>
      <c r="Q714" s="179"/>
      <c r="R714" s="217">
        <v>4.8600000000000003</v>
      </c>
      <c r="S714" s="218"/>
      <c r="T714" s="180">
        <v>33</v>
      </c>
      <c r="U714" s="181">
        <v>33</v>
      </c>
      <c r="V714" s="181">
        <v>0</v>
      </c>
      <c r="W714" s="181">
        <v>0</v>
      </c>
      <c r="X714" s="181">
        <v>33</v>
      </c>
      <c r="Y714" s="3">
        <v>20</v>
      </c>
      <c r="Z714" s="3" t="s">
        <v>2772</v>
      </c>
      <c r="AA714" s="245" t="s">
        <v>2691</v>
      </c>
    </row>
    <row r="715" spans="1:30" ht="23.25" customHeight="1">
      <c r="A715" s="281"/>
      <c r="B715" s="281">
        <v>46091</v>
      </c>
      <c r="C715" s="3" t="s">
        <v>42</v>
      </c>
      <c r="D715" s="3" t="s">
        <v>52</v>
      </c>
      <c r="E715" s="3" t="s">
        <v>2693</v>
      </c>
      <c r="F715" s="173" t="s">
        <v>2694</v>
      </c>
      <c r="G715" s="173"/>
      <c r="H715" s="173"/>
      <c r="I715" s="174" t="s">
        <v>33</v>
      </c>
      <c r="J715" s="245" t="s">
        <v>2695</v>
      </c>
      <c r="K715" s="177" t="s">
        <v>3022</v>
      </c>
      <c r="L715" s="177" t="s">
        <v>3695</v>
      </c>
      <c r="M715" s="1">
        <v>46098</v>
      </c>
      <c r="N715" s="1">
        <v>46100</v>
      </c>
      <c r="O715" s="3" t="s">
        <v>41</v>
      </c>
      <c r="P715" s="353">
        <v>4533.88</v>
      </c>
      <c r="Q715" s="179"/>
      <c r="R715" s="217">
        <v>4.9000000000000004</v>
      </c>
      <c r="S715" s="218"/>
      <c r="T715" s="180">
        <v>20</v>
      </c>
      <c r="U715" s="181">
        <v>20</v>
      </c>
      <c r="V715" s="181">
        <v>0</v>
      </c>
      <c r="W715" s="181">
        <v>0</v>
      </c>
      <c r="X715" s="181">
        <v>20</v>
      </c>
      <c r="Y715" s="3">
        <v>8</v>
      </c>
      <c r="Z715" s="3" t="s">
        <v>2772</v>
      </c>
      <c r="AA715" s="2" t="s">
        <v>2697</v>
      </c>
    </row>
    <row r="716" spans="1:30" ht="23.25" customHeight="1">
      <c r="A716" s="332"/>
      <c r="B716" s="281">
        <v>46091</v>
      </c>
      <c r="C716" s="287" t="s">
        <v>42</v>
      </c>
      <c r="D716" s="3" t="s">
        <v>52</v>
      </c>
      <c r="E716" s="177" t="s">
        <v>2791</v>
      </c>
      <c r="F716" s="173" t="s">
        <v>2699</v>
      </c>
      <c r="G716" s="173"/>
      <c r="H716" s="173"/>
      <c r="I716" s="174" t="s">
        <v>44</v>
      </c>
      <c r="J716" s="2" t="s">
        <v>15</v>
      </c>
      <c r="K716" s="177" t="s">
        <v>3041</v>
      </c>
      <c r="L716" s="177" t="s">
        <v>2803</v>
      </c>
      <c r="M716" s="1">
        <v>46104</v>
      </c>
      <c r="N716" s="1">
        <v>46108</v>
      </c>
      <c r="O716" s="3" t="s">
        <v>41</v>
      </c>
      <c r="P716" s="178">
        <v>12813.06</v>
      </c>
      <c r="Q716" s="179"/>
      <c r="R716" s="217">
        <v>4.79</v>
      </c>
      <c r="S716" s="218"/>
      <c r="T716" s="180">
        <v>20</v>
      </c>
      <c r="U716" s="181">
        <v>0</v>
      </c>
      <c r="V716" s="181">
        <v>20</v>
      </c>
      <c r="W716" s="181">
        <v>0</v>
      </c>
      <c r="X716" s="181">
        <v>20</v>
      </c>
      <c r="Y716" s="3">
        <v>20</v>
      </c>
      <c r="Z716" s="3" t="s">
        <v>2780</v>
      </c>
      <c r="AA716" s="2" t="s">
        <v>3693</v>
      </c>
      <c r="AB716" s="288"/>
    </row>
    <row r="717" spans="1:30" ht="23.25" customHeight="1">
      <c r="B717" s="365">
        <v>46091</v>
      </c>
      <c r="C717" s="367" t="s">
        <v>42</v>
      </c>
      <c r="D717" s="366" t="s">
        <v>52</v>
      </c>
      <c r="E717" s="3" t="s">
        <v>2702</v>
      </c>
      <c r="F717" s="205" t="s">
        <v>2703</v>
      </c>
      <c r="I717" s="174" t="s">
        <v>44</v>
      </c>
      <c r="J717" s="2" t="s">
        <v>15</v>
      </c>
      <c r="L717" s="3" t="s">
        <v>2704</v>
      </c>
      <c r="M717" s="368">
        <v>46105</v>
      </c>
      <c r="N717" s="1">
        <v>46105</v>
      </c>
      <c r="O717" s="3" t="s">
        <v>45</v>
      </c>
      <c r="T717" s="181">
        <v>170</v>
      </c>
      <c r="U717" s="181">
        <v>42</v>
      </c>
      <c r="V717" s="181">
        <v>71</v>
      </c>
      <c r="W717" s="181">
        <v>14</v>
      </c>
      <c r="X717" s="181">
        <v>127</v>
      </c>
      <c r="Y717" s="3">
        <v>4</v>
      </c>
      <c r="Z717" s="3" t="s">
        <v>2808</v>
      </c>
      <c r="AA717" s="2" t="s">
        <v>492</v>
      </c>
    </row>
    <row r="718" spans="1:30" ht="23.25" customHeight="1">
      <c r="A718" s="281"/>
      <c r="B718" s="281">
        <v>46091</v>
      </c>
      <c r="C718" s="3" t="s">
        <v>42</v>
      </c>
      <c r="D718" s="3" t="s">
        <v>52</v>
      </c>
      <c r="E718" s="3" t="s">
        <v>2706</v>
      </c>
      <c r="F718" s="173" t="s">
        <v>2707</v>
      </c>
      <c r="G718" s="173"/>
      <c r="H718" s="173"/>
      <c r="I718" s="174" t="s">
        <v>44</v>
      </c>
      <c r="J718" s="2" t="s">
        <v>15</v>
      </c>
      <c r="K718" s="177" t="s">
        <v>3041</v>
      </c>
      <c r="L718" s="177" t="s">
        <v>2811</v>
      </c>
      <c r="M718" s="1">
        <v>46111</v>
      </c>
      <c r="N718" s="1">
        <v>46112</v>
      </c>
      <c r="O718" s="3" t="s">
        <v>45</v>
      </c>
      <c r="Q718" s="179"/>
      <c r="R718" s="217"/>
      <c r="S718" s="218"/>
      <c r="T718" s="180">
        <v>200</v>
      </c>
      <c r="U718" s="181">
        <v>58</v>
      </c>
      <c r="V718" s="181">
        <v>100</v>
      </c>
      <c r="W718" s="181">
        <v>34</v>
      </c>
      <c r="X718" s="181">
        <v>192</v>
      </c>
      <c r="Y718" s="3">
        <v>14</v>
      </c>
      <c r="Z718" s="3" t="s">
        <v>2812</v>
      </c>
      <c r="AA718" s="2" t="s">
        <v>492</v>
      </c>
    </row>
    <row r="719" spans="1:30" ht="23.25" customHeight="1">
      <c r="A719" s="281"/>
      <c r="B719" s="281">
        <v>46091</v>
      </c>
      <c r="C719" s="3" t="s">
        <v>42</v>
      </c>
      <c r="D719" s="3" t="s">
        <v>43</v>
      </c>
      <c r="E719" s="3" t="s">
        <v>2693</v>
      </c>
      <c r="F719" s="173" t="s">
        <v>2710</v>
      </c>
      <c r="G719" s="354"/>
      <c r="H719" s="354"/>
      <c r="I719" s="355" t="s">
        <v>33</v>
      </c>
      <c r="J719" s="245" t="s">
        <v>2695</v>
      </c>
      <c r="K719" s="177" t="s">
        <v>3022</v>
      </c>
      <c r="L719" s="177" t="s">
        <v>2826</v>
      </c>
      <c r="M719" s="1">
        <v>46127</v>
      </c>
      <c r="N719" s="1">
        <v>46129</v>
      </c>
      <c r="O719" s="3" t="s">
        <v>41</v>
      </c>
      <c r="Q719" s="356"/>
      <c r="R719" s="217"/>
      <c r="S719" s="218"/>
      <c r="T719" s="180">
        <v>20</v>
      </c>
      <c r="U719" s="181"/>
      <c r="V719" s="181"/>
      <c r="W719" s="181"/>
      <c r="X719" s="181"/>
      <c r="Y719" s="3">
        <v>8</v>
      </c>
      <c r="Z719" s="3" t="s">
        <v>2772</v>
      </c>
      <c r="AA719" s="2" t="s">
        <v>2697</v>
      </c>
    </row>
    <row r="720" spans="1:30" ht="23.25" customHeight="1">
      <c r="A720" s="281"/>
      <c r="B720" s="281">
        <v>46091</v>
      </c>
      <c r="C720" s="3" t="s">
        <v>42</v>
      </c>
      <c r="D720" s="3" t="s">
        <v>43</v>
      </c>
      <c r="E720" s="3" t="s">
        <v>2713</v>
      </c>
      <c r="F720" s="173" t="s">
        <v>2714</v>
      </c>
      <c r="G720" s="354"/>
      <c r="H720" s="354"/>
      <c r="I720" s="355"/>
      <c r="K720" s="177"/>
      <c r="L720" s="177" t="s">
        <v>2829</v>
      </c>
      <c r="M720" s="1">
        <v>46132</v>
      </c>
      <c r="N720" s="1">
        <v>46142</v>
      </c>
      <c r="O720" s="3" t="s">
        <v>41</v>
      </c>
      <c r="Q720" s="356"/>
      <c r="R720" s="217"/>
      <c r="S720" s="218"/>
      <c r="T720" s="180"/>
      <c r="U720" s="181"/>
      <c r="V720" s="181"/>
      <c r="W720" s="181"/>
      <c r="X720" s="181"/>
      <c r="Y720" s="3"/>
      <c r="Z720" s="3" t="s">
        <v>2939</v>
      </c>
      <c r="AA720" s="245" t="s">
        <v>2716</v>
      </c>
    </row>
    <row r="721" spans="1:32" ht="32.25" customHeight="1">
      <c r="A721" s="281"/>
      <c r="B721" s="3">
        <v>2026</v>
      </c>
      <c r="C721" s="3" t="s">
        <v>42</v>
      </c>
      <c r="D721" s="3" t="s">
        <v>43</v>
      </c>
      <c r="E721" s="3" t="s">
        <v>2718</v>
      </c>
      <c r="F721" s="173" t="s">
        <v>3674</v>
      </c>
      <c r="G721" s="177" t="s">
        <v>2662</v>
      </c>
      <c r="H721" s="1">
        <v>46045</v>
      </c>
      <c r="I721" s="1">
        <v>46045</v>
      </c>
      <c r="J721" s="3" t="s">
        <v>41</v>
      </c>
      <c r="K721" s="178"/>
      <c r="L721" s="177" t="s">
        <v>2719</v>
      </c>
      <c r="M721" s="1">
        <v>46135</v>
      </c>
      <c r="N721" s="1">
        <v>46136</v>
      </c>
      <c r="O721" s="3" t="s">
        <v>41</v>
      </c>
      <c r="P721" s="181"/>
      <c r="Q721" s="181"/>
      <c r="R721" s="181"/>
      <c r="S721" s="181"/>
      <c r="T721" s="3">
        <v>80</v>
      </c>
      <c r="U721" s="362">
        <v>0</v>
      </c>
      <c r="V721" s="369">
        <v>0</v>
      </c>
      <c r="W721" s="3">
        <v>80</v>
      </c>
      <c r="X721" s="3">
        <v>80</v>
      </c>
      <c r="Y721" s="24">
        <v>4</v>
      </c>
      <c r="Z721" s="3" t="s">
        <v>2777</v>
      </c>
      <c r="AA721" s="337" t="s">
        <v>3678</v>
      </c>
    </row>
    <row r="722" spans="1:32" ht="23.25" customHeight="1">
      <c r="B722" s="365">
        <v>46091</v>
      </c>
      <c r="C722" s="367" t="s">
        <v>42</v>
      </c>
      <c r="D722" s="370" t="s">
        <v>43</v>
      </c>
      <c r="E722" s="3" t="s">
        <v>2722</v>
      </c>
      <c r="F722" s="205" t="s">
        <v>2723</v>
      </c>
      <c r="J722" s="2" t="s">
        <v>25</v>
      </c>
      <c r="L722" s="3" t="s">
        <v>2724</v>
      </c>
      <c r="M722" s="1">
        <v>46139</v>
      </c>
      <c r="N722" s="1">
        <v>46111</v>
      </c>
      <c r="O722" s="3" t="s">
        <v>41</v>
      </c>
      <c r="Z722" s="3" t="s">
        <v>2780</v>
      </c>
      <c r="AA722" s="363" t="s">
        <v>2678</v>
      </c>
    </row>
    <row r="723" spans="1:32" ht="33" customHeight="1">
      <c r="A723" s="281"/>
      <c r="B723" s="3">
        <v>2026</v>
      </c>
      <c r="C723" s="3" t="s">
        <v>42</v>
      </c>
      <c r="D723" s="371" t="s">
        <v>43</v>
      </c>
      <c r="E723" s="3" t="s">
        <v>2726</v>
      </c>
      <c r="F723" s="173" t="s">
        <v>2727</v>
      </c>
      <c r="G723" s="173"/>
      <c r="H723" s="173"/>
      <c r="I723" s="174" t="s">
        <v>33</v>
      </c>
      <c r="J723" s="2" t="s">
        <v>3203</v>
      </c>
      <c r="K723" s="177" t="s">
        <v>3022</v>
      </c>
      <c r="L723" s="326" t="s">
        <v>3696</v>
      </c>
      <c r="M723" s="1">
        <v>46146</v>
      </c>
      <c r="N723" s="1">
        <v>46154</v>
      </c>
      <c r="O723" s="3" t="s">
        <v>41</v>
      </c>
      <c r="Q723" s="179"/>
      <c r="R723" s="217"/>
      <c r="S723" s="218"/>
      <c r="T723" s="180">
        <v>20</v>
      </c>
      <c r="U723" s="181"/>
      <c r="V723" s="181"/>
      <c r="W723" s="181"/>
      <c r="X723" s="181"/>
      <c r="Y723" s="3">
        <v>20</v>
      </c>
      <c r="Z723" s="3" t="s">
        <v>2772</v>
      </c>
      <c r="AA723" s="245" t="s">
        <v>2728</v>
      </c>
    </row>
    <row r="724" spans="1:32" ht="23.25" customHeight="1">
      <c r="A724" s="281"/>
      <c r="B724" s="3">
        <v>2026</v>
      </c>
      <c r="C724" s="3" t="s">
        <v>42</v>
      </c>
      <c r="D724" s="3" t="s">
        <v>43</v>
      </c>
      <c r="E724" s="3" t="s">
        <v>2718</v>
      </c>
      <c r="F724" s="173" t="s">
        <v>3674</v>
      </c>
      <c r="G724" s="177" t="s">
        <v>3697</v>
      </c>
      <c r="H724" s="1">
        <v>46045</v>
      </c>
      <c r="I724" s="1">
        <v>46045</v>
      </c>
      <c r="J724" s="3" t="s">
        <v>41</v>
      </c>
      <c r="K724" s="178"/>
      <c r="L724" s="177" t="s">
        <v>3698</v>
      </c>
      <c r="M724" s="1">
        <v>46150</v>
      </c>
      <c r="N724" s="1">
        <v>46150</v>
      </c>
      <c r="O724" s="3" t="s">
        <v>41</v>
      </c>
      <c r="P724" s="181"/>
      <c r="Q724" s="181"/>
      <c r="R724" s="181"/>
      <c r="S724" s="181"/>
      <c r="T724" s="3">
        <v>80</v>
      </c>
      <c r="U724" s="362">
        <v>0</v>
      </c>
      <c r="V724" s="369">
        <v>0</v>
      </c>
      <c r="W724" s="3">
        <v>80</v>
      </c>
      <c r="X724" s="3">
        <v>80</v>
      </c>
      <c r="Y724" s="24">
        <v>4</v>
      </c>
      <c r="Z724" s="3" t="s">
        <v>2777</v>
      </c>
      <c r="AA724" s="337" t="s">
        <v>3678</v>
      </c>
      <c r="AF724"/>
    </row>
    <row r="725" spans="1:32" ht="33" customHeight="1">
      <c r="B725" s="365">
        <v>46091</v>
      </c>
      <c r="C725" s="367" t="s">
        <v>42</v>
      </c>
      <c r="D725" s="370" t="s">
        <v>43</v>
      </c>
      <c r="E725" s="3" t="s">
        <v>2722</v>
      </c>
      <c r="F725" s="205" t="s">
        <v>2732</v>
      </c>
      <c r="J725" s="2" t="s">
        <v>25</v>
      </c>
      <c r="L725" s="3" t="s">
        <v>2733</v>
      </c>
      <c r="M725" s="1">
        <v>46160</v>
      </c>
      <c r="N725" s="1">
        <v>46163</v>
      </c>
      <c r="O725" s="3" t="s">
        <v>41</v>
      </c>
      <c r="Z725" s="3" t="s">
        <v>2780</v>
      </c>
      <c r="AA725" s="363" t="s">
        <v>2678</v>
      </c>
    </row>
    <row r="726" spans="1:32" ht="23.25" customHeight="1">
      <c r="A726" s="281"/>
      <c r="B726" s="281">
        <v>46091</v>
      </c>
      <c r="C726" s="3" t="s">
        <v>42</v>
      </c>
      <c r="D726" s="372" t="s">
        <v>53</v>
      </c>
      <c r="E726" s="3" t="s">
        <v>2735</v>
      </c>
      <c r="F726" s="248" t="s">
        <v>2736</v>
      </c>
      <c r="G726" s="173"/>
      <c r="H726" s="173"/>
      <c r="I726" s="174" t="s">
        <v>48</v>
      </c>
      <c r="J726" s="2" t="s">
        <v>18</v>
      </c>
      <c r="K726" s="177" t="s">
        <v>3041</v>
      </c>
      <c r="L726" s="373" t="s">
        <v>3699</v>
      </c>
      <c r="M726" s="1">
        <v>46387</v>
      </c>
      <c r="N726" s="1">
        <v>46387</v>
      </c>
      <c r="O726" s="3" t="s">
        <v>45</v>
      </c>
      <c r="P726" s="178">
        <v>25200</v>
      </c>
      <c r="Q726" s="179"/>
      <c r="R726" s="217"/>
      <c r="S726" s="218"/>
      <c r="T726" s="180">
        <v>60</v>
      </c>
      <c r="U726" s="181"/>
      <c r="V726" s="181"/>
      <c r="W726" s="181"/>
      <c r="X726" s="181"/>
      <c r="Y726" s="3">
        <v>32</v>
      </c>
      <c r="Z726" s="3" t="s">
        <v>2784</v>
      </c>
      <c r="AA726" s="2" t="s">
        <v>2738</v>
      </c>
    </row>
    <row r="727" spans="1:32" ht="23.25" hidden="1" customHeight="1">
      <c r="A727" s="171" t="s">
        <v>2943</v>
      </c>
      <c r="B727" s="3">
        <v>2023</v>
      </c>
      <c r="D727" s="3" t="s">
        <v>52</v>
      </c>
      <c r="E727" s="3" t="s">
        <v>3700</v>
      </c>
      <c r="F727" s="247" t="s">
        <v>1606</v>
      </c>
      <c r="G727" s="173"/>
      <c r="H727" s="173"/>
      <c r="I727" s="174" t="s">
        <v>33</v>
      </c>
      <c r="J727" s="2" t="s">
        <v>3204</v>
      </c>
      <c r="K727" s="177" t="s">
        <v>3022</v>
      </c>
      <c r="L727" s="177" t="s">
        <v>1607</v>
      </c>
      <c r="O727" s="3" t="s">
        <v>41</v>
      </c>
      <c r="P727" s="178">
        <v>5000</v>
      </c>
      <c r="Q727" s="179"/>
      <c r="R727" s="217"/>
      <c r="S727" s="218"/>
      <c r="T727" s="180"/>
      <c r="U727" s="181"/>
      <c r="V727" s="181"/>
      <c r="W727" s="181"/>
      <c r="X727" s="181">
        <f>SUM(U727:W727)</f>
        <v>0</v>
      </c>
      <c r="Y727" s="3"/>
      <c r="Z727" s="3" t="s">
        <v>3299</v>
      </c>
      <c r="AB727" s="276"/>
    </row>
    <row r="728" spans="1:32" ht="23.25" hidden="1" customHeight="1">
      <c r="A728" s="171" t="s">
        <v>2943</v>
      </c>
      <c r="B728" s="3">
        <v>2023</v>
      </c>
      <c r="D728" s="3" t="s">
        <v>50</v>
      </c>
      <c r="E728" s="3" t="s">
        <v>1678</v>
      </c>
      <c r="F728" s="374" t="s">
        <v>1679</v>
      </c>
      <c r="G728" s="173"/>
      <c r="H728" s="173"/>
      <c r="I728" s="174" t="s">
        <v>33</v>
      </c>
      <c r="J728" s="2" t="s">
        <v>3235</v>
      </c>
      <c r="K728" s="177" t="s">
        <v>3022</v>
      </c>
      <c r="L728" s="177"/>
      <c r="O728" s="3" t="s">
        <v>41</v>
      </c>
      <c r="Q728" s="179"/>
      <c r="R728" s="217"/>
      <c r="S728" s="218"/>
      <c r="T728" s="180">
        <v>2</v>
      </c>
      <c r="U728" s="181">
        <v>2</v>
      </c>
      <c r="V728" s="181">
        <v>0</v>
      </c>
      <c r="W728" s="181">
        <v>0</v>
      </c>
      <c r="X728" s="181">
        <f>SUM(U728:W728)</f>
        <v>2</v>
      </c>
      <c r="Y728" s="3">
        <v>48</v>
      </c>
      <c r="Z728" s="3" t="s">
        <v>3043</v>
      </c>
      <c r="AA728" s="2" t="s">
        <v>248</v>
      </c>
      <c r="AB728" s="363"/>
    </row>
    <row r="729" spans="1:32" ht="23.25" hidden="1" customHeight="1">
      <c r="A729" s="171" t="s">
        <v>2943</v>
      </c>
      <c r="B729" s="3">
        <v>2023</v>
      </c>
      <c r="D729" s="171" t="s">
        <v>50</v>
      </c>
      <c r="E729" s="3" t="s">
        <v>3701</v>
      </c>
      <c r="F729" s="247" t="s">
        <v>3702</v>
      </c>
      <c r="G729" s="173"/>
      <c r="H729" s="173"/>
      <c r="I729" s="174" t="s">
        <v>33</v>
      </c>
      <c r="J729" s="2" t="s">
        <v>3204</v>
      </c>
      <c r="K729" s="177" t="s">
        <v>3022</v>
      </c>
      <c r="L729" s="177" t="s">
        <v>3703</v>
      </c>
      <c r="O729" s="3" t="s">
        <v>45</v>
      </c>
      <c r="P729" s="178">
        <v>10000</v>
      </c>
      <c r="Q729" s="179"/>
      <c r="R729" s="217"/>
      <c r="S729" s="218"/>
      <c r="T729" s="180"/>
      <c r="U729" s="181"/>
      <c r="V729" s="181"/>
      <c r="W729" s="181"/>
      <c r="X729" s="181">
        <f>SUM(U729:W729)</f>
        <v>0</v>
      </c>
      <c r="Y729" s="3">
        <v>2</v>
      </c>
      <c r="Z729" s="3" t="s">
        <v>3299</v>
      </c>
      <c r="AB729" s="276"/>
    </row>
    <row r="730" spans="1:32" ht="23.25" hidden="1" customHeight="1">
      <c r="A730" s="171" t="s">
        <v>2943</v>
      </c>
      <c r="B730" s="3">
        <v>2023</v>
      </c>
      <c r="D730" s="171" t="s">
        <v>50</v>
      </c>
      <c r="E730" s="3" t="s">
        <v>3704</v>
      </c>
      <c r="F730" s="247" t="s">
        <v>3705</v>
      </c>
      <c r="G730" s="173"/>
      <c r="H730" s="173"/>
      <c r="I730" s="174" t="s">
        <v>33</v>
      </c>
      <c r="J730" s="2" t="s">
        <v>3204</v>
      </c>
      <c r="K730" s="177" t="s">
        <v>3022</v>
      </c>
      <c r="L730" s="177" t="s">
        <v>3706</v>
      </c>
      <c r="O730" s="3" t="s">
        <v>45</v>
      </c>
      <c r="P730" s="178">
        <v>5000</v>
      </c>
      <c r="Q730" s="179"/>
      <c r="R730" s="217"/>
      <c r="S730" s="218"/>
      <c r="T730" s="180"/>
      <c r="U730" s="181"/>
      <c r="V730" s="181"/>
      <c r="W730" s="181"/>
      <c r="X730" s="181">
        <f>SUM(U730:W730)</f>
        <v>0</v>
      </c>
      <c r="Y730" s="3"/>
      <c r="Z730" s="3" t="s">
        <v>3299</v>
      </c>
      <c r="AA730" s="2" t="s">
        <v>3707</v>
      </c>
      <c r="AB730" s="363"/>
    </row>
    <row r="731" spans="1:32" ht="23.25" hidden="1" customHeight="1">
      <c r="A731" s="275" t="s">
        <v>2943</v>
      </c>
      <c r="B731" s="3">
        <v>2024</v>
      </c>
      <c r="C731" s="3" t="s">
        <v>46</v>
      </c>
      <c r="D731" s="3" t="s">
        <v>52</v>
      </c>
      <c r="E731" s="3" t="s">
        <v>2649</v>
      </c>
      <c r="F731" s="173" t="s">
        <v>2650</v>
      </c>
      <c r="G731" s="173"/>
      <c r="H731" s="248"/>
      <c r="I731" s="174" t="s">
        <v>33</v>
      </c>
      <c r="J731" s="375" t="s">
        <v>32</v>
      </c>
      <c r="K731" s="177" t="s">
        <v>3022</v>
      </c>
      <c r="L731" s="177"/>
      <c r="O731" s="3" t="s">
        <v>45</v>
      </c>
      <c r="P731" s="178">
        <v>9900</v>
      </c>
      <c r="Q731" s="179"/>
      <c r="R731" s="217"/>
      <c r="S731" s="218"/>
      <c r="T731" s="180"/>
      <c r="U731" s="181"/>
      <c r="V731" s="181"/>
      <c r="W731" s="181"/>
      <c r="X731" s="181"/>
      <c r="Y731" s="3"/>
      <c r="Z731" s="3"/>
    </row>
    <row r="732" spans="1:32" ht="23.25" hidden="1" customHeight="1">
      <c r="A732" s="171" t="s">
        <v>2943</v>
      </c>
      <c r="B732" s="3">
        <v>2024</v>
      </c>
      <c r="C732" s="3" t="s">
        <v>46</v>
      </c>
      <c r="D732" s="3" t="s">
        <v>52</v>
      </c>
      <c r="E732" s="3" t="s">
        <v>2176</v>
      </c>
      <c r="F732" s="173" t="s">
        <v>2177</v>
      </c>
      <c r="G732" s="173"/>
      <c r="H732" s="248"/>
      <c r="I732" s="174" t="s">
        <v>33</v>
      </c>
      <c r="J732" s="2" t="s">
        <v>22</v>
      </c>
      <c r="K732" s="177" t="s">
        <v>3022</v>
      </c>
      <c r="L732" s="290"/>
      <c r="M732" s="328"/>
      <c r="Q732" s="179"/>
      <c r="R732" s="217"/>
      <c r="S732" s="218">
        <f>R732/5</f>
        <v>0</v>
      </c>
      <c r="T732" s="180"/>
      <c r="U732" s="181"/>
      <c r="V732" s="181"/>
      <c r="W732" s="181"/>
      <c r="X732" s="181">
        <f>SUM(U732:W732)</f>
        <v>0</v>
      </c>
      <c r="Y732" s="3"/>
      <c r="Z732" s="3"/>
    </row>
    <row r="733" spans="1:32" ht="23.25" hidden="1" customHeight="1">
      <c r="A733" s="275" t="s">
        <v>2943</v>
      </c>
      <c r="B733" s="3">
        <v>2024</v>
      </c>
      <c r="C733" s="3" t="s">
        <v>42</v>
      </c>
      <c r="D733" s="171" t="s">
        <v>50</v>
      </c>
      <c r="E733" s="3" t="s">
        <v>2858</v>
      </c>
      <c r="F733" s="173" t="s">
        <v>3708</v>
      </c>
      <c r="G733" s="173"/>
      <c r="H733" s="248"/>
      <c r="I733" s="174" t="s">
        <v>33</v>
      </c>
      <c r="J733" s="375" t="s">
        <v>25</v>
      </c>
      <c r="K733" s="177" t="s">
        <v>3022</v>
      </c>
      <c r="L733" s="177" t="s">
        <v>3709</v>
      </c>
      <c r="Q733" s="179"/>
      <c r="R733" s="217"/>
      <c r="S733" s="218"/>
      <c r="T733" s="180"/>
      <c r="U733" s="181"/>
      <c r="V733" s="181"/>
      <c r="W733" s="181"/>
      <c r="X733" s="181"/>
      <c r="Y733" s="3">
        <v>5</v>
      </c>
      <c r="Z733" s="3"/>
      <c r="AA733" s="2" t="s">
        <v>1636</v>
      </c>
      <c r="AD733" s="12"/>
    </row>
    <row r="734" spans="1:32" ht="23.25" hidden="1" customHeight="1">
      <c r="A734" s="239" t="s">
        <v>2943</v>
      </c>
      <c r="B734" s="3">
        <v>2024</v>
      </c>
      <c r="D734" s="171" t="s">
        <v>50</v>
      </c>
      <c r="F734" s="173" t="s">
        <v>3710</v>
      </c>
      <c r="G734" s="173"/>
      <c r="H734" s="248"/>
      <c r="I734" s="174" t="s">
        <v>33</v>
      </c>
      <c r="J734" s="2" t="s">
        <v>29</v>
      </c>
      <c r="K734" s="177" t="s">
        <v>3022</v>
      </c>
      <c r="L734" s="177" t="s">
        <v>3091</v>
      </c>
      <c r="O734" s="3" t="s">
        <v>45</v>
      </c>
      <c r="P734" s="178">
        <v>38400</v>
      </c>
      <c r="Q734" s="179"/>
      <c r="R734" s="217"/>
      <c r="S734" s="218">
        <f t="shared" ref="S734:S745" si="36">R734/5</f>
        <v>0</v>
      </c>
      <c r="T734" s="181">
        <v>12</v>
      </c>
      <c r="U734" s="181"/>
      <c r="V734" s="181"/>
      <c r="W734" s="181"/>
      <c r="X734" s="181">
        <f t="shared" ref="X734:X745" si="37">SUM(U734:W734)</f>
        <v>0</v>
      </c>
      <c r="Y734" s="3">
        <v>12</v>
      </c>
      <c r="Z734" s="3" t="s">
        <v>2780</v>
      </c>
      <c r="AA734" s="2" t="s">
        <v>3711</v>
      </c>
    </row>
    <row r="735" spans="1:32" ht="23.25" hidden="1" customHeight="1">
      <c r="A735" s="292" t="s">
        <v>2943</v>
      </c>
      <c r="B735" s="3">
        <v>2024</v>
      </c>
      <c r="D735" s="171" t="s">
        <v>50</v>
      </c>
      <c r="E735" s="3" t="s">
        <v>1880</v>
      </c>
      <c r="F735" s="173" t="s">
        <v>3712</v>
      </c>
      <c r="G735" s="173"/>
      <c r="H735" s="248"/>
      <c r="I735" s="174" t="s">
        <v>44</v>
      </c>
      <c r="J735" s="2" t="s">
        <v>15</v>
      </c>
      <c r="K735" s="177" t="s">
        <v>3041</v>
      </c>
      <c r="L735" s="177" t="s">
        <v>831</v>
      </c>
      <c r="Q735" s="179"/>
      <c r="R735" s="217"/>
      <c r="S735" s="218">
        <f t="shared" si="36"/>
        <v>0</v>
      </c>
      <c r="T735" s="180"/>
      <c r="U735" s="181"/>
      <c r="V735" s="181"/>
      <c r="W735" s="181"/>
      <c r="X735" s="181">
        <f t="shared" si="37"/>
        <v>0</v>
      </c>
      <c r="Y735" s="3"/>
      <c r="Z735" s="3"/>
      <c r="AB735" s="288"/>
    </row>
    <row r="736" spans="1:32" ht="23.25" hidden="1" customHeight="1">
      <c r="A736" s="292" t="s">
        <v>2943</v>
      </c>
      <c r="B736" s="3">
        <v>2024</v>
      </c>
      <c r="D736" s="171" t="s">
        <v>50</v>
      </c>
      <c r="E736" s="3" t="s">
        <v>1880</v>
      </c>
      <c r="F736" s="173" t="s">
        <v>3713</v>
      </c>
      <c r="G736" s="173"/>
      <c r="H736" s="248"/>
      <c r="I736" s="174" t="s">
        <v>44</v>
      </c>
      <c r="J736" s="2" t="s">
        <v>15</v>
      </c>
      <c r="K736" s="177" t="s">
        <v>3041</v>
      </c>
      <c r="L736" s="177" t="s">
        <v>831</v>
      </c>
      <c r="Q736" s="179"/>
      <c r="R736" s="217"/>
      <c r="S736" s="218">
        <f t="shared" si="36"/>
        <v>0</v>
      </c>
      <c r="T736" s="180"/>
      <c r="U736" s="181"/>
      <c r="V736" s="181"/>
      <c r="W736" s="181"/>
      <c r="X736" s="181">
        <f t="shared" si="37"/>
        <v>0</v>
      </c>
      <c r="Y736" s="3"/>
      <c r="Z736" s="3"/>
      <c r="AB736" s="288"/>
    </row>
    <row r="737" spans="1:30" ht="23.25" hidden="1" customHeight="1">
      <c r="A737" s="239" t="s">
        <v>2943</v>
      </c>
      <c r="B737" s="3">
        <v>2024</v>
      </c>
      <c r="D737" s="171" t="s">
        <v>50</v>
      </c>
      <c r="E737" s="3" t="s">
        <v>1880</v>
      </c>
      <c r="F737" s="173" t="s">
        <v>3714</v>
      </c>
      <c r="G737" s="173"/>
      <c r="H737" s="248"/>
      <c r="I737" s="174" t="s">
        <v>44</v>
      </c>
      <c r="J737" s="2" t="s">
        <v>15</v>
      </c>
      <c r="K737" s="177" t="s">
        <v>3041</v>
      </c>
      <c r="L737" s="177" t="s">
        <v>831</v>
      </c>
      <c r="Q737" s="179"/>
      <c r="R737" s="217"/>
      <c r="S737" s="218">
        <f t="shared" si="36"/>
        <v>0</v>
      </c>
      <c r="T737" s="180"/>
      <c r="U737" s="181"/>
      <c r="V737" s="181"/>
      <c r="W737" s="181"/>
      <c r="X737" s="181">
        <f t="shared" si="37"/>
        <v>0</v>
      </c>
      <c r="Y737" s="3"/>
      <c r="Z737" s="3"/>
    </row>
    <row r="738" spans="1:30" ht="23.25" hidden="1" customHeight="1">
      <c r="A738" s="239" t="s">
        <v>2943</v>
      </c>
      <c r="B738" s="3">
        <v>2024</v>
      </c>
      <c r="D738" s="171" t="s">
        <v>50</v>
      </c>
      <c r="E738" s="3" t="s">
        <v>1880</v>
      </c>
      <c r="F738" s="173" t="s">
        <v>3715</v>
      </c>
      <c r="G738" s="173"/>
      <c r="H738" s="248"/>
      <c r="I738" s="174" t="s">
        <v>44</v>
      </c>
      <c r="J738" s="2" t="s">
        <v>15</v>
      </c>
      <c r="K738" s="177" t="s">
        <v>3041</v>
      </c>
      <c r="L738" s="177" t="s">
        <v>831</v>
      </c>
      <c r="Q738" s="179"/>
      <c r="R738" s="217"/>
      <c r="S738" s="218">
        <f t="shared" si="36"/>
        <v>0</v>
      </c>
      <c r="T738" s="180"/>
      <c r="U738" s="181"/>
      <c r="V738" s="181"/>
      <c r="W738" s="181"/>
      <c r="X738" s="181">
        <f t="shared" si="37"/>
        <v>0</v>
      </c>
      <c r="Y738" s="3"/>
      <c r="Z738" s="3"/>
    </row>
    <row r="739" spans="1:30" ht="23.25" hidden="1" customHeight="1">
      <c r="A739" s="239" t="s">
        <v>2943</v>
      </c>
      <c r="B739" s="3">
        <v>2024</v>
      </c>
      <c r="D739" s="171" t="s">
        <v>50</v>
      </c>
      <c r="E739" s="3" t="s">
        <v>1880</v>
      </c>
      <c r="F739" s="173" t="s">
        <v>3716</v>
      </c>
      <c r="G739" s="173"/>
      <c r="H739" s="248"/>
      <c r="I739" s="174" t="s">
        <v>44</v>
      </c>
      <c r="J739" s="2" t="s">
        <v>15</v>
      </c>
      <c r="K739" s="177" t="s">
        <v>3041</v>
      </c>
      <c r="L739" s="177" t="s">
        <v>831</v>
      </c>
      <c r="Q739" s="179"/>
      <c r="R739" s="217"/>
      <c r="S739" s="218">
        <f t="shared" si="36"/>
        <v>0</v>
      </c>
      <c r="T739" s="180"/>
      <c r="U739" s="181"/>
      <c r="V739" s="181"/>
      <c r="W739" s="181"/>
      <c r="X739" s="181">
        <f t="shared" si="37"/>
        <v>0</v>
      </c>
      <c r="Y739" s="3"/>
      <c r="Z739" s="3"/>
    </row>
    <row r="740" spans="1:30" ht="23.25" hidden="1" customHeight="1">
      <c r="A740" s="239" t="s">
        <v>2943</v>
      </c>
      <c r="B740" s="3">
        <v>2024</v>
      </c>
      <c r="D740" s="171" t="s">
        <v>50</v>
      </c>
      <c r="E740" s="3" t="s">
        <v>1880</v>
      </c>
      <c r="F740" s="173" t="s">
        <v>3717</v>
      </c>
      <c r="G740" s="173"/>
      <c r="H740" s="248"/>
      <c r="I740" s="174" t="s">
        <v>44</v>
      </c>
      <c r="J740" s="2" t="s">
        <v>15</v>
      </c>
      <c r="K740" s="177" t="s">
        <v>3041</v>
      </c>
      <c r="L740" s="177" t="s">
        <v>831</v>
      </c>
      <c r="Q740" s="179"/>
      <c r="R740" s="217"/>
      <c r="S740" s="218">
        <f t="shared" si="36"/>
        <v>0</v>
      </c>
      <c r="T740" s="180"/>
      <c r="U740" s="181"/>
      <c r="V740" s="181"/>
      <c r="W740" s="181"/>
      <c r="X740" s="181">
        <f t="shared" si="37"/>
        <v>0</v>
      </c>
      <c r="Y740" s="3"/>
      <c r="Z740" s="3"/>
    </row>
    <row r="741" spans="1:30" ht="23.25" hidden="1" customHeight="1">
      <c r="A741" s="239" t="s">
        <v>2943</v>
      </c>
      <c r="B741" s="3">
        <v>2024</v>
      </c>
      <c r="D741" s="171" t="s">
        <v>50</v>
      </c>
      <c r="E741" s="3" t="s">
        <v>1880</v>
      </c>
      <c r="F741" s="173" t="s">
        <v>3718</v>
      </c>
      <c r="G741" s="173"/>
      <c r="H741" s="248"/>
      <c r="I741" s="174" t="s">
        <v>44</v>
      </c>
      <c r="J741" s="2" t="s">
        <v>15</v>
      </c>
      <c r="K741" s="177" t="s">
        <v>3041</v>
      </c>
      <c r="L741" s="177" t="s">
        <v>831</v>
      </c>
      <c r="Q741" s="179"/>
      <c r="R741" s="217"/>
      <c r="S741" s="218">
        <f t="shared" si="36"/>
        <v>0</v>
      </c>
      <c r="T741" s="180"/>
      <c r="U741" s="181"/>
      <c r="V741" s="181"/>
      <c r="W741" s="181"/>
      <c r="X741" s="181">
        <f t="shared" si="37"/>
        <v>0</v>
      </c>
      <c r="Y741" s="3"/>
      <c r="Z741" s="3"/>
    </row>
    <row r="742" spans="1:30" ht="23.25" hidden="1" customHeight="1">
      <c r="A742" s="239" t="s">
        <v>2943</v>
      </c>
      <c r="B742" s="3">
        <v>2024</v>
      </c>
      <c r="D742" s="171" t="s">
        <v>50</v>
      </c>
      <c r="E742" s="3" t="s">
        <v>1880</v>
      </c>
      <c r="F742" s="173" t="s">
        <v>3719</v>
      </c>
      <c r="G742" s="173"/>
      <c r="H742" s="248"/>
      <c r="I742" s="174" t="s">
        <v>44</v>
      </c>
      <c r="J742" s="2" t="s">
        <v>15</v>
      </c>
      <c r="K742" s="177" t="s">
        <v>3041</v>
      </c>
      <c r="L742" s="177" t="s">
        <v>831</v>
      </c>
      <c r="Q742" s="179"/>
      <c r="R742" s="217"/>
      <c r="S742" s="218">
        <f t="shared" si="36"/>
        <v>0</v>
      </c>
      <c r="T742" s="180"/>
      <c r="U742" s="181"/>
      <c r="V742" s="181"/>
      <c r="W742" s="181"/>
      <c r="X742" s="181">
        <f t="shared" si="37"/>
        <v>0</v>
      </c>
      <c r="Y742" s="3"/>
      <c r="Z742" s="3"/>
    </row>
    <row r="743" spans="1:30" ht="23.25" hidden="1" customHeight="1">
      <c r="A743" s="289" t="s">
        <v>2943</v>
      </c>
      <c r="B743" s="3">
        <v>2024</v>
      </c>
      <c r="C743" s="287" t="s">
        <v>42</v>
      </c>
      <c r="D743" s="3" t="s">
        <v>50</v>
      </c>
      <c r="E743" s="3" t="s">
        <v>2901</v>
      </c>
      <c r="F743" s="173" t="s">
        <v>3720</v>
      </c>
      <c r="G743" s="173"/>
      <c r="H743" s="248"/>
      <c r="I743" s="174"/>
      <c r="K743" s="177"/>
      <c r="L743" s="177"/>
      <c r="Q743" s="179"/>
      <c r="R743" s="217"/>
      <c r="S743" s="218">
        <f t="shared" si="36"/>
        <v>0</v>
      </c>
      <c r="T743" s="180"/>
      <c r="U743" s="181"/>
      <c r="V743" s="181"/>
      <c r="W743" s="376"/>
      <c r="X743" s="181">
        <f t="shared" si="37"/>
        <v>0</v>
      </c>
      <c r="Y743" s="3"/>
      <c r="Z743" s="3"/>
    </row>
    <row r="744" spans="1:30" ht="23.25" hidden="1" customHeight="1">
      <c r="A744" s="289" t="s">
        <v>2943</v>
      </c>
      <c r="B744" s="3">
        <v>2024</v>
      </c>
      <c r="C744" s="287" t="s">
        <v>42</v>
      </c>
      <c r="D744" s="3" t="s">
        <v>50</v>
      </c>
      <c r="E744" s="3" t="s">
        <v>2901</v>
      </c>
      <c r="F744" s="173" t="s">
        <v>3721</v>
      </c>
      <c r="G744" s="173"/>
      <c r="H744" s="248"/>
      <c r="I744" s="174"/>
      <c r="K744" s="177"/>
      <c r="L744" s="177"/>
      <c r="Q744" s="179"/>
      <c r="R744" s="217"/>
      <c r="S744" s="218">
        <f t="shared" si="36"/>
        <v>0</v>
      </c>
      <c r="T744" s="180"/>
      <c r="U744" s="181"/>
      <c r="V744" s="181"/>
      <c r="W744" s="376"/>
      <c r="X744" s="181">
        <f t="shared" si="37"/>
        <v>0</v>
      </c>
      <c r="Y744" s="3"/>
      <c r="Z744" s="3"/>
    </row>
    <row r="745" spans="1:30" ht="23.25" hidden="1" customHeight="1">
      <c r="A745" s="313" t="s">
        <v>2943</v>
      </c>
      <c r="B745" s="3">
        <v>2024</v>
      </c>
      <c r="C745" s="287"/>
      <c r="D745" s="295" t="s">
        <v>50</v>
      </c>
      <c r="E745" s="287" t="s">
        <v>2902</v>
      </c>
      <c r="F745" s="296" t="s">
        <v>3491</v>
      </c>
      <c r="G745" s="296"/>
      <c r="H745" s="297"/>
      <c r="I745" s="174" t="s">
        <v>33</v>
      </c>
      <c r="J745" s="298"/>
      <c r="K745" s="177" t="s">
        <v>3022</v>
      </c>
      <c r="L745" s="299"/>
      <c r="M745" s="300"/>
      <c r="N745" s="300"/>
      <c r="Q745" s="302"/>
      <c r="R745" s="303"/>
      <c r="S745" s="312">
        <f t="shared" si="36"/>
        <v>0</v>
      </c>
      <c r="T745" s="304"/>
      <c r="U745" s="305"/>
      <c r="V745" s="305"/>
      <c r="W745" s="305"/>
      <c r="X745" s="305">
        <f t="shared" si="37"/>
        <v>0</v>
      </c>
      <c r="Y745" s="287"/>
      <c r="Z745" s="3"/>
      <c r="AA745" s="298"/>
      <c r="AB745" s="306"/>
      <c r="AC745" s="298"/>
      <c r="AD745" s="298"/>
    </row>
    <row r="746" spans="1:30" ht="23.25" customHeight="1">
      <c r="A746" s="377"/>
      <c r="B746" s="3">
        <v>2026</v>
      </c>
      <c r="C746" s="287" t="s">
        <v>42</v>
      </c>
      <c r="D746" s="344" t="s">
        <v>50</v>
      </c>
      <c r="E746" s="287" t="s">
        <v>2296</v>
      </c>
      <c r="F746" s="296" t="s">
        <v>3722</v>
      </c>
      <c r="G746" s="296"/>
      <c r="H746" s="296"/>
      <c r="I746" s="310" t="s">
        <v>51</v>
      </c>
      <c r="J746" s="298" t="s">
        <v>22</v>
      </c>
      <c r="K746" s="177" t="s">
        <v>3041</v>
      </c>
      <c r="L746" s="299" t="s">
        <v>3091</v>
      </c>
      <c r="M746" s="300"/>
      <c r="N746" s="300"/>
      <c r="O746" s="3" t="s">
        <v>45</v>
      </c>
      <c r="P746" s="301">
        <v>0</v>
      </c>
      <c r="Q746" s="302"/>
      <c r="R746" s="303"/>
      <c r="S746" s="312"/>
      <c r="T746" s="304"/>
      <c r="U746" s="305"/>
      <c r="V746" s="305"/>
      <c r="W746" s="305"/>
      <c r="X746" s="305"/>
      <c r="Y746" s="287">
        <v>1</v>
      </c>
      <c r="Z746" s="287" t="s">
        <v>2772</v>
      </c>
      <c r="AA746" s="298" t="s">
        <v>3677</v>
      </c>
      <c r="AB746" s="306"/>
      <c r="AC746" s="298"/>
      <c r="AD746" s="298"/>
    </row>
    <row r="747" spans="1:30" ht="23.25" hidden="1" customHeight="1">
      <c r="A747" s="377"/>
      <c r="B747" s="3">
        <v>2025</v>
      </c>
      <c r="C747" s="287" t="s">
        <v>42</v>
      </c>
      <c r="D747" s="344" t="s">
        <v>50</v>
      </c>
      <c r="E747" s="287" t="s">
        <v>2407</v>
      </c>
      <c r="F747" s="296" t="s">
        <v>3723</v>
      </c>
      <c r="G747" s="296"/>
      <c r="H747" s="296"/>
      <c r="I747" s="310" t="s">
        <v>44</v>
      </c>
      <c r="J747" s="298" t="s">
        <v>15</v>
      </c>
      <c r="K747" s="177"/>
      <c r="L747" s="299" t="s">
        <v>3091</v>
      </c>
      <c r="M747" s="300"/>
      <c r="N747" s="300"/>
      <c r="O747" s="287" t="s">
        <v>41</v>
      </c>
      <c r="P747" s="301">
        <v>0</v>
      </c>
      <c r="Q747" s="302"/>
      <c r="R747" s="303"/>
      <c r="S747" s="312"/>
      <c r="T747" s="304">
        <v>20</v>
      </c>
      <c r="U747" s="305"/>
      <c r="V747" s="305"/>
      <c r="W747" s="305"/>
      <c r="X747" s="305"/>
      <c r="Y747" s="287">
        <v>4</v>
      </c>
      <c r="Z747" s="287" t="s">
        <v>2772</v>
      </c>
      <c r="AA747" s="298" t="s">
        <v>3634</v>
      </c>
      <c r="AB747" s="306"/>
      <c r="AC747" s="298"/>
      <c r="AD747" s="298"/>
    </row>
    <row r="748" spans="1:30" ht="23.25" hidden="1" customHeight="1">
      <c r="A748" s="377"/>
      <c r="B748" s="3">
        <v>2025</v>
      </c>
      <c r="C748" s="287" t="s">
        <v>42</v>
      </c>
      <c r="D748" s="344" t="s">
        <v>50</v>
      </c>
      <c r="E748" s="287" t="s">
        <v>2407</v>
      </c>
      <c r="F748" s="296" t="s">
        <v>3724</v>
      </c>
      <c r="G748" s="296"/>
      <c r="H748" s="296"/>
      <c r="I748" s="174" t="s">
        <v>44</v>
      </c>
      <c r="J748" s="12" t="s">
        <v>15</v>
      </c>
      <c r="K748" s="177"/>
      <c r="L748" s="299" t="s">
        <v>3091</v>
      </c>
      <c r="M748" s="300"/>
      <c r="N748" s="300"/>
      <c r="O748" s="3" t="s">
        <v>41</v>
      </c>
      <c r="P748" s="301">
        <v>0</v>
      </c>
      <c r="Q748" s="302"/>
      <c r="R748" s="303"/>
      <c r="S748" s="312"/>
      <c r="T748" s="304">
        <v>20</v>
      </c>
      <c r="U748" s="305"/>
      <c r="V748" s="305"/>
      <c r="W748" s="305"/>
      <c r="X748" s="305"/>
      <c r="Y748" s="287">
        <v>4</v>
      </c>
      <c r="Z748" s="287" t="s">
        <v>2772</v>
      </c>
      <c r="AA748" s="2" t="s">
        <v>3634</v>
      </c>
      <c r="AB748" s="306"/>
      <c r="AC748" s="298"/>
      <c r="AD748" s="298"/>
    </row>
    <row r="749" spans="1:30" ht="23.25" hidden="1" customHeight="1">
      <c r="A749" s="281"/>
      <c r="B749" s="3">
        <v>2025</v>
      </c>
      <c r="C749" s="3" t="s">
        <v>42</v>
      </c>
      <c r="D749" s="326" t="s">
        <v>50</v>
      </c>
      <c r="E749" s="3" t="s">
        <v>2407</v>
      </c>
      <c r="F749" s="173" t="s">
        <v>3725</v>
      </c>
      <c r="G749" s="173"/>
      <c r="H749" s="173"/>
      <c r="I749" s="174" t="s">
        <v>44</v>
      </c>
      <c r="J749" s="2" t="s">
        <v>15</v>
      </c>
      <c r="K749" s="177"/>
      <c r="L749" s="177" t="s">
        <v>3091</v>
      </c>
      <c r="O749" s="3" t="s">
        <v>41</v>
      </c>
      <c r="P749" s="178">
        <v>0</v>
      </c>
      <c r="Q749" s="179"/>
      <c r="R749" s="217"/>
      <c r="S749" s="218"/>
      <c r="T749" s="180">
        <v>20</v>
      </c>
      <c r="U749" s="181"/>
      <c r="V749" s="181"/>
      <c r="W749" s="181"/>
      <c r="X749" s="181"/>
      <c r="Y749" s="3">
        <v>4</v>
      </c>
      <c r="Z749" s="3" t="s">
        <v>2772</v>
      </c>
      <c r="AA749" s="2" t="s">
        <v>3634</v>
      </c>
    </row>
    <row r="750" spans="1:30" ht="23.25" hidden="1" customHeight="1">
      <c r="A750" s="281"/>
      <c r="B750" s="3">
        <v>2025</v>
      </c>
      <c r="C750" s="3" t="s">
        <v>42</v>
      </c>
      <c r="D750" s="326" t="s">
        <v>50</v>
      </c>
      <c r="E750" s="3" t="s">
        <v>2407</v>
      </c>
      <c r="F750" s="173" t="s">
        <v>3726</v>
      </c>
      <c r="G750" s="173"/>
      <c r="H750" s="173"/>
      <c r="I750" s="174" t="s">
        <v>44</v>
      </c>
      <c r="J750" s="2" t="s">
        <v>15</v>
      </c>
      <c r="K750" s="177"/>
      <c r="L750" s="177" t="s">
        <v>3091</v>
      </c>
      <c r="O750" s="3" t="s">
        <v>41</v>
      </c>
      <c r="P750" s="178">
        <v>0</v>
      </c>
      <c r="Q750" s="179"/>
      <c r="R750" s="217"/>
      <c r="S750" s="218"/>
      <c r="T750" s="180">
        <v>20</v>
      </c>
      <c r="U750" s="181"/>
      <c r="V750" s="181"/>
      <c r="W750" s="181"/>
      <c r="X750" s="181"/>
      <c r="Y750" s="3">
        <v>4</v>
      </c>
      <c r="Z750" s="3" t="s">
        <v>2772</v>
      </c>
      <c r="AA750" s="2" t="s">
        <v>3634</v>
      </c>
    </row>
    <row r="751" spans="1:30" ht="23.25" hidden="1" customHeight="1">
      <c r="A751" s="281"/>
      <c r="B751" s="3">
        <v>2025</v>
      </c>
      <c r="C751" s="287" t="s">
        <v>42</v>
      </c>
      <c r="D751" s="3" t="s">
        <v>50</v>
      </c>
      <c r="E751" s="3" t="s">
        <v>2416</v>
      </c>
      <c r="F751" s="173" t="s">
        <v>3727</v>
      </c>
      <c r="G751" s="173"/>
      <c r="H751" s="173"/>
      <c r="I751" s="174" t="s">
        <v>48</v>
      </c>
      <c r="J751" s="2" t="s">
        <v>18</v>
      </c>
      <c r="K751" s="177" t="s">
        <v>3041</v>
      </c>
      <c r="L751" s="177"/>
      <c r="M751" s="328"/>
      <c r="O751" s="3" t="s">
        <v>41</v>
      </c>
      <c r="Q751" s="179"/>
      <c r="R751" s="217"/>
      <c r="S751" s="218"/>
      <c r="T751" s="180">
        <v>30</v>
      </c>
      <c r="U751" s="181"/>
      <c r="V751" s="181"/>
      <c r="W751" s="181"/>
      <c r="X751" s="181"/>
      <c r="Y751" s="3">
        <v>4</v>
      </c>
      <c r="Z751" s="3" t="s">
        <v>2772</v>
      </c>
      <c r="AA751" s="2" t="s">
        <v>492</v>
      </c>
    </row>
    <row r="752" spans="1:30" ht="23.25" hidden="1" customHeight="1">
      <c r="A752" s="281"/>
      <c r="B752" s="3">
        <v>2025</v>
      </c>
      <c r="C752" s="287" t="s">
        <v>42</v>
      </c>
      <c r="D752" s="344" t="s">
        <v>50</v>
      </c>
      <c r="E752" s="3" t="s">
        <v>3728</v>
      </c>
      <c r="F752" s="173" t="s">
        <v>2821</v>
      </c>
      <c r="G752" s="173"/>
      <c r="H752" s="173"/>
      <c r="I752" s="174" t="s">
        <v>48</v>
      </c>
      <c r="J752" s="2" t="s">
        <v>18</v>
      </c>
      <c r="K752" s="177" t="s">
        <v>3041</v>
      </c>
      <c r="L752" s="177" t="s">
        <v>3729</v>
      </c>
      <c r="O752" s="3" t="s">
        <v>45</v>
      </c>
      <c r="P752" s="178">
        <v>10500</v>
      </c>
      <c r="Q752" s="179"/>
      <c r="R752" s="217"/>
      <c r="S752" s="218"/>
      <c r="T752" s="180">
        <v>40</v>
      </c>
      <c r="U752" s="181"/>
      <c r="V752" s="181"/>
      <c r="W752" s="181"/>
      <c r="X752" s="181"/>
      <c r="Y752" s="3">
        <v>16</v>
      </c>
      <c r="Z752" s="3" t="s">
        <v>2784</v>
      </c>
      <c r="AA752" s="277" t="s">
        <v>2824</v>
      </c>
    </row>
    <row r="753" spans="1:30" ht="23.25" hidden="1" customHeight="1">
      <c r="A753" s="281"/>
      <c r="B753" s="3">
        <v>2025</v>
      </c>
      <c r="C753" s="287" t="s">
        <v>42</v>
      </c>
      <c r="D753" s="344" t="s">
        <v>52</v>
      </c>
      <c r="E753" s="3" t="s">
        <v>2642</v>
      </c>
      <c r="F753" s="173" t="s">
        <v>2177</v>
      </c>
      <c r="G753" s="173"/>
      <c r="H753" s="173"/>
      <c r="I753" s="174" t="s">
        <v>33</v>
      </c>
      <c r="J753" s="2" t="s">
        <v>22</v>
      </c>
      <c r="K753" s="177" t="s">
        <v>3022</v>
      </c>
      <c r="L753" s="177" t="s">
        <v>2643</v>
      </c>
      <c r="O753" s="3" t="s">
        <v>45</v>
      </c>
      <c r="Q753" s="179"/>
      <c r="R753" s="217"/>
      <c r="S753" s="218"/>
      <c r="T753" s="180"/>
      <c r="U753" s="181"/>
      <c r="V753" s="181"/>
      <c r="W753" s="181"/>
      <c r="X753" s="181"/>
      <c r="Y753" s="3"/>
      <c r="Z753" s="3" t="s">
        <v>2780</v>
      </c>
      <c r="AA753" s="2" t="s">
        <v>492</v>
      </c>
    </row>
    <row r="754" spans="1:30" ht="23.25" hidden="1" customHeight="1">
      <c r="A754" s="377"/>
      <c r="B754" s="3">
        <v>2025</v>
      </c>
      <c r="C754" s="287" t="s">
        <v>42</v>
      </c>
      <c r="D754" s="344" t="s">
        <v>50</v>
      </c>
      <c r="E754" s="287" t="s">
        <v>3730</v>
      </c>
      <c r="F754" s="296" t="s">
        <v>3731</v>
      </c>
      <c r="G754" s="296"/>
      <c r="H754" s="296"/>
      <c r="I754" s="174" t="s">
        <v>44</v>
      </c>
      <c r="J754" s="298" t="s">
        <v>15</v>
      </c>
      <c r="K754" s="177"/>
      <c r="L754" s="299" t="s">
        <v>3091</v>
      </c>
      <c r="M754" s="300"/>
      <c r="N754" s="300"/>
      <c r="O754" s="3" t="s">
        <v>41</v>
      </c>
      <c r="P754" s="178">
        <v>21000</v>
      </c>
      <c r="Q754" s="302"/>
      <c r="R754" s="303"/>
      <c r="S754" s="312"/>
      <c r="T754" s="304">
        <v>20</v>
      </c>
      <c r="U754" s="305"/>
      <c r="V754" s="305"/>
      <c r="W754" s="305"/>
      <c r="X754" s="305"/>
      <c r="Y754" s="287">
        <v>4</v>
      </c>
      <c r="Z754" s="3" t="s">
        <v>2772</v>
      </c>
      <c r="AA754" s="298" t="s">
        <v>3634</v>
      </c>
      <c r="AB754" s="306"/>
      <c r="AC754" s="298"/>
      <c r="AD754" s="298"/>
    </row>
    <row r="755" spans="1:30" ht="23.25" customHeight="1">
      <c r="A755" s="281"/>
      <c r="B755" s="3">
        <v>2026</v>
      </c>
      <c r="C755" s="3" t="s">
        <v>42</v>
      </c>
      <c r="D755" s="371" t="s">
        <v>43</v>
      </c>
      <c r="E755" s="3" t="s">
        <v>3732</v>
      </c>
      <c r="F755" s="173" t="s">
        <v>3733</v>
      </c>
      <c r="G755" s="173"/>
      <c r="H755" s="173"/>
      <c r="I755" s="174"/>
      <c r="K755" s="177"/>
      <c r="L755" s="177"/>
      <c r="Q755" s="179"/>
      <c r="R755" s="217"/>
      <c r="S755" s="218"/>
      <c r="T755" s="180"/>
      <c r="U755" s="181"/>
      <c r="V755" s="181"/>
      <c r="W755" s="181"/>
      <c r="X755" s="181"/>
      <c r="Y755" s="3"/>
      <c r="Z755" s="3"/>
    </row>
    <row r="756" spans="1:30" ht="23.25" customHeight="1">
      <c r="A756" s="281"/>
      <c r="B756" s="3">
        <v>2026</v>
      </c>
      <c r="C756" s="3" t="s">
        <v>42</v>
      </c>
      <c r="D756" s="371" t="s">
        <v>43</v>
      </c>
      <c r="E756" s="3" t="s">
        <v>3734</v>
      </c>
      <c r="F756" s="173" t="s">
        <v>3735</v>
      </c>
      <c r="G756" s="173"/>
      <c r="H756" s="173"/>
      <c r="I756" s="174"/>
      <c r="K756" s="177"/>
      <c r="L756" s="177"/>
      <c r="Q756" s="179"/>
      <c r="R756" s="217"/>
      <c r="S756" s="218"/>
      <c r="T756" s="180"/>
      <c r="U756" s="181"/>
      <c r="V756" s="181"/>
      <c r="W756" s="181"/>
      <c r="X756" s="181"/>
      <c r="Y756" s="3"/>
      <c r="Z756" s="3"/>
    </row>
    <row r="757" spans="1:30" ht="23.25" customHeight="1">
      <c r="A757" s="281"/>
      <c r="B757" s="3">
        <v>2026</v>
      </c>
      <c r="C757" s="3" t="s">
        <v>42</v>
      </c>
      <c r="D757" s="371" t="s">
        <v>43</v>
      </c>
      <c r="E757" s="3" t="s">
        <v>3736</v>
      </c>
      <c r="F757" s="173" t="s">
        <v>3737</v>
      </c>
      <c r="G757" s="173"/>
      <c r="H757" s="173"/>
      <c r="I757" s="174"/>
      <c r="K757" s="177"/>
      <c r="L757" s="177"/>
      <c r="Q757" s="179"/>
      <c r="R757" s="217"/>
      <c r="S757" s="218"/>
      <c r="T757" s="180"/>
      <c r="U757" s="181"/>
      <c r="V757" s="181"/>
      <c r="W757" s="181"/>
      <c r="X757" s="181"/>
      <c r="Y757" s="3"/>
      <c r="Z757" s="3"/>
    </row>
    <row r="758" spans="1:30" ht="23.25" customHeight="1">
      <c r="A758" s="281"/>
      <c r="B758" s="3">
        <v>2026</v>
      </c>
      <c r="C758" s="3" t="s">
        <v>42</v>
      </c>
      <c r="D758" s="371" t="s">
        <v>43</v>
      </c>
      <c r="E758" s="3" t="s">
        <v>3736</v>
      </c>
      <c r="F758" s="173" t="s">
        <v>3738</v>
      </c>
      <c r="G758" s="173"/>
      <c r="H758" s="173"/>
      <c r="I758" s="174"/>
      <c r="K758" s="177"/>
      <c r="L758" s="177"/>
      <c r="Q758" s="179"/>
      <c r="R758" s="217"/>
      <c r="S758" s="218"/>
      <c r="T758" s="180"/>
      <c r="U758" s="181"/>
      <c r="V758" s="181"/>
      <c r="W758" s="181"/>
      <c r="X758" s="181"/>
      <c r="Y758" s="3"/>
      <c r="Z758" s="3"/>
    </row>
    <row r="759" spans="1:30" ht="23.25" customHeight="1">
      <c r="A759" s="281"/>
      <c r="B759" s="281"/>
      <c r="C759" s="281"/>
      <c r="F759" s="173"/>
      <c r="G759" s="173"/>
      <c r="H759" s="173"/>
      <c r="I759" s="174"/>
      <c r="K759" s="177"/>
      <c r="L759" s="177"/>
      <c r="Q759" s="179"/>
      <c r="R759" s="217"/>
      <c r="S759" s="218"/>
      <c r="T759" s="180"/>
      <c r="U759" s="181"/>
      <c r="V759" s="181"/>
      <c r="W759" s="181"/>
      <c r="X759" s="181"/>
      <c r="Y759" s="3"/>
      <c r="Z759" s="3"/>
    </row>
    <row r="760" spans="1:30" ht="23.25" customHeight="1">
      <c r="A760" s="281"/>
      <c r="B760" s="281"/>
      <c r="C760" s="281"/>
      <c r="F760" s="173"/>
      <c r="G760" s="173"/>
      <c r="H760" s="173"/>
      <c r="I760" s="174"/>
      <c r="K760" s="177"/>
      <c r="L760" s="177"/>
      <c r="Q760" s="179"/>
      <c r="R760" s="217"/>
      <c r="S760" s="218"/>
      <c r="T760" s="180"/>
      <c r="U760" s="181"/>
      <c r="V760" s="181"/>
      <c r="W760" s="181"/>
      <c r="X760" s="181"/>
      <c r="Y760" s="3"/>
      <c r="Z760" s="3"/>
    </row>
    <row r="761" spans="1:30" ht="23.25" customHeight="1">
      <c r="A761" s="281"/>
      <c r="B761" s="281"/>
      <c r="C761" s="281"/>
      <c r="F761" s="173"/>
      <c r="G761" s="173"/>
      <c r="H761" s="173"/>
      <c r="I761" s="174"/>
      <c r="K761" s="177"/>
      <c r="L761" s="177"/>
      <c r="Q761" s="179"/>
      <c r="R761" s="217"/>
      <c r="S761" s="218"/>
      <c r="T761" s="180"/>
      <c r="U761" s="181"/>
      <c r="V761" s="181"/>
      <c r="W761" s="181"/>
      <c r="X761" s="181"/>
      <c r="Y761" s="3"/>
      <c r="Z761" s="3"/>
    </row>
    <row r="762" spans="1:30" ht="23.25" customHeight="1">
      <c r="A762" s="281"/>
      <c r="B762" s="281"/>
      <c r="C762" s="281"/>
      <c r="F762" s="173"/>
      <c r="G762" s="173"/>
      <c r="H762" s="173"/>
      <c r="I762" s="174"/>
      <c r="K762" s="177"/>
      <c r="L762" s="177"/>
      <c r="Q762" s="179"/>
      <c r="R762" s="217"/>
      <c r="S762" s="218"/>
      <c r="T762" s="180"/>
      <c r="U762" s="181"/>
      <c r="V762" s="181"/>
      <c r="W762" s="181"/>
      <c r="X762" s="181"/>
      <c r="Y762" s="3"/>
      <c r="Z762" s="3"/>
    </row>
    <row r="763" spans="1:30" ht="23.25" customHeight="1">
      <c r="A763" s="281"/>
      <c r="B763" s="281"/>
      <c r="C763" s="281"/>
      <c r="F763" s="173"/>
      <c r="G763" s="173"/>
      <c r="H763" s="173"/>
      <c r="I763" s="174"/>
      <c r="K763" s="177"/>
      <c r="L763" s="177"/>
      <c r="Q763" s="179"/>
      <c r="R763" s="217"/>
      <c r="S763" s="218"/>
      <c r="T763" s="180"/>
      <c r="U763" s="181"/>
      <c r="V763" s="181"/>
      <c r="W763" s="181"/>
      <c r="X763" s="181"/>
      <c r="Y763" s="3"/>
      <c r="Z763" s="3"/>
    </row>
    <row r="764" spans="1:30" ht="23.25" customHeight="1">
      <c r="A764" s="281"/>
      <c r="B764" s="281"/>
      <c r="C764" s="281"/>
      <c r="F764" s="173"/>
      <c r="G764" s="173"/>
      <c r="H764" s="173"/>
      <c r="I764" s="174"/>
      <c r="K764" s="177"/>
      <c r="L764" s="177"/>
      <c r="Q764" s="179"/>
      <c r="R764" s="217"/>
      <c r="S764" s="218"/>
      <c r="T764" s="180"/>
      <c r="U764" s="181"/>
      <c r="V764" s="181"/>
      <c r="W764" s="181"/>
      <c r="X764" s="181"/>
      <c r="Y764" s="3"/>
      <c r="Z764" s="3"/>
    </row>
    <row r="765" spans="1:30" ht="23.25" customHeight="1">
      <c r="A765" s="281"/>
      <c r="B765" s="281"/>
      <c r="C765" s="281"/>
      <c r="F765" s="173"/>
      <c r="G765" s="173"/>
      <c r="H765" s="173"/>
      <c r="I765" s="174"/>
      <c r="K765" s="177"/>
      <c r="L765" s="177"/>
      <c r="Q765" s="179"/>
      <c r="R765" s="217"/>
      <c r="S765" s="218"/>
      <c r="T765" s="180"/>
      <c r="U765" s="181"/>
      <c r="V765" s="181"/>
      <c r="W765" s="181"/>
      <c r="X765" s="181"/>
      <c r="Y765" s="3"/>
      <c r="Z765" s="3"/>
    </row>
    <row r="766" spans="1:30" ht="23.25" customHeight="1">
      <c r="A766" s="281"/>
      <c r="B766" s="281"/>
      <c r="C766" s="281"/>
      <c r="F766" s="173"/>
      <c r="G766" s="173"/>
      <c r="H766" s="173"/>
      <c r="I766" s="174"/>
      <c r="K766" s="177"/>
      <c r="L766" s="177"/>
      <c r="Q766" s="179"/>
      <c r="R766" s="217"/>
      <c r="S766" s="218"/>
      <c r="T766" s="180"/>
      <c r="U766" s="181"/>
      <c r="V766" s="181"/>
      <c r="W766" s="181"/>
      <c r="X766" s="181"/>
      <c r="Y766" s="3"/>
      <c r="Z766" s="3"/>
    </row>
    <row r="767" spans="1:30" ht="23.25" customHeight="1">
      <c r="A767" s="281"/>
      <c r="B767" s="281"/>
      <c r="C767" s="281"/>
      <c r="F767" s="173"/>
      <c r="G767" s="173"/>
      <c r="H767" s="173"/>
      <c r="I767" s="174"/>
      <c r="K767" s="177"/>
      <c r="L767" s="177"/>
      <c r="Q767" s="179"/>
      <c r="R767" s="217"/>
      <c r="S767" s="218"/>
      <c r="T767" s="180"/>
      <c r="U767" s="181"/>
      <c r="V767" s="181"/>
      <c r="W767" s="181"/>
      <c r="X767" s="181"/>
      <c r="Y767" s="3"/>
      <c r="Z767" s="3"/>
    </row>
    <row r="768" spans="1:30" ht="23.25" customHeight="1">
      <c r="A768" s="281"/>
      <c r="B768" s="281"/>
      <c r="C768" s="281"/>
      <c r="F768" s="173"/>
      <c r="G768" s="173"/>
      <c r="H768" s="173"/>
      <c r="I768" s="174"/>
      <c r="K768" s="177"/>
      <c r="L768" s="177"/>
      <c r="Q768" s="179"/>
      <c r="R768" s="217"/>
      <c r="S768" s="218"/>
      <c r="T768" s="180"/>
      <c r="U768" s="181"/>
      <c r="V768" s="181"/>
      <c r="W768" s="181"/>
      <c r="X768" s="181"/>
      <c r="Y768" s="3"/>
      <c r="Z768" s="3"/>
    </row>
    <row r="769" spans="1:26" ht="23.25" customHeight="1">
      <c r="A769" s="281"/>
      <c r="B769" s="281"/>
      <c r="C769" s="281"/>
      <c r="F769" s="173"/>
      <c r="G769" s="173"/>
      <c r="H769" s="173"/>
      <c r="I769" s="174"/>
      <c r="K769" s="177"/>
      <c r="L769" s="177"/>
      <c r="Q769" s="179"/>
      <c r="R769" s="217"/>
      <c r="S769" s="218"/>
      <c r="T769" s="180"/>
      <c r="U769" s="181"/>
      <c r="V769" s="181"/>
      <c r="W769" s="181"/>
      <c r="X769" s="181"/>
      <c r="Y769" s="3"/>
      <c r="Z769" s="3"/>
    </row>
    <row r="770" spans="1:26" ht="23.25" customHeight="1">
      <c r="A770" s="281"/>
      <c r="B770" s="281"/>
      <c r="C770" s="281"/>
      <c r="F770" s="173"/>
      <c r="G770" s="173"/>
      <c r="H770" s="173"/>
      <c r="I770" s="174"/>
      <c r="K770" s="177"/>
      <c r="L770" s="177"/>
      <c r="Q770" s="179"/>
      <c r="R770" s="217"/>
      <c r="S770" s="218"/>
      <c r="T770" s="180"/>
      <c r="U770" s="181"/>
      <c r="V770" s="181"/>
      <c r="W770" s="181"/>
      <c r="X770" s="181"/>
      <c r="Y770" s="3"/>
      <c r="Z770" s="3"/>
    </row>
    <row r="771" spans="1:26" ht="23.25" customHeight="1">
      <c r="A771" s="281"/>
      <c r="B771" s="281"/>
      <c r="C771" s="281"/>
      <c r="F771" s="173"/>
      <c r="G771" s="173"/>
      <c r="H771" s="173"/>
      <c r="I771" s="174"/>
      <c r="K771" s="177"/>
      <c r="L771" s="177"/>
      <c r="Q771" s="179"/>
      <c r="R771" s="217"/>
      <c r="S771" s="218"/>
      <c r="T771" s="180"/>
      <c r="U771" s="181"/>
      <c r="V771" s="181"/>
      <c r="W771" s="181"/>
      <c r="X771" s="181"/>
      <c r="Y771" s="3"/>
      <c r="Z771" s="3"/>
    </row>
    <row r="772" spans="1:26" ht="23.25" customHeight="1">
      <c r="A772" s="281"/>
      <c r="B772" s="281"/>
      <c r="C772" s="281"/>
      <c r="F772" s="173"/>
      <c r="G772" s="173"/>
      <c r="H772" s="173"/>
      <c r="I772" s="174"/>
      <c r="K772" s="177"/>
      <c r="L772" s="177"/>
      <c r="Q772" s="179"/>
      <c r="R772" s="217"/>
      <c r="S772" s="218"/>
      <c r="T772" s="180"/>
      <c r="U772" s="181"/>
      <c r="V772" s="181"/>
      <c r="W772" s="181"/>
      <c r="X772" s="181"/>
      <c r="Y772" s="3"/>
      <c r="Z772" s="3"/>
    </row>
    <row r="773" spans="1:26" ht="23.25" customHeight="1">
      <c r="A773" s="281"/>
      <c r="B773" s="281"/>
      <c r="C773" s="281"/>
      <c r="F773" s="173"/>
      <c r="G773" s="173"/>
      <c r="H773" s="173"/>
      <c r="I773" s="174"/>
      <c r="K773" s="177"/>
      <c r="L773" s="177"/>
      <c r="Q773" s="179"/>
      <c r="R773" s="217"/>
      <c r="S773" s="218"/>
      <c r="T773" s="180"/>
      <c r="U773" s="181"/>
      <c r="V773" s="181"/>
      <c r="W773" s="181"/>
      <c r="X773" s="181"/>
      <c r="Y773" s="3"/>
      <c r="Z773" s="3"/>
    </row>
    <row r="774" spans="1:26" ht="23.25" customHeight="1">
      <c r="A774" s="281"/>
      <c r="B774" s="281"/>
      <c r="C774" s="281"/>
      <c r="F774" s="173"/>
      <c r="G774" s="173"/>
      <c r="H774" s="173"/>
      <c r="I774" s="174"/>
      <c r="K774" s="177"/>
      <c r="L774" s="177"/>
      <c r="Q774" s="179"/>
      <c r="R774" s="217"/>
      <c r="S774" s="218"/>
      <c r="T774" s="180"/>
      <c r="U774" s="181"/>
      <c r="V774" s="181"/>
      <c r="W774" s="181"/>
      <c r="X774" s="181"/>
      <c r="Y774" s="3"/>
      <c r="Z774" s="3"/>
    </row>
    <row r="775" spans="1:26" ht="23.25" customHeight="1">
      <c r="A775" s="281"/>
      <c r="B775" s="281"/>
      <c r="C775" s="281"/>
      <c r="F775" s="173"/>
      <c r="G775" s="173"/>
      <c r="H775" s="173"/>
      <c r="I775" s="174"/>
      <c r="K775" s="177"/>
      <c r="L775" s="177"/>
      <c r="Q775" s="179"/>
      <c r="R775" s="217"/>
      <c r="S775" s="218"/>
      <c r="T775" s="180"/>
      <c r="U775" s="181"/>
      <c r="V775" s="181"/>
      <c r="W775" s="181"/>
      <c r="X775" s="181"/>
      <c r="Y775" s="3"/>
      <c r="Z775" s="3"/>
    </row>
    <row r="776" spans="1:26" ht="23.25" customHeight="1">
      <c r="A776" s="281"/>
      <c r="B776" s="281"/>
      <c r="C776" s="281"/>
      <c r="F776" s="173"/>
      <c r="G776" s="173"/>
      <c r="H776" s="173"/>
      <c r="I776" s="174"/>
      <c r="K776" s="177"/>
      <c r="L776" s="177"/>
      <c r="Q776" s="179"/>
      <c r="R776" s="217"/>
      <c r="S776" s="218"/>
      <c r="T776" s="180"/>
      <c r="U776" s="181"/>
      <c r="V776" s="181"/>
      <c r="W776" s="181"/>
      <c r="X776" s="181"/>
      <c r="Y776" s="3"/>
      <c r="Z776" s="3"/>
    </row>
    <row r="777" spans="1:26" ht="23.25" customHeight="1">
      <c r="A777" s="281"/>
      <c r="B777" s="281"/>
      <c r="C777" s="281"/>
      <c r="F777" s="173"/>
      <c r="G777" s="173"/>
      <c r="H777" s="173"/>
      <c r="I777" s="174"/>
      <c r="K777" s="177"/>
      <c r="L777" s="177"/>
      <c r="Q777" s="179"/>
      <c r="R777" s="217"/>
      <c r="S777" s="218"/>
      <c r="T777" s="180"/>
      <c r="U777" s="181"/>
      <c r="V777" s="181"/>
      <c r="W777" s="181"/>
      <c r="X777" s="181"/>
      <c r="Y777" s="3"/>
      <c r="Z777" s="3"/>
    </row>
    <row r="778" spans="1:26" ht="23.25" customHeight="1">
      <c r="A778" s="281"/>
      <c r="B778" s="281"/>
      <c r="C778" s="281"/>
      <c r="F778" s="173"/>
      <c r="G778" s="173"/>
      <c r="H778" s="173"/>
      <c r="I778" s="174"/>
      <c r="K778" s="177"/>
      <c r="L778" s="177"/>
      <c r="Q778" s="179"/>
      <c r="R778" s="217"/>
      <c r="S778" s="218"/>
      <c r="T778" s="180"/>
      <c r="U778" s="181"/>
      <c r="V778" s="181"/>
      <c r="W778" s="181"/>
      <c r="X778" s="181"/>
      <c r="Y778" s="3"/>
      <c r="Z778" s="3"/>
    </row>
    <row r="779" spans="1:26" ht="23.25" customHeight="1">
      <c r="A779" s="281"/>
      <c r="B779" s="281"/>
      <c r="C779" s="281"/>
      <c r="F779" s="173"/>
      <c r="G779" s="173"/>
      <c r="H779" s="173"/>
      <c r="I779" s="174"/>
      <c r="K779" s="177"/>
      <c r="L779" s="177"/>
      <c r="Q779" s="179"/>
      <c r="R779" s="217"/>
      <c r="S779" s="218"/>
      <c r="T779" s="180"/>
      <c r="U779" s="181"/>
      <c r="V779" s="181"/>
      <c r="W779" s="181"/>
      <c r="X779" s="181"/>
      <c r="Y779" s="3"/>
      <c r="Z779" s="3"/>
    </row>
    <row r="780" spans="1:26" ht="23.25" customHeight="1">
      <c r="A780" s="281"/>
      <c r="B780" s="281"/>
      <c r="C780" s="281"/>
      <c r="F780" s="173"/>
      <c r="G780" s="173"/>
      <c r="H780" s="173"/>
      <c r="I780" s="174"/>
      <c r="K780" s="177"/>
      <c r="L780" s="177"/>
      <c r="Q780" s="179"/>
      <c r="R780" s="217"/>
      <c r="S780" s="218"/>
      <c r="T780" s="180"/>
      <c r="U780" s="181"/>
      <c r="V780" s="181"/>
      <c r="W780" s="181"/>
      <c r="X780" s="181"/>
      <c r="Y780" s="3"/>
      <c r="Z780" s="3"/>
    </row>
    <row r="781" spans="1:26" ht="23.25" customHeight="1">
      <c r="A781" s="281"/>
      <c r="B781" s="281"/>
      <c r="C781" s="281"/>
      <c r="F781" s="173"/>
      <c r="G781" s="173"/>
      <c r="H781" s="173"/>
      <c r="I781" s="174"/>
      <c r="K781" s="177"/>
      <c r="L781" s="177"/>
      <c r="Q781" s="179"/>
      <c r="R781" s="217"/>
      <c r="S781" s="218"/>
      <c r="T781" s="180"/>
      <c r="U781" s="181"/>
      <c r="V781" s="181"/>
      <c r="W781" s="181"/>
      <c r="X781" s="181"/>
      <c r="Y781" s="3"/>
      <c r="Z781" s="3"/>
    </row>
    <row r="782" spans="1:26" ht="23.25" customHeight="1">
      <c r="A782" s="281"/>
      <c r="B782" s="281"/>
      <c r="C782" s="281"/>
      <c r="F782" s="173"/>
      <c r="G782" s="173"/>
      <c r="H782" s="173"/>
      <c r="I782" s="174"/>
      <c r="K782" s="177"/>
      <c r="L782" s="177"/>
      <c r="Q782" s="179"/>
      <c r="R782" s="217"/>
      <c r="S782" s="218"/>
      <c r="T782" s="180"/>
      <c r="U782" s="181"/>
      <c r="V782" s="181"/>
      <c r="W782" s="181"/>
      <c r="X782" s="181"/>
      <c r="Y782" s="3"/>
      <c r="Z782" s="3"/>
    </row>
    <row r="783" spans="1:26" ht="23.25" customHeight="1">
      <c r="A783" s="281"/>
      <c r="B783" s="281"/>
      <c r="C783" s="281"/>
      <c r="F783" s="173"/>
      <c r="G783" s="173"/>
      <c r="H783" s="173"/>
      <c r="I783" s="174"/>
      <c r="K783" s="177"/>
      <c r="L783" s="177"/>
      <c r="Q783" s="179"/>
      <c r="R783" s="217"/>
      <c r="S783" s="218"/>
      <c r="T783" s="180"/>
      <c r="U783" s="181"/>
      <c r="V783" s="181"/>
      <c r="W783" s="181"/>
      <c r="X783" s="181"/>
      <c r="Y783" s="3"/>
      <c r="Z783" s="3"/>
    </row>
    <row r="784" spans="1:26" ht="23.25" customHeight="1">
      <c r="A784" s="281"/>
      <c r="B784" s="281"/>
      <c r="C784" s="281"/>
      <c r="F784" s="173"/>
      <c r="G784" s="173"/>
      <c r="H784" s="173"/>
      <c r="I784" s="174"/>
      <c r="K784" s="177"/>
      <c r="L784" s="177"/>
      <c r="Q784" s="179"/>
      <c r="R784" s="217"/>
      <c r="S784" s="218"/>
      <c r="T784" s="180"/>
      <c r="U784" s="181"/>
      <c r="V784" s="181"/>
      <c r="W784" s="181"/>
      <c r="X784" s="181"/>
      <c r="Y784" s="3"/>
      <c r="Z784" s="3"/>
    </row>
    <row r="785" spans="1:26" ht="23.25" customHeight="1">
      <c r="A785" s="281"/>
      <c r="B785" s="281"/>
      <c r="C785" s="281"/>
      <c r="F785" s="173"/>
      <c r="G785" s="173"/>
      <c r="H785" s="173"/>
      <c r="I785" s="174"/>
      <c r="K785" s="177"/>
      <c r="L785" s="177"/>
      <c r="Q785" s="179"/>
      <c r="R785" s="217"/>
      <c r="S785" s="218"/>
      <c r="T785" s="180"/>
      <c r="U785" s="181"/>
      <c r="V785" s="181"/>
      <c r="W785" s="181"/>
      <c r="X785" s="181"/>
      <c r="Y785" s="3"/>
      <c r="Z785" s="3"/>
    </row>
    <row r="786" spans="1:26" ht="23.25" customHeight="1">
      <c r="A786" s="281"/>
      <c r="B786" s="281"/>
      <c r="C786" s="281"/>
      <c r="F786" s="173"/>
      <c r="G786" s="173"/>
      <c r="H786" s="173"/>
      <c r="I786" s="174"/>
      <c r="K786" s="177"/>
      <c r="L786" s="177"/>
      <c r="Q786" s="179"/>
      <c r="R786" s="217"/>
      <c r="S786" s="218"/>
      <c r="T786" s="180"/>
      <c r="U786" s="181"/>
      <c r="V786" s="181"/>
      <c r="W786" s="181"/>
      <c r="X786" s="181"/>
      <c r="Y786" s="3"/>
      <c r="Z786" s="3"/>
    </row>
    <row r="787" spans="1:26" ht="23.25" customHeight="1">
      <c r="A787" s="281"/>
      <c r="B787" s="281"/>
      <c r="C787" s="281"/>
      <c r="F787" s="173"/>
      <c r="G787" s="173"/>
      <c r="H787" s="173"/>
      <c r="I787" s="174"/>
      <c r="K787" s="177"/>
      <c r="L787" s="177"/>
      <c r="Q787" s="179"/>
      <c r="R787" s="217"/>
      <c r="S787" s="218"/>
      <c r="T787" s="180"/>
      <c r="U787" s="181"/>
      <c r="V787" s="181"/>
      <c r="W787" s="181"/>
      <c r="X787" s="181"/>
      <c r="Y787" s="3"/>
      <c r="Z787" s="3"/>
    </row>
    <row r="788" spans="1:26" ht="23.25" customHeight="1">
      <c r="A788" s="281"/>
      <c r="B788" s="281"/>
      <c r="C788" s="281"/>
      <c r="F788" s="173"/>
      <c r="G788" s="173"/>
      <c r="H788" s="173"/>
      <c r="I788" s="174"/>
      <c r="K788" s="177"/>
      <c r="L788" s="177"/>
      <c r="Q788" s="179"/>
      <c r="R788" s="217"/>
      <c r="S788" s="218"/>
      <c r="T788" s="180"/>
      <c r="U788" s="181"/>
      <c r="V788" s="181"/>
      <c r="W788" s="181"/>
      <c r="X788" s="181"/>
      <c r="Y788" s="3"/>
      <c r="Z788" s="3"/>
    </row>
    <row r="789" spans="1:26" ht="23.25" customHeight="1">
      <c r="A789" s="281"/>
      <c r="B789" s="281"/>
      <c r="C789" s="281"/>
      <c r="F789" s="173"/>
      <c r="G789" s="173"/>
      <c r="H789" s="173"/>
      <c r="I789" s="174"/>
      <c r="K789" s="177"/>
      <c r="L789" s="177"/>
      <c r="Q789" s="179"/>
      <c r="R789" s="217"/>
      <c r="S789" s="218"/>
      <c r="T789" s="180"/>
      <c r="U789" s="181"/>
      <c r="V789" s="181"/>
      <c r="W789" s="181"/>
      <c r="X789" s="181"/>
      <c r="Y789" s="3"/>
      <c r="Z789" s="3"/>
    </row>
    <row r="790" spans="1:26" ht="23.25" customHeight="1">
      <c r="A790" s="281"/>
      <c r="B790" s="281"/>
      <c r="C790" s="281"/>
      <c r="F790" s="173"/>
      <c r="G790" s="173"/>
      <c r="H790" s="173"/>
      <c r="I790" s="174"/>
      <c r="K790" s="177"/>
      <c r="L790" s="177"/>
      <c r="Q790" s="179"/>
      <c r="R790" s="217"/>
      <c r="S790" s="218"/>
      <c r="T790" s="180"/>
      <c r="U790" s="181"/>
      <c r="V790" s="181"/>
      <c r="W790" s="181"/>
      <c r="X790" s="181"/>
      <c r="Y790" s="3"/>
      <c r="Z790" s="3"/>
    </row>
    <row r="791" spans="1:26" ht="23.25" customHeight="1">
      <c r="A791" s="281"/>
      <c r="B791" s="281"/>
      <c r="C791" s="281"/>
      <c r="F791" s="173"/>
      <c r="G791" s="173"/>
      <c r="H791" s="173"/>
      <c r="I791" s="174"/>
      <c r="K791" s="177"/>
      <c r="L791" s="177"/>
      <c r="Q791" s="179"/>
      <c r="R791" s="217"/>
      <c r="S791" s="218"/>
      <c r="T791" s="180"/>
      <c r="U791" s="181"/>
      <c r="V791" s="181"/>
      <c r="W791" s="181"/>
      <c r="X791" s="181"/>
      <c r="Y791" s="3"/>
      <c r="Z791" s="3"/>
    </row>
    <row r="792" spans="1:26" ht="23.25" customHeight="1">
      <c r="A792" s="281"/>
      <c r="B792" s="281"/>
      <c r="C792" s="281"/>
      <c r="F792" s="173"/>
      <c r="G792" s="173"/>
      <c r="H792" s="173"/>
      <c r="I792" s="174"/>
      <c r="K792" s="177"/>
      <c r="L792" s="177"/>
      <c r="Q792" s="179"/>
      <c r="R792" s="217"/>
      <c r="S792" s="218"/>
      <c r="T792" s="180"/>
      <c r="U792" s="181"/>
      <c r="V792" s="181"/>
      <c r="W792" s="181"/>
      <c r="X792" s="181"/>
      <c r="Y792" s="3"/>
      <c r="Z792" s="3"/>
    </row>
    <row r="793" spans="1:26" ht="23.25" customHeight="1">
      <c r="A793" s="281"/>
      <c r="B793" s="281"/>
      <c r="C793" s="281"/>
      <c r="F793" s="173"/>
      <c r="G793" s="173"/>
      <c r="H793" s="173"/>
      <c r="I793" s="174"/>
      <c r="K793" s="177"/>
      <c r="L793" s="177"/>
      <c r="Q793" s="179"/>
      <c r="R793" s="217"/>
      <c r="S793" s="218"/>
      <c r="T793" s="180"/>
      <c r="U793" s="181"/>
      <c r="V793" s="181"/>
      <c r="W793" s="181"/>
      <c r="X793" s="181"/>
      <c r="Y793" s="3"/>
      <c r="Z793" s="3"/>
    </row>
    <row r="794" spans="1:26" ht="23.25" customHeight="1">
      <c r="A794" s="281"/>
      <c r="B794" s="281"/>
      <c r="C794" s="281"/>
      <c r="F794" s="173"/>
      <c r="G794" s="173"/>
      <c r="H794" s="173"/>
      <c r="I794" s="174"/>
      <c r="K794" s="177"/>
      <c r="L794" s="177"/>
      <c r="Q794" s="179"/>
      <c r="R794" s="217"/>
      <c r="S794" s="218"/>
      <c r="T794" s="180"/>
      <c r="U794" s="181"/>
      <c r="V794" s="181"/>
      <c r="W794" s="181"/>
      <c r="X794" s="181"/>
      <c r="Y794" s="3"/>
      <c r="Z794" s="3"/>
    </row>
    <row r="795" spans="1:26" ht="23.25" customHeight="1">
      <c r="A795" s="281"/>
      <c r="B795" s="281"/>
      <c r="C795" s="281"/>
      <c r="F795" s="173"/>
      <c r="G795" s="173"/>
      <c r="H795" s="173"/>
      <c r="I795" s="174"/>
      <c r="K795" s="177"/>
      <c r="L795" s="177"/>
      <c r="Q795" s="179"/>
      <c r="R795" s="217"/>
      <c r="S795" s="218"/>
      <c r="T795" s="180"/>
      <c r="U795" s="181"/>
      <c r="V795" s="181"/>
      <c r="W795" s="181"/>
      <c r="X795" s="181"/>
      <c r="Y795" s="3"/>
      <c r="Z795" s="3"/>
    </row>
    <row r="796" spans="1:26" ht="23.25" customHeight="1">
      <c r="A796" s="281"/>
      <c r="B796" s="281"/>
      <c r="C796" s="281"/>
      <c r="F796" s="173"/>
      <c r="G796" s="173"/>
      <c r="H796" s="173"/>
      <c r="I796" s="174"/>
      <c r="K796" s="177"/>
      <c r="L796" s="177"/>
      <c r="Q796" s="179"/>
      <c r="R796" s="217"/>
      <c r="S796" s="218"/>
      <c r="T796" s="180"/>
      <c r="U796" s="181"/>
      <c r="V796" s="181"/>
      <c r="W796" s="181"/>
      <c r="X796" s="181"/>
      <c r="Y796" s="3"/>
      <c r="Z796" s="3"/>
    </row>
    <row r="797" spans="1:26" ht="23.25" customHeight="1">
      <c r="A797" s="281"/>
      <c r="B797" s="281"/>
      <c r="C797" s="281"/>
      <c r="F797" s="173"/>
      <c r="G797" s="173"/>
      <c r="H797" s="173"/>
      <c r="I797" s="174"/>
      <c r="K797" s="177"/>
      <c r="L797" s="177"/>
      <c r="Q797" s="179"/>
      <c r="R797" s="217"/>
      <c r="S797" s="218"/>
      <c r="T797" s="180"/>
      <c r="U797" s="181"/>
      <c r="V797" s="181"/>
      <c r="W797" s="181"/>
      <c r="X797" s="181"/>
      <c r="Y797" s="3"/>
      <c r="Z797" s="3"/>
    </row>
    <row r="798" spans="1:26" ht="23.25" customHeight="1">
      <c r="A798" s="281"/>
      <c r="B798" s="281"/>
      <c r="C798" s="281"/>
      <c r="F798" s="173"/>
      <c r="G798" s="173"/>
      <c r="H798" s="173"/>
      <c r="I798" s="174"/>
      <c r="K798" s="177"/>
      <c r="L798" s="177"/>
      <c r="Q798" s="179"/>
      <c r="R798" s="217"/>
      <c r="S798" s="218"/>
      <c r="T798" s="180"/>
      <c r="U798" s="181"/>
      <c r="V798" s="181"/>
      <c r="W798" s="181"/>
      <c r="X798" s="181"/>
      <c r="Y798" s="3"/>
      <c r="Z798" s="3"/>
    </row>
    <row r="799" spans="1:26" ht="23.25" customHeight="1">
      <c r="A799" s="281"/>
      <c r="B799" s="281"/>
      <c r="C799" s="281"/>
      <c r="F799" s="173"/>
      <c r="G799" s="173"/>
      <c r="H799" s="173"/>
      <c r="I799" s="174"/>
      <c r="K799" s="177"/>
      <c r="L799" s="177"/>
      <c r="Q799" s="179"/>
      <c r="R799" s="217"/>
      <c r="S799" s="218"/>
      <c r="T799" s="180"/>
      <c r="U799" s="181"/>
      <c r="V799" s="181"/>
      <c r="W799" s="181"/>
      <c r="X799" s="181"/>
      <c r="Y799" s="3"/>
      <c r="Z799" s="3"/>
    </row>
    <row r="800" spans="1:26" ht="23.25" customHeight="1">
      <c r="A800" s="281"/>
      <c r="B800" s="281"/>
      <c r="C800" s="281"/>
      <c r="F800" s="173"/>
      <c r="G800" s="173"/>
      <c r="H800" s="173"/>
      <c r="I800" s="174"/>
      <c r="K800" s="177"/>
      <c r="L800" s="177"/>
      <c r="Q800" s="179"/>
      <c r="R800" s="217"/>
      <c r="S800" s="218"/>
      <c r="T800" s="180"/>
      <c r="U800" s="181"/>
      <c r="V800" s="181"/>
      <c r="W800" s="181"/>
      <c r="X800" s="181"/>
      <c r="Y800" s="3"/>
      <c r="Z800" s="3"/>
    </row>
    <row r="801" spans="1:26" ht="23.25" customHeight="1">
      <c r="A801" s="281"/>
      <c r="B801" s="281"/>
      <c r="C801" s="281"/>
      <c r="F801" s="173"/>
      <c r="G801" s="173"/>
      <c r="H801" s="173"/>
      <c r="I801" s="174"/>
      <c r="K801" s="177"/>
      <c r="L801" s="177"/>
      <c r="Q801" s="179"/>
      <c r="R801" s="217"/>
      <c r="S801" s="218"/>
      <c r="T801" s="180"/>
      <c r="U801" s="181"/>
      <c r="V801" s="181"/>
      <c r="W801" s="181"/>
      <c r="X801" s="181"/>
      <c r="Y801" s="3"/>
      <c r="Z801" s="3"/>
    </row>
    <row r="802" spans="1:26" ht="23.25" customHeight="1">
      <c r="A802" s="281"/>
      <c r="B802" s="281"/>
      <c r="C802" s="281"/>
      <c r="F802" s="173"/>
      <c r="G802" s="173"/>
      <c r="H802" s="173"/>
      <c r="I802" s="174"/>
      <c r="K802" s="177"/>
      <c r="L802" s="177"/>
      <c r="Q802" s="179"/>
      <c r="R802" s="217"/>
      <c r="S802" s="218"/>
      <c r="T802" s="180"/>
      <c r="U802" s="181"/>
      <c r="V802" s="181"/>
      <c r="W802" s="181"/>
      <c r="X802" s="181"/>
      <c r="Y802" s="3"/>
      <c r="Z802" s="3"/>
    </row>
    <row r="803" spans="1:26" ht="23.25" customHeight="1">
      <c r="A803" s="281"/>
      <c r="B803" s="281"/>
      <c r="C803" s="281"/>
      <c r="F803" s="173"/>
      <c r="G803" s="173"/>
      <c r="H803" s="173"/>
      <c r="I803" s="174"/>
      <c r="K803" s="177"/>
      <c r="L803" s="177"/>
      <c r="Q803" s="179"/>
      <c r="R803" s="217"/>
      <c r="S803" s="218"/>
      <c r="T803" s="180"/>
      <c r="U803" s="181"/>
      <c r="V803" s="181"/>
      <c r="W803" s="181"/>
      <c r="X803" s="181"/>
      <c r="Y803" s="3"/>
      <c r="Z803" s="3"/>
    </row>
    <row r="804" spans="1:26" ht="23.25" customHeight="1">
      <c r="A804" s="281"/>
      <c r="B804" s="281"/>
      <c r="C804" s="281"/>
      <c r="F804" s="173"/>
      <c r="G804" s="173"/>
      <c r="H804" s="173"/>
      <c r="I804" s="174"/>
      <c r="K804" s="177"/>
      <c r="L804" s="177"/>
      <c r="Q804" s="179"/>
      <c r="R804" s="217"/>
      <c r="S804" s="218"/>
      <c r="T804" s="180"/>
      <c r="U804" s="181"/>
      <c r="V804" s="181"/>
      <c r="W804" s="181"/>
      <c r="X804" s="181"/>
      <c r="Y804" s="3"/>
      <c r="Z804" s="3"/>
    </row>
    <row r="805" spans="1:26" ht="23.25" customHeight="1">
      <c r="A805" s="281"/>
      <c r="B805" s="281"/>
      <c r="C805" s="281"/>
      <c r="F805" s="173"/>
      <c r="G805" s="173"/>
      <c r="H805" s="173"/>
      <c r="I805" s="174"/>
      <c r="K805" s="177"/>
      <c r="L805" s="177"/>
      <c r="Q805" s="179"/>
      <c r="R805" s="217"/>
      <c r="S805" s="218"/>
      <c r="T805" s="180"/>
      <c r="U805" s="181"/>
      <c r="V805" s="181"/>
      <c r="W805" s="181"/>
      <c r="X805" s="181"/>
      <c r="Y805" s="3"/>
      <c r="Z805" s="3"/>
    </row>
    <row r="806" spans="1:26" ht="23.25" customHeight="1">
      <c r="A806" s="281"/>
      <c r="B806" s="281"/>
      <c r="C806" s="281"/>
      <c r="F806" s="173"/>
      <c r="G806" s="173"/>
      <c r="H806" s="173"/>
      <c r="I806" s="174"/>
      <c r="K806" s="177"/>
      <c r="L806" s="177"/>
      <c r="Q806" s="179"/>
      <c r="R806" s="217"/>
      <c r="S806" s="218"/>
      <c r="T806" s="180"/>
      <c r="U806" s="181"/>
      <c r="V806" s="181"/>
      <c r="W806" s="181"/>
      <c r="X806" s="181"/>
      <c r="Y806" s="3"/>
      <c r="Z806" s="3"/>
    </row>
    <row r="807" spans="1:26" ht="23.25" customHeight="1">
      <c r="A807" s="281"/>
      <c r="B807" s="281"/>
      <c r="C807" s="281"/>
      <c r="F807" s="173"/>
      <c r="G807" s="173"/>
      <c r="H807" s="173"/>
      <c r="I807" s="174"/>
      <c r="K807" s="177"/>
      <c r="L807" s="177"/>
      <c r="Q807" s="179"/>
      <c r="R807" s="217"/>
      <c r="S807" s="218"/>
      <c r="T807" s="180"/>
      <c r="U807" s="181"/>
      <c r="V807" s="181"/>
      <c r="W807" s="181"/>
      <c r="X807" s="181"/>
      <c r="Y807" s="3"/>
      <c r="Z807" s="3"/>
    </row>
    <row r="808" spans="1:26" ht="23.25" customHeight="1">
      <c r="A808" s="281"/>
      <c r="B808" s="281"/>
      <c r="C808" s="281"/>
      <c r="F808" s="173"/>
      <c r="G808" s="173"/>
      <c r="H808" s="173"/>
      <c r="I808" s="174"/>
      <c r="K808" s="177"/>
      <c r="L808" s="177"/>
      <c r="Q808" s="179"/>
      <c r="R808" s="217"/>
      <c r="S808" s="218"/>
      <c r="T808" s="180"/>
      <c r="U808" s="181"/>
      <c r="V808" s="181"/>
      <c r="W808" s="181"/>
      <c r="X808" s="181"/>
      <c r="Y808" s="3"/>
      <c r="Z808" s="3"/>
    </row>
    <row r="809" spans="1:26" ht="23.25" customHeight="1">
      <c r="A809" s="281"/>
      <c r="B809" s="281"/>
      <c r="C809" s="281"/>
      <c r="F809" s="173"/>
      <c r="G809" s="173"/>
      <c r="H809" s="173"/>
      <c r="I809" s="174"/>
      <c r="K809" s="177"/>
      <c r="L809" s="177"/>
      <c r="Q809" s="179"/>
      <c r="R809" s="217"/>
      <c r="S809" s="218"/>
      <c r="T809" s="180"/>
      <c r="U809" s="181"/>
      <c r="V809" s="181"/>
      <c r="W809" s="181"/>
      <c r="X809" s="181"/>
      <c r="Y809" s="3"/>
      <c r="Z809" s="3"/>
    </row>
    <row r="810" spans="1:26" ht="23.25" customHeight="1">
      <c r="A810" s="281"/>
      <c r="B810" s="281"/>
      <c r="C810" s="281"/>
      <c r="F810" s="173"/>
      <c r="G810" s="173"/>
      <c r="H810" s="173"/>
      <c r="I810" s="174"/>
      <c r="K810" s="177"/>
      <c r="L810" s="177"/>
      <c r="Q810" s="179"/>
      <c r="R810" s="217"/>
      <c r="S810" s="218"/>
      <c r="T810" s="180"/>
      <c r="U810" s="181"/>
      <c r="V810" s="181"/>
      <c r="W810" s="181"/>
      <c r="X810" s="181"/>
      <c r="Y810" s="3"/>
      <c r="Z810" s="3"/>
    </row>
    <row r="811" spans="1:26" ht="23.25" customHeight="1">
      <c r="A811" s="281"/>
      <c r="B811" s="281"/>
      <c r="C811" s="281"/>
      <c r="F811" s="173"/>
      <c r="G811" s="173"/>
      <c r="H811" s="173"/>
      <c r="I811" s="174"/>
      <c r="K811" s="177"/>
      <c r="L811" s="177"/>
      <c r="Q811" s="179"/>
      <c r="R811" s="217"/>
      <c r="S811" s="218"/>
      <c r="T811" s="180"/>
      <c r="U811" s="181"/>
      <c r="V811" s="181"/>
      <c r="W811" s="181"/>
      <c r="X811" s="181"/>
      <c r="Y811" s="3"/>
      <c r="Z811" s="3"/>
    </row>
    <row r="812" spans="1:26" ht="23.25" customHeight="1">
      <c r="A812" s="281"/>
      <c r="B812" s="281"/>
      <c r="C812" s="281"/>
      <c r="F812" s="173"/>
      <c r="G812" s="173"/>
      <c r="H812" s="173"/>
      <c r="I812" s="174"/>
      <c r="K812" s="177"/>
      <c r="L812" s="177"/>
      <c r="Q812" s="179"/>
      <c r="R812" s="217"/>
      <c r="S812" s="218"/>
      <c r="T812" s="180"/>
      <c r="U812" s="181"/>
      <c r="V812" s="181"/>
      <c r="W812" s="181"/>
      <c r="X812" s="181"/>
      <c r="Y812" s="3"/>
      <c r="Z812" s="3"/>
    </row>
    <row r="813" spans="1:26" ht="23.25" customHeight="1">
      <c r="A813" s="281"/>
      <c r="B813" s="281"/>
      <c r="C813" s="281"/>
      <c r="F813" s="173"/>
      <c r="G813" s="173"/>
      <c r="H813" s="173"/>
      <c r="I813" s="174"/>
      <c r="K813" s="177"/>
      <c r="L813" s="177"/>
      <c r="Q813" s="179"/>
      <c r="R813" s="217"/>
      <c r="S813" s="218"/>
      <c r="T813" s="180"/>
      <c r="U813" s="181"/>
      <c r="V813" s="181"/>
      <c r="W813" s="181"/>
      <c r="X813" s="181"/>
      <c r="Y813" s="3"/>
      <c r="Z813" s="3"/>
    </row>
    <row r="814" spans="1:26" ht="23.25" customHeight="1">
      <c r="A814" s="281"/>
      <c r="B814" s="281"/>
      <c r="C814" s="281"/>
      <c r="F814" s="173"/>
      <c r="G814" s="173"/>
      <c r="H814" s="173"/>
      <c r="I814" s="174"/>
      <c r="K814" s="177"/>
      <c r="L814" s="177"/>
      <c r="Q814" s="179"/>
      <c r="R814" s="217"/>
      <c r="S814" s="218"/>
      <c r="T814" s="180"/>
      <c r="U814" s="181"/>
      <c r="V814" s="181"/>
      <c r="W814" s="181"/>
      <c r="X814" s="181"/>
      <c r="Y814" s="3"/>
      <c r="Z814" s="3"/>
    </row>
    <row r="815" spans="1:26" ht="23.25" customHeight="1">
      <c r="A815" s="281"/>
      <c r="B815" s="281"/>
      <c r="C815" s="281"/>
      <c r="F815" s="173"/>
      <c r="G815" s="173"/>
      <c r="H815" s="173"/>
      <c r="I815" s="174"/>
      <c r="K815" s="177"/>
      <c r="L815" s="177"/>
      <c r="Q815" s="179"/>
      <c r="R815" s="217"/>
      <c r="S815" s="218"/>
      <c r="T815" s="180"/>
      <c r="U815" s="181"/>
      <c r="V815" s="181"/>
      <c r="W815" s="181"/>
      <c r="X815" s="181"/>
      <c r="Y815" s="3"/>
      <c r="Z815" s="3"/>
    </row>
    <row r="816" spans="1:26" ht="23.25" customHeight="1">
      <c r="A816" s="281"/>
      <c r="B816" s="281"/>
      <c r="C816" s="281"/>
      <c r="F816" s="173"/>
      <c r="G816" s="173"/>
      <c r="H816" s="173"/>
      <c r="I816" s="174"/>
      <c r="K816" s="177"/>
      <c r="L816" s="177"/>
      <c r="Q816" s="179"/>
      <c r="R816" s="217"/>
      <c r="S816" s="218"/>
      <c r="T816" s="180"/>
      <c r="U816" s="181"/>
      <c r="V816" s="181"/>
      <c r="W816" s="181"/>
      <c r="X816" s="181"/>
      <c r="Y816" s="3"/>
      <c r="Z816" s="3"/>
    </row>
    <row r="817" spans="1:26" ht="23.25" customHeight="1">
      <c r="A817" s="281"/>
      <c r="B817" s="281"/>
      <c r="C817" s="281"/>
      <c r="F817" s="173"/>
      <c r="G817" s="173"/>
      <c r="H817" s="173"/>
      <c r="I817" s="174"/>
      <c r="K817" s="177"/>
      <c r="L817" s="177"/>
      <c r="Q817" s="179"/>
      <c r="R817" s="217"/>
      <c r="S817" s="218"/>
      <c r="T817" s="180"/>
      <c r="U817" s="181"/>
      <c r="V817" s="181"/>
      <c r="W817" s="181"/>
      <c r="X817" s="181"/>
      <c r="Y817" s="3"/>
      <c r="Z817" s="3"/>
    </row>
    <row r="818" spans="1:26" ht="23.25" customHeight="1">
      <c r="A818" s="281"/>
      <c r="B818" s="281"/>
      <c r="C818" s="281"/>
      <c r="F818" s="173"/>
      <c r="G818" s="173"/>
      <c r="H818" s="173"/>
      <c r="I818" s="174"/>
      <c r="K818" s="177"/>
      <c r="L818" s="177"/>
      <c r="Q818" s="179"/>
      <c r="R818" s="217"/>
      <c r="S818" s="218"/>
      <c r="T818" s="180"/>
      <c r="U818" s="181"/>
      <c r="V818" s="181"/>
      <c r="W818" s="181"/>
      <c r="X818" s="181"/>
      <c r="Y818" s="3"/>
      <c r="Z818" s="3"/>
    </row>
    <row r="819" spans="1:26" ht="23.25" customHeight="1">
      <c r="A819" s="281"/>
      <c r="B819" s="281"/>
      <c r="C819" s="281"/>
      <c r="F819" s="173"/>
      <c r="G819" s="173"/>
      <c r="H819" s="173"/>
      <c r="I819" s="174"/>
      <c r="K819" s="177"/>
      <c r="L819" s="177"/>
      <c r="Q819" s="179"/>
      <c r="R819" s="217"/>
      <c r="S819" s="218"/>
      <c r="T819" s="180"/>
      <c r="U819" s="181"/>
      <c r="V819" s="181"/>
      <c r="W819" s="181"/>
      <c r="X819" s="181"/>
      <c r="Y819" s="3"/>
      <c r="Z819" s="3"/>
    </row>
    <row r="820" spans="1:26" ht="23.25" customHeight="1">
      <c r="A820" s="281"/>
      <c r="B820" s="281"/>
      <c r="C820" s="281"/>
      <c r="F820" s="173"/>
      <c r="G820" s="173"/>
      <c r="H820" s="173"/>
      <c r="I820" s="174"/>
      <c r="K820" s="177"/>
      <c r="L820" s="177"/>
      <c r="Q820" s="179"/>
      <c r="R820" s="217"/>
      <c r="S820" s="218"/>
      <c r="T820" s="180"/>
      <c r="U820" s="181"/>
      <c r="V820" s="181"/>
      <c r="W820" s="181"/>
      <c r="X820" s="181"/>
      <c r="Y820" s="3"/>
      <c r="Z820" s="3"/>
    </row>
    <row r="821" spans="1:26" ht="23.25" customHeight="1">
      <c r="A821" s="281"/>
      <c r="B821" s="281"/>
      <c r="C821" s="281"/>
      <c r="F821" s="173"/>
      <c r="G821" s="173"/>
      <c r="H821" s="173"/>
      <c r="I821" s="174"/>
      <c r="K821" s="177"/>
      <c r="L821" s="177"/>
      <c r="Q821" s="179"/>
      <c r="R821" s="217"/>
      <c r="S821" s="218"/>
      <c r="T821" s="180"/>
      <c r="U821" s="181"/>
      <c r="V821" s="181"/>
      <c r="W821" s="181"/>
      <c r="X821" s="181"/>
      <c r="Y821" s="3"/>
      <c r="Z821" s="3"/>
    </row>
    <row r="822" spans="1:26" ht="23.25" customHeight="1">
      <c r="A822" s="281"/>
      <c r="B822" s="281"/>
      <c r="C822" s="281"/>
      <c r="F822" s="173"/>
      <c r="G822" s="173"/>
      <c r="H822" s="173"/>
      <c r="I822" s="174"/>
      <c r="K822" s="177"/>
      <c r="L822" s="177"/>
      <c r="Q822" s="179"/>
      <c r="R822" s="217"/>
      <c r="S822" s="218"/>
      <c r="T822" s="180"/>
      <c r="U822" s="181"/>
      <c r="V822" s="181"/>
      <c r="W822" s="181"/>
      <c r="X822" s="181"/>
      <c r="Y822" s="3"/>
      <c r="Z822" s="3"/>
    </row>
    <row r="823" spans="1:26" ht="23.25" customHeight="1">
      <c r="A823" s="281"/>
      <c r="B823" s="281"/>
      <c r="C823" s="281"/>
      <c r="F823" s="173"/>
      <c r="G823" s="173"/>
      <c r="H823" s="173"/>
      <c r="I823" s="174"/>
      <c r="K823" s="177"/>
      <c r="L823" s="177"/>
      <c r="Q823" s="179"/>
      <c r="R823" s="217"/>
      <c r="S823" s="218"/>
      <c r="T823" s="180"/>
      <c r="U823" s="181"/>
      <c r="V823" s="181"/>
      <c r="W823" s="181"/>
      <c r="X823" s="181"/>
      <c r="Y823" s="3"/>
      <c r="Z823" s="3"/>
    </row>
    <row r="824" spans="1:26" ht="23.25" customHeight="1">
      <c r="A824" s="281"/>
      <c r="B824" s="281"/>
      <c r="C824" s="281"/>
      <c r="F824" s="173"/>
      <c r="G824" s="173"/>
      <c r="H824" s="173"/>
      <c r="I824" s="174"/>
      <c r="K824" s="177"/>
      <c r="L824" s="177"/>
      <c r="Q824" s="179"/>
      <c r="R824" s="217"/>
      <c r="S824" s="218"/>
      <c r="T824" s="180"/>
      <c r="U824" s="181"/>
      <c r="V824" s="181"/>
      <c r="W824" s="181"/>
      <c r="X824" s="181"/>
      <c r="Y824" s="3"/>
      <c r="Z824" s="3"/>
    </row>
    <row r="825" spans="1:26" ht="23.25" customHeight="1">
      <c r="A825" s="281"/>
      <c r="B825" s="281"/>
      <c r="C825" s="281"/>
      <c r="F825" s="173"/>
      <c r="G825" s="173"/>
      <c r="H825" s="173"/>
      <c r="I825" s="174"/>
      <c r="K825" s="177"/>
      <c r="L825" s="177"/>
      <c r="Q825" s="179"/>
      <c r="R825" s="217"/>
      <c r="S825" s="218"/>
      <c r="T825" s="180"/>
      <c r="U825" s="181"/>
      <c r="V825" s="181"/>
      <c r="W825" s="181"/>
      <c r="X825" s="181"/>
      <c r="Y825" s="3"/>
      <c r="Z825" s="3"/>
    </row>
    <row r="826" spans="1:26" ht="23.25" customHeight="1">
      <c r="A826" s="281"/>
      <c r="B826" s="281"/>
      <c r="C826" s="281"/>
      <c r="F826" s="173"/>
      <c r="G826" s="173"/>
      <c r="H826" s="173"/>
      <c r="I826" s="174"/>
      <c r="K826" s="177"/>
      <c r="L826" s="177"/>
      <c r="Q826" s="179"/>
      <c r="R826" s="217"/>
      <c r="S826" s="218"/>
      <c r="T826" s="180"/>
      <c r="U826" s="181"/>
      <c r="V826" s="181"/>
      <c r="W826" s="181"/>
      <c r="X826" s="181"/>
      <c r="Y826" s="3"/>
      <c r="Z826" s="3"/>
    </row>
    <row r="827" spans="1:26" ht="23.25" customHeight="1">
      <c r="A827" s="281"/>
      <c r="B827" s="281"/>
      <c r="C827" s="281"/>
      <c r="F827" s="173"/>
      <c r="G827" s="173"/>
      <c r="H827" s="173"/>
      <c r="I827" s="174"/>
      <c r="K827" s="177"/>
      <c r="L827" s="177"/>
      <c r="Q827" s="179"/>
      <c r="R827" s="217"/>
      <c r="S827" s="218"/>
      <c r="T827" s="180"/>
      <c r="U827" s="181"/>
      <c r="V827" s="181"/>
      <c r="W827" s="181"/>
      <c r="X827" s="181"/>
      <c r="Y827" s="3"/>
      <c r="Z827" s="3"/>
    </row>
    <row r="828" spans="1:26" ht="23.25" customHeight="1">
      <c r="A828" s="281"/>
      <c r="B828" s="281"/>
      <c r="C828" s="281"/>
      <c r="F828" s="173"/>
      <c r="G828" s="173"/>
      <c r="H828" s="173"/>
      <c r="I828" s="174"/>
      <c r="K828" s="177"/>
      <c r="L828" s="177"/>
      <c r="Q828" s="179"/>
      <c r="R828" s="217"/>
      <c r="S828" s="218"/>
      <c r="T828" s="180"/>
      <c r="U828" s="181"/>
      <c r="V828" s="181"/>
      <c r="W828" s="181"/>
      <c r="X828" s="181"/>
      <c r="Y828" s="3"/>
      <c r="Z828" s="3"/>
    </row>
    <row r="829" spans="1:26" ht="23.25" customHeight="1">
      <c r="A829" s="281"/>
      <c r="B829" s="281"/>
      <c r="C829" s="281"/>
      <c r="F829" s="173"/>
      <c r="G829" s="173"/>
      <c r="H829" s="173"/>
      <c r="I829" s="174"/>
      <c r="K829" s="177"/>
      <c r="L829" s="177"/>
      <c r="Q829" s="179"/>
      <c r="R829" s="217"/>
      <c r="S829" s="218"/>
      <c r="T829" s="180"/>
      <c r="U829" s="181"/>
      <c r="V829" s="181"/>
      <c r="W829" s="181"/>
      <c r="X829" s="181"/>
      <c r="Y829" s="3"/>
      <c r="Z829" s="3"/>
    </row>
    <row r="830" spans="1:26" ht="23.25" customHeight="1">
      <c r="A830" s="281"/>
      <c r="B830" s="281"/>
      <c r="C830" s="281"/>
      <c r="F830" s="173"/>
      <c r="G830" s="173"/>
      <c r="H830" s="173"/>
      <c r="I830" s="174"/>
      <c r="K830" s="177"/>
      <c r="L830" s="177"/>
      <c r="Q830" s="179"/>
      <c r="R830" s="217"/>
      <c r="S830" s="218"/>
      <c r="T830" s="180"/>
      <c r="U830" s="181"/>
      <c r="V830" s="181"/>
      <c r="W830" s="181"/>
      <c r="X830" s="181"/>
      <c r="Y830" s="3"/>
      <c r="Z830" s="3"/>
    </row>
    <row r="831" spans="1:26" ht="23.25" customHeight="1">
      <c r="A831" s="281"/>
      <c r="B831" s="281"/>
      <c r="C831" s="281"/>
      <c r="F831" s="173"/>
      <c r="G831" s="173"/>
      <c r="H831" s="173"/>
      <c r="I831" s="174"/>
      <c r="K831" s="177"/>
      <c r="L831" s="177"/>
      <c r="Q831" s="179"/>
      <c r="R831" s="217"/>
      <c r="S831" s="218"/>
      <c r="T831" s="180"/>
      <c r="U831" s="181"/>
      <c r="V831" s="181"/>
      <c r="W831" s="181"/>
      <c r="X831" s="181"/>
      <c r="Y831" s="3"/>
      <c r="Z831" s="3"/>
    </row>
    <row r="832" spans="1:26" ht="23.25" customHeight="1">
      <c r="A832" s="281"/>
      <c r="B832" s="281"/>
      <c r="C832" s="281"/>
      <c r="F832" s="173"/>
      <c r="G832" s="173"/>
      <c r="H832" s="173"/>
      <c r="I832" s="174"/>
      <c r="K832" s="177"/>
      <c r="L832" s="177"/>
      <c r="Q832" s="179"/>
      <c r="R832" s="217"/>
      <c r="S832" s="218"/>
      <c r="T832" s="180"/>
      <c r="U832" s="181"/>
      <c r="V832" s="181"/>
      <c r="W832" s="181"/>
      <c r="X832" s="181"/>
      <c r="Y832" s="3"/>
      <c r="Z832" s="3"/>
    </row>
    <row r="833" spans="1:26" ht="23.25" customHeight="1">
      <c r="A833" s="281"/>
      <c r="B833" s="281"/>
      <c r="C833" s="281"/>
      <c r="F833" s="173"/>
      <c r="G833" s="173"/>
      <c r="H833" s="173"/>
      <c r="I833" s="174"/>
      <c r="K833" s="177"/>
      <c r="L833" s="177"/>
      <c r="Q833" s="179"/>
      <c r="R833" s="217"/>
      <c r="S833" s="218"/>
      <c r="T833" s="180"/>
      <c r="U833" s="181"/>
      <c r="V833" s="181"/>
      <c r="W833" s="181"/>
      <c r="X833" s="181"/>
      <c r="Y833" s="3"/>
      <c r="Z833" s="3"/>
    </row>
    <row r="834" spans="1:26" ht="23.25" customHeight="1">
      <c r="A834" s="281"/>
      <c r="B834" s="281"/>
      <c r="C834" s="281"/>
      <c r="F834" s="173"/>
      <c r="G834" s="173"/>
      <c r="H834" s="173"/>
      <c r="I834" s="174"/>
      <c r="K834" s="177"/>
      <c r="L834" s="177"/>
      <c r="Q834" s="179"/>
      <c r="R834" s="217"/>
      <c r="S834" s="218"/>
      <c r="T834" s="180"/>
      <c r="U834" s="181"/>
      <c r="V834" s="181"/>
      <c r="W834" s="181"/>
      <c r="X834" s="181"/>
      <c r="Y834" s="3"/>
      <c r="Z834" s="3"/>
    </row>
    <row r="835" spans="1:26" ht="23.25" customHeight="1">
      <c r="A835" s="281"/>
      <c r="B835" s="281"/>
      <c r="C835" s="281"/>
      <c r="F835" s="173"/>
      <c r="G835" s="173"/>
      <c r="H835" s="173"/>
      <c r="I835" s="174"/>
      <c r="K835" s="177"/>
      <c r="L835" s="177"/>
      <c r="Q835" s="179"/>
      <c r="R835" s="217"/>
      <c r="S835" s="218"/>
      <c r="T835" s="180"/>
      <c r="U835" s="181"/>
      <c r="V835" s="181"/>
      <c r="W835" s="181"/>
      <c r="X835" s="181"/>
      <c r="Y835" s="3"/>
      <c r="Z835" s="3"/>
    </row>
    <row r="836" spans="1:26" ht="23.25" customHeight="1">
      <c r="A836" s="281"/>
      <c r="B836" s="281"/>
      <c r="C836" s="281"/>
      <c r="F836" s="173"/>
      <c r="G836" s="173"/>
      <c r="H836" s="173"/>
      <c r="I836" s="174"/>
      <c r="K836" s="177"/>
      <c r="L836" s="177"/>
      <c r="Q836" s="179"/>
      <c r="R836" s="217"/>
      <c r="S836" s="218"/>
      <c r="T836" s="180"/>
      <c r="U836" s="181"/>
      <c r="V836" s="181"/>
      <c r="W836" s="181"/>
      <c r="X836" s="181"/>
      <c r="Y836" s="3"/>
      <c r="Z836" s="3"/>
    </row>
    <row r="837" spans="1:26" ht="23.25" customHeight="1">
      <c r="A837" s="281"/>
      <c r="B837" s="281"/>
      <c r="C837" s="281"/>
      <c r="F837" s="173"/>
      <c r="G837" s="173"/>
      <c r="H837" s="173"/>
      <c r="I837" s="174"/>
      <c r="K837" s="177"/>
      <c r="L837" s="177"/>
      <c r="Q837" s="179"/>
      <c r="R837" s="217"/>
      <c r="S837" s="218"/>
      <c r="T837" s="180"/>
      <c r="U837" s="181"/>
      <c r="V837" s="181"/>
      <c r="W837" s="181"/>
      <c r="X837" s="181"/>
      <c r="Y837" s="3"/>
      <c r="Z837" s="3"/>
    </row>
    <row r="838" spans="1:26" ht="23.25" customHeight="1">
      <c r="A838" s="281"/>
      <c r="B838" s="281"/>
      <c r="C838" s="281"/>
      <c r="F838" s="173"/>
      <c r="G838" s="173"/>
      <c r="H838" s="173"/>
      <c r="I838" s="174"/>
      <c r="K838" s="177"/>
      <c r="L838" s="177"/>
      <c r="Q838" s="179"/>
      <c r="R838" s="217"/>
      <c r="S838" s="218"/>
      <c r="T838" s="180"/>
      <c r="U838" s="181"/>
      <c r="V838" s="181"/>
      <c r="W838" s="181"/>
      <c r="X838" s="181"/>
      <c r="Y838" s="3"/>
      <c r="Z838" s="3"/>
    </row>
    <row r="839" spans="1:26" ht="23.25" customHeight="1">
      <c r="A839" s="281"/>
      <c r="B839" s="281"/>
      <c r="C839" s="281"/>
      <c r="F839" s="173"/>
      <c r="G839" s="173"/>
      <c r="H839" s="173"/>
      <c r="I839" s="174"/>
      <c r="K839" s="177"/>
      <c r="L839" s="177"/>
      <c r="Q839" s="179"/>
      <c r="R839" s="217"/>
      <c r="S839" s="218"/>
      <c r="T839" s="180"/>
      <c r="U839" s="181"/>
      <c r="V839" s="181"/>
      <c r="W839" s="181"/>
      <c r="X839" s="181"/>
      <c r="Y839" s="3"/>
      <c r="Z839" s="3"/>
    </row>
    <row r="840" spans="1:26" ht="23.25" customHeight="1">
      <c r="A840" s="281"/>
      <c r="B840" s="281"/>
      <c r="C840" s="281"/>
      <c r="F840" s="173"/>
      <c r="G840" s="173"/>
      <c r="H840" s="173"/>
      <c r="I840" s="174"/>
      <c r="K840" s="177"/>
      <c r="L840" s="177"/>
      <c r="Q840" s="179"/>
      <c r="R840" s="217"/>
      <c r="S840" s="218"/>
      <c r="T840" s="180"/>
      <c r="U840" s="181"/>
      <c r="V840" s="181"/>
      <c r="W840" s="181"/>
      <c r="X840" s="181"/>
      <c r="Y840" s="3"/>
      <c r="Z840" s="3"/>
    </row>
    <row r="841" spans="1:26" ht="23.25" customHeight="1">
      <c r="A841" s="281"/>
      <c r="B841" s="281"/>
      <c r="C841" s="281"/>
      <c r="F841" s="173"/>
      <c r="G841" s="173"/>
      <c r="H841" s="173"/>
      <c r="I841" s="174"/>
      <c r="K841" s="177"/>
      <c r="L841" s="177"/>
      <c r="Q841" s="179"/>
      <c r="R841" s="217"/>
      <c r="S841" s="218"/>
      <c r="T841" s="180"/>
      <c r="U841" s="181"/>
      <c r="V841" s="181"/>
      <c r="W841" s="181"/>
      <c r="X841" s="181"/>
      <c r="Y841" s="3"/>
      <c r="Z841" s="3"/>
    </row>
    <row r="842" spans="1:26" ht="23.25" customHeight="1">
      <c r="A842" s="281"/>
      <c r="B842" s="281"/>
      <c r="C842" s="281"/>
      <c r="F842" s="173"/>
      <c r="G842" s="173"/>
      <c r="H842" s="173"/>
      <c r="I842" s="174"/>
      <c r="K842" s="177"/>
      <c r="L842" s="177"/>
      <c r="Q842" s="179"/>
      <c r="R842" s="217"/>
      <c r="S842" s="218"/>
      <c r="T842" s="180"/>
      <c r="U842" s="181"/>
      <c r="V842" s="181"/>
      <c r="W842" s="181"/>
      <c r="X842" s="181"/>
      <c r="Y842" s="3"/>
      <c r="Z842" s="3"/>
    </row>
    <row r="843" spans="1:26" ht="23.25" customHeight="1">
      <c r="A843" s="281"/>
      <c r="B843" s="281"/>
      <c r="C843" s="281"/>
      <c r="F843" s="173"/>
      <c r="G843" s="173"/>
      <c r="H843" s="173"/>
      <c r="I843" s="174"/>
      <c r="K843" s="177"/>
      <c r="L843" s="177"/>
      <c r="Q843" s="179"/>
      <c r="R843" s="217"/>
      <c r="S843" s="218"/>
      <c r="T843" s="180"/>
      <c r="U843" s="181"/>
      <c r="V843" s="181"/>
      <c r="W843" s="181"/>
      <c r="X843" s="181"/>
      <c r="Y843" s="3"/>
      <c r="Z843" s="3"/>
    </row>
    <row r="844" spans="1:26" ht="23.25" customHeight="1">
      <c r="A844" s="281"/>
      <c r="B844" s="281"/>
      <c r="C844" s="281"/>
      <c r="F844" s="173"/>
      <c r="G844" s="173"/>
      <c r="H844" s="173"/>
      <c r="I844" s="174"/>
      <c r="K844" s="177"/>
      <c r="L844" s="177"/>
      <c r="Q844" s="179"/>
      <c r="R844" s="217"/>
      <c r="S844" s="218"/>
      <c r="T844" s="180"/>
      <c r="U844" s="181"/>
      <c r="V844" s="181"/>
      <c r="W844" s="181"/>
      <c r="X844" s="181"/>
      <c r="Y844" s="3"/>
      <c r="Z844" s="3"/>
    </row>
    <row r="845" spans="1:26" ht="23.25" customHeight="1">
      <c r="A845" s="281"/>
      <c r="B845" s="281"/>
      <c r="C845" s="281"/>
      <c r="F845" s="173"/>
      <c r="G845" s="173"/>
      <c r="H845" s="173"/>
      <c r="I845" s="174"/>
      <c r="K845" s="177"/>
      <c r="L845" s="177"/>
      <c r="Q845" s="179"/>
      <c r="R845" s="217"/>
      <c r="S845" s="218"/>
      <c r="T845" s="180"/>
      <c r="U845" s="181"/>
      <c r="V845" s="181"/>
      <c r="W845" s="181"/>
      <c r="X845" s="181"/>
      <c r="Y845" s="3"/>
      <c r="Z845" s="3"/>
    </row>
    <row r="846" spans="1:26" ht="23.25" customHeight="1">
      <c r="A846" s="281"/>
      <c r="B846" s="281"/>
      <c r="C846" s="281"/>
      <c r="F846" s="173"/>
      <c r="G846" s="173"/>
      <c r="H846" s="173"/>
      <c r="I846" s="174"/>
      <c r="K846" s="177"/>
      <c r="L846" s="177"/>
      <c r="Q846" s="179"/>
      <c r="R846" s="217"/>
      <c r="S846" s="218"/>
      <c r="T846" s="180"/>
      <c r="U846" s="181"/>
      <c r="V846" s="181"/>
      <c r="W846" s="181"/>
      <c r="X846" s="181"/>
      <c r="Y846" s="3"/>
      <c r="Z846" s="3"/>
    </row>
    <row r="847" spans="1:26" ht="23.25" customHeight="1">
      <c r="A847" s="281"/>
      <c r="B847" s="281"/>
      <c r="C847" s="281"/>
      <c r="F847" s="173"/>
      <c r="G847" s="173"/>
      <c r="H847" s="173"/>
      <c r="I847" s="174"/>
      <c r="K847" s="177"/>
      <c r="L847" s="177"/>
      <c r="Q847" s="179"/>
      <c r="R847" s="217"/>
      <c r="S847" s="218"/>
      <c r="T847" s="180"/>
      <c r="U847" s="181"/>
      <c r="V847" s="181"/>
      <c r="W847" s="181"/>
      <c r="X847" s="181"/>
      <c r="Y847" s="3"/>
      <c r="Z847" s="3"/>
    </row>
    <row r="848" spans="1:26" ht="23.25" customHeight="1">
      <c r="A848" s="281"/>
      <c r="B848" s="281"/>
      <c r="C848" s="281"/>
      <c r="F848" s="173"/>
      <c r="G848" s="173"/>
      <c r="H848" s="173"/>
      <c r="I848" s="174"/>
      <c r="K848" s="177"/>
      <c r="L848" s="177"/>
      <c r="Q848" s="179"/>
      <c r="R848" s="217"/>
      <c r="S848" s="218"/>
      <c r="T848" s="180"/>
      <c r="U848" s="181"/>
      <c r="V848" s="181"/>
      <c r="W848" s="181"/>
      <c r="X848" s="181"/>
      <c r="Y848" s="3"/>
      <c r="Z848" s="3"/>
    </row>
    <row r="849" spans="1:26" ht="23.25" customHeight="1">
      <c r="A849" s="281"/>
      <c r="B849" s="281"/>
      <c r="C849" s="281"/>
      <c r="F849" s="173"/>
      <c r="G849" s="173"/>
      <c r="H849" s="173"/>
      <c r="I849" s="174"/>
      <c r="K849" s="177"/>
      <c r="L849" s="177"/>
      <c r="Q849" s="179"/>
      <c r="R849" s="217"/>
      <c r="S849" s="218"/>
      <c r="T849" s="180"/>
      <c r="U849" s="181"/>
      <c r="V849" s="181"/>
      <c r="W849" s="181"/>
      <c r="X849" s="181"/>
      <c r="Y849" s="3"/>
      <c r="Z849" s="3"/>
    </row>
    <row r="850" spans="1:26" ht="23.25" customHeight="1">
      <c r="A850" s="281"/>
      <c r="B850" s="281"/>
      <c r="C850" s="281"/>
      <c r="F850" s="173"/>
      <c r="G850" s="173"/>
      <c r="H850" s="173"/>
      <c r="I850" s="174"/>
      <c r="K850" s="177"/>
      <c r="L850" s="177"/>
      <c r="Q850" s="179"/>
      <c r="R850" s="217"/>
      <c r="S850" s="218"/>
      <c r="T850" s="180"/>
      <c r="U850" s="181"/>
      <c r="V850" s="181"/>
      <c r="W850" s="181"/>
      <c r="X850" s="181"/>
      <c r="Y850" s="3"/>
      <c r="Z850" s="3"/>
    </row>
    <row r="851" spans="1:26" ht="23.25" customHeight="1">
      <c r="A851" s="281"/>
      <c r="B851" s="281"/>
      <c r="C851" s="281"/>
      <c r="F851" s="173"/>
      <c r="G851" s="173"/>
      <c r="H851" s="173"/>
      <c r="I851" s="174"/>
      <c r="K851" s="177"/>
      <c r="L851" s="177"/>
      <c r="Q851" s="179"/>
      <c r="R851" s="217"/>
      <c r="S851" s="218"/>
      <c r="T851" s="180"/>
      <c r="U851" s="181"/>
      <c r="V851" s="181"/>
      <c r="W851" s="181"/>
      <c r="X851" s="181"/>
      <c r="Y851" s="3"/>
      <c r="Z851" s="3"/>
    </row>
    <row r="852" spans="1:26" ht="23.25" customHeight="1">
      <c r="A852" s="281"/>
      <c r="B852" s="281"/>
      <c r="C852" s="281"/>
      <c r="F852" s="173"/>
      <c r="G852" s="173"/>
      <c r="H852" s="173"/>
      <c r="I852" s="174"/>
      <c r="K852" s="177"/>
      <c r="L852" s="177"/>
      <c r="Q852" s="179"/>
      <c r="R852" s="217"/>
      <c r="S852" s="218"/>
      <c r="T852" s="180"/>
      <c r="U852" s="181"/>
      <c r="V852" s="181"/>
      <c r="W852" s="181"/>
      <c r="X852" s="181"/>
      <c r="Y852" s="3"/>
      <c r="Z852" s="3"/>
    </row>
    <row r="853" spans="1:26" ht="23.25" customHeight="1">
      <c r="A853" s="281"/>
      <c r="B853" s="281"/>
      <c r="C853" s="281"/>
      <c r="F853" s="173"/>
      <c r="G853" s="173"/>
      <c r="H853" s="173"/>
      <c r="I853" s="174"/>
      <c r="K853" s="177"/>
      <c r="L853" s="177"/>
      <c r="Q853" s="179"/>
      <c r="R853" s="217"/>
      <c r="S853" s="218"/>
      <c r="T853" s="180"/>
      <c r="U853" s="181"/>
      <c r="V853" s="181"/>
      <c r="W853" s="181"/>
      <c r="X853" s="181"/>
      <c r="Y853" s="3"/>
      <c r="Z853" s="3"/>
    </row>
    <row r="854" spans="1:26" ht="23.25" customHeight="1">
      <c r="A854" s="281"/>
      <c r="B854" s="281"/>
      <c r="C854" s="281"/>
      <c r="F854" s="173"/>
      <c r="G854" s="173"/>
      <c r="H854" s="173"/>
      <c r="I854" s="174"/>
      <c r="K854" s="177"/>
      <c r="L854" s="177"/>
      <c r="Q854" s="179"/>
      <c r="R854" s="217"/>
      <c r="S854" s="218"/>
      <c r="T854" s="180"/>
      <c r="U854" s="181"/>
      <c r="V854" s="181"/>
      <c r="W854" s="181"/>
      <c r="X854" s="181"/>
      <c r="Y854" s="3"/>
      <c r="Z854" s="3"/>
    </row>
    <row r="855" spans="1:26" ht="23.25" customHeight="1">
      <c r="A855" s="281"/>
      <c r="B855" s="281"/>
      <c r="C855" s="281"/>
      <c r="F855" s="173"/>
      <c r="G855" s="173"/>
      <c r="H855" s="173"/>
      <c r="I855" s="174"/>
      <c r="K855" s="177"/>
      <c r="L855" s="177"/>
      <c r="Q855" s="179"/>
      <c r="R855" s="217"/>
      <c r="S855" s="218"/>
      <c r="T855" s="180"/>
      <c r="U855" s="181"/>
      <c r="V855" s="181"/>
      <c r="W855" s="181"/>
      <c r="X855" s="181"/>
      <c r="Y855" s="3"/>
      <c r="Z855" s="3"/>
    </row>
    <row r="856" spans="1:26" ht="23.25" customHeight="1">
      <c r="A856" s="281"/>
      <c r="B856" s="281"/>
      <c r="C856" s="281"/>
      <c r="F856" s="173"/>
      <c r="G856" s="173"/>
      <c r="H856" s="173"/>
      <c r="I856" s="174"/>
      <c r="K856" s="177"/>
      <c r="L856" s="177"/>
      <c r="Q856" s="179"/>
      <c r="R856" s="217"/>
      <c r="S856" s="218"/>
      <c r="T856" s="180"/>
      <c r="U856" s="181"/>
      <c r="V856" s="181"/>
      <c r="W856" s="181"/>
      <c r="X856" s="181"/>
      <c r="Y856" s="3"/>
      <c r="Z856" s="3"/>
    </row>
    <row r="857" spans="1:26" ht="23.25" customHeight="1">
      <c r="A857" s="281"/>
      <c r="B857" s="281"/>
      <c r="C857" s="281"/>
      <c r="F857" s="173"/>
      <c r="G857" s="173"/>
      <c r="H857" s="173"/>
      <c r="I857" s="174"/>
      <c r="K857" s="177"/>
      <c r="L857" s="177"/>
      <c r="Q857" s="179"/>
      <c r="R857" s="217"/>
      <c r="S857" s="218"/>
      <c r="T857" s="180"/>
      <c r="U857" s="181"/>
      <c r="V857" s="181"/>
      <c r="W857" s="181"/>
      <c r="X857" s="181"/>
      <c r="Y857" s="3"/>
      <c r="Z857" s="3"/>
    </row>
    <row r="858" spans="1:26" ht="23.25" customHeight="1">
      <c r="A858" s="281"/>
      <c r="B858" s="281"/>
      <c r="C858" s="281"/>
      <c r="F858" s="173"/>
      <c r="G858" s="173"/>
      <c r="H858" s="173"/>
      <c r="I858" s="174"/>
      <c r="K858" s="177"/>
      <c r="L858" s="177"/>
      <c r="Q858" s="179"/>
      <c r="R858" s="217"/>
      <c r="S858" s="218"/>
      <c r="T858" s="180"/>
      <c r="U858" s="181"/>
      <c r="V858" s="181"/>
      <c r="W858" s="181"/>
      <c r="X858" s="181"/>
      <c r="Y858" s="3"/>
      <c r="Z858" s="3"/>
    </row>
    <row r="859" spans="1:26" ht="23.25" customHeight="1">
      <c r="A859" s="281"/>
      <c r="B859" s="281"/>
      <c r="C859" s="281"/>
      <c r="F859" s="173"/>
      <c r="G859" s="173"/>
      <c r="H859" s="173"/>
      <c r="I859" s="174"/>
      <c r="K859" s="177"/>
      <c r="L859" s="177"/>
      <c r="Q859" s="179"/>
      <c r="R859" s="217"/>
      <c r="S859" s="218"/>
      <c r="T859" s="180"/>
      <c r="U859" s="181"/>
      <c r="V859" s="181"/>
      <c r="W859" s="181"/>
      <c r="X859" s="181"/>
      <c r="Y859" s="3"/>
      <c r="Z859" s="3"/>
    </row>
    <row r="860" spans="1:26" ht="23.25" customHeight="1">
      <c r="A860" s="281"/>
      <c r="B860" s="281"/>
      <c r="C860" s="281"/>
      <c r="F860" s="173"/>
      <c r="G860" s="173"/>
      <c r="H860" s="173"/>
      <c r="I860" s="174"/>
      <c r="K860" s="177"/>
      <c r="L860" s="177"/>
      <c r="Q860" s="179"/>
      <c r="R860" s="217"/>
      <c r="S860" s="218"/>
      <c r="T860" s="180"/>
      <c r="U860" s="181"/>
      <c r="V860" s="181"/>
      <c r="W860" s="181"/>
      <c r="X860" s="181"/>
      <c r="Y860" s="3"/>
      <c r="Z860" s="3"/>
    </row>
    <row r="861" spans="1:26" ht="23.25" customHeight="1">
      <c r="A861" s="281"/>
      <c r="B861" s="281"/>
      <c r="C861" s="281"/>
      <c r="F861" s="173"/>
      <c r="G861" s="173"/>
      <c r="H861" s="173"/>
      <c r="I861" s="174"/>
      <c r="K861" s="177"/>
      <c r="L861" s="177"/>
      <c r="Q861" s="179"/>
      <c r="R861" s="217"/>
      <c r="S861" s="218"/>
      <c r="T861" s="180"/>
      <c r="U861" s="181"/>
      <c r="V861" s="181"/>
      <c r="W861" s="181"/>
      <c r="X861" s="181"/>
      <c r="Y861" s="3"/>
      <c r="Z861" s="3"/>
    </row>
    <row r="862" spans="1:26" ht="23.25" customHeight="1">
      <c r="A862" s="281"/>
      <c r="B862" s="281"/>
      <c r="C862" s="281"/>
      <c r="F862" s="173"/>
      <c r="G862" s="173"/>
      <c r="H862" s="173"/>
      <c r="I862" s="174"/>
      <c r="K862" s="177"/>
      <c r="L862" s="177"/>
      <c r="Q862" s="179"/>
      <c r="R862" s="217"/>
      <c r="S862" s="218"/>
      <c r="T862" s="180"/>
      <c r="U862" s="181"/>
      <c r="V862" s="181"/>
      <c r="W862" s="181"/>
      <c r="X862" s="181"/>
      <c r="Y862" s="3"/>
      <c r="Z862" s="3"/>
    </row>
    <row r="863" spans="1:26" ht="23.25" customHeight="1">
      <c r="A863" s="281"/>
      <c r="B863" s="281"/>
      <c r="C863" s="281"/>
      <c r="F863" s="173"/>
      <c r="G863" s="173"/>
      <c r="H863" s="173"/>
      <c r="I863" s="174"/>
      <c r="K863" s="177"/>
      <c r="L863" s="177"/>
      <c r="Q863" s="179"/>
      <c r="R863" s="217"/>
      <c r="S863" s="218"/>
      <c r="T863" s="180"/>
      <c r="U863" s="181"/>
      <c r="V863" s="181"/>
      <c r="W863" s="181"/>
      <c r="X863" s="181"/>
      <c r="Y863" s="3"/>
      <c r="Z863" s="3"/>
    </row>
    <row r="864" spans="1:26" ht="23.25" customHeight="1">
      <c r="A864" s="281"/>
      <c r="B864" s="281"/>
      <c r="C864" s="281"/>
      <c r="F864" s="173"/>
      <c r="G864" s="173"/>
      <c r="H864" s="173"/>
      <c r="I864" s="174"/>
      <c r="K864" s="177"/>
      <c r="L864" s="177"/>
      <c r="Q864" s="179"/>
      <c r="R864" s="217"/>
      <c r="S864" s="218"/>
      <c r="T864" s="180"/>
      <c r="U864" s="181"/>
      <c r="V864" s="181"/>
      <c r="W864" s="181"/>
      <c r="X864" s="181"/>
      <c r="Y864" s="3"/>
      <c r="Z864" s="3"/>
    </row>
    <row r="865" spans="1:26" ht="23.25" customHeight="1">
      <c r="A865" s="281"/>
      <c r="B865" s="281"/>
      <c r="C865" s="281"/>
      <c r="F865" s="173"/>
      <c r="G865" s="173"/>
      <c r="H865" s="173"/>
      <c r="I865" s="174"/>
      <c r="K865" s="177"/>
      <c r="L865" s="177"/>
      <c r="Q865" s="179"/>
      <c r="R865" s="217"/>
      <c r="S865" s="218"/>
      <c r="T865" s="180"/>
      <c r="U865" s="181"/>
      <c r="V865" s="181"/>
      <c r="W865" s="181"/>
      <c r="X865" s="181"/>
      <c r="Y865" s="3"/>
      <c r="Z865" s="3"/>
    </row>
    <row r="866" spans="1:26" ht="23.25" customHeight="1">
      <c r="A866" s="281"/>
      <c r="B866" s="281"/>
      <c r="C866" s="281"/>
      <c r="F866" s="173"/>
      <c r="G866" s="173"/>
      <c r="H866" s="173"/>
      <c r="I866" s="174"/>
      <c r="K866" s="177"/>
      <c r="L866" s="177"/>
      <c r="Q866" s="179"/>
      <c r="R866" s="217"/>
      <c r="S866" s="218"/>
      <c r="T866" s="180"/>
      <c r="U866" s="181"/>
      <c r="V866" s="181"/>
      <c r="W866" s="181"/>
      <c r="X866" s="181"/>
      <c r="Y866" s="3"/>
      <c r="Z866" s="3"/>
    </row>
    <row r="867" spans="1:26" ht="23.25" customHeight="1">
      <c r="A867" s="281"/>
      <c r="B867" s="281"/>
      <c r="C867" s="281"/>
      <c r="F867" s="173"/>
      <c r="G867" s="173"/>
      <c r="H867" s="173"/>
      <c r="I867" s="174"/>
      <c r="K867" s="177"/>
      <c r="L867" s="177"/>
      <c r="Q867" s="179"/>
      <c r="R867" s="217"/>
      <c r="S867" s="218"/>
      <c r="T867" s="180"/>
      <c r="U867" s="181"/>
      <c r="V867" s="181"/>
      <c r="W867" s="181"/>
      <c r="X867" s="181"/>
      <c r="Y867" s="3"/>
      <c r="Z867" s="3"/>
    </row>
    <row r="868" spans="1:26" ht="23.25" customHeight="1">
      <c r="A868" s="281"/>
      <c r="B868" s="281"/>
      <c r="C868" s="281"/>
      <c r="F868" s="173"/>
      <c r="G868" s="173"/>
      <c r="H868" s="173"/>
      <c r="I868" s="174"/>
      <c r="K868" s="177"/>
      <c r="L868" s="177"/>
      <c r="Q868" s="179"/>
      <c r="R868" s="217"/>
      <c r="S868" s="218"/>
      <c r="T868" s="180"/>
      <c r="U868" s="181"/>
      <c r="V868" s="181"/>
      <c r="W868" s="181"/>
      <c r="X868" s="181"/>
      <c r="Y868" s="3"/>
      <c r="Z868" s="3"/>
    </row>
    <row r="869" spans="1:26" ht="23.25" customHeight="1">
      <c r="A869" s="281"/>
      <c r="B869" s="281"/>
      <c r="C869" s="281"/>
      <c r="F869" s="173"/>
      <c r="G869" s="173"/>
      <c r="H869" s="173"/>
      <c r="I869" s="174"/>
      <c r="K869" s="177"/>
      <c r="L869" s="177"/>
      <c r="Q869" s="179"/>
      <c r="R869" s="217"/>
      <c r="S869" s="218"/>
      <c r="T869" s="180"/>
      <c r="U869" s="181"/>
      <c r="V869" s="181"/>
      <c r="W869" s="181"/>
      <c r="X869" s="181"/>
      <c r="Y869" s="3"/>
      <c r="Z869" s="3"/>
    </row>
    <row r="870" spans="1:26" ht="23.25" customHeight="1">
      <c r="A870" s="281"/>
      <c r="B870" s="281"/>
      <c r="C870" s="281"/>
      <c r="F870" s="173"/>
      <c r="G870" s="173"/>
      <c r="H870" s="173"/>
      <c r="I870" s="174"/>
      <c r="K870" s="177"/>
      <c r="L870" s="177"/>
      <c r="Q870" s="179"/>
      <c r="R870" s="217"/>
      <c r="S870" s="218"/>
      <c r="T870" s="180"/>
      <c r="U870" s="181"/>
      <c r="V870" s="181"/>
      <c r="W870" s="181"/>
      <c r="X870" s="181"/>
      <c r="Y870" s="3"/>
      <c r="Z870" s="3"/>
    </row>
    <row r="871" spans="1:26" ht="23.25" customHeight="1">
      <c r="A871" s="281"/>
      <c r="B871" s="281"/>
      <c r="C871" s="281"/>
      <c r="F871" s="173"/>
      <c r="G871" s="173"/>
      <c r="H871" s="173"/>
      <c r="I871" s="174"/>
      <c r="K871" s="177"/>
      <c r="L871" s="177"/>
      <c r="Q871" s="179"/>
      <c r="R871" s="217"/>
      <c r="S871" s="218"/>
      <c r="T871" s="180"/>
      <c r="U871" s="181"/>
      <c r="V871" s="181"/>
      <c r="W871" s="181"/>
      <c r="X871" s="181"/>
      <c r="Y871" s="3"/>
      <c r="Z871" s="3"/>
    </row>
    <row r="872" spans="1:26" ht="23.25" customHeight="1">
      <c r="A872" s="281"/>
      <c r="B872" s="281"/>
      <c r="C872" s="281"/>
      <c r="F872" s="173"/>
      <c r="G872" s="173"/>
      <c r="H872" s="173"/>
      <c r="I872" s="174"/>
      <c r="K872" s="177"/>
      <c r="L872" s="177"/>
      <c r="Q872" s="179"/>
      <c r="R872" s="217"/>
      <c r="S872" s="218"/>
      <c r="T872" s="180"/>
      <c r="U872" s="181"/>
      <c r="V872" s="181"/>
      <c r="W872" s="181"/>
      <c r="X872" s="181"/>
      <c r="Y872" s="3"/>
      <c r="Z872" s="3"/>
    </row>
    <row r="873" spans="1:26" ht="23.25" customHeight="1">
      <c r="A873" s="281"/>
      <c r="B873" s="281"/>
      <c r="C873" s="281"/>
      <c r="F873" s="173"/>
      <c r="G873" s="173"/>
      <c r="H873" s="173"/>
      <c r="I873" s="174"/>
      <c r="K873" s="177"/>
      <c r="L873" s="177"/>
      <c r="Q873" s="179"/>
      <c r="R873" s="217"/>
      <c r="S873" s="218"/>
      <c r="T873" s="180"/>
      <c r="U873" s="181"/>
      <c r="V873" s="181"/>
      <c r="W873" s="181"/>
      <c r="X873" s="181"/>
      <c r="Y873" s="3"/>
      <c r="Z873" s="3"/>
    </row>
    <row r="874" spans="1:26" ht="23.25" customHeight="1">
      <c r="A874" s="281"/>
      <c r="B874" s="281"/>
      <c r="C874" s="281"/>
      <c r="F874" s="173"/>
      <c r="G874" s="173"/>
      <c r="H874" s="173"/>
      <c r="I874" s="174"/>
      <c r="K874" s="177"/>
      <c r="L874" s="177"/>
      <c r="Q874" s="179"/>
      <c r="R874" s="217"/>
      <c r="S874" s="218"/>
      <c r="T874" s="180"/>
      <c r="U874" s="181"/>
      <c r="V874" s="181"/>
      <c r="W874" s="181"/>
      <c r="X874" s="181"/>
      <c r="Y874" s="3"/>
      <c r="Z874" s="3"/>
    </row>
    <row r="875" spans="1:26" ht="23.25" customHeight="1">
      <c r="A875" s="281"/>
      <c r="B875" s="281"/>
      <c r="C875" s="281"/>
      <c r="F875" s="173"/>
      <c r="G875" s="173"/>
      <c r="H875" s="173"/>
      <c r="I875" s="174"/>
      <c r="K875" s="177"/>
      <c r="L875" s="177"/>
      <c r="Q875" s="179"/>
      <c r="R875" s="217"/>
      <c r="S875" s="218"/>
      <c r="T875" s="180"/>
      <c r="U875" s="181"/>
      <c r="V875" s="181"/>
      <c r="W875" s="181"/>
      <c r="X875" s="181"/>
      <c r="Y875" s="3"/>
      <c r="Z875" s="3"/>
    </row>
    <row r="876" spans="1:26" ht="23.25" customHeight="1">
      <c r="A876" s="281"/>
      <c r="B876" s="281"/>
      <c r="C876" s="281"/>
      <c r="F876" s="173"/>
      <c r="G876" s="173"/>
      <c r="H876" s="173"/>
      <c r="I876" s="174"/>
      <c r="K876" s="177"/>
      <c r="L876" s="177"/>
      <c r="Q876" s="179"/>
      <c r="R876" s="217"/>
      <c r="S876" s="218"/>
      <c r="T876" s="180"/>
      <c r="U876" s="181"/>
      <c r="V876" s="181"/>
      <c r="W876" s="181"/>
      <c r="X876" s="181"/>
      <c r="Y876" s="3"/>
      <c r="Z876" s="3"/>
    </row>
    <row r="877" spans="1:26" ht="23.25" customHeight="1">
      <c r="A877" s="281"/>
      <c r="B877" s="281"/>
      <c r="C877" s="281"/>
      <c r="F877" s="173"/>
      <c r="G877" s="173"/>
      <c r="H877" s="173"/>
      <c r="I877" s="174"/>
      <c r="K877" s="177"/>
      <c r="L877" s="177"/>
      <c r="Q877" s="179"/>
      <c r="R877" s="217"/>
      <c r="S877" s="218"/>
      <c r="T877" s="180"/>
      <c r="U877" s="181"/>
      <c r="V877" s="181"/>
      <c r="W877" s="181"/>
      <c r="X877" s="181"/>
      <c r="Y877" s="3"/>
      <c r="Z877" s="3"/>
    </row>
    <row r="878" spans="1:26" ht="23.25" customHeight="1">
      <c r="A878" s="281"/>
      <c r="B878" s="281"/>
      <c r="C878" s="281"/>
      <c r="F878" s="173"/>
      <c r="G878" s="173"/>
      <c r="H878" s="173"/>
      <c r="I878" s="174"/>
      <c r="K878" s="177"/>
      <c r="L878" s="177"/>
      <c r="Q878" s="179"/>
      <c r="R878" s="217"/>
      <c r="S878" s="218"/>
      <c r="T878" s="180"/>
      <c r="U878" s="181"/>
      <c r="V878" s="181"/>
      <c r="W878" s="181"/>
      <c r="X878" s="181"/>
      <c r="Y878" s="3"/>
      <c r="Z878" s="3"/>
    </row>
    <row r="879" spans="1:26" ht="23.25" customHeight="1">
      <c r="A879" s="281"/>
      <c r="B879" s="281"/>
      <c r="C879" s="281"/>
      <c r="F879" s="173"/>
      <c r="G879" s="173"/>
      <c r="H879" s="173"/>
      <c r="I879" s="174"/>
      <c r="K879" s="177"/>
      <c r="L879" s="177"/>
      <c r="Q879" s="179"/>
      <c r="R879" s="217"/>
      <c r="S879" s="218"/>
      <c r="T879" s="180"/>
      <c r="U879" s="181"/>
      <c r="V879" s="181"/>
      <c r="W879" s="181"/>
      <c r="X879" s="181"/>
      <c r="Y879" s="3"/>
      <c r="Z879" s="3"/>
    </row>
    <row r="880" spans="1:26" ht="23.25" customHeight="1">
      <c r="A880" s="281"/>
      <c r="B880" s="281"/>
      <c r="C880" s="281"/>
      <c r="F880" s="173"/>
      <c r="G880" s="173"/>
      <c r="H880" s="173"/>
      <c r="I880" s="174"/>
      <c r="K880" s="177"/>
      <c r="L880" s="177"/>
      <c r="Q880" s="179"/>
      <c r="R880" s="217"/>
      <c r="S880" s="218"/>
      <c r="T880" s="180"/>
      <c r="U880" s="181"/>
      <c r="V880" s="181"/>
      <c r="W880" s="181"/>
      <c r="X880" s="181"/>
      <c r="Y880" s="3"/>
      <c r="Z880" s="3"/>
    </row>
    <row r="881" spans="1:26" ht="23.25" customHeight="1">
      <c r="A881" s="281"/>
      <c r="B881" s="281"/>
      <c r="C881" s="281"/>
      <c r="F881" s="173"/>
      <c r="G881" s="173"/>
      <c r="H881" s="173"/>
      <c r="I881" s="174"/>
      <c r="K881" s="177"/>
      <c r="L881" s="177"/>
      <c r="Q881" s="179"/>
      <c r="R881" s="217"/>
      <c r="S881" s="218"/>
      <c r="T881" s="180"/>
      <c r="U881" s="181"/>
      <c r="V881" s="181"/>
      <c r="W881" s="181"/>
      <c r="X881" s="181"/>
      <c r="Y881" s="3"/>
      <c r="Z881" s="3"/>
    </row>
    <row r="882" spans="1:26" ht="23.25" customHeight="1">
      <c r="A882" s="281"/>
      <c r="B882" s="281"/>
      <c r="C882" s="281"/>
      <c r="F882" s="173"/>
      <c r="G882" s="173"/>
      <c r="H882" s="173"/>
      <c r="I882" s="174"/>
      <c r="K882" s="177"/>
      <c r="L882" s="177"/>
      <c r="Q882" s="179"/>
      <c r="R882" s="217"/>
      <c r="S882" s="218"/>
      <c r="T882" s="180"/>
      <c r="U882" s="181"/>
      <c r="V882" s="181"/>
      <c r="W882" s="181"/>
      <c r="X882" s="181"/>
      <c r="Y882" s="3"/>
      <c r="Z882" s="3"/>
    </row>
    <row r="883" spans="1:26" ht="23.25" customHeight="1">
      <c r="A883" s="281"/>
      <c r="B883" s="281"/>
      <c r="C883" s="281"/>
      <c r="F883" s="173"/>
      <c r="G883" s="173"/>
      <c r="H883" s="173"/>
      <c r="I883" s="174"/>
      <c r="K883" s="177"/>
      <c r="L883" s="177"/>
      <c r="Q883" s="179"/>
      <c r="R883" s="217"/>
      <c r="S883" s="218"/>
      <c r="T883" s="180"/>
      <c r="U883" s="181"/>
      <c r="V883" s="181"/>
      <c r="W883" s="181"/>
      <c r="X883" s="181"/>
      <c r="Y883" s="3"/>
      <c r="Z883" s="3"/>
    </row>
    <row r="884" spans="1:26" ht="23.25" customHeight="1">
      <c r="A884" s="281"/>
      <c r="B884" s="281"/>
      <c r="C884" s="281"/>
      <c r="F884" s="173"/>
      <c r="G884" s="173"/>
      <c r="H884" s="173"/>
      <c r="I884" s="174"/>
      <c r="K884" s="177"/>
      <c r="L884" s="177"/>
      <c r="Q884" s="179"/>
      <c r="R884" s="217"/>
      <c r="S884" s="218"/>
      <c r="T884" s="180"/>
      <c r="U884" s="181"/>
      <c r="V884" s="181"/>
      <c r="W884" s="181"/>
      <c r="X884" s="181"/>
      <c r="Y884" s="3"/>
      <c r="Z884" s="3"/>
    </row>
    <row r="885" spans="1:26" ht="23.25" customHeight="1">
      <c r="A885" s="281"/>
      <c r="B885" s="281"/>
      <c r="C885" s="281"/>
      <c r="E885" s="3" t="s">
        <v>3366</v>
      </c>
      <c r="F885" s="173"/>
      <c r="G885" s="173"/>
      <c r="H885" s="173"/>
      <c r="I885" s="174"/>
      <c r="K885" s="177"/>
      <c r="L885" s="177"/>
      <c r="Q885" s="179"/>
      <c r="R885" s="217"/>
      <c r="S885" s="218"/>
      <c r="T885" s="180"/>
      <c r="U885" s="181"/>
      <c r="V885" s="181"/>
      <c r="W885" s="181"/>
      <c r="X885" s="181"/>
      <c r="Y885" s="3"/>
      <c r="Z885" s="3"/>
    </row>
    <row r="886" spans="1:26" ht="23.25" customHeight="1">
      <c r="A886" s="281"/>
      <c r="B886" s="281"/>
      <c r="C886" s="281"/>
      <c r="F886" s="173"/>
      <c r="G886" s="173"/>
      <c r="H886" s="173"/>
      <c r="I886" s="174"/>
      <c r="K886" s="177"/>
      <c r="L886" s="177"/>
      <c r="Q886" s="179"/>
      <c r="R886" s="217"/>
      <c r="S886" s="218"/>
      <c r="T886" s="180"/>
      <c r="U886" s="181"/>
      <c r="V886" s="181"/>
      <c r="W886" s="181"/>
      <c r="X886" s="181"/>
      <c r="Y886" s="3"/>
      <c r="Z886" s="3"/>
    </row>
    <row r="887" spans="1:26" ht="23.25" customHeight="1">
      <c r="A887" s="281"/>
      <c r="B887" s="281"/>
      <c r="C887" s="281"/>
      <c r="F887" s="173"/>
      <c r="G887" s="173"/>
      <c r="H887" s="173"/>
      <c r="I887" s="174"/>
      <c r="K887" s="177"/>
      <c r="L887" s="177"/>
      <c r="Q887" s="179"/>
      <c r="R887" s="217"/>
      <c r="S887" s="218"/>
      <c r="T887" s="180"/>
      <c r="U887" s="181"/>
      <c r="V887" s="181"/>
      <c r="W887" s="181"/>
      <c r="X887" s="181"/>
      <c r="Y887" s="3"/>
      <c r="Z887" s="3"/>
    </row>
    <row r="888" spans="1:26" ht="23.25" customHeight="1">
      <c r="A888" s="281"/>
      <c r="B888" s="281"/>
      <c r="C888" s="281"/>
      <c r="F888" s="173"/>
      <c r="G888" s="173"/>
      <c r="H888" s="173"/>
      <c r="I888" s="174"/>
      <c r="K888" s="177"/>
      <c r="L888" s="177"/>
      <c r="Q888" s="179"/>
      <c r="R888" s="217"/>
      <c r="S888" s="218"/>
      <c r="T888" s="180"/>
      <c r="U888" s="181"/>
      <c r="V888" s="181"/>
      <c r="W888" s="181"/>
      <c r="X888" s="181"/>
      <c r="Y888" s="3"/>
      <c r="Z888" s="3"/>
    </row>
    <row r="889" spans="1:26" ht="23.25" customHeight="1">
      <c r="A889" s="281"/>
      <c r="B889" s="281"/>
      <c r="C889" s="281"/>
      <c r="F889" s="173"/>
      <c r="G889" s="173"/>
      <c r="H889" s="173"/>
      <c r="I889" s="174"/>
      <c r="K889" s="177"/>
      <c r="L889" s="177"/>
      <c r="Q889" s="179"/>
      <c r="R889" s="217"/>
      <c r="S889" s="218"/>
      <c r="T889" s="180"/>
      <c r="U889" s="181"/>
      <c r="V889" s="181"/>
      <c r="W889" s="181"/>
      <c r="X889" s="181"/>
      <c r="Y889" s="3"/>
      <c r="Z889" s="3"/>
    </row>
    <row r="890" spans="1:26" ht="23.25" customHeight="1">
      <c r="A890" s="281"/>
      <c r="B890" s="281"/>
      <c r="C890" s="281"/>
      <c r="F890" s="173"/>
      <c r="G890" s="173"/>
      <c r="H890" s="173"/>
      <c r="I890" s="174"/>
      <c r="K890" s="177"/>
      <c r="L890" s="177"/>
      <c r="Q890" s="179"/>
      <c r="R890" s="217"/>
      <c r="S890" s="218"/>
      <c r="T890" s="180"/>
      <c r="U890" s="181"/>
      <c r="V890" s="181"/>
      <c r="W890" s="181"/>
      <c r="X890" s="181"/>
      <c r="Y890" s="3"/>
      <c r="Z890" s="3"/>
    </row>
    <row r="891" spans="1:26" ht="23.25" customHeight="1">
      <c r="A891" s="281"/>
      <c r="B891" s="281"/>
      <c r="C891" s="281"/>
      <c r="F891" s="173"/>
      <c r="G891" s="173"/>
      <c r="H891" s="173"/>
      <c r="I891" s="174"/>
      <c r="K891" s="177"/>
      <c r="L891" s="177"/>
      <c r="Q891" s="179"/>
      <c r="R891" s="217"/>
      <c r="S891" s="218"/>
      <c r="T891" s="180"/>
      <c r="U891" s="181"/>
      <c r="V891" s="181"/>
      <c r="W891" s="181"/>
      <c r="X891" s="181"/>
      <c r="Y891" s="3"/>
      <c r="Z891" s="3"/>
    </row>
    <row r="892" spans="1:26" ht="23.25" customHeight="1">
      <c r="A892" s="281"/>
      <c r="B892" s="281"/>
      <c r="C892" s="281"/>
      <c r="F892" s="173"/>
      <c r="G892" s="173"/>
      <c r="H892" s="173"/>
      <c r="I892" s="174"/>
      <c r="K892" s="177"/>
      <c r="L892" s="177"/>
      <c r="Q892" s="179"/>
      <c r="R892" s="217"/>
      <c r="S892" s="218"/>
      <c r="T892" s="180"/>
      <c r="U892" s="181"/>
      <c r="V892" s="181"/>
      <c r="W892" s="181"/>
      <c r="X892" s="181"/>
      <c r="Y892" s="3"/>
      <c r="Z892" s="3"/>
    </row>
    <row r="893" spans="1:26" ht="23.25" customHeight="1">
      <c r="A893" s="281"/>
      <c r="B893" s="281"/>
      <c r="C893" s="281"/>
      <c r="F893" s="173"/>
      <c r="G893" s="173"/>
      <c r="H893" s="173"/>
      <c r="I893" s="174"/>
      <c r="K893" s="177"/>
      <c r="L893" s="177"/>
      <c r="Q893" s="179"/>
      <c r="R893" s="217"/>
      <c r="S893" s="218"/>
      <c r="T893" s="180"/>
      <c r="U893" s="181"/>
      <c r="V893" s="181"/>
      <c r="W893" s="181"/>
      <c r="X893" s="181"/>
      <c r="Y893" s="3"/>
      <c r="Z893" s="3"/>
    </row>
    <row r="894" spans="1:26" ht="23.25" customHeight="1">
      <c r="A894" s="281"/>
      <c r="B894" s="281"/>
      <c r="C894" s="281"/>
      <c r="F894" s="173"/>
      <c r="G894" s="173"/>
      <c r="H894" s="173"/>
      <c r="I894" s="174"/>
      <c r="K894" s="177"/>
      <c r="L894" s="177"/>
      <c r="Q894" s="179"/>
      <c r="R894" s="217"/>
      <c r="S894" s="218"/>
      <c r="T894" s="180"/>
      <c r="U894" s="181"/>
      <c r="V894" s="181"/>
      <c r="W894" s="181"/>
      <c r="X894" s="181"/>
      <c r="Y894" s="3"/>
      <c r="Z894" s="3"/>
    </row>
    <row r="895" spans="1:26" ht="23.25" customHeight="1">
      <c r="A895" s="281"/>
      <c r="B895" s="281"/>
      <c r="C895" s="281"/>
      <c r="F895" s="173"/>
      <c r="G895" s="173"/>
      <c r="H895" s="173"/>
      <c r="I895" s="174"/>
      <c r="K895" s="177"/>
      <c r="L895" s="177"/>
      <c r="Q895" s="179"/>
      <c r="R895" s="217"/>
      <c r="S895" s="218"/>
      <c r="T895" s="180"/>
      <c r="U895" s="181"/>
      <c r="V895" s="181"/>
      <c r="W895" s="181"/>
      <c r="X895" s="181"/>
      <c r="Y895" s="3"/>
      <c r="Z895" s="3"/>
    </row>
    <row r="896" spans="1:26" ht="23.25" customHeight="1">
      <c r="A896" s="281"/>
      <c r="B896" s="281"/>
      <c r="C896" s="281"/>
      <c r="F896" s="173"/>
      <c r="G896" s="173"/>
      <c r="H896" s="173"/>
      <c r="I896" s="174"/>
      <c r="K896" s="177"/>
      <c r="L896" s="177"/>
      <c r="Q896" s="179"/>
      <c r="R896" s="217"/>
      <c r="S896" s="218"/>
      <c r="T896" s="180"/>
      <c r="U896" s="181"/>
      <c r="V896" s="181"/>
      <c r="W896" s="181"/>
      <c r="X896" s="181"/>
      <c r="Y896" s="3"/>
      <c r="Z896" s="3"/>
    </row>
    <row r="897" spans="1:26" ht="23.25" customHeight="1">
      <c r="A897" s="281"/>
      <c r="B897" s="281"/>
      <c r="C897" s="281"/>
      <c r="F897" s="173"/>
      <c r="G897" s="173"/>
      <c r="H897" s="173"/>
      <c r="I897" s="174"/>
      <c r="K897" s="177"/>
      <c r="L897" s="177"/>
      <c r="Q897" s="179"/>
      <c r="R897" s="217"/>
      <c r="S897" s="218"/>
      <c r="T897" s="180"/>
      <c r="U897" s="181"/>
      <c r="V897" s="181"/>
      <c r="W897" s="181"/>
      <c r="X897" s="181"/>
      <c r="Y897" s="3"/>
      <c r="Z897" s="3"/>
    </row>
    <row r="898" spans="1:26" ht="23.25" customHeight="1">
      <c r="A898" s="281"/>
      <c r="B898" s="281"/>
      <c r="C898" s="281"/>
      <c r="F898" s="173"/>
      <c r="G898" s="173"/>
      <c r="H898" s="173"/>
      <c r="I898" s="174"/>
      <c r="K898" s="177"/>
      <c r="L898" s="177"/>
      <c r="Q898" s="179"/>
      <c r="R898" s="217"/>
      <c r="S898" s="218"/>
      <c r="T898" s="180"/>
      <c r="U898" s="181"/>
      <c r="V898" s="181"/>
      <c r="W898" s="181"/>
      <c r="X898" s="181"/>
      <c r="Y898" s="3"/>
      <c r="Z898" s="3"/>
    </row>
    <row r="899" spans="1:26" ht="23.25" customHeight="1">
      <c r="A899" s="281"/>
      <c r="B899" s="281"/>
      <c r="C899" s="281"/>
      <c r="F899" s="173"/>
      <c r="G899" s="173"/>
      <c r="H899" s="173"/>
      <c r="I899" s="174"/>
      <c r="K899" s="177"/>
      <c r="L899" s="177"/>
      <c r="Q899" s="179"/>
      <c r="R899" s="217"/>
      <c r="S899" s="218"/>
      <c r="T899" s="180"/>
      <c r="U899" s="181"/>
      <c r="V899" s="181"/>
      <c r="W899" s="181"/>
      <c r="X899" s="181"/>
      <c r="Y899" s="3"/>
      <c r="Z899" s="3"/>
    </row>
    <row r="900" spans="1:26" ht="23.25" customHeight="1">
      <c r="A900" s="281"/>
      <c r="B900" s="281"/>
      <c r="C900" s="281"/>
      <c r="F900" s="173"/>
      <c r="G900" s="173"/>
      <c r="H900" s="173"/>
      <c r="I900" s="174"/>
      <c r="K900" s="177"/>
      <c r="L900" s="177"/>
      <c r="Q900" s="179"/>
      <c r="R900" s="217"/>
      <c r="S900" s="218"/>
      <c r="T900" s="180"/>
      <c r="U900" s="181"/>
      <c r="V900" s="181"/>
      <c r="W900" s="181"/>
      <c r="X900" s="181"/>
      <c r="Y900" s="3"/>
      <c r="Z900" s="3"/>
    </row>
    <row r="901" spans="1:26" ht="23.25" customHeight="1">
      <c r="A901" s="281"/>
      <c r="B901" s="281"/>
      <c r="C901" s="281"/>
      <c r="F901" s="173"/>
      <c r="G901" s="173"/>
      <c r="H901" s="173"/>
      <c r="I901" s="174"/>
      <c r="K901" s="177"/>
      <c r="L901" s="177"/>
      <c r="Q901" s="179"/>
      <c r="R901" s="217"/>
      <c r="S901" s="218"/>
      <c r="T901" s="180"/>
      <c r="U901" s="181"/>
      <c r="V901" s="181"/>
      <c r="W901" s="181"/>
      <c r="X901" s="181"/>
      <c r="Y901" s="3"/>
      <c r="Z901" s="3"/>
    </row>
    <row r="902" spans="1:26" ht="23.25" customHeight="1">
      <c r="A902" s="281"/>
      <c r="B902" s="281"/>
      <c r="C902" s="281"/>
      <c r="F902" s="173"/>
      <c r="G902" s="173"/>
      <c r="H902" s="173"/>
      <c r="I902" s="174"/>
      <c r="K902" s="177"/>
      <c r="L902" s="177"/>
      <c r="Q902" s="179"/>
      <c r="R902" s="217"/>
      <c r="S902" s="218"/>
      <c r="T902" s="180"/>
      <c r="U902" s="181"/>
      <c r="V902" s="181"/>
      <c r="W902" s="181"/>
      <c r="X902" s="181"/>
      <c r="Y902" s="3"/>
      <c r="Z902" s="3"/>
    </row>
    <row r="903" spans="1:26" ht="23.25" customHeight="1">
      <c r="A903" s="281"/>
      <c r="B903" s="281"/>
      <c r="C903" s="281"/>
      <c r="F903" s="173"/>
      <c r="G903" s="173"/>
      <c r="H903" s="173"/>
      <c r="I903" s="174"/>
      <c r="K903" s="177"/>
      <c r="L903" s="177"/>
      <c r="Q903" s="179"/>
      <c r="R903" s="217"/>
      <c r="S903" s="218"/>
      <c r="T903" s="180"/>
      <c r="U903" s="181"/>
      <c r="V903" s="181"/>
      <c r="W903" s="181"/>
      <c r="X903" s="181"/>
      <c r="Y903" s="3"/>
      <c r="Z903" s="3"/>
    </row>
    <row r="904" spans="1:26" ht="23.25" customHeight="1">
      <c r="A904" s="281"/>
      <c r="B904" s="281"/>
      <c r="C904" s="281"/>
      <c r="F904" s="173"/>
      <c r="G904" s="173"/>
      <c r="H904" s="173"/>
      <c r="I904" s="174"/>
      <c r="K904" s="177"/>
      <c r="L904" s="177"/>
      <c r="Q904" s="179"/>
      <c r="R904" s="217"/>
      <c r="S904" s="218"/>
      <c r="T904" s="180"/>
      <c r="U904" s="181"/>
      <c r="V904" s="181"/>
      <c r="W904" s="181"/>
      <c r="X904" s="181"/>
      <c r="Y904" s="3"/>
      <c r="Z904" s="3"/>
    </row>
    <row r="905" spans="1:26" ht="23.25" customHeight="1">
      <c r="A905" s="281"/>
      <c r="B905" s="281"/>
      <c r="C905" s="281"/>
      <c r="F905" s="173"/>
      <c r="G905" s="173"/>
      <c r="H905" s="173"/>
      <c r="I905" s="174"/>
      <c r="K905" s="177"/>
      <c r="L905" s="177"/>
      <c r="Q905" s="179"/>
      <c r="R905" s="217"/>
      <c r="S905" s="218"/>
      <c r="T905" s="180"/>
      <c r="U905" s="181"/>
      <c r="V905" s="181"/>
      <c r="W905" s="181"/>
      <c r="X905" s="181"/>
      <c r="Y905" s="3"/>
      <c r="Z905" s="3"/>
    </row>
    <row r="906" spans="1:26" ht="23.25" customHeight="1">
      <c r="A906" s="281"/>
      <c r="B906" s="281"/>
      <c r="C906" s="281"/>
      <c r="F906" s="173"/>
      <c r="G906" s="173"/>
      <c r="H906" s="173"/>
      <c r="I906" s="174"/>
      <c r="K906" s="177"/>
      <c r="L906" s="177"/>
      <c r="Q906" s="179"/>
      <c r="R906" s="217"/>
      <c r="S906" s="218"/>
      <c r="T906" s="180"/>
      <c r="U906" s="181"/>
      <c r="V906" s="181"/>
      <c r="W906" s="181"/>
      <c r="X906" s="181"/>
      <c r="Y906" s="3"/>
      <c r="Z906" s="3"/>
    </row>
    <row r="907" spans="1:26" ht="23.25" customHeight="1">
      <c r="A907" s="281"/>
      <c r="B907" s="281"/>
      <c r="C907" s="281"/>
      <c r="F907" s="173"/>
      <c r="G907" s="173"/>
      <c r="H907" s="173"/>
      <c r="I907" s="174"/>
      <c r="K907" s="177"/>
      <c r="L907" s="177"/>
      <c r="Q907" s="179"/>
      <c r="R907" s="217"/>
      <c r="S907" s="218"/>
      <c r="T907" s="180"/>
      <c r="U907" s="181"/>
      <c r="V907" s="181"/>
      <c r="W907" s="181"/>
      <c r="X907" s="181"/>
      <c r="Y907" s="3"/>
      <c r="Z907" s="3"/>
    </row>
    <row r="908" spans="1:26" ht="23.25" customHeight="1">
      <c r="A908" s="281"/>
      <c r="B908" s="281"/>
      <c r="C908" s="281"/>
      <c r="F908" s="173"/>
      <c r="G908" s="173"/>
      <c r="H908" s="173"/>
      <c r="I908" s="174"/>
      <c r="K908" s="177"/>
      <c r="L908" s="177"/>
      <c r="Q908" s="179"/>
      <c r="R908" s="217"/>
      <c r="S908" s="218"/>
      <c r="T908" s="180"/>
      <c r="U908" s="181"/>
      <c r="V908" s="181"/>
      <c r="W908" s="181"/>
      <c r="X908" s="181"/>
      <c r="Y908" s="3"/>
      <c r="Z908" s="3"/>
    </row>
    <row r="909" spans="1:26" ht="23.25" customHeight="1">
      <c r="A909" s="281"/>
      <c r="B909" s="281"/>
      <c r="C909" s="281"/>
      <c r="F909" s="173"/>
      <c r="G909" s="173"/>
      <c r="H909" s="173"/>
      <c r="I909" s="174"/>
      <c r="K909" s="177"/>
      <c r="L909" s="177"/>
      <c r="Q909" s="179"/>
      <c r="R909" s="217"/>
      <c r="S909" s="218"/>
      <c r="T909" s="180"/>
      <c r="U909" s="181"/>
      <c r="V909" s="181"/>
      <c r="W909" s="181"/>
      <c r="X909" s="181"/>
      <c r="Y909" s="3"/>
      <c r="Z909" s="3"/>
    </row>
    <row r="910" spans="1:26" ht="23.25" customHeight="1">
      <c r="A910" s="281"/>
      <c r="B910" s="281"/>
      <c r="C910" s="281"/>
      <c r="F910" s="173"/>
      <c r="G910" s="173"/>
      <c r="H910" s="173"/>
      <c r="I910" s="174"/>
      <c r="K910" s="177"/>
      <c r="L910" s="177"/>
      <c r="Q910" s="179"/>
      <c r="R910" s="217"/>
      <c r="S910" s="218"/>
      <c r="T910" s="180"/>
      <c r="U910" s="181"/>
      <c r="V910" s="181"/>
      <c r="W910" s="181"/>
      <c r="X910" s="181"/>
      <c r="Y910" s="3"/>
      <c r="Z910" s="3"/>
    </row>
    <row r="911" spans="1:26" ht="23.25" customHeight="1">
      <c r="A911" s="281"/>
      <c r="B911" s="281"/>
      <c r="C911" s="281"/>
      <c r="F911" s="173"/>
      <c r="G911" s="173"/>
      <c r="H911" s="173"/>
      <c r="I911" s="174"/>
      <c r="K911" s="177"/>
      <c r="L911" s="177"/>
      <c r="Q911" s="179"/>
      <c r="R911" s="217"/>
      <c r="S911" s="218"/>
      <c r="T911" s="180"/>
      <c r="U911" s="181"/>
      <c r="V911" s="181"/>
      <c r="W911" s="181"/>
      <c r="X911" s="181"/>
      <c r="Y911" s="3"/>
      <c r="Z911" s="3"/>
    </row>
    <row r="912" spans="1:26" ht="23.25" customHeight="1">
      <c r="A912" s="281"/>
      <c r="B912" s="281"/>
      <c r="C912" s="281"/>
      <c r="F912" s="173"/>
      <c r="G912" s="173"/>
      <c r="H912" s="173"/>
      <c r="I912" s="174"/>
      <c r="K912" s="177"/>
      <c r="L912" s="177"/>
      <c r="Q912" s="179"/>
      <c r="R912" s="217"/>
      <c r="S912" s="218"/>
      <c r="T912" s="180"/>
      <c r="U912" s="181"/>
      <c r="V912" s="181"/>
      <c r="W912" s="181"/>
      <c r="X912" s="181"/>
      <c r="Y912" s="3"/>
      <c r="Z912" s="3"/>
    </row>
    <row r="913" spans="1:26" ht="23.25" customHeight="1">
      <c r="A913" s="281"/>
      <c r="B913" s="281"/>
      <c r="C913" s="281"/>
      <c r="F913" s="173"/>
      <c r="G913" s="173"/>
      <c r="H913" s="173"/>
      <c r="I913" s="174"/>
      <c r="K913" s="177"/>
      <c r="L913" s="177"/>
      <c r="Q913" s="179"/>
      <c r="R913" s="217"/>
      <c r="S913" s="218"/>
      <c r="T913" s="180"/>
      <c r="U913" s="181"/>
      <c r="V913" s="181"/>
      <c r="W913" s="181"/>
      <c r="X913" s="181"/>
      <c r="Y913" s="3"/>
      <c r="Z913" s="3"/>
    </row>
    <row r="914" spans="1:26" ht="23.25" customHeight="1">
      <c r="A914" s="281"/>
      <c r="B914" s="281"/>
      <c r="C914" s="281"/>
      <c r="F914" s="173"/>
      <c r="G914" s="173"/>
      <c r="H914" s="173"/>
      <c r="I914" s="174"/>
      <c r="K914" s="177"/>
      <c r="L914" s="177"/>
      <c r="Q914" s="179"/>
      <c r="R914" s="217"/>
      <c r="S914" s="218"/>
      <c r="T914" s="180"/>
      <c r="U914" s="181"/>
      <c r="V914" s="181"/>
      <c r="W914" s="181"/>
      <c r="X914" s="181"/>
      <c r="Y914" s="3"/>
      <c r="Z914" s="3"/>
    </row>
    <row r="915" spans="1:26" ht="23.25" customHeight="1">
      <c r="A915" s="281"/>
      <c r="B915" s="281"/>
      <c r="C915" s="281"/>
      <c r="F915" s="173"/>
      <c r="G915" s="173"/>
      <c r="H915" s="173"/>
      <c r="I915" s="174"/>
      <c r="K915" s="177"/>
      <c r="L915" s="177"/>
      <c r="Q915" s="179"/>
      <c r="R915" s="217"/>
      <c r="S915" s="218"/>
      <c r="T915" s="180"/>
      <c r="U915" s="181"/>
      <c r="V915" s="181"/>
      <c r="W915" s="181"/>
      <c r="X915" s="181"/>
      <c r="Y915" s="3"/>
      <c r="Z915" s="3"/>
    </row>
    <row r="916" spans="1:26" ht="23.25" customHeight="1">
      <c r="A916" s="281"/>
      <c r="B916" s="281"/>
      <c r="C916" s="281"/>
      <c r="F916" s="173"/>
      <c r="G916" s="173"/>
      <c r="H916" s="173"/>
      <c r="I916" s="174"/>
      <c r="K916" s="177"/>
      <c r="L916" s="177"/>
      <c r="Q916" s="179"/>
      <c r="R916" s="217"/>
      <c r="S916" s="218"/>
      <c r="T916" s="180"/>
      <c r="U916" s="181"/>
      <c r="V916" s="181"/>
      <c r="W916" s="181"/>
      <c r="X916" s="181"/>
      <c r="Y916" s="3"/>
      <c r="Z916" s="3"/>
    </row>
    <row r="917" spans="1:26" ht="23.25" customHeight="1">
      <c r="A917" s="281"/>
      <c r="B917" s="281"/>
      <c r="C917" s="281"/>
      <c r="F917" s="173"/>
      <c r="G917" s="173"/>
      <c r="H917" s="173"/>
      <c r="I917" s="174"/>
      <c r="K917" s="177"/>
      <c r="L917" s="177"/>
      <c r="Q917" s="179"/>
      <c r="R917" s="217"/>
      <c r="S917" s="218"/>
      <c r="T917" s="180"/>
      <c r="U917" s="181"/>
      <c r="V917" s="181"/>
      <c r="W917" s="181"/>
      <c r="X917" s="181"/>
      <c r="Y917" s="3"/>
      <c r="Z917" s="3"/>
    </row>
    <row r="918" spans="1:26" ht="23.25" customHeight="1">
      <c r="A918" s="281"/>
      <c r="B918" s="281"/>
      <c r="C918" s="281"/>
      <c r="F918" s="173"/>
      <c r="G918" s="173"/>
      <c r="H918" s="173"/>
      <c r="I918" s="174"/>
      <c r="K918" s="177"/>
      <c r="L918" s="177"/>
      <c r="Q918" s="179"/>
      <c r="R918" s="217"/>
      <c r="S918" s="218"/>
      <c r="T918" s="180"/>
      <c r="U918" s="181"/>
      <c r="V918" s="181"/>
      <c r="W918" s="181"/>
      <c r="X918" s="181"/>
      <c r="Y918" s="3"/>
      <c r="Z918" s="3"/>
    </row>
    <row r="919" spans="1:26" ht="23.25" customHeight="1">
      <c r="A919" s="281"/>
      <c r="B919" s="281"/>
      <c r="C919" s="281"/>
      <c r="F919" s="173"/>
      <c r="G919" s="173"/>
      <c r="H919" s="173"/>
      <c r="I919" s="174"/>
      <c r="K919" s="177"/>
      <c r="L919" s="177"/>
      <c r="Q919" s="179"/>
      <c r="R919" s="217"/>
      <c r="S919" s="218"/>
      <c r="T919" s="180"/>
      <c r="U919" s="181"/>
      <c r="V919" s="181"/>
      <c r="W919" s="181"/>
      <c r="X919" s="181"/>
      <c r="Y919" s="3"/>
      <c r="Z919" s="3"/>
    </row>
    <row r="920" spans="1:26" ht="23.25" customHeight="1">
      <c r="A920" s="281"/>
      <c r="B920" s="281"/>
      <c r="C920" s="281"/>
      <c r="F920" s="173"/>
      <c r="G920" s="173"/>
      <c r="H920" s="173"/>
      <c r="I920" s="174"/>
      <c r="K920" s="177"/>
      <c r="L920" s="177"/>
      <c r="Q920" s="179"/>
      <c r="R920" s="217"/>
      <c r="S920" s="218"/>
      <c r="T920" s="180"/>
      <c r="U920" s="181"/>
      <c r="V920" s="181"/>
      <c r="W920" s="181"/>
      <c r="X920" s="181"/>
      <c r="Y920" s="3"/>
      <c r="Z920" s="3"/>
    </row>
    <row r="921" spans="1:26" ht="23.25" customHeight="1">
      <c r="A921" s="281"/>
      <c r="B921" s="281"/>
      <c r="C921" s="281"/>
      <c r="F921" s="173"/>
      <c r="G921" s="173"/>
      <c r="H921" s="173"/>
      <c r="I921" s="174"/>
      <c r="K921" s="177"/>
      <c r="L921" s="177"/>
      <c r="Q921" s="179"/>
      <c r="R921" s="217"/>
      <c r="S921" s="218"/>
      <c r="T921" s="180"/>
      <c r="U921" s="181"/>
      <c r="V921" s="181"/>
      <c r="W921" s="181"/>
      <c r="X921" s="181"/>
      <c r="Y921" s="3"/>
      <c r="Z921" s="3"/>
    </row>
    <row r="922" spans="1:26" ht="23.25" customHeight="1">
      <c r="A922" s="281"/>
      <c r="B922" s="281"/>
      <c r="C922" s="281"/>
      <c r="F922" s="173"/>
      <c r="G922" s="173"/>
      <c r="H922" s="173"/>
      <c r="I922" s="174"/>
      <c r="K922" s="177"/>
      <c r="L922" s="177"/>
      <c r="Q922" s="179"/>
      <c r="R922" s="217"/>
      <c r="S922" s="218"/>
      <c r="T922" s="180"/>
      <c r="U922" s="181"/>
      <c r="V922" s="181"/>
      <c r="W922" s="181"/>
      <c r="X922" s="181"/>
      <c r="Y922" s="3"/>
      <c r="Z922" s="3"/>
    </row>
    <row r="923" spans="1:26" ht="23.25" customHeight="1">
      <c r="A923" s="281"/>
      <c r="B923" s="281"/>
      <c r="C923" s="281"/>
      <c r="F923" s="173"/>
      <c r="G923" s="173"/>
      <c r="H923" s="173"/>
      <c r="I923" s="174"/>
      <c r="K923" s="177"/>
      <c r="L923" s="177"/>
      <c r="Q923" s="179"/>
      <c r="R923" s="217"/>
      <c r="S923" s="218"/>
      <c r="T923" s="180"/>
      <c r="U923" s="181"/>
      <c r="V923" s="181"/>
      <c r="W923" s="181"/>
      <c r="X923" s="181"/>
      <c r="Y923" s="3"/>
      <c r="Z923" s="3"/>
    </row>
    <row r="924" spans="1:26" ht="23.25" customHeight="1">
      <c r="A924" s="281"/>
      <c r="B924" s="281"/>
      <c r="C924" s="281"/>
      <c r="F924" s="173"/>
      <c r="G924" s="173"/>
      <c r="H924" s="173"/>
      <c r="I924" s="174"/>
      <c r="K924" s="177"/>
      <c r="L924" s="177"/>
      <c r="Q924" s="179"/>
      <c r="R924" s="217"/>
      <c r="S924" s="218"/>
      <c r="T924" s="180"/>
      <c r="U924" s="181"/>
      <c r="V924" s="181"/>
      <c r="W924" s="181"/>
      <c r="X924" s="181"/>
      <c r="Y924" s="3"/>
      <c r="Z924" s="3"/>
    </row>
    <row r="925" spans="1:26" ht="23.25" customHeight="1">
      <c r="A925" s="281"/>
      <c r="B925" s="281"/>
      <c r="C925" s="281"/>
      <c r="F925" s="173"/>
      <c r="G925" s="173"/>
      <c r="H925" s="173"/>
      <c r="I925" s="174"/>
      <c r="K925" s="177"/>
      <c r="L925" s="177"/>
      <c r="Q925" s="179"/>
      <c r="R925" s="217"/>
      <c r="S925" s="218"/>
      <c r="T925" s="180"/>
      <c r="U925" s="181"/>
      <c r="V925" s="181"/>
      <c r="W925" s="181"/>
      <c r="X925" s="181"/>
      <c r="Y925" s="3"/>
      <c r="Z925" s="3"/>
    </row>
    <row r="926" spans="1:26" ht="23.25" customHeight="1">
      <c r="A926" s="281"/>
      <c r="B926" s="281"/>
      <c r="C926" s="281"/>
      <c r="F926" s="173"/>
      <c r="G926" s="173"/>
      <c r="H926" s="173"/>
      <c r="I926" s="174"/>
      <c r="K926" s="177"/>
      <c r="L926" s="177"/>
      <c r="Q926" s="179"/>
      <c r="R926" s="217"/>
      <c r="S926" s="218"/>
      <c r="T926" s="180"/>
      <c r="U926" s="181"/>
      <c r="V926" s="181"/>
      <c r="W926" s="181"/>
      <c r="X926" s="181"/>
      <c r="Y926" s="3"/>
      <c r="Z926" s="3"/>
    </row>
    <row r="927" spans="1:26" ht="23.25" customHeight="1">
      <c r="A927" s="281"/>
      <c r="B927" s="281"/>
      <c r="C927" s="281"/>
      <c r="F927" s="173"/>
      <c r="G927" s="173"/>
      <c r="H927" s="173"/>
      <c r="I927" s="174"/>
      <c r="K927" s="177"/>
      <c r="L927" s="177"/>
      <c r="Q927" s="179"/>
      <c r="R927" s="217"/>
      <c r="S927" s="218"/>
      <c r="T927" s="180"/>
      <c r="U927" s="181"/>
      <c r="V927" s="181"/>
      <c r="W927" s="181"/>
      <c r="X927" s="181"/>
      <c r="Y927" s="3"/>
      <c r="Z927" s="3"/>
    </row>
    <row r="928" spans="1:26" ht="23.25" customHeight="1">
      <c r="A928" s="281"/>
      <c r="B928" s="281"/>
      <c r="C928" s="281"/>
      <c r="F928" s="173"/>
      <c r="G928" s="173"/>
      <c r="H928" s="173"/>
      <c r="I928" s="174"/>
      <c r="K928" s="177"/>
      <c r="L928" s="177"/>
      <c r="Q928" s="179"/>
      <c r="R928" s="217"/>
      <c r="S928" s="218"/>
      <c r="T928" s="180"/>
      <c r="U928" s="181"/>
      <c r="V928" s="181"/>
      <c r="W928" s="181"/>
      <c r="X928" s="181"/>
      <c r="Y928" s="3"/>
      <c r="Z928" s="3"/>
    </row>
    <row r="929" spans="1:26" ht="23.25" customHeight="1">
      <c r="A929" s="281"/>
      <c r="B929" s="281"/>
      <c r="C929" s="281"/>
      <c r="F929" s="173"/>
      <c r="G929" s="173"/>
      <c r="H929" s="173"/>
      <c r="I929" s="174"/>
      <c r="K929" s="177"/>
      <c r="L929" s="177"/>
      <c r="Q929" s="179"/>
      <c r="R929" s="217"/>
      <c r="S929" s="218"/>
      <c r="T929" s="180"/>
      <c r="U929" s="181"/>
      <c r="V929" s="181"/>
      <c r="W929" s="181"/>
      <c r="X929" s="181"/>
      <c r="Y929" s="3"/>
      <c r="Z929" s="3"/>
    </row>
    <row r="930" spans="1:26" ht="23.25" customHeight="1">
      <c r="A930" s="281"/>
      <c r="B930" s="281"/>
      <c r="C930" s="281"/>
      <c r="F930" s="173"/>
      <c r="G930" s="173"/>
      <c r="H930" s="173"/>
      <c r="I930" s="174"/>
      <c r="K930" s="177"/>
      <c r="L930" s="177"/>
      <c r="Q930" s="179"/>
      <c r="R930" s="217"/>
      <c r="S930" s="218"/>
      <c r="T930" s="180"/>
      <c r="U930" s="181"/>
      <c r="V930" s="181"/>
      <c r="W930" s="181"/>
      <c r="X930" s="181"/>
      <c r="Y930" s="3"/>
      <c r="Z930" s="3"/>
    </row>
    <row r="931" spans="1:26" ht="23.25" customHeight="1">
      <c r="A931" s="281"/>
      <c r="B931" s="281"/>
      <c r="C931" s="281"/>
      <c r="F931" s="173"/>
      <c r="G931" s="173"/>
      <c r="H931" s="173"/>
      <c r="I931" s="174"/>
      <c r="K931" s="177"/>
      <c r="L931" s="177"/>
      <c r="Q931" s="179"/>
      <c r="R931" s="217"/>
      <c r="S931" s="218"/>
      <c r="T931" s="180"/>
      <c r="U931" s="181"/>
      <c r="V931" s="181"/>
      <c r="W931" s="181"/>
      <c r="X931" s="181"/>
      <c r="Y931" s="3"/>
      <c r="Z931" s="3"/>
    </row>
    <row r="932" spans="1:26" ht="23.25" customHeight="1">
      <c r="A932" s="281"/>
      <c r="B932" s="281"/>
      <c r="C932" s="281"/>
      <c r="F932" s="173"/>
      <c r="G932" s="173"/>
      <c r="H932" s="173"/>
      <c r="I932" s="174"/>
      <c r="K932" s="177"/>
      <c r="L932" s="177"/>
      <c r="Q932" s="179"/>
      <c r="R932" s="217"/>
      <c r="S932" s="218"/>
      <c r="T932" s="180"/>
      <c r="U932" s="181"/>
      <c r="V932" s="181"/>
      <c r="W932" s="181"/>
      <c r="X932" s="181"/>
      <c r="Y932" s="3"/>
      <c r="Z932" s="3"/>
    </row>
    <row r="933" spans="1:26" ht="23.25" customHeight="1">
      <c r="A933" s="281"/>
      <c r="B933" s="281"/>
      <c r="C933" s="281"/>
      <c r="F933" s="173"/>
      <c r="G933" s="173"/>
      <c r="H933" s="173"/>
      <c r="I933" s="174"/>
      <c r="K933" s="177"/>
      <c r="L933" s="177"/>
      <c r="Q933" s="179"/>
      <c r="R933" s="217"/>
      <c r="S933" s="218"/>
      <c r="T933" s="180"/>
      <c r="U933" s="181"/>
      <c r="V933" s="181"/>
      <c r="W933" s="181"/>
      <c r="X933" s="181"/>
      <c r="Y933" s="3"/>
      <c r="Z933" s="3"/>
    </row>
    <row r="934" spans="1:26" ht="23.25" customHeight="1">
      <c r="A934" s="281"/>
      <c r="B934" s="281"/>
      <c r="C934" s="281"/>
      <c r="F934" s="173"/>
      <c r="G934" s="173"/>
      <c r="H934" s="173"/>
      <c r="I934" s="174"/>
      <c r="K934" s="177"/>
      <c r="L934" s="177"/>
      <c r="Q934" s="179"/>
      <c r="R934" s="217"/>
      <c r="S934" s="218"/>
      <c r="T934" s="180"/>
      <c r="U934" s="181"/>
      <c r="V934" s="181"/>
      <c r="W934" s="181"/>
      <c r="X934" s="181"/>
      <c r="Y934" s="3"/>
      <c r="Z934" s="3"/>
    </row>
    <row r="935" spans="1:26" ht="23.25" customHeight="1">
      <c r="A935" s="281"/>
      <c r="B935" s="281"/>
      <c r="C935" s="281"/>
      <c r="F935" s="173"/>
      <c r="G935" s="173"/>
      <c r="H935" s="173"/>
      <c r="I935" s="174"/>
      <c r="K935" s="177"/>
      <c r="L935" s="177"/>
      <c r="Q935" s="179"/>
      <c r="R935" s="217"/>
      <c r="S935" s="218"/>
      <c r="T935" s="180"/>
      <c r="U935" s="181"/>
      <c r="V935" s="181"/>
      <c r="W935" s="181"/>
      <c r="X935" s="181"/>
      <c r="Y935" s="3"/>
      <c r="Z935" s="3"/>
    </row>
    <row r="936" spans="1:26" ht="23.25" customHeight="1">
      <c r="A936" s="281"/>
      <c r="B936" s="281"/>
      <c r="C936" s="281"/>
      <c r="F936" s="173"/>
      <c r="G936" s="173"/>
      <c r="H936" s="173"/>
      <c r="I936" s="174"/>
      <c r="K936" s="177"/>
      <c r="L936" s="177"/>
      <c r="Q936" s="179"/>
      <c r="R936" s="217"/>
      <c r="S936" s="218"/>
      <c r="T936" s="180"/>
      <c r="U936" s="181"/>
      <c r="V936" s="181"/>
      <c r="W936" s="181"/>
      <c r="X936" s="181"/>
      <c r="Y936" s="3"/>
      <c r="Z936" s="3"/>
    </row>
    <row r="937" spans="1:26" ht="23.25" customHeight="1">
      <c r="A937" s="281"/>
      <c r="B937" s="281"/>
      <c r="C937" s="281"/>
      <c r="F937" s="173"/>
      <c r="G937" s="173"/>
      <c r="H937" s="173"/>
      <c r="I937" s="174"/>
      <c r="K937" s="177"/>
      <c r="L937" s="177"/>
      <c r="Q937" s="179"/>
      <c r="R937" s="217"/>
      <c r="S937" s="218"/>
      <c r="T937" s="180"/>
      <c r="U937" s="181"/>
      <c r="V937" s="181"/>
      <c r="W937" s="181"/>
      <c r="X937" s="181"/>
      <c r="Y937" s="3"/>
      <c r="Z937" s="3"/>
    </row>
    <row r="938" spans="1:26" ht="23.25" customHeight="1">
      <c r="A938" s="281"/>
      <c r="B938" s="281"/>
      <c r="C938" s="281"/>
      <c r="F938" s="173"/>
      <c r="G938" s="173"/>
      <c r="H938" s="173"/>
      <c r="I938" s="174"/>
      <c r="K938" s="177"/>
      <c r="L938" s="177"/>
      <c r="Q938" s="179"/>
      <c r="R938" s="217"/>
      <c r="S938" s="218"/>
      <c r="T938" s="180"/>
      <c r="U938" s="181"/>
      <c r="V938" s="181"/>
      <c r="W938" s="181"/>
      <c r="X938" s="181"/>
      <c r="Y938" s="3"/>
      <c r="Z938" s="3"/>
    </row>
    <row r="939" spans="1:26" ht="23.25" customHeight="1">
      <c r="A939" s="281"/>
      <c r="B939" s="281"/>
      <c r="C939" s="281"/>
      <c r="F939" s="173"/>
      <c r="G939" s="173"/>
      <c r="H939" s="173"/>
      <c r="I939" s="174"/>
      <c r="K939" s="177"/>
      <c r="L939" s="177"/>
      <c r="Q939" s="179"/>
      <c r="R939" s="217"/>
      <c r="S939" s="218"/>
      <c r="T939" s="180"/>
      <c r="U939" s="181"/>
      <c r="V939" s="181"/>
      <c r="W939" s="181"/>
      <c r="X939" s="181"/>
      <c r="Y939" s="3"/>
      <c r="Z939" s="3"/>
    </row>
    <row r="940" spans="1:26" ht="23.25" customHeight="1">
      <c r="A940" s="281"/>
      <c r="B940" s="281"/>
      <c r="C940" s="281"/>
      <c r="F940" s="173"/>
      <c r="G940" s="173"/>
      <c r="H940" s="173"/>
      <c r="I940" s="174"/>
      <c r="K940" s="177"/>
      <c r="L940" s="177"/>
      <c r="Q940" s="179"/>
      <c r="R940" s="217"/>
      <c r="S940" s="218"/>
      <c r="T940" s="180"/>
      <c r="U940" s="181"/>
      <c r="V940" s="181"/>
      <c r="W940" s="181"/>
      <c r="X940" s="181"/>
      <c r="Y940" s="3"/>
      <c r="Z940" s="3"/>
    </row>
    <row r="941" spans="1:26" ht="23.25" customHeight="1">
      <c r="A941" s="281"/>
      <c r="B941" s="281"/>
      <c r="C941" s="281"/>
      <c r="F941" s="173"/>
      <c r="G941" s="173"/>
      <c r="H941" s="173"/>
      <c r="I941" s="174"/>
      <c r="K941" s="177"/>
      <c r="L941" s="177"/>
      <c r="Q941" s="179"/>
      <c r="R941" s="217"/>
      <c r="S941" s="218"/>
      <c r="T941" s="180"/>
      <c r="U941" s="181"/>
      <c r="V941" s="181"/>
      <c r="W941" s="181"/>
      <c r="X941" s="181"/>
      <c r="Y941" s="3"/>
      <c r="Z941" s="3"/>
    </row>
    <row r="942" spans="1:26" ht="23.25" customHeight="1">
      <c r="A942" s="281"/>
      <c r="B942" s="281"/>
      <c r="C942" s="281"/>
      <c r="F942" s="173"/>
      <c r="G942" s="173"/>
      <c r="H942" s="173"/>
      <c r="I942" s="174"/>
      <c r="K942" s="177"/>
      <c r="L942" s="177"/>
      <c r="Q942" s="179"/>
      <c r="R942" s="217"/>
      <c r="S942" s="218"/>
      <c r="T942" s="180"/>
      <c r="U942" s="181"/>
      <c r="V942" s="181"/>
      <c r="W942" s="181"/>
      <c r="X942" s="181"/>
      <c r="Y942" s="3"/>
      <c r="Z942" s="3"/>
    </row>
    <row r="943" spans="1:26" ht="23.25" customHeight="1">
      <c r="A943" s="281"/>
      <c r="B943" s="281"/>
      <c r="C943" s="281"/>
      <c r="F943" s="173"/>
      <c r="G943" s="173"/>
      <c r="H943" s="173"/>
      <c r="I943" s="174"/>
      <c r="K943" s="177"/>
      <c r="L943" s="177"/>
      <c r="Q943" s="179"/>
      <c r="R943" s="217"/>
      <c r="S943" s="218"/>
      <c r="T943" s="180"/>
      <c r="U943" s="181"/>
      <c r="V943" s="181"/>
      <c r="W943" s="181"/>
      <c r="X943" s="181"/>
      <c r="Y943" s="3"/>
      <c r="Z943" s="3"/>
    </row>
    <row r="944" spans="1:26" ht="23.25" customHeight="1">
      <c r="A944" s="281"/>
      <c r="B944" s="281"/>
      <c r="C944" s="281"/>
      <c r="F944" s="173"/>
      <c r="G944" s="173"/>
      <c r="H944" s="173"/>
      <c r="I944" s="174"/>
      <c r="K944" s="177"/>
      <c r="L944" s="177"/>
      <c r="Q944" s="179"/>
      <c r="R944" s="217"/>
      <c r="S944" s="218"/>
      <c r="T944" s="180"/>
      <c r="U944" s="181"/>
      <c r="V944" s="181"/>
      <c r="W944" s="181"/>
      <c r="X944" s="181"/>
      <c r="Y944" s="3"/>
      <c r="Z944" s="3"/>
    </row>
    <row r="945" spans="1:26" ht="23.25" customHeight="1">
      <c r="A945" s="281"/>
      <c r="B945" s="281"/>
      <c r="C945" s="281"/>
      <c r="F945" s="173"/>
      <c r="G945" s="173"/>
      <c r="H945" s="173"/>
      <c r="I945" s="174"/>
      <c r="K945" s="177"/>
      <c r="L945" s="177"/>
      <c r="Q945" s="179"/>
      <c r="R945" s="217"/>
      <c r="S945" s="218"/>
      <c r="T945" s="180"/>
      <c r="U945" s="181"/>
      <c r="V945" s="181"/>
      <c r="W945" s="181"/>
      <c r="X945" s="181"/>
      <c r="Y945" s="3"/>
      <c r="Z945" s="3"/>
    </row>
    <row r="946" spans="1:26" ht="23.25" customHeight="1">
      <c r="A946" s="281"/>
      <c r="B946" s="281"/>
      <c r="C946" s="281"/>
      <c r="F946" s="173"/>
      <c r="G946" s="173"/>
      <c r="H946" s="173"/>
      <c r="I946" s="174"/>
      <c r="K946" s="177"/>
      <c r="L946" s="177"/>
      <c r="Q946" s="179"/>
      <c r="R946" s="217"/>
      <c r="S946" s="218"/>
      <c r="T946" s="180"/>
      <c r="U946" s="181"/>
      <c r="V946" s="181"/>
      <c r="W946" s="181"/>
      <c r="X946" s="181"/>
      <c r="Y946" s="3"/>
      <c r="Z946" s="3"/>
    </row>
    <row r="947" spans="1:26" ht="23.25" customHeight="1">
      <c r="A947" s="281"/>
      <c r="B947" s="281"/>
      <c r="C947" s="281"/>
      <c r="F947" s="173"/>
      <c r="G947" s="173"/>
      <c r="H947" s="173"/>
      <c r="I947" s="174"/>
      <c r="K947" s="177"/>
      <c r="L947" s="177"/>
      <c r="Q947" s="179"/>
      <c r="R947" s="217"/>
      <c r="S947" s="218"/>
      <c r="T947" s="180"/>
      <c r="U947" s="181"/>
      <c r="V947" s="181"/>
      <c r="W947" s="181"/>
      <c r="X947" s="181"/>
      <c r="Y947" s="3"/>
      <c r="Z947" s="3"/>
    </row>
    <row r="948" spans="1:26" ht="23.25" customHeight="1">
      <c r="A948" s="281"/>
      <c r="B948" s="281"/>
      <c r="C948" s="281"/>
      <c r="F948" s="173"/>
      <c r="G948" s="173"/>
      <c r="H948" s="173"/>
      <c r="I948" s="174"/>
      <c r="K948" s="177"/>
      <c r="L948" s="177"/>
      <c r="Q948" s="179"/>
      <c r="R948" s="217"/>
      <c r="S948" s="218"/>
      <c r="T948" s="180"/>
      <c r="U948" s="181"/>
      <c r="V948" s="181"/>
      <c r="W948" s="181"/>
      <c r="X948" s="181"/>
      <c r="Y948" s="3"/>
      <c r="Z948" s="3"/>
    </row>
    <row r="949" spans="1:26" ht="23.25" customHeight="1">
      <c r="A949" s="281"/>
      <c r="B949" s="281"/>
      <c r="C949" s="281"/>
      <c r="F949" s="173"/>
      <c r="G949" s="173"/>
      <c r="H949" s="173"/>
      <c r="I949" s="174"/>
      <c r="K949" s="177"/>
      <c r="L949" s="177"/>
      <c r="Q949" s="179"/>
      <c r="R949" s="217"/>
      <c r="S949" s="218"/>
      <c r="T949" s="180"/>
      <c r="U949" s="181"/>
      <c r="V949" s="181"/>
      <c r="W949" s="181"/>
      <c r="X949" s="181"/>
      <c r="Y949" s="3"/>
      <c r="Z949" s="3"/>
    </row>
    <row r="950" spans="1:26" ht="23.25" customHeight="1">
      <c r="A950" s="281"/>
      <c r="B950" s="281"/>
      <c r="C950" s="281"/>
      <c r="F950" s="173"/>
      <c r="G950" s="173"/>
      <c r="H950" s="173"/>
      <c r="I950" s="174"/>
      <c r="K950" s="177"/>
      <c r="L950" s="177"/>
      <c r="Q950" s="179"/>
      <c r="R950" s="217"/>
      <c r="S950" s="218"/>
      <c r="T950" s="180"/>
      <c r="U950" s="181"/>
      <c r="V950" s="181"/>
      <c r="W950" s="181"/>
      <c r="X950" s="181"/>
      <c r="Y950" s="3"/>
      <c r="Z950" s="3"/>
    </row>
    <row r="951" spans="1:26" ht="23.25" customHeight="1">
      <c r="A951" s="281"/>
      <c r="B951" s="281"/>
      <c r="C951" s="281"/>
      <c r="F951" s="173"/>
      <c r="G951" s="173"/>
      <c r="H951" s="173"/>
      <c r="I951" s="174"/>
      <c r="K951" s="177"/>
      <c r="L951" s="177"/>
      <c r="Q951" s="179"/>
      <c r="R951" s="217"/>
      <c r="S951" s="218"/>
      <c r="T951" s="180"/>
      <c r="U951" s="181"/>
      <c r="V951" s="181"/>
      <c r="W951" s="181"/>
      <c r="X951" s="181"/>
      <c r="Y951" s="3"/>
      <c r="Z951" s="3"/>
    </row>
    <row r="952" spans="1:26" ht="23.25" customHeight="1">
      <c r="A952" s="281"/>
      <c r="B952" s="281"/>
      <c r="C952" s="281"/>
      <c r="F952" s="173"/>
      <c r="G952" s="173"/>
      <c r="H952" s="173"/>
      <c r="I952" s="174"/>
      <c r="K952" s="177"/>
      <c r="L952" s="177"/>
      <c r="Q952" s="179"/>
      <c r="R952" s="217"/>
      <c r="S952" s="218"/>
      <c r="T952" s="180"/>
      <c r="U952" s="181"/>
      <c r="V952" s="181"/>
      <c r="W952" s="181"/>
      <c r="X952" s="181"/>
      <c r="Y952" s="3"/>
      <c r="Z952" s="3"/>
    </row>
    <row r="953" spans="1:26" ht="23.25" customHeight="1">
      <c r="A953" s="281"/>
      <c r="B953" s="281"/>
      <c r="C953" s="281"/>
      <c r="F953" s="173"/>
      <c r="G953" s="173"/>
      <c r="H953" s="173"/>
      <c r="I953" s="174"/>
      <c r="K953" s="177"/>
      <c r="L953" s="177"/>
      <c r="Q953" s="179"/>
      <c r="R953" s="217"/>
      <c r="S953" s="218"/>
      <c r="T953" s="180"/>
      <c r="U953" s="181"/>
      <c r="V953" s="181"/>
      <c r="W953" s="181"/>
      <c r="X953" s="181"/>
      <c r="Y953" s="3"/>
      <c r="Z953" s="3"/>
    </row>
    <row r="954" spans="1:26" ht="23.25" customHeight="1">
      <c r="A954" s="281"/>
      <c r="B954" s="281"/>
      <c r="C954" s="281"/>
      <c r="F954" s="173"/>
      <c r="G954" s="173"/>
      <c r="H954" s="173"/>
      <c r="I954" s="174"/>
      <c r="K954" s="177"/>
      <c r="L954" s="177"/>
      <c r="Q954" s="179"/>
      <c r="R954" s="217"/>
      <c r="S954" s="218"/>
      <c r="T954" s="180"/>
      <c r="U954" s="181"/>
      <c r="V954" s="181"/>
      <c r="W954" s="181"/>
      <c r="X954" s="181"/>
      <c r="Y954" s="3"/>
      <c r="Z954" s="3"/>
    </row>
    <row r="955" spans="1:26" ht="23.25" customHeight="1">
      <c r="A955" s="281"/>
      <c r="B955" s="281"/>
      <c r="C955" s="281"/>
      <c r="F955" s="173"/>
      <c r="G955" s="173"/>
      <c r="H955" s="173"/>
      <c r="I955" s="174"/>
      <c r="K955" s="177"/>
      <c r="L955" s="177"/>
      <c r="Q955" s="179"/>
      <c r="R955" s="217"/>
      <c r="S955" s="218"/>
      <c r="T955" s="180"/>
      <c r="U955" s="181"/>
      <c r="V955" s="181"/>
      <c r="W955" s="181"/>
      <c r="X955" s="181"/>
      <c r="Y955" s="3"/>
      <c r="Z955" s="3"/>
    </row>
    <row r="956" spans="1:26" ht="23.25" customHeight="1">
      <c r="A956" s="281"/>
      <c r="B956" s="281"/>
      <c r="C956" s="281"/>
      <c r="F956" s="173"/>
      <c r="G956" s="173"/>
      <c r="H956" s="173"/>
      <c r="I956" s="174"/>
      <c r="K956" s="177"/>
      <c r="L956" s="177"/>
      <c r="Q956" s="179"/>
      <c r="R956" s="217"/>
      <c r="S956" s="218"/>
      <c r="T956" s="180"/>
      <c r="U956" s="181"/>
      <c r="V956" s="181"/>
      <c r="W956" s="181"/>
      <c r="X956" s="181"/>
      <c r="Y956" s="3"/>
      <c r="Z956" s="3"/>
    </row>
    <row r="957" spans="1:26" ht="23.25" customHeight="1">
      <c r="A957" s="281"/>
      <c r="B957" s="281"/>
      <c r="C957" s="281"/>
      <c r="F957" s="173"/>
      <c r="G957" s="173"/>
      <c r="H957" s="173"/>
      <c r="I957" s="174"/>
      <c r="K957" s="177"/>
      <c r="L957" s="177"/>
      <c r="Q957" s="179"/>
      <c r="R957" s="217"/>
      <c r="S957" s="218"/>
      <c r="T957" s="180"/>
      <c r="U957" s="181"/>
      <c r="V957" s="181"/>
      <c r="W957" s="181"/>
      <c r="X957" s="181"/>
      <c r="Y957" s="3"/>
      <c r="Z957" s="3"/>
    </row>
    <row r="958" spans="1:26" ht="23.25" customHeight="1">
      <c r="A958" s="281"/>
      <c r="B958" s="281"/>
      <c r="C958" s="281"/>
      <c r="F958" s="173"/>
      <c r="G958" s="173"/>
      <c r="H958" s="173"/>
      <c r="I958" s="174"/>
      <c r="K958" s="177"/>
      <c r="L958" s="177"/>
      <c r="Q958" s="179"/>
      <c r="R958" s="217"/>
      <c r="S958" s="218"/>
      <c r="T958" s="180"/>
      <c r="U958" s="181"/>
      <c r="V958" s="181"/>
      <c r="W958" s="181"/>
      <c r="X958" s="181"/>
      <c r="Y958" s="3"/>
      <c r="Z958" s="3"/>
    </row>
    <row r="959" spans="1:26" ht="23.25" customHeight="1">
      <c r="A959" s="281"/>
      <c r="B959" s="281"/>
      <c r="C959" s="281"/>
      <c r="F959" s="173"/>
      <c r="G959" s="173"/>
      <c r="H959" s="173"/>
      <c r="I959" s="174"/>
      <c r="K959" s="177"/>
      <c r="L959" s="177"/>
      <c r="Q959" s="179"/>
      <c r="R959" s="217"/>
      <c r="S959" s="218"/>
      <c r="T959" s="180"/>
      <c r="U959" s="181"/>
      <c r="V959" s="181"/>
      <c r="W959" s="181"/>
      <c r="X959" s="181"/>
      <c r="Y959" s="3"/>
      <c r="Z959" s="3"/>
    </row>
    <row r="960" spans="1:26" ht="23.25" customHeight="1">
      <c r="A960" s="281"/>
      <c r="B960" s="281"/>
      <c r="C960" s="281"/>
      <c r="F960" s="173"/>
      <c r="G960" s="173"/>
      <c r="H960" s="173"/>
      <c r="I960" s="174"/>
      <c r="K960" s="177"/>
      <c r="L960" s="177"/>
      <c r="Q960" s="179"/>
      <c r="R960" s="217"/>
      <c r="S960" s="218"/>
      <c r="T960" s="180"/>
      <c r="U960" s="181"/>
      <c r="V960" s="181"/>
      <c r="W960" s="181"/>
      <c r="X960" s="181"/>
      <c r="Y960" s="3"/>
      <c r="Z960" s="3"/>
    </row>
    <row r="961" spans="1:26" ht="23.25" customHeight="1">
      <c r="A961" s="281"/>
      <c r="B961" s="281"/>
      <c r="C961" s="281"/>
      <c r="F961" s="173"/>
      <c r="G961" s="173"/>
      <c r="H961" s="173"/>
      <c r="I961" s="174"/>
      <c r="K961" s="177"/>
      <c r="L961" s="177"/>
      <c r="Q961" s="179"/>
      <c r="R961" s="217"/>
      <c r="S961" s="218"/>
      <c r="T961" s="180"/>
      <c r="U961" s="181"/>
      <c r="V961" s="181"/>
      <c r="W961" s="181"/>
      <c r="X961" s="181"/>
      <c r="Y961" s="3"/>
      <c r="Z961" s="3"/>
    </row>
    <row r="962" spans="1:26" ht="23.25" customHeight="1">
      <c r="A962" s="281"/>
      <c r="B962" s="281"/>
      <c r="C962" s="281"/>
      <c r="F962" s="173"/>
      <c r="G962" s="173"/>
      <c r="H962" s="173"/>
      <c r="I962" s="174"/>
      <c r="K962" s="177"/>
      <c r="L962" s="177"/>
      <c r="Q962" s="179"/>
      <c r="R962" s="217"/>
      <c r="S962" s="218"/>
      <c r="T962" s="180"/>
      <c r="U962" s="181"/>
      <c r="V962" s="181"/>
      <c r="W962" s="181"/>
      <c r="X962" s="181"/>
      <c r="Y962" s="3"/>
      <c r="Z962" s="3"/>
    </row>
    <row r="963" spans="1:26" ht="23.25" customHeight="1">
      <c r="A963" s="281"/>
      <c r="B963" s="281"/>
      <c r="C963" s="281"/>
      <c r="F963" s="173"/>
      <c r="G963" s="173"/>
      <c r="H963" s="173"/>
      <c r="I963" s="174"/>
      <c r="K963" s="177"/>
      <c r="L963" s="177"/>
      <c r="Q963" s="179"/>
      <c r="R963" s="217"/>
      <c r="S963" s="218"/>
      <c r="T963" s="180"/>
      <c r="U963" s="181"/>
      <c r="V963" s="181"/>
      <c r="W963" s="181"/>
      <c r="X963" s="181"/>
      <c r="Y963" s="3"/>
      <c r="Z963" s="3"/>
    </row>
    <row r="964" spans="1:26" ht="23.25" customHeight="1">
      <c r="A964" s="281"/>
      <c r="B964" s="281"/>
      <c r="C964" s="281"/>
      <c r="F964" s="173"/>
      <c r="G964" s="173"/>
      <c r="H964" s="173"/>
      <c r="I964" s="174"/>
      <c r="K964" s="177"/>
      <c r="L964" s="177"/>
      <c r="Q964" s="179"/>
      <c r="R964" s="217"/>
      <c r="S964" s="218"/>
      <c r="T964" s="180"/>
      <c r="U964" s="181"/>
      <c r="V964" s="181"/>
      <c r="W964" s="181"/>
      <c r="X964" s="181"/>
      <c r="Y964" s="3"/>
      <c r="Z964" s="3"/>
    </row>
    <row r="965" spans="1:26" ht="23.25" customHeight="1">
      <c r="A965" s="281"/>
      <c r="B965" s="281"/>
      <c r="C965" s="281"/>
      <c r="F965" s="173"/>
      <c r="G965" s="173"/>
      <c r="H965" s="173"/>
      <c r="I965" s="174"/>
      <c r="K965" s="177"/>
      <c r="L965" s="177"/>
      <c r="Q965" s="179"/>
      <c r="R965" s="217"/>
      <c r="S965" s="218"/>
      <c r="T965" s="180"/>
      <c r="U965" s="181"/>
      <c r="V965" s="181"/>
      <c r="W965" s="181"/>
      <c r="X965" s="181"/>
      <c r="Y965" s="3"/>
      <c r="Z965" s="3"/>
    </row>
    <row r="966" spans="1:26" ht="23.25" customHeight="1">
      <c r="A966" s="281"/>
      <c r="B966" s="281"/>
      <c r="C966" s="281"/>
      <c r="F966" s="173"/>
      <c r="G966" s="173"/>
      <c r="H966" s="173"/>
      <c r="I966" s="174"/>
      <c r="K966" s="177"/>
      <c r="L966" s="177"/>
      <c r="Q966" s="179"/>
      <c r="R966" s="217"/>
      <c r="S966" s="218"/>
      <c r="T966" s="180"/>
      <c r="U966" s="181"/>
      <c r="V966" s="181"/>
      <c r="W966" s="181"/>
      <c r="X966" s="181"/>
      <c r="Y966" s="3"/>
      <c r="Z966" s="3"/>
    </row>
    <row r="967" spans="1:26" ht="23.25" customHeight="1">
      <c r="A967" s="281"/>
      <c r="B967" s="281"/>
      <c r="C967" s="281"/>
      <c r="F967" s="173"/>
      <c r="G967" s="173"/>
      <c r="H967" s="173"/>
      <c r="I967" s="174"/>
      <c r="K967" s="177"/>
      <c r="L967" s="177"/>
      <c r="Q967" s="179"/>
      <c r="R967" s="217"/>
      <c r="S967" s="218"/>
      <c r="T967" s="180"/>
      <c r="U967" s="181"/>
      <c r="V967" s="181"/>
      <c r="W967" s="181"/>
      <c r="X967" s="181"/>
      <c r="Y967" s="3"/>
      <c r="Z967" s="3"/>
    </row>
    <row r="968" spans="1:26" ht="23.25" customHeight="1">
      <c r="A968" s="281"/>
      <c r="B968" s="281"/>
      <c r="C968" s="281"/>
      <c r="F968" s="173"/>
      <c r="G968" s="173"/>
      <c r="H968" s="173"/>
      <c r="I968" s="174"/>
      <c r="K968" s="177"/>
      <c r="L968" s="177"/>
      <c r="Q968" s="179"/>
      <c r="R968" s="217"/>
      <c r="S968" s="218"/>
      <c r="T968" s="180"/>
      <c r="U968" s="181"/>
      <c r="V968" s="181"/>
      <c r="W968" s="181"/>
      <c r="X968" s="181"/>
      <c r="Y968" s="3"/>
      <c r="Z968" s="3"/>
    </row>
    <row r="969" spans="1:26" ht="23.25" customHeight="1">
      <c r="A969" s="281"/>
      <c r="B969" s="281"/>
      <c r="C969" s="281"/>
      <c r="F969" s="173"/>
      <c r="G969" s="173"/>
      <c r="H969" s="173"/>
      <c r="I969" s="174"/>
      <c r="K969" s="177"/>
      <c r="L969" s="177"/>
      <c r="Q969" s="179"/>
      <c r="R969" s="217"/>
      <c r="S969" s="218"/>
      <c r="T969" s="180"/>
      <c r="U969" s="181"/>
      <c r="V969" s="181"/>
      <c r="W969" s="181"/>
      <c r="X969" s="181"/>
      <c r="Y969" s="3"/>
      <c r="Z969" s="3"/>
    </row>
    <row r="970" spans="1:26" ht="23.25" customHeight="1">
      <c r="A970" s="281"/>
      <c r="B970" s="281"/>
      <c r="C970" s="281"/>
      <c r="F970" s="173"/>
      <c r="G970" s="173"/>
      <c r="H970" s="173"/>
      <c r="I970" s="174"/>
      <c r="K970" s="177"/>
      <c r="L970" s="177"/>
      <c r="Q970" s="179"/>
      <c r="R970" s="217"/>
      <c r="S970" s="218"/>
      <c r="T970" s="180"/>
      <c r="U970" s="181"/>
      <c r="V970" s="181"/>
      <c r="W970" s="181"/>
      <c r="X970" s="181"/>
      <c r="Y970" s="3"/>
      <c r="Z970" s="3"/>
    </row>
    <row r="971" spans="1:26" ht="23.25" customHeight="1">
      <c r="A971" s="281"/>
      <c r="B971" s="281"/>
      <c r="C971" s="281"/>
      <c r="F971" s="173"/>
      <c r="G971" s="173"/>
      <c r="H971" s="173"/>
      <c r="I971" s="174"/>
      <c r="K971" s="177"/>
      <c r="L971" s="177"/>
      <c r="Q971" s="179"/>
      <c r="R971" s="217"/>
      <c r="S971" s="218"/>
      <c r="T971" s="180"/>
      <c r="U971" s="181"/>
      <c r="V971" s="181"/>
      <c r="W971" s="181"/>
      <c r="X971" s="181"/>
      <c r="Y971" s="3"/>
      <c r="Z971" s="3"/>
    </row>
    <row r="972" spans="1:26" ht="23.25" customHeight="1">
      <c r="A972" s="281"/>
      <c r="B972" s="281"/>
      <c r="C972" s="281"/>
      <c r="F972" s="173"/>
      <c r="G972" s="173"/>
      <c r="H972" s="173"/>
      <c r="I972" s="174"/>
      <c r="K972" s="177"/>
      <c r="L972" s="177"/>
      <c r="Q972" s="179"/>
      <c r="R972" s="217"/>
      <c r="S972" s="218"/>
      <c r="T972" s="180"/>
      <c r="U972" s="181"/>
      <c r="V972" s="181"/>
      <c r="W972" s="181"/>
      <c r="X972" s="181"/>
      <c r="Y972" s="3"/>
      <c r="Z972" s="3"/>
    </row>
    <row r="973" spans="1:26" ht="23.25" customHeight="1">
      <c r="A973" s="281"/>
      <c r="B973" s="281"/>
      <c r="C973" s="281"/>
      <c r="F973" s="173"/>
      <c r="G973" s="173"/>
      <c r="H973" s="173"/>
      <c r="I973" s="174"/>
      <c r="K973" s="177"/>
      <c r="L973" s="177"/>
      <c r="Q973" s="179"/>
      <c r="R973" s="217"/>
      <c r="S973" s="218"/>
      <c r="T973" s="180"/>
      <c r="U973" s="181"/>
      <c r="V973" s="181"/>
      <c r="W973" s="181"/>
      <c r="X973" s="181"/>
      <c r="Y973" s="3"/>
      <c r="Z973" s="3"/>
    </row>
    <row r="974" spans="1:26" ht="23.25" customHeight="1">
      <c r="A974" s="281"/>
      <c r="B974" s="281"/>
      <c r="C974" s="281"/>
      <c r="F974" s="173"/>
      <c r="G974" s="173"/>
      <c r="H974" s="173"/>
      <c r="I974" s="174"/>
      <c r="K974" s="177"/>
      <c r="L974" s="177"/>
      <c r="Q974" s="179"/>
      <c r="R974" s="217"/>
      <c r="S974" s="218"/>
      <c r="T974" s="180"/>
      <c r="U974" s="181"/>
      <c r="V974" s="181"/>
      <c r="W974" s="181"/>
      <c r="X974" s="181"/>
      <c r="Y974" s="3"/>
      <c r="Z974" s="3"/>
    </row>
    <row r="975" spans="1:26" ht="23.25" customHeight="1">
      <c r="A975" s="281"/>
      <c r="B975" s="281"/>
      <c r="C975" s="281"/>
      <c r="F975" s="173"/>
      <c r="G975" s="173"/>
      <c r="H975" s="173"/>
      <c r="I975" s="174"/>
      <c r="K975" s="177"/>
      <c r="L975" s="177"/>
      <c r="Q975" s="179"/>
      <c r="R975" s="217"/>
      <c r="S975" s="218"/>
      <c r="T975" s="180"/>
      <c r="U975" s="181"/>
      <c r="V975" s="181"/>
      <c r="W975" s="181"/>
      <c r="X975" s="181"/>
      <c r="Y975" s="3"/>
      <c r="Z975" s="3"/>
    </row>
    <row r="976" spans="1:26" ht="23.25" customHeight="1">
      <c r="A976" s="281"/>
      <c r="B976" s="281"/>
      <c r="C976" s="281"/>
      <c r="F976" s="173"/>
      <c r="G976" s="173"/>
      <c r="H976" s="173"/>
      <c r="I976" s="174"/>
      <c r="K976" s="177"/>
      <c r="L976" s="177"/>
      <c r="Q976" s="179"/>
      <c r="R976" s="217"/>
      <c r="S976" s="218"/>
      <c r="T976" s="180"/>
      <c r="U976" s="181"/>
      <c r="V976" s="181"/>
      <c r="W976" s="181"/>
      <c r="X976" s="181"/>
      <c r="Y976" s="3"/>
      <c r="Z976" s="3"/>
    </row>
    <row r="977" spans="1:26" ht="23.25" customHeight="1">
      <c r="A977" s="281"/>
      <c r="B977" s="281"/>
      <c r="C977" s="281"/>
      <c r="F977" s="173"/>
      <c r="G977" s="173"/>
      <c r="H977" s="173"/>
      <c r="I977" s="174"/>
      <c r="K977" s="177"/>
      <c r="L977" s="177"/>
      <c r="Q977" s="179"/>
      <c r="R977" s="217"/>
      <c r="S977" s="218"/>
      <c r="T977" s="180"/>
      <c r="U977" s="181"/>
      <c r="V977" s="181"/>
      <c r="W977" s="181"/>
      <c r="X977" s="181"/>
      <c r="Y977" s="3"/>
      <c r="Z977" s="3"/>
    </row>
    <row r="978" spans="1:26" ht="23.25" customHeight="1">
      <c r="A978" s="281"/>
      <c r="B978" s="281"/>
      <c r="C978" s="281"/>
      <c r="F978" s="173"/>
      <c r="G978" s="173"/>
      <c r="H978" s="173"/>
      <c r="I978" s="174"/>
      <c r="K978" s="177"/>
      <c r="L978" s="177"/>
      <c r="Q978" s="179"/>
      <c r="R978" s="217"/>
      <c r="S978" s="218"/>
      <c r="T978" s="180"/>
      <c r="U978" s="181"/>
      <c r="V978" s="181"/>
      <c r="W978" s="181"/>
      <c r="X978" s="181"/>
      <c r="Y978" s="3"/>
      <c r="Z978" s="3"/>
    </row>
    <row r="979" spans="1:26" ht="23.25" customHeight="1">
      <c r="A979" s="281"/>
      <c r="B979" s="281"/>
      <c r="C979" s="281"/>
      <c r="F979" s="173"/>
      <c r="G979" s="173"/>
      <c r="H979" s="173"/>
      <c r="I979" s="174"/>
      <c r="K979" s="177"/>
      <c r="L979" s="177"/>
      <c r="Q979" s="179"/>
      <c r="R979" s="217"/>
      <c r="S979" s="218"/>
      <c r="T979" s="180"/>
      <c r="U979" s="181"/>
      <c r="V979" s="181"/>
      <c r="W979" s="181"/>
      <c r="X979" s="181"/>
      <c r="Y979" s="3"/>
      <c r="Z979" s="3"/>
    </row>
    <row r="980" spans="1:26" ht="23.25" customHeight="1">
      <c r="A980" s="281"/>
      <c r="B980" s="281"/>
      <c r="C980" s="281"/>
      <c r="F980" s="173"/>
      <c r="G980" s="173"/>
      <c r="H980" s="173"/>
      <c r="I980" s="174"/>
      <c r="K980" s="177"/>
      <c r="L980" s="177"/>
      <c r="Q980" s="179"/>
      <c r="R980" s="217"/>
      <c r="S980" s="218"/>
      <c r="T980" s="180"/>
      <c r="U980" s="181"/>
      <c r="V980" s="181"/>
      <c r="W980" s="181"/>
      <c r="X980" s="181"/>
      <c r="Y980" s="3"/>
      <c r="Z980" s="3"/>
    </row>
    <row r="981" spans="1:26" ht="23.25" customHeight="1">
      <c r="A981" s="281"/>
      <c r="B981" s="281"/>
      <c r="C981" s="281"/>
      <c r="F981" s="173"/>
      <c r="G981" s="173"/>
      <c r="H981" s="173"/>
      <c r="I981" s="174"/>
      <c r="K981" s="177"/>
      <c r="L981" s="177"/>
      <c r="Q981" s="179"/>
      <c r="R981" s="217"/>
      <c r="S981" s="218"/>
      <c r="T981" s="180"/>
      <c r="U981" s="181"/>
      <c r="V981" s="181"/>
      <c r="W981" s="181"/>
      <c r="X981" s="181"/>
      <c r="Y981" s="3"/>
      <c r="Z981" s="3"/>
    </row>
    <row r="982" spans="1:26" ht="23.25" customHeight="1">
      <c r="A982" s="281"/>
      <c r="B982" s="281"/>
      <c r="C982" s="281"/>
      <c r="F982" s="173"/>
      <c r="G982" s="173"/>
      <c r="H982" s="173"/>
      <c r="I982" s="174"/>
      <c r="K982" s="177"/>
      <c r="L982" s="177"/>
      <c r="Q982" s="179"/>
      <c r="R982" s="217"/>
      <c r="S982" s="218"/>
      <c r="T982" s="180"/>
      <c r="U982" s="181"/>
      <c r="V982" s="181"/>
      <c r="W982" s="181"/>
      <c r="X982" s="181"/>
      <c r="Y982" s="3"/>
      <c r="Z982" s="3"/>
    </row>
    <row r="983" spans="1:26" ht="23.25" customHeight="1">
      <c r="A983" s="281"/>
      <c r="B983" s="281"/>
      <c r="C983" s="281"/>
      <c r="F983" s="173"/>
      <c r="G983" s="173"/>
      <c r="H983" s="173"/>
      <c r="I983" s="174"/>
      <c r="K983" s="177"/>
      <c r="L983" s="177"/>
      <c r="Q983" s="179"/>
      <c r="R983" s="217"/>
      <c r="S983" s="218"/>
      <c r="T983" s="180"/>
      <c r="U983" s="181"/>
      <c r="V983" s="181"/>
      <c r="W983" s="181"/>
      <c r="X983" s="181"/>
      <c r="Y983" s="3"/>
      <c r="Z983" s="3"/>
    </row>
    <row r="984" spans="1:26" ht="23.25" customHeight="1">
      <c r="A984" s="281"/>
      <c r="B984" s="281"/>
      <c r="C984" s="281"/>
      <c r="F984" s="173"/>
      <c r="G984" s="173"/>
      <c r="H984" s="173"/>
      <c r="I984" s="174"/>
      <c r="K984" s="177"/>
      <c r="L984" s="177"/>
      <c r="Q984" s="179"/>
      <c r="R984" s="217"/>
      <c r="S984" s="218"/>
      <c r="T984" s="180"/>
      <c r="U984" s="181"/>
      <c r="V984" s="181"/>
      <c r="W984" s="181"/>
      <c r="X984" s="181"/>
      <c r="Y984" s="3"/>
      <c r="Z984" s="3"/>
    </row>
    <row r="985" spans="1:26" ht="23.25" customHeight="1">
      <c r="A985" s="281"/>
      <c r="B985" s="281"/>
      <c r="C985" s="281"/>
      <c r="F985" s="173"/>
      <c r="G985" s="173"/>
      <c r="H985" s="173"/>
      <c r="I985" s="174"/>
      <c r="K985" s="177"/>
      <c r="L985" s="177"/>
      <c r="Q985" s="179"/>
      <c r="R985" s="217"/>
      <c r="S985" s="218"/>
      <c r="T985" s="180"/>
      <c r="U985" s="181"/>
      <c r="V985" s="181"/>
      <c r="W985" s="181"/>
      <c r="X985" s="181"/>
      <c r="Y985" s="3"/>
      <c r="Z985" s="3"/>
    </row>
    <row r="986" spans="1:26" ht="23.25" customHeight="1">
      <c r="A986" s="281"/>
      <c r="B986" s="281"/>
      <c r="C986" s="281"/>
      <c r="F986" s="173"/>
      <c r="G986" s="173"/>
      <c r="H986" s="173"/>
      <c r="I986" s="174"/>
      <c r="K986" s="177"/>
      <c r="L986" s="177"/>
      <c r="Q986" s="179"/>
      <c r="R986" s="217"/>
      <c r="S986" s="218"/>
      <c r="T986" s="180"/>
      <c r="U986" s="181"/>
      <c r="V986" s="181"/>
      <c r="W986" s="181"/>
      <c r="X986" s="181"/>
      <c r="Y986" s="3"/>
      <c r="Z986" s="3"/>
    </row>
    <row r="987" spans="1:26" ht="23.25" customHeight="1">
      <c r="A987" s="281"/>
      <c r="B987" s="281"/>
      <c r="C987" s="281"/>
      <c r="F987" s="173"/>
      <c r="G987" s="173"/>
      <c r="H987" s="173"/>
      <c r="I987" s="174"/>
      <c r="K987" s="177"/>
      <c r="L987" s="177"/>
      <c r="Q987" s="179"/>
      <c r="R987" s="217"/>
      <c r="S987" s="218"/>
      <c r="T987" s="180"/>
      <c r="U987" s="181"/>
      <c r="V987" s="181"/>
      <c r="W987" s="181"/>
      <c r="X987" s="181"/>
      <c r="Y987" s="3"/>
      <c r="Z987" s="3"/>
    </row>
    <row r="988" spans="1:26" ht="23.25" customHeight="1">
      <c r="A988" s="281"/>
      <c r="B988" s="281"/>
      <c r="C988" s="281"/>
      <c r="F988" s="173"/>
      <c r="G988" s="173"/>
      <c r="H988" s="173"/>
      <c r="I988" s="174"/>
      <c r="K988" s="177"/>
      <c r="L988" s="177"/>
      <c r="Q988" s="179"/>
      <c r="R988" s="217"/>
      <c r="S988" s="218"/>
      <c r="T988" s="180"/>
      <c r="U988" s="181"/>
      <c r="V988" s="181"/>
      <c r="W988" s="181"/>
      <c r="X988" s="181"/>
      <c r="Y988" s="3"/>
      <c r="Z988" s="3"/>
    </row>
    <row r="989" spans="1:26" ht="23.25" customHeight="1">
      <c r="A989" s="281"/>
      <c r="B989" s="281"/>
      <c r="C989" s="281"/>
      <c r="F989" s="173"/>
      <c r="G989" s="173"/>
      <c r="H989" s="173"/>
      <c r="I989" s="174"/>
      <c r="K989" s="177"/>
      <c r="L989" s="177"/>
      <c r="Q989" s="179"/>
      <c r="R989" s="217"/>
      <c r="S989" s="218"/>
      <c r="T989" s="180"/>
      <c r="U989" s="181"/>
      <c r="V989" s="181"/>
      <c r="W989" s="181"/>
      <c r="X989" s="181"/>
      <c r="Y989" s="3"/>
      <c r="Z989" s="3"/>
    </row>
    <row r="990" spans="1:26" ht="23.25" customHeight="1">
      <c r="A990" s="281"/>
      <c r="B990" s="281"/>
      <c r="C990" s="281"/>
      <c r="F990" s="173"/>
      <c r="G990" s="173"/>
      <c r="H990" s="173"/>
      <c r="I990" s="174"/>
      <c r="K990" s="177"/>
      <c r="L990" s="177"/>
      <c r="Q990" s="179"/>
      <c r="R990" s="217"/>
      <c r="S990" s="218"/>
      <c r="T990" s="180"/>
      <c r="U990" s="181"/>
      <c r="V990" s="181"/>
      <c r="W990" s="181"/>
      <c r="X990" s="181"/>
      <c r="Y990" s="3"/>
      <c r="Z990" s="3"/>
    </row>
    <row r="991" spans="1:26" ht="23.25" customHeight="1">
      <c r="A991" s="281"/>
      <c r="B991" s="281"/>
      <c r="C991" s="281"/>
      <c r="F991" s="173"/>
      <c r="G991" s="173"/>
      <c r="H991" s="173"/>
      <c r="I991" s="174"/>
      <c r="K991" s="177"/>
      <c r="L991" s="177"/>
      <c r="Q991" s="179"/>
      <c r="R991" s="217"/>
      <c r="S991" s="218"/>
      <c r="T991" s="180"/>
      <c r="U991" s="181"/>
      <c r="V991" s="181"/>
      <c r="W991" s="181"/>
      <c r="X991" s="181"/>
      <c r="Y991" s="3"/>
      <c r="Z991" s="3"/>
    </row>
    <row r="992" spans="1:26" ht="23.25" customHeight="1">
      <c r="A992" s="281"/>
      <c r="B992" s="281"/>
      <c r="C992" s="281"/>
      <c r="F992" s="173"/>
      <c r="G992" s="173"/>
      <c r="H992" s="173"/>
      <c r="I992" s="174"/>
      <c r="K992" s="177"/>
      <c r="L992" s="177"/>
      <c r="Q992" s="179"/>
      <c r="R992" s="217"/>
      <c r="S992" s="218"/>
      <c r="T992" s="180"/>
      <c r="U992" s="181"/>
      <c r="V992" s="181"/>
      <c r="W992" s="181"/>
      <c r="X992" s="181"/>
      <c r="Y992" s="3"/>
      <c r="Z992" s="3"/>
    </row>
    <row r="993" spans="1:26" ht="23.25" customHeight="1">
      <c r="A993" s="281"/>
      <c r="B993" s="281"/>
      <c r="C993" s="281"/>
      <c r="F993" s="173"/>
      <c r="G993" s="173"/>
      <c r="H993" s="173"/>
      <c r="I993" s="174"/>
      <c r="K993" s="177"/>
      <c r="L993" s="177"/>
      <c r="Q993" s="179"/>
      <c r="R993" s="217"/>
      <c r="S993" s="218"/>
      <c r="T993" s="180"/>
      <c r="U993" s="181"/>
      <c r="V993" s="181"/>
      <c r="W993" s="181"/>
      <c r="X993" s="181"/>
      <c r="Y993" s="3"/>
      <c r="Z993" s="3"/>
    </row>
    <row r="994" spans="1:26" ht="23.25" customHeight="1">
      <c r="A994" s="281"/>
      <c r="B994" s="281"/>
      <c r="C994" s="281"/>
      <c r="F994" s="173"/>
      <c r="G994" s="173"/>
      <c r="H994" s="173"/>
      <c r="I994" s="174"/>
      <c r="K994" s="177"/>
      <c r="L994" s="177"/>
      <c r="Q994" s="179"/>
      <c r="R994" s="217"/>
      <c r="S994" s="218"/>
      <c r="T994" s="180"/>
      <c r="U994" s="181"/>
      <c r="V994" s="181"/>
      <c r="W994" s="181"/>
      <c r="X994" s="181"/>
      <c r="Y994" s="3"/>
      <c r="Z994" s="3"/>
    </row>
    <row r="995" spans="1:26" ht="23.25" customHeight="1">
      <c r="A995" s="281"/>
      <c r="B995" s="281"/>
      <c r="C995" s="281"/>
      <c r="F995" s="173"/>
      <c r="G995" s="173"/>
      <c r="H995" s="173"/>
      <c r="I995" s="174"/>
      <c r="K995" s="177"/>
      <c r="L995" s="177"/>
      <c r="Q995" s="179"/>
      <c r="R995" s="217"/>
      <c r="S995" s="218"/>
      <c r="T995" s="180"/>
      <c r="U995" s="181"/>
      <c r="V995" s="181"/>
      <c r="W995" s="181"/>
      <c r="X995" s="181"/>
      <c r="Y995" s="3"/>
      <c r="Z995" s="3"/>
    </row>
    <row r="996" spans="1:26" ht="23.25" customHeight="1">
      <c r="A996" s="281"/>
      <c r="B996" s="281"/>
      <c r="C996" s="281"/>
      <c r="F996" s="173"/>
      <c r="G996" s="173"/>
      <c r="H996" s="173"/>
      <c r="I996" s="174"/>
      <c r="K996" s="177"/>
      <c r="L996" s="177"/>
      <c r="Q996" s="179"/>
      <c r="R996" s="217"/>
      <c r="S996" s="218"/>
      <c r="T996" s="180"/>
      <c r="U996" s="181"/>
      <c r="V996" s="181"/>
      <c r="W996" s="181"/>
      <c r="X996" s="181"/>
      <c r="Y996" s="3"/>
      <c r="Z996" s="3"/>
    </row>
    <row r="997" spans="1:26" ht="23.25" customHeight="1">
      <c r="A997" s="281"/>
      <c r="B997" s="281"/>
      <c r="C997" s="281"/>
      <c r="F997" s="173"/>
      <c r="G997" s="173"/>
      <c r="H997" s="173"/>
      <c r="I997" s="174"/>
      <c r="K997" s="177"/>
      <c r="L997" s="177"/>
      <c r="Q997" s="179"/>
      <c r="R997" s="217"/>
      <c r="S997" s="218"/>
      <c r="T997" s="180"/>
      <c r="U997" s="181"/>
      <c r="V997" s="181"/>
      <c r="W997" s="181"/>
      <c r="X997" s="181"/>
      <c r="Y997" s="3"/>
      <c r="Z997" s="3"/>
    </row>
    <row r="998" spans="1:26" ht="23.25" customHeight="1">
      <c r="A998" s="281"/>
      <c r="B998" s="281"/>
      <c r="C998" s="281"/>
      <c r="F998" s="173"/>
      <c r="G998" s="173"/>
      <c r="H998" s="173"/>
      <c r="I998" s="174"/>
      <c r="K998" s="177"/>
      <c r="L998" s="177"/>
      <c r="Q998" s="179"/>
      <c r="R998" s="217"/>
      <c r="S998" s="218"/>
      <c r="T998" s="180"/>
      <c r="U998" s="181"/>
      <c r="V998" s="181"/>
      <c r="W998" s="181"/>
      <c r="X998" s="181"/>
      <c r="Y998" s="3"/>
      <c r="Z998" s="3"/>
    </row>
    <row r="999" spans="1:26" ht="23.25" customHeight="1">
      <c r="A999" s="281"/>
      <c r="B999" s="281"/>
      <c r="C999" s="281"/>
      <c r="F999" s="173"/>
      <c r="G999" s="173"/>
      <c r="H999" s="173"/>
      <c r="I999" s="174"/>
      <c r="K999" s="177"/>
      <c r="L999" s="177"/>
      <c r="Q999" s="179"/>
      <c r="R999" s="217"/>
      <c r="S999" s="218"/>
      <c r="T999" s="180"/>
      <c r="U999" s="181"/>
      <c r="V999" s="181"/>
      <c r="W999" s="181"/>
      <c r="X999" s="181"/>
      <c r="Y999" s="3"/>
      <c r="Z999" s="3"/>
    </row>
    <row r="1000" spans="1:26" ht="23.25" customHeight="1">
      <c r="A1000" s="281"/>
      <c r="B1000" s="281"/>
      <c r="C1000" s="281"/>
      <c r="F1000" s="173"/>
      <c r="G1000" s="173"/>
      <c r="H1000" s="173"/>
      <c r="I1000" s="174"/>
      <c r="K1000" s="177"/>
      <c r="L1000" s="177"/>
      <c r="Q1000" s="179"/>
      <c r="R1000" s="217"/>
      <c r="S1000" s="218"/>
      <c r="T1000" s="180"/>
      <c r="U1000" s="181"/>
      <c r="V1000" s="181"/>
      <c r="W1000" s="181"/>
      <c r="X1000" s="181"/>
      <c r="Y1000" s="3"/>
      <c r="Z1000" s="3"/>
    </row>
    <row r="1001" spans="1:26" ht="23.25" customHeight="1">
      <c r="A1001" s="281"/>
      <c r="B1001" s="281"/>
      <c r="C1001" s="281"/>
      <c r="F1001" s="173"/>
      <c r="G1001" s="173"/>
      <c r="H1001" s="173"/>
      <c r="I1001" s="174"/>
      <c r="K1001" s="177"/>
      <c r="L1001" s="177"/>
      <c r="Q1001" s="179"/>
      <c r="R1001" s="217"/>
      <c r="S1001" s="218"/>
      <c r="T1001" s="180"/>
      <c r="U1001" s="181"/>
      <c r="V1001" s="181"/>
      <c r="W1001" s="181"/>
      <c r="X1001" s="181"/>
      <c r="Y1001" s="3"/>
      <c r="Z1001" s="3"/>
    </row>
    <row r="1002" spans="1:26" ht="23.25" customHeight="1">
      <c r="A1002" s="281"/>
      <c r="B1002" s="281"/>
      <c r="C1002" s="281"/>
      <c r="F1002" s="173"/>
      <c r="G1002" s="173"/>
      <c r="H1002" s="173"/>
      <c r="I1002" s="174"/>
      <c r="K1002" s="177"/>
      <c r="L1002" s="177"/>
      <c r="Q1002" s="179"/>
      <c r="R1002" s="217"/>
      <c r="S1002" s="218"/>
      <c r="T1002" s="180"/>
      <c r="U1002" s="181"/>
      <c r="V1002" s="181"/>
      <c r="W1002" s="181"/>
      <c r="X1002" s="181"/>
      <c r="Y1002" s="3"/>
      <c r="Z1002" s="3"/>
    </row>
    <row r="1003" spans="1:26" ht="23.25" customHeight="1">
      <c r="A1003" s="281"/>
      <c r="B1003" s="281"/>
      <c r="C1003" s="281"/>
      <c r="F1003" s="173"/>
      <c r="G1003" s="173"/>
      <c r="H1003" s="173"/>
      <c r="I1003" s="174"/>
      <c r="K1003" s="177"/>
      <c r="L1003" s="177"/>
      <c r="Q1003" s="179"/>
      <c r="R1003" s="217"/>
      <c r="S1003" s="218"/>
      <c r="T1003" s="180"/>
      <c r="U1003" s="181"/>
      <c r="V1003" s="181"/>
      <c r="W1003" s="181"/>
      <c r="X1003" s="181"/>
      <c r="Y1003" s="3"/>
      <c r="Z1003" s="3"/>
    </row>
    <row r="1004" spans="1:26" ht="23.25" customHeight="1">
      <c r="A1004" s="281"/>
      <c r="B1004" s="281"/>
      <c r="C1004" s="281"/>
      <c r="F1004" s="173"/>
      <c r="G1004" s="173"/>
      <c r="H1004" s="173"/>
      <c r="I1004" s="174"/>
      <c r="K1004" s="177"/>
      <c r="L1004" s="177"/>
      <c r="Q1004" s="179"/>
      <c r="R1004" s="217"/>
      <c r="S1004" s="218"/>
      <c r="T1004" s="180"/>
      <c r="U1004" s="181"/>
      <c r="V1004" s="181"/>
      <c r="W1004" s="181"/>
      <c r="X1004" s="181"/>
      <c r="Y1004" s="3"/>
      <c r="Z1004" s="3"/>
    </row>
    <row r="1005" spans="1:26" ht="23.25" customHeight="1">
      <c r="A1005" s="281"/>
      <c r="B1005" s="281"/>
      <c r="C1005" s="281"/>
      <c r="F1005" s="173"/>
      <c r="G1005" s="173"/>
      <c r="H1005" s="173"/>
      <c r="I1005" s="174"/>
      <c r="K1005" s="177"/>
      <c r="L1005" s="177"/>
      <c r="Q1005" s="179"/>
      <c r="R1005" s="217"/>
      <c r="S1005" s="218"/>
      <c r="T1005" s="180"/>
      <c r="U1005" s="181"/>
      <c r="V1005" s="181"/>
      <c r="W1005" s="181"/>
      <c r="X1005" s="181"/>
      <c r="Y1005" s="3"/>
      <c r="Z1005" s="3"/>
    </row>
    <row r="1006" spans="1:26" ht="23.25" customHeight="1">
      <c r="A1006" s="281"/>
      <c r="B1006" s="281"/>
      <c r="C1006" s="281"/>
      <c r="F1006" s="173"/>
      <c r="G1006" s="173"/>
      <c r="H1006" s="173"/>
      <c r="I1006" s="174"/>
      <c r="K1006" s="177"/>
      <c r="L1006" s="177"/>
      <c r="Q1006" s="179"/>
      <c r="R1006" s="217"/>
      <c r="S1006" s="218"/>
      <c r="T1006" s="180"/>
      <c r="U1006" s="181"/>
      <c r="V1006" s="181"/>
      <c r="W1006" s="181"/>
      <c r="X1006" s="181"/>
      <c r="Y1006" s="3"/>
      <c r="Z1006" s="3"/>
    </row>
    <row r="1007" spans="1:26" ht="23.25" customHeight="1">
      <c r="A1007" s="281"/>
      <c r="B1007" s="281"/>
      <c r="C1007" s="281"/>
      <c r="F1007" s="173"/>
      <c r="G1007" s="173"/>
      <c r="H1007" s="173"/>
      <c r="I1007" s="174"/>
      <c r="K1007" s="177"/>
      <c r="L1007" s="177"/>
      <c r="Q1007" s="179"/>
      <c r="R1007" s="217"/>
      <c r="S1007" s="218"/>
      <c r="T1007" s="180"/>
      <c r="U1007" s="181"/>
      <c r="V1007" s="181"/>
      <c r="W1007" s="181"/>
      <c r="X1007" s="181"/>
      <c r="Y1007" s="3"/>
      <c r="Z1007" s="3"/>
    </row>
    <row r="1008" spans="1:26" ht="23.25" customHeight="1">
      <c r="A1008" s="281"/>
      <c r="B1008" s="281"/>
      <c r="C1008" s="281"/>
      <c r="F1008" s="173"/>
      <c r="G1008" s="173"/>
      <c r="H1008" s="173"/>
      <c r="I1008" s="174"/>
      <c r="K1008" s="177"/>
      <c r="L1008" s="177"/>
      <c r="Q1008" s="179"/>
      <c r="R1008" s="217"/>
      <c r="S1008" s="218"/>
      <c r="T1008" s="180"/>
      <c r="U1008" s="181"/>
      <c r="V1008" s="181"/>
      <c r="W1008" s="181"/>
      <c r="X1008" s="181"/>
      <c r="Y1008" s="3"/>
      <c r="Z1008" s="3"/>
    </row>
    <row r="1009" spans="1:26" ht="23.25" customHeight="1">
      <c r="A1009" s="281"/>
      <c r="B1009" s="281"/>
      <c r="C1009" s="281"/>
      <c r="F1009" s="173"/>
      <c r="G1009" s="173"/>
      <c r="H1009" s="173"/>
      <c r="I1009" s="174"/>
      <c r="K1009" s="177"/>
      <c r="L1009" s="177"/>
      <c r="Q1009" s="179"/>
      <c r="R1009" s="217"/>
      <c r="S1009" s="218"/>
      <c r="T1009" s="180"/>
      <c r="U1009" s="181"/>
      <c r="V1009" s="181"/>
      <c r="W1009" s="181"/>
      <c r="X1009" s="181"/>
      <c r="Y1009" s="3"/>
      <c r="Z1009" s="3"/>
    </row>
    <row r="1010" spans="1:26" ht="23.25" customHeight="1">
      <c r="A1010" s="281"/>
      <c r="B1010" s="281"/>
      <c r="C1010" s="281"/>
      <c r="F1010" s="173"/>
      <c r="G1010" s="173"/>
      <c r="H1010" s="173"/>
      <c r="I1010" s="174"/>
      <c r="K1010" s="177"/>
      <c r="L1010" s="177"/>
      <c r="Q1010" s="179"/>
      <c r="R1010" s="217"/>
      <c r="S1010" s="218"/>
      <c r="T1010" s="180"/>
      <c r="U1010" s="181"/>
      <c r="V1010" s="181"/>
      <c r="W1010" s="181"/>
      <c r="X1010" s="181"/>
      <c r="Y1010" s="3"/>
      <c r="Z1010" s="3"/>
    </row>
    <row r="1011" spans="1:26" ht="23.25" customHeight="1">
      <c r="A1011" s="281"/>
      <c r="B1011" s="281"/>
      <c r="C1011" s="281"/>
      <c r="F1011" s="173"/>
      <c r="G1011" s="173"/>
      <c r="H1011" s="173"/>
      <c r="I1011" s="174"/>
      <c r="K1011" s="177"/>
      <c r="L1011" s="177"/>
      <c r="Q1011" s="179"/>
      <c r="R1011" s="217"/>
      <c r="S1011" s="218"/>
      <c r="T1011" s="180"/>
      <c r="U1011" s="181"/>
      <c r="V1011" s="181"/>
      <c r="W1011" s="181"/>
      <c r="X1011" s="181"/>
      <c r="Y1011" s="3"/>
      <c r="Z1011" s="3"/>
    </row>
    <row r="1012" spans="1:26" ht="23.25" customHeight="1">
      <c r="A1012" s="281"/>
      <c r="B1012" s="281"/>
      <c r="C1012" s="281"/>
      <c r="F1012" s="173"/>
      <c r="G1012" s="173"/>
      <c r="H1012" s="173"/>
      <c r="I1012" s="174"/>
      <c r="K1012" s="177"/>
      <c r="L1012" s="177"/>
      <c r="Q1012" s="179"/>
      <c r="R1012" s="217"/>
      <c r="S1012" s="218"/>
      <c r="T1012" s="180"/>
      <c r="U1012" s="181"/>
      <c r="V1012" s="181"/>
      <c r="W1012" s="181"/>
      <c r="X1012" s="181"/>
      <c r="Y1012" s="3"/>
      <c r="Z1012" s="3"/>
    </row>
    <row r="1013" spans="1:26" ht="23.25" customHeight="1">
      <c r="A1013" s="281"/>
      <c r="B1013" s="281"/>
      <c r="C1013" s="281"/>
      <c r="F1013" s="173"/>
      <c r="G1013" s="173"/>
      <c r="H1013" s="173"/>
      <c r="I1013" s="174"/>
      <c r="K1013" s="177"/>
      <c r="L1013" s="177"/>
      <c r="Q1013" s="179"/>
      <c r="R1013" s="217"/>
      <c r="S1013" s="218"/>
      <c r="T1013" s="180"/>
      <c r="U1013" s="181"/>
      <c r="V1013" s="181"/>
      <c r="W1013" s="181"/>
      <c r="X1013" s="181"/>
      <c r="Y1013" s="3"/>
      <c r="Z1013" s="3"/>
    </row>
    <row r="1014" spans="1:26" ht="23.25" customHeight="1">
      <c r="A1014" s="281"/>
      <c r="B1014" s="281"/>
      <c r="C1014" s="281"/>
      <c r="F1014" s="173"/>
      <c r="G1014" s="173"/>
      <c r="H1014" s="173"/>
      <c r="I1014" s="174"/>
      <c r="K1014" s="177"/>
      <c r="L1014" s="177"/>
      <c r="Q1014" s="179"/>
      <c r="R1014" s="217"/>
      <c r="S1014" s="218"/>
      <c r="T1014" s="180"/>
      <c r="U1014" s="181"/>
      <c r="V1014" s="181"/>
      <c r="W1014" s="181"/>
      <c r="X1014" s="181"/>
      <c r="Y1014" s="3"/>
      <c r="Z1014" s="3"/>
    </row>
    <row r="1015" spans="1:26" ht="23.25" customHeight="1">
      <c r="A1015" s="281"/>
      <c r="B1015" s="281"/>
      <c r="C1015" s="281"/>
      <c r="F1015" s="173"/>
      <c r="G1015" s="173"/>
      <c r="H1015" s="173"/>
      <c r="I1015" s="174"/>
      <c r="K1015" s="177"/>
      <c r="L1015" s="177"/>
      <c r="Q1015" s="179"/>
      <c r="R1015" s="217"/>
      <c r="S1015" s="218"/>
      <c r="T1015" s="180"/>
      <c r="U1015" s="181"/>
      <c r="V1015" s="181"/>
      <c r="W1015" s="181"/>
      <c r="X1015" s="181"/>
      <c r="Y1015" s="3"/>
      <c r="Z1015" s="3"/>
    </row>
    <row r="1016" spans="1:26" ht="23.25" customHeight="1">
      <c r="A1016" s="281"/>
      <c r="B1016" s="281"/>
      <c r="C1016" s="281"/>
      <c r="F1016" s="173"/>
      <c r="G1016" s="173"/>
      <c r="H1016" s="173"/>
      <c r="I1016" s="174"/>
      <c r="K1016" s="177"/>
      <c r="L1016" s="177"/>
      <c r="Q1016" s="179"/>
      <c r="R1016" s="217"/>
      <c r="S1016" s="218"/>
      <c r="T1016" s="180"/>
      <c r="U1016" s="181"/>
      <c r="V1016" s="181"/>
      <c r="W1016" s="181"/>
      <c r="X1016" s="181"/>
      <c r="Y1016" s="3"/>
      <c r="Z1016" s="3"/>
    </row>
    <row r="1017" spans="1:26" ht="23.25" customHeight="1">
      <c r="A1017" s="281"/>
      <c r="B1017" s="281"/>
      <c r="C1017" s="281"/>
      <c r="F1017" s="173"/>
      <c r="G1017" s="173"/>
      <c r="H1017" s="173"/>
      <c r="I1017" s="174"/>
      <c r="K1017" s="177"/>
      <c r="L1017" s="177"/>
      <c r="Q1017" s="179"/>
      <c r="R1017" s="217"/>
      <c r="S1017" s="218"/>
      <c r="T1017" s="180"/>
      <c r="U1017" s="181"/>
      <c r="V1017" s="181"/>
      <c r="W1017" s="181"/>
      <c r="X1017" s="181"/>
      <c r="Y1017" s="3"/>
      <c r="Z1017" s="3"/>
    </row>
    <row r="1018" spans="1:26" ht="23.25" customHeight="1">
      <c r="A1018" s="281"/>
      <c r="B1018" s="281"/>
      <c r="C1018" s="281"/>
      <c r="F1018" s="173"/>
      <c r="G1018" s="173"/>
      <c r="H1018" s="173"/>
      <c r="I1018" s="174"/>
      <c r="K1018" s="177"/>
      <c r="L1018" s="177"/>
      <c r="Q1018" s="179"/>
      <c r="R1018" s="217"/>
      <c r="S1018" s="218"/>
      <c r="T1018" s="180"/>
      <c r="U1018" s="181"/>
      <c r="V1018" s="181"/>
      <c r="W1018" s="181"/>
      <c r="X1018" s="181"/>
      <c r="Y1018" s="3"/>
      <c r="Z1018" s="3"/>
    </row>
    <row r="1019" spans="1:26" ht="23.25" customHeight="1">
      <c r="A1019" s="281"/>
      <c r="B1019" s="281"/>
      <c r="C1019" s="281"/>
      <c r="F1019" s="173"/>
      <c r="G1019" s="173"/>
      <c r="H1019" s="173"/>
      <c r="I1019" s="174"/>
      <c r="K1019" s="177"/>
      <c r="L1019" s="177"/>
      <c r="Q1019" s="179"/>
      <c r="R1019" s="217"/>
      <c r="S1019" s="218"/>
      <c r="T1019" s="180"/>
      <c r="U1019" s="181"/>
      <c r="V1019" s="181"/>
      <c r="W1019" s="181"/>
      <c r="X1019" s="181"/>
      <c r="Y1019" s="3"/>
      <c r="Z1019" s="3"/>
    </row>
    <row r="1020" spans="1:26" ht="23.25" customHeight="1">
      <c r="A1020" s="281"/>
      <c r="B1020" s="281"/>
      <c r="C1020" s="281"/>
      <c r="F1020" s="173"/>
      <c r="G1020" s="173"/>
      <c r="H1020" s="173"/>
      <c r="I1020" s="174"/>
      <c r="K1020" s="177"/>
      <c r="L1020" s="177"/>
      <c r="Q1020" s="179"/>
      <c r="R1020" s="217"/>
      <c r="S1020" s="218"/>
      <c r="T1020" s="180"/>
      <c r="U1020" s="181"/>
      <c r="V1020" s="181"/>
      <c r="W1020" s="181"/>
      <c r="X1020" s="181"/>
      <c r="Y1020" s="3"/>
      <c r="Z1020" s="3"/>
    </row>
    <row r="1021" spans="1:26" ht="23.25" customHeight="1">
      <c r="A1021" s="281"/>
      <c r="B1021" s="281"/>
      <c r="C1021" s="281"/>
      <c r="F1021" s="173"/>
      <c r="G1021" s="173"/>
      <c r="H1021" s="173"/>
      <c r="I1021" s="174"/>
      <c r="K1021" s="177"/>
      <c r="L1021" s="177"/>
      <c r="Q1021" s="179"/>
      <c r="R1021" s="217"/>
      <c r="S1021" s="218"/>
      <c r="T1021" s="180"/>
      <c r="U1021" s="181"/>
      <c r="V1021" s="181"/>
      <c r="W1021" s="181"/>
      <c r="X1021" s="181"/>
      <c r="Y1021" s="3"/>
      <c r="Z1021" s="3"/>
    </row>
    <row r="1022" spans="1:26" ht="23.25" customHeight="1">
      <c r="A1022" s="281"/>
      <c r="B1022" s="281"/>
      <c r="C1022" s="281"/>
      <c r="F1022" s="173"/>
      <c r="G1022" s="173"/>
      <c r="H1022" s="173"/>
      <c r="I1022" s="174"/>
      <c r="K1022" s="177"/>
      <c r="L1022" s="177"/>
      <c r="Q1022" s="179"/>
      <c r="R1022" s="217"/>
      <c r="S1022" s="218"/>
      <c r="T1022" s="180"/>
      <c r="U1022" s="181"/>
      <c r="V1022" s="181"/>
      <c r="W1022" s="181"/>
      <c r="X1022" s="181"/>
      <c r="Y1022" s="3"/>
      <c r="Z1022" s="3"/>
    </row>
    <row r="1023" spans="1:26" ht="23.25" customHeight="1">
      <c r="A1023" s="281"/>
      <c r="B1023" s="281"/>
      <c r="C1023" s="281"/>
      <c r="F1023" s="173"/>
      <c r="G1023" s="173"/>
      <c r="H1023" s="173"/>
      <c r="I1023" s="174"/>
      <c r="K1023" s="177"/>
      <c r="L1023" s="177"/>
      <c r="Q1023" s="179"/>
      <c r="R1023" s="217"/>
      <c r="S1023" s="218"/>
      <c r="T1023" s="180"/>
      <c r="U1023" s="181"/>
      <c r="V1023" s="181"/>
      <c r="W1023" s="181"/>
      <c r="X1023" s="181"/>
      <c r="Y1023" s="3"/>
      <c r="Z1023" s="3"/>
    </row>
    <row r="1024" spans="1:26" ht="23.25" customHeight="1">
      <c r="A1024" s="281"/>
      <c r="B1024" s="281"/>
      <c r="C1024" s="281"/>
      <c r="F1024" s="173"/>
      <c r="G1024" s="173"/>
      <c r="H1024" s="173"/>
      <c r="I1024" s="174"/>
      <c r="K1024" s="177"/>
      <c r="L1024" s="177"/>
      <c r="Q1024" s="179"/>
      <c r="R1024" s="217"/>
      <c r="S1024" s="218"/>
      <c r="T1024" s="180"/>
      <c r="U1024" s="181"/>
      <c r="V1024" s="181"/>
      <c r="W1024" s="181"/>
      <c r="X1024" s="181"/>
      <c r="Y1024" s="3"/>
      <c r="Z1024" s="3"/>
    </row>
    <row r="1025" spans="1:26" ht="23.25" customHeight="1">
      <c r="A1025" s="281"/>
      <c r="B1025" s="281"/>
      <c r="C1025" s="281"/>
      <c r="F1025" s="173"/>
      <c r="G1025" s="173"/>
      <c r="H1025" s="173"/>
      <c r="I1025" s="174"/>
      <c r="K1025" s="177"/>
      <c r="L1025" s="177"/>
      <c r="Q1025" s="179"/>
      <c r="R1025" s="217"/>
      <c r="S1025" s="218"/>
      <c r="T1025" s="180"/>
      <c r="U1025" s="181"/>
      <c r="V1025" s="181"/>
      <c r="W1025" s="181"/>
      <c r="X1025" s="181"/>
      <c r="Y1025" s="3"/>
      <c r="Z1025" s="3"/>
    </row>
    <row r="1026" spans="1:26" ht="23.25" customHeight="1">
      <c r="A1026" s="281"/>
      <c r="B1026" s="281"/>
      <c r="C1026" s="281"/>
      <c r="F1026" s="173"/>
      <c r="G1026" s="173"/>
      <c r="H1026" s="173"/>
      <c r="I1026" s="174"/>
      <c r="K1026" s="177"/>
      <c r="L1026" s="177"/>
      <c r="Q1026" s="179"/>
      <c r="R1026" s="217"/>
      <c r="S1026" s="218"/>
      <c r="T1026" s="180"/>
      <c r="U1026" s="181"/>
      <c r="V1026" s="181"/>
      <c r="W1026" s="181"/>
      <c r="X1026" s="181"/>
      <c r="Y1026" s="3"/>
      <c r="Z1026" s="3"/>
    </row>
    <row r="1027" spans="1:26" ht="23.25" customHeight="1">
      <c r="A1027" s="281"/>
      <c r="B1027" s="281"/>
      <c r="C1027" s="281"/>
      <c r="F1027" s="173"/>
      <c r="G1027" s="173"/>
      <c r="H1027" s="173"/>
      <c r="I1027" s="174"/>
      <c r="K1027" s="177"/>
      <c r="L1027" s="177"/>
      <c r="Q1027" s="179"/>
      <c r="R1027" s="217"/>
      <c r="S1027" s="218"/>
      <c r="T1027" s="180"/>
      <c r="U1027" s="181"/>
      <c r="V1027" s="181"/>
      <c r="W1027" s="181"/>
      <c r="X1027" s="181"/>
      <c r="Y1027" s="3"/>
      <c r="Z1027" s="3"/>
    </row>
    <row r="1028" spans="1:26" ht="23.25" customHeight="1">
      <c r="A1028" s="281"/>
      <c r="B1028" s="281"/>
      <c r="C1028" s="281"/>
      <c r="F1028" s="173"/>
      <c r="G1028" s="173"/>
      <c r="H1028" s="173"/>
      <c r="I1028" s="174"/>
      <c r="K1028" s="177"/>
      <c r="L1028" s="177"/>
      <c r="Q1028" s="179"/>
      <c r="R1028" s="217"/>
      <c r="S1028" s="218"/>
      <c r="T1028" s="180"/>
      <c r="U1028" s="181"/>
      <c r="V1028" s="181"/>
      <c r="W1028" s="181"/>
      <c r="X1028" s="181"/>
      <c r="Y1028" s="3"/>
      <c r="Z1028" s="3"/>
    </row>
    <row r="1029" spans="1:26" ht="23.25" customHeight="1">
      <c r="A1029" s="281"/>
      <c r="B1029" s="281"/>
      <c r="C1029" s="281"/>
      <c r="F1029" s="173"/>
      <c r="G1029" s="173"/>
      <c r="H1029" s="173"/>
      <c r="I1029" s="174"/>
      <c r="K1029" s="177"/>
      <c r="L1029" s="177"/>
      <c r="Q1029" s="179"/>
      <c r="R1029" s="217"/>
      <c r="S1029" s="218"/>
      <c r="T1029" s="180"/>
      <c r="U1029" s="181"/>
      <c r="V1029" s="181"/>
      <c r="W1029" s="181"/>
      <c r="X1029" s="181"/>
      <c r="Y1029" s="3"/>
      <c r="Z1029" s="3"/>
    </row>
    <row r="1030" spans="1:26" ht="23.25" customHeight="1">
      <c r="A1030" s="281"/>
      <c r="B1030" s="281"/>
      <c r="C1030" s="281"/>
      <c r="F1030" s="173"/>
      <c r="G1030" s="173"/>
      <c r="H1030" s="173"/>
      <c r="I1030" s="174"/>
      <c r="K1030" s="177"/>
      <c r="L1030" s="177"/>
      <c r="Q1030" s="179"/>
      <c r="R1030" s="217"/>
      <c r="S1030" s="218"/>
      <c r="T1030" s="180"/>
      <c r="U1030" s="181"/>
      <c r="V1030" s="181"/>
      <c r="W1030" s="181"/>
      <c r="X1030" s="181"/>
      <c r="Y1030" s="3"/>
      <c r="Z1030" s="3"/>
    </row>
    <row r="1031" spans="1:26" ht="23.25" customHeight="1">
      <c r="A1031" s="281"/>
      <c r="B1031" s="281"/>
      <c r="C1031" s="281"/>
      <c r="F1031" s="173"/>
      <c r="G1031" s="173"/>
      <c r="H1031" s="173"/>
      <c r="I1031" s="174"/>
      <c r="K1031" s="177"/>
      <c r="L1031" s="177"/>
      <c r="Q1031" s="179"/>
      <c r="R1031" s="217"/>
      <c r="S1031" s="218"/>
      <c r="T1031" s="180"/>
      <c r="U1031" s="181"/>
      <c r="V1031" s="181"/>
      <c r="W1031" s="181"/>
      <c r="X1031" s="181"/>
      <c r="Y1031" s="3"/>
      <c r="Z1031" s="3"/>
    </row>
    <row r="1032" spans="1:26" ht="23.25" customHeight="1">
      <c r="A1032" s="281"/>
      <c r="B1032" s="281"/>
      <c r="C1032" s="281"/>
      <c r="F1032" s="173"/>
      <c r="G1032" s="173"/>
      <c r="H1032" s="173"/>
      <c r="I1032" s="174"/>
      <c r="K1032" s="177"/>
      <c r="L1032" s="177"/>
      <c r="Q1032" s="179"/>
      <c r="R1032" s="217"/>
      <c r="S1032" s="218"/>
      <c r="T1032" s="180"/>
      <c r="U1032" s="181"/>
      <c r="V1032" s="181"/>
      <c r="W1032" s="181"/>
      <c r="X1032" s="181"/>
      <c r="Y1032" s="3"/>
      <c r="Z1032" s="3"/>
    </row>
    <row r="1033" spans="1:26" ht="23.25" customHeight="1">
      <c r="A1033" s="281"/>
      <c r="B1033" s="281"/>
      <c r="C1033" s="281"/>
      <c r="F1033" s="173"/>
      <c r="G1033" s="173"/>
      <c r="H1033" s="173"/>
      <c r="I1033" s="174"/>
      <c r="K1033" s="177"/>
      <c r="L1033" s="177"/>
      <c r="Q1033" s="179"/>
      <c r="R1033" s="217"/>
      <c r="S1033" s="218"/>
      <c r="T1033" s="180"/>
      <c r="U1033" s="181"/>
      <c r="V1033" s="181"/>
      <c r="W1033" s="181"/>
      <c r="X1033" s="181"/>
      <c r="Y1033" s="3"/>
      <c r="Z1033" s="3"/>
    </row>
    <row r="1034" spans="1:26" ht="23.25" customHeight="1">
      <c r="A1034" s="281"/>
      <c r="B1034" s="281"/>
      <c r="C1034" s="281"/>
      <c r="F1034" s="173"/>
      <c r="G1034" s="173"/>
      <c r="H1034" s="173"/>
      <c r="I1034" s="174"/>
      <c r="K1034" s="177"/>
      <c r="L1034" s="177"/>
      <c r="Q1034" s="179"/>
      <c r="R1034" s="217"/>
      <c r="S1034" s="218"/>
      <c r="T1034" s="180"/>
      <c r="U1034" s="181"/>
      <c r="V1034" s="181"/>
      <c r="W1034" s="181"/>
      <c r="X1034" s="181"/>
      <c r="Y1034" s="3"/>
      <c r="Z1034" s="3"/>
    </row>
    <row r="1035" spans="1:26" ht="23.25" customHeight="1">
      <c r="A1035" s="281"/>
      <c r="B1035" s="281"/>
      <c r="C1035" s="281"/>
      <c r="F1035" s="173"/>
      <c r="G1035" s="173"/>
      <c r="H1035" s="173"/>
      <c r="I1035" s="174"/>
      <c r="K1035" s="177"/>
      <c r="L1035" s="177"/>
      <c r="Q1035" s="179"/>
      <c r="R1035" s="217"/>
      <c r="S1035" s="218"/>
      <c r="T1035" s="180"/>
      <c r="U1035" s="181"/>
      <c r="V1035" s="181"/>
      <c r="W1035" s="181"/>
      <c r="X1035" s="181"/>
      <c r="Y1035" s="3"/>
      <c r="Z1035" s="3"/>
    </row>
    <row r="1036" spans="1:26" ht="23.25" customHeight="1">
      <c r="A1036" s="281"/>
      <c r="B1036" s="281"/>
      <c r="C1036" s="281"/>
      <c r="F1036" s="173"/>
      <c r="G1036" s="173"/>
      <c r="H1036" s="173"/>
      <c r="I1036" s="174"/>
      <c r="K1036" s="177"/>
      <c r="L1036" s="177"/>
      <c r="Q1036" s="179"/>
      <c r="R1036" s="217"/>
      <c r="S1036" s="218"/>
      <c r="T1036" s="180"/>
      <c r="U1036" s="181"/>
      <c r="V1036" s="181"/>
      <c r="W1036" s="181"/>
      <c r="X1036" s="181"/>
      <c r="Y1036" s="3"/>
      <c r="Z1036" s="3"/>
    </row>
    <row r="1037" spans="1:26" ht="23.25" customHeight="1">
      <c r="A1037" s="281"/>
      <c r="B1037" s="281"/>
      <c r="C1037" s="281"/>
      <c r="F1037" s="173"/>
      <c r="G1037" s="173"/>
      <c r="H1037" s="173"/>
      <c r="I1037" s="174"/>
      <c r="K1037" s="177"/>
      <c r="L1037" s="177"/>
      <c r="Q1037" s="179"/>
      <c r="R1037" s="217"/>
      <c r="S1037" s="218"/>
      <c r="T1037" s="180"/>
      <c r="U1037" s="181"/>
      <c r="V1037" s="181"/>
      <c r="W1037" s="181"/>
      <c r="X1037" s="181"/>
      <c r="Y1037" s="3"/>
      <c r="Z1037" s="3"/>
    </row>
    <row r="1038" spans="1:26" ht="23.25" customHeight="1">
      <c r="A1038" s="281"/>
      <c r="B1038" s="281"/>
      <c r="C1038" s="281"/>
      <c r="F1038" s="173"/>
      <c r="G1038" s="173"/>
      <c r="H1038" s="173"/>
      <c r="I1038" s="174"/>
      <c r="K1038" s="177"/>
      <c r="L1038" s="177"/>
      <c r="Q1038" s="179"/>
      <c r="R1038" s="217"/>
      <c r="S1038" s="218"/>
      <c r="T1038" s="180"/>
      <c r="U1038" s="181"/>
      <c r="V1038" s="181"/>
      <c r="W1038" s="181"/>
      <c r="X1038" s="181"/>
      <c r="Y1038" s="3"/>
      <c r="Z1038" s="3"/>
    </row>
    <row r="1039" spans="1:26" ht="23.25" customHeight="1">
      <c r="A1039" s="281"/>
      <c r="B1039" s="281"/>
      <c r="C1039" s="281"/>
      <c r="F1039" s="173"/>
      <c r="G1039" s="173"/>
      <c r="H1039" s="173"/>
      <c r="I1039" s="174"/>
      <c r="K1039" s="177"/>
      <c r="L1039" s="177"/>
      <c r="Q1039" s="179"/>
      <c r="R1039" s="217"/>
      <c r="S1039" s="218"/>
      <c r="T1039" s="180"/>
      <c r="U1039" s="181"/>
      <c r="V1039" s="181"/>
      <c r="W1039" s="181"/>
      <c r="X1039" s="181"/>
      <c r="Y1039" s="3"/>
      <c r="Z1039" s="3"/>
    </row>
    <row r="1040" spans="1:26" ht="23.25" customHeight="1">
      <c r="A1040" s="281"/>
      <c r="B1040" s="281"/>
      <c r="C1040" s="281"/>
      <c r="F1040" s="173"/>
      <c r="G1040" s="173"/>
      <c r="H1040" s="173"/>
      <c r="I1040" s="174"/>
      <c r="K1040" s="177"/>
      <c r="L1040" s="177"/>
      <c r="Q1040" s="179"/>
      <c r="R1040" s="217"/>
      <c r="S1040" s="218"/>
      <c r="T1040" s="180"/>
      <c r="U1040" s="181"/>
      <c r="V1040" s="181"/>
      <c r="W1040" s="181"/>
      <c r="X1040" s="181"/>
      <c r="Y1040" s="3"/>
      <c r="Z1040" s="3"/>
    </row>
    <row r="1041" spans="1:26" ht="23.25" customHeight="1">
      <c r="A1041" s="281"/>
      <c r="B1041" s="281"/>
      <c r="C1041" s="281"/>
      <c r="F1041" s="173"/>
      <c r="G1041" s="173"/>
      <c r="H1041" s="173"/>
      <c r="I1041" s="174"/>
      <c r="K1041" s="177"/>
      <c r="L1041" s="177"/>
      <c r="Q1041" s="179"/>
      <c r="R1041" s="217"/>
      <c r="S1041" s="218"/>
      <c r="T1041" s="180"/>
      <c r="U1041" s="181"/>
      <c r="V1041" s="181"/>
      <c r="W1041" s="181"/>
      <c r="X1041" s="181"/>
      <c r="Y1041" s="3"/>
      <c r="Z1041" s="3"/>
    </row>
    <row r="1042" spans="1:26" ht="23.25" customHeight="1">
      <c r="A1042" s="281"/>
      <c r="B1042" s="281"/>
      <c r="C1042" s="281"/>
      <c r="F1042" s="173"/>
      <c r="G1042" s="173"/>
      <c r="H1042" s="173"/>
      <c r="I1042" s="174"/>
      <c r="K1042" s="177"/>
      <c r="L1042" s="177"/>
      <c r="Q1042" s="179"/>
      <c r="R1042" s="217"/>
      <c r="S1042" s="218"/>
      <c r="T1042" s="180"/>
      <c r="U1042" s="181"/>
      <c r="V1042" s="181"/>
      <c r="W1042" s="181"/>
      <c r="X1042" s="181"/>
      <c r="Y1042" s="3"/>
      <c r="Z1042" s="3"/>
    </row>
    <row r="1043" spans="1:26" ht="23.25" customHeight="1">
      <c r="A1043" s="281"/>
      <c r="B1043" s="281"/>
      <c r="C1043" s="281"/>
      <c r="F1043" s="173"/>
      <c r="G1043" s="173"/>
      <c r="H1043" s="173"/>
      <c r="I1043" s="174"/>
      <c r="K1043" s="177"/>
      <c r="L1043" s="177"/>
      <c r="Q1043" s="179"/>
      <c r="R1043" s="217"/>
      <c r="S1043" s="218"/>
      <c r="T1043" s="180"/>
      <c r="U1043" s="181"/>
      <c r="V1043" s="181"/>
      <c r="W1043" s="181"/>
      <c r="X1043" s="181"/>
      <c r="Y1043" s="3"/>
      <c r="Z1043" s="3"/>
    </row>
    <row r="1044" spans="1:26" ht="23.25" customHeight="1">
      <c r="A1044" s="281"/>
      <c r="B1044" s="281"/>
      <c r="C1044" s="281"/>
      <c r="F1044" s="173"/>
      <c r="G1044" s="173"/>
      <c r="H1044" s="173"/>
      <c r="I1044" s="174"/>
      <c r="K1044" s="177"/>
      <c r="L1044" s="177"/>
      <c r="Q1044" s="179"/>
      <c r="R1044" s="217"/>
      <c r="S1044" s="218"/>
      <c r="T1044" s="180"/>
      <c r="U1044" s="181"/>
      <c r="V1044" s="181"/>
      <c r="W1044" s="181"/>
      <c r="X1044" s="181"/>
      <c r="Y1044" s="3"/>
      <c r="Z1044" s="3"/>
    </row>
    <row r="1045" spans="1:26" ht="23.25" customHeight="1">
      <c r="A1045" s="281"/>
      <c r="B1045" s="281"/>
      <c r="C1045" s="281"/>
      <c r="F1045" s="173"/>
      <c r="G1045" s="173"/>
      <c r="H1045" s="173"/>
      <c r="I1045" s="174"/>
      <c r="K1045" s="177"/>
      <c r="L1045" s="177"/>
      <c r="Q1045" s="179"/>
      <c r="R1045" s="217"/>
      <c r="S1045" s="218"/>
      <c r="T1045" s="180"/>
      <c r="U1045" s="181"/>
      <c r="V1045" s="181"/>
      <c r="W1045" s="181"/>
      <c r="X1045" s="181"/>
      <c r="Y1045" s="3"/>
      <c r="Z1045" s="3"/>
    </row>
    <row r="1046" spans="1:26" ht="23.25" customHeight="1">
      <c r="A1046" s="281"/>
      <c r="B1046" s="281"/>
      <c r="C1046" s="281"/>
      <c r="F1046" s="173"/>
      <c r="G1046" s="173"/>
      <c r="H1046" s="173"/>
      <c r="I1046" s="174"/>
      <c r="K1046" s="177"/>
      <c r="L1046" s="177"/>
      <c r="Q1046" s="179"/>
      <c r="R1046" s="217"/>
      <c r="S1046" s="218"/>
      <c r="T1046" s="180"/>
      <c r="U1046" s="181"/>
      <c r="V1046" s="181"/>
      <c r="W1046" s="181"/>
      <c r="X1046" s="181"/>
      <c r="Y1046" s="3"/>
      <c r="Z1046" s="3"/>
    </row>
    <row r="1047" spans="1:26" ht="23.25" customHeight="1">
      <c r="A1047" s="281"/>
      <c r="B1047" s="281"/>
      <c r="C1047" s="281"/>
      <c r="F1047" s="173"/>
      <c r="G1047" s="173"/>
      <c r="H1047" s="173"/>
      <c r="I1047" s="174"/>
      <c r="K1047" s="177"/>
      <c r="L1047" s="177"/>
      <c r="Q1047" s="179"/>
      <c r="R1047" s="217"/>
      <c r="S1047" s="218"/>
      <c r="T1047" s="180"/>
      <c r="U1047" s="181"/>
      <c r="V1047" s="181"/>
      <c r="W1047" s="181"/>
      <c r="X1047" s="181"/>
      <c r="Y1047" s="3"/>
      <c r="Z1047" s="3"/>
    </row>
    <row r="1048" spans="1:26" ht="23.25" customHeight="1">
      <c r="A1048" s="281"/>
      <c r="B1048" s="281"/>
      <c r="C1048" s="281"/>
      <c r="F1048" s="173"/>
      <c r="G1048" s="173"/>
      <c r="H1048" s="173"/>
      <c r="I1048" s="174"/>
      <c r="K1048" s="177"/>
      <c r="L1048" s="177"/>
      <c r="Q1048" s="179"/>
      <c r="R1048" s="217"/>
      <c r="S1048" s="218"/>
      <c r="T1048" s="180"/>
      <c r="U1048" s="181"/>
      <c r="V1048" s="181"/>
      <c r="W1048" s="181"/>
      <c r="X1048" s="181"/>
      <c r="Y1048" s="3"/>
      <c r="Z1048" s="3"/>
    </row>
    <row r="1049" spans="1:26" ht="23.25" customHeight="1">
      <c r="A1049" s="281"/>
      <c r="B1049" s="281"/>
      <c r="C1049" s="281"/>
      <c r="F1049" s="173"/>
      <c r="G1049" s="173"/>
      <c r="H1049" s="173"/>
      <c r="I1049" s="174"/>
      <c r="K1049" s="177"/>
      <c r="L1049" s="177"/>
      <c r="Q1049" s="179"/>
      <c r="R1049" s="217"/>
      <c r="S1049" s="218"/>
      <c r="T1049" s="180"/>
      <c r="U1049" s="181"/>
      <c r="V1049" s="181"/>
      <c r="W1049" s="181"/>
      <c r="X1049" s="181"/>
      <c r="Y1049" s="3"/>
      <c r="Z1049" s="3"/>
    </row>
    <row r="1050" spans="1:26" ht="23.25" customHeight="1">
      <c r="A1050" s="281"/>
      <c r="B1050" s="281"/>
      <c r="C1050" s="281"/>
      <c r="F1050" s="173"/>
      <c r="G1050" s="173"/>
      <c r="H1050" s="173"/>
      <c r="I1050" s="174"/>
      <c r="K1050" s="177"/>
      <c r="L1050" s="177"/>
      <c r="Q1050" s="179"/>
      <c r="R1050" s="217"/>
      <c r="S1050" s="218"/>
      <c r="T1050" s="180"/>
      <c r="U1050" s="181"/>
      <c r="V1050" s="181"/>
      <c r="W1050" s="181"/>
      <c r="X1050" s="181"/>
      <c r="Y1050" s="3"/>
      <c r="Z1050" s="3"/>
    </row>
    <row r="1051" spans="1:26" ht="23.25" customHeight="1">
      <c r="A1051" s="281"/>
      <c r="B1051" s="281"/>
      <c r="C1051" s="281"/>
      <c r="F1051" s="173"/>
      <c r="G1051" s="173"/>
      <c r="H1051" s="173"/>
      <c r="I1051" s="174"/>
      <c r="K1051" s="177"/>
      <c r="L1051" s="177"/>
      <c r="Q1051" s="179"/>
      <c r="R1051" s="217"/>
      <c r="S1051" s="218"/>
      <c r="T1051" s="180"/>
      <c r="U1051" s="181"/>
      <c r="V1051" s="181"/>
      <c r="W1051" s="181"/>
      <c r="X1051" s="181"/>
      <c r="Y1051" s="3"/>
      <c r="Z1051" s="3"/>
    </row>
    <row r="1052" spans="1:26" ht="23.25" customHeight="1">
      <c r="A1052" s="281"/>
      <c r="B1052" s="281"/>
      <c r="C1052" s="281"/>
      <c r="F1052" s="173"/>
      <c r="G1052" s="173"/>
      <c r="H1052" s="173"/>
      <c r="I1052" s="174"/>
      <c r="K1052" s="177"/>
      <c r="L1052" s="177"/>
      <c r="Q1052" s="179"/>
      <c r="R1052" s="217"/>
      <c r="S1052" s="218"/>
      <c r="T1052" s="180"/>
      <c r="U1052" s="181"/>
      <c r="V1052" s="181"/>
      <c r="W1052" s="181"/>
      <c r="X1052" s="181"/>
      <c r="Y1052" s="3"/>
      <c r="Z1052" s="3"/>
    </row>
    <row r="1053" spans="1:26" ht="23.25" customHeight="1">
      <c r="A1053" s="281"/>
      <c r="B1053" s="281"/>
      <c r="C1053" s="281"/>
      <c r="F1053" s="173"/>
      <c r="G1053" s="173"/>
      <c r="H1053" s="173"/>
      <c r="I1053" s="174"/>
      <c r="K1053" s="177"/>
      <c r="L1053" s="177"/>
      <c r="Q1053" s="179"/>
      <c r="R1053" s="217"/>
      <c r="S1053" s="218"/>
      <c r="T1053" s="180"/>
      <c r="U1053" s="181"/>
      <c r="V1053" s="181"/>
      <c r="W1053" s="181"/>
      <c r="X1053" s="181"/>
      <c r="Y1053" s="3"/>
      <c r="Z1053" s="3"/>
    </row>
    <row r="1054" spans="1:26" ht="23.25" customHeight="1">
      <c r="A1054" s="281"/>
      <c r="B1054" s="281"/>
      <c r="C1054" s="281"/>
      <c r="F1054" s="173"/>
      <c r="G1054" s="173"/>
      <c r="H1054" s="173"/>
      <c r="I1054" s="174"/>
      <c r="K1054" s="177"/>
      <c r="L1054" s="177"/>
      <c r="Q1054" s="179"/>
      <c r="R1054" s="217"/>
      <c r="S1054" s="218"/>
      <c r="T1054" s="180"/>
      <c r="U1054" s="181"/>
      <c r="V1054" s="181"/>
      <c r="W1054" s="181"/>
      <c r="X1054" s="181"/>
      <c r="Y1054" s="3"/>
      <c r="Z1054" s="3"/>
    </row>
    <row r="1055" spans="1:26" ht="23.25" customHeight="1">
      <c r="A1055" s="281"/>
      <c r="B1055" s="281"/>
      <c r="C1055" s="281"/>
      <c r="F1055" s="173"/>
      <c r="G1055" s="173"/>
      <c r="H1055" s="173"/>
      <c r="I1055" s="174"/>
      <c r="K1055" s="177"/>
      <c r="L1055" s="177"/>
      <c r="Q1055" s="179"/>
      <c r="R1055" s="217"/>
      <c r="S1055" s="218"/>
      <c r="T1055" s="180"/>
      <c r="U1055" s="181"/>
      <c r="V1055" s="181"/>
      <c r="W1055" s="181"/>
      <c r="X1055" s="181"/>
      <c r="Y1055" s="3"/>
      <c r="Z1055" s="3"/>
    </row>
    <row r="1056" spans="1:26" ht="23.25" customHeight="1">
      <c r="A1056" s="281"/>
      <c r="B1056" s="281"/>
      <c r="C1056" s="281"/>
      <c r="F1056" s="173"/>
      <c r="G1056" s="173"/>
      <c r="H1056" s="173"/>
      <c r="I1056" s="174"/>
      <c r="K1056" s="177"/>
      <c r="L1056" s="177"/>
      <c r="Q1056" s="179"/>
      <c r="R1056" s="217"/>
      <c r="S1056" s="218"/>
      <c r="T1056" s="180"/>
      <c r="U1056" s="181"/>
      <c r="V1056" s="181"/>
      <c r="W1056" s="181"/>
      <c r="X1056" s="181"/>
      <c r="Y1056" s="3"/>
      <c r="Z1056" s="3"/>
    </row>
    <row r="1057" spans="1:26" ht="23.25" customHeight="1">
      <c r="A1057" s="281"/>
      <c r="B1057" s="281"/>
      <c r="C1057" s="281"/>
      <c r="F1057" s="173"/>
      <c r="G1057" s="173"/>
      <c r="H1057" s="173"/>
      <c r="I1057" s="174"/>
      <c r="K1057" s="177"/>
      <c r="L1057" s="177"/>
      <c r="Q1057" s="179"/>
      <c r="R1057" s="217"/>
      <c r="S1057" s="218"/>
      <c r="T1057" s="180"/>
      <c r="U1057" s="181"/>
      <c r="V1057" s="181"/>
      <c r="W1057" s="181"/>
      <c r="X1057" s="181"/>
      <c r="Y1057" s="3"/>
      <c r="Z1057" s="3"/>
    </row>
    <row r="1058" spans="1:26" ht="23.25" customHeight="1">
      <c r="A1058" s="281"/>
      <c r="B1058" s="281"/>
      <c r="C1058" s="281"/>
      <c r="F1058" s="173"/>
      <c r="G1058" s="173"/>
      <c r="H1058" s="173"/>
      <c r="I1058" s="174"/>
      <c r="K1058" s="177"/>
      <c r="L1058" s="177"/>
      <c r="Q1058" s="179"/>
      <c r="R1058" s="217"/>
      <c r="S1058" s="218"/>
      <c r="T1058" s="180"/>
      <c r="U1058" s="181"/>
      <c r="V1058" s="181"/>
      <c r="W1058" s="181"/>
      <c r="X1058" s="181"/>
      <c r="Y1058" s="3"/>
      <c r="Z1058" s="3"/>
    </row>
    <row r="1059" spans="1:26" ht="23.25" customHeight="1">
      <c r="A1059" s="281"/>
      <c r="B1059" s="281"/>
      <c r="C1059" s="281"/>
      <c r="F1059" s="173"/>
      <c r="G1059" s="173"/>
      <c r="H1059" s="173"/>
      <c r="I1059" s="174"/>
      <c r="K1059" s="177"/>
      <c r="L1059" s="177"/>
      <c r="Q1059" s="179"/>
      <c r="R1059" s="217"/>
      <c r="S1059" s="218"/>
      <c r="T1059" s="180"/>
      <c r="U1059" s="181"/>
      <c r="V1059" s="181"/>
      <c r="W1059" s="181"/>
      <c r="X1059" s="181"/>
      <c r="Y1059" s="3"/>
      <c r="Z1059" s="3"/>
    </row>
    <row r="1060" spans="1:26" ht="23.25" customHeight="1">
      <c r="A1060" s="281"/>
      <c r="B1060" s="281"/>
      <c r="C1060" s="281"/>
      <c r="F1060" s="173"/>
      <c r="G1060" s="173"/>
      <c r="H1060" s="173"/>
      <c r="I1060" s="174"/>
      <c r="K1060" s="177"/>
      <c r="L1060" s="177"/>
      <c r="Q1060" s="179"/>
      <c r="R1060" s="217"/>
      <c r="S1060" s="218"/>
      <c r="T1060" s="180"/>
      <c r="U1060" s="181"/>
      <c r="V1060" s="181"/>
      <c r="W1060" s="181"/>
      <c r="X1060" s="181"/>
      <c r="Y1060" s="3"/>
      <c r="Z1060" s="3"/>
    </row>
    <row r="1061" spans="1:26" ht="23.25" customHeight="1">
      <c r="A1061" s="281"/>
      <c r="B1061" s="281"/>
      <c r="C1061" s="281"/>
      <c r="F1061" s="173"/>
      <c r="G1061" s="173"/>
      <c r="H1061" s="173"/>
      <c r="I1061" s="174"/>
      <c r="K1061" s="177"/>
      <c r="L1061" s="177"/>
      <c r="Q1061" s="179"/>
      <c r="R1061" s="217"/>
      <c r="S1061" s="218"/>
      <c r="T1061" s="180"/>
      <c r="U1061" s="181"/>
      <c r="V1061" s="181"/>
      <c r="W1061" s="181"/>
      <c r="X1061" s="181"/>
      <c r="Y1061" s="3"/>
      <c r="Z1061" s="3"/>
    </row>
    <row r="1062" spans="1:26" ht="23.25" customHeight="1">
      <c r="A1062" s="281"/>
      <c r="B1062" s="281"/>
      <c r="C1062" s="281"/>
      <c r="F1062" s="173"/>
      <c r="G1062" s="173"/>
      <c r="H1062" s="173"/>
      <c r="I1062" s="174"/>
      <c r="K1062" s="177"/>
      <c r="L1062" s="177"/>
      <c r="Q1062" s="179"/>
      <c r="R1062" s="217"/>
      <c r="S1062" s="218"/>
      <c r="T1062" s="180"/>
      <c r="U1062" s="181"/>
      <c r="V1062" s="181"/>
      <c r="W1062" s="181"/>
      <c r="X1062" s="181"/>
      <c r="Y1062" s="3"/>
      <c r="Z1062" s="3"/>
    </row>
    <row r="1063" spans="1:26" ht="23.25" customHeight="1">
      <c r="A1063" s="281"/>
      <c r="B1063" s="281"/>
      <c r="C1063" s="281"/>
      <c r="F1063" s="173"/>
      <c r="G1063" s="173"/>
      <c r="H1063" s="173"/>
      <c r="I1063" s="174"/>
      <c r="K1063" s="177"/>
      <c r="L1063" s="177"/>
      <c r="Q1063" s="179"/>
      <c r="R1063" s="217"/>
      <c r="S1063" s="218"/>
      <c r="T1063" s="180"/>
      <c r="U1063" s="181"/>
      <c r="V1063" s="181"/>
      <c r="W1063" s="181"/>
      <c r="X1063" s="181"/>
      <c r="Y1063" s="3"/>
      <c r="Z1063" s="3"/>
    </row>
    <row r="1064" spans="1:26" ht="23.25" customHeight="1">
      <c r="A1064" s="281"/>
      <c r="B1064" s="281"/>
      <c r="C1064" s="281"/>
      <c r="F1064" s="173"/>
      <c r="G1064" s="173"/>
      <c r="H1064" s="173"/>
      <c r="I1064" s="174"/>
      <c r="K1064" s="177"/>
      <c r="L1064" s="177"/>
      <c r="Q1064" s="179"/>
      <c r="R1064" s="217"/>
      <c r="S1064" s="218"/>
      <c r="T1064" s="180"/>
      <c r="U1064" s="181"/>
      <c r="V1064" s="181"/>
      <c r="W1064" s="181"/>
      <c r="X1064" s="181"/>
      <c r="Y1064" s="3"/>
      <c r="Z1064" s="3"/>
    </row>
    <row r="1065" spans="1:26" ht="23.25" customHeight="1">
      <c r="A1065" s="281"/>
      <c r="B1065" s="281"/>
      <c r="C1065" s="281"/>
      <c r="F1065" s="173"/>
      <c r="G1065" s="173"/>
      <c r="H1065" s="173"/>
      <c r="I1065" s="174"/>
      <c r="K1065" s="177"/>
      <c r="L1065" s="177"/>
      <c r="Q1065" s="179"/>
      <c r="R1065" s="217"/>
      <c r="S1065" s="218"/>
      <c r="T1065" s="180"/>
      <c r="U1065" s="181"/>
      <c r="V1065" s="181"/>
      <c r="W1065" s="181"/>
      <c r="X1065" s="181"/>
      <c r="Y1065" s="3"/>
      <c r="Z1065" s="3"/>
    </row>
    <row r="1066" spans="1:26" ht="23.25" customHeight="1">
      <c r="A1066" s="281"/>
      <c r="B1066" s="281"/>
      <c r="C1066" s="281"/>
      <c r="F1066" s="173"/>
      <c r="G1066" s="173"/>
      <c r="H1066" s="173"/>
      <c r="I1066" s="174"/>
      <c r="K1066" s="177"/>
      <c r="L1066" s="177"/>
      <c r="Q1066" s="179"/>
      <c r="R1066" s="217"/>
      <c r="S1066" s="218"/>
      <c r="T1066" s="180"/>
      <c r="U1066" s="181"/>
      <c r="V1066" s="181"/>
      <c r="W1066" s="181"/>
      <c r="X1066" s="181"/>
      <c r="Y1066" s="3"/>
      <c r="Z1066" s="3"/>
    </row>
    <row r="1067" spans="1:26" ht="23.25" customHeight="1">
      <c r="A1067" s="281"/>
      <c r="B1067" s="281"/>
      <c r="C1067" s="281"/>
      <c r="F1067" s="173"/>
      <c r="G1067" s="173"/>
      <c r="H1067" s="173"/>
      <c r="I1067" s="174"/>
      <c r="K1067" s="177"/>
      <c r="L1067" s="177"/>
      <c r="Q1067" s="179"/>
      <c r="R1067" s="217"/>
      <c r="S1067" s="218"/>
      <c r="T1067" s="180"/>
      <c r="U1067" s="181"/>
      <c r="V1067" s="181"/>
      <c r="W1067" s="181"/>
      <c r="X1067" s="181"/>
      <c r="Y1067" s="3"/>
      <c r="Z1067" s="3"/>
    </row>
    <row r="1068" spans="1:26" ht="23.25" customHeight="1">
      <c r="A1068" s="281"/>
      <c r="B1068" s="281"/>
      <c r="C1068" s="281"/>
      <c r="F1068" s="173"/>
      <c r="G1068" s="173"/>
      <c r="H1068" s="173"/>
      <c r="I1068" s="174"/>
      <c r="K1068" s="177"/>
      <c r="L1068" s="177"/>
      <c r="Q1068" s="179"/>
      <c r="R1068" s="217"/>
      <c r="S1068" s="218"/>
      <c r="T1068" s="180"/>
      <c r="U1068" s="181"/>
      <c r="V1068" s="181"/>
      <c r="W1068" s="181"/>
      <c r="X1068" s="181"/>
      <c r="Y1068" s="3"/>
      <c r="Z1068" s="3"/>
    </row>
    <row r="1069" spans="1:26" ht="23.25" customHeight="1">
      <c r="A1069" s="281"/>
      <c r="B1069" s="281"/>
      <c r="C1069" s="281"/>
      <c r="F1069" s="173"/>
      <c r="G1069" s="173"/>
      <c r="H1069" s="173"/>
      <c r="I1069" s="174"/>
      <c r="K1069" s="177"/>
      <c r="L1069" s="177"/>
      <c r="Q1069" s="179"/>
      <c r="R1069" s="217"/>
      <c r="S1069" s="218"/>
      <c r="T1069" s="180"/>
      <c r="U1069" s="181"/>
      <c r="V1069" s="181"/>
      <c r="W1069" s="181"/>
      <c r="X1069" s="181"/>
      <c r="Y1069" s="3"/>
      <c r="Z1069" s="3"/>
    </row>
    <row r="1070" spans="1:26" ht="23.25" customHeight="1">
      <c r="A1070" s="281"/>
      <c r="B1070" s="281"/>
      <c r="C1070" s="281"/>
      <c r="F1070" s="173"/>
      <c r="G1070" s="173"/>
      <c r="H1070" s="173"/>
      <c r="I1070" s="174"/>
      <c r="K1070" s="177"/>
      <c r="L1070" s="177"/>
      <c r="Q1070" s="179"/>
      <c r="R1070" s="217"/>
      <c r="S1070" s="218"/>
      <c r="T1070" s="180"/>
      <c r="U1070" s="181"/>
      <c r="V1070" s="181"/>
      <c r="W1070" s="181"/>
      <c r="X1070" s="181"/>
      <c r="Y1070" s="3"/>
      <c r="Z1070" s="3"/>
    </row>
    <row r="1071" spans="1:26" ht="23.25" customHeight="1">
      <c r="A1071" s="281"/>
      <c r="B1071" s="281"/>
      <c r="C1071" s="281"/>
      <c r="F1071" s="173"/>
      <c r="G1071" s="173"/>
      <c r="H1071" s="173"/>
      <c r="I1071" s="174"/>
      <c r="K1071" s="177"/>
      <c r="L1071" s="177"/>
      <c r="Q1071" s="179"/>
      <c r="R1071" s="217"/>
      <c r="S1071" s="218"/>
      <c r="T1071" s="180"/>
      <c r="U1071" s="181"/>
      <c r="V1071" s="181"/>
      <c r="W1071" s="181"/>
      <c r="X1071" s="181"/>
      <c r="Y1071" s="3"/>
      <c r="Z1071" s="3"/>
    </row>
    <row r="1072" spans="1:26" ht="23.25" customHeight="1">
      <c r="A1072" s="281"/>
      <c r="B1072" s="281"/>
      <c r="C1072" s="281"/>
      <c r="F1072" s="173"/>
      <c r="G1072" s="173"/>
      <c r="H1072" s="173"/>
      <c r="I1072" s="174"/>
      <c r="K1072" s="177"/>
      <c r="L1072" s="177"/>
      <c r="Q1072" s="179"/>
      <c r="R1072" s="217"/>
      <c r="S1072" s="218"/>
      <c r="T1072" s="180"/>
      <c r="U1072" s="181"/>
      <c r="V1072" s="181"/>
      <c r="W1072" s="181"/>
      <c r="X1072" s="181"/>
      <c r="Y1072" s="3"/>
      <c r="Z1072" s="3"/>
    </row>
    <row r="1073" spans="1:26" ht="23.25" customHeight="1">
      <c r="A1073" s="281"/>
      <c r="B1073" s="281"/>
      <c r="C1073" s="281"/>
      <c r="F1073" s="173"/>
      <c r="G1073" s="173"/>
      <c r="H1073" s="173"/>
      <c r="I1073" s="174"/>
      <c r="K1073" s="177"/>
      <c r="L1073" s="177"/>
      <c r="Q1073" s="179"/>
      <c r="R1073" s="217"/>
      <c r="S1073" s="218"/>
      <c r="T1073" s="180"/>
      <c r="U1073" s="181"/>
      <c r="V1073" s="181"/>
      <c r="W1073" s="181"/>
      <c r="X1073" s="181"/>
      <c r="Y1073" s="3"/>
      <c r="Z1073" s="3"/>
    </row>
    <row r="1074" spans="1:26" ht="23.25" customHeight="1">
      <c r="A1074" s="281"/>
      <c r="B1074" s="281"/>
      <c r="C1074" s="281"/>
      <c r="F1074" s="173"/>
      <c r="G1074" s="173"/>
      <c r="H1074" s="173"/>
      <c r="I1074" s="174"/>
      <c r="K1074" s="177"/>
      <c r="L1074" s="177"/>
      <c r="Q1074" s="179"/>
      <c r="R1074" s="217"/>
      <c r="S1074" s="218"/>
      <c r="T1074" s="180"/>
      <c r="U1074" s="181"/>
      <c r="V1074" s="181"/>
      <c r="W1074" s="181"/>
      <c r="X1074" s="181"/>
      <c r="Y1074" s="3"/>
      <c r="Z1074" s="3"/>
    </row>
    <row r="1075" spans="1:26" ht="23.25" customHeight="1">
      <c r="A1075" s="281"/>
      <c r="B1075" s="281"/>
      <c r="C1075" s="281"/>
      <c r="F1075" s="173"/>
      <c r="G1075" s="173"/>
      <c r="H1075" s="173"/>
      <c r="I1075" s="174"/>
      <c r="K1075" s="177"/>
      <c r="L1075" s="177"/>
      <c r="Q1075" s="179"/>
      <c r="R1075" s="217"/>
      <c r="S1075" s="218"/>
      <c r="T1075" s="180"/>
      <c r="U1075" s="181"/>
      <c r="V1075" s="181"/>
      <c r="W1075" s="181"/>
      <c r="X1075" s="181"/>
      <c r="Y1075" s="3"/>
      <c r="Z1075" s="3"/>
    </row>
    <row r="1076" spans="1:26" ht="23.25" customHeight="1">
      <c r="A1076" s="281"/>
      <c r="B1076" s="281"/>
      <c r="C1076" s="281"/>
      <c r="F1076" s="173"/>
      <c r="G1076" s="173"/>
      <c r="H1076" s="173"/>
      <c r="I1076" s="174"/>
      <c r="K1076" s="177"/>
      <c r="L1076" s="177"/>
      <c r="Q1076" s="179"/>
      <c r="R1076" s="217"/>
      <c r="S1076" s="218"/>
      <c r="T1076" s="180"/>
      <c r="U1076" s="181"/>
      <c r="V1076" s="181"/>
      <c r="W1076" s="181"/>
      <c r="X1076" s="181"/>
      <c r="Y1076" s="3"/>
      <c r="Z1076" s="3"/>
    </row>
    <row r="1077" spans="1:26" ht="23.25" customHeight="1">
      <c r="A1077" s="281"/>
      <c r="B1077" s="281"/>
      <c r="C1077" s="281"/>
      <c r="F1077" s="173"/>
      <c r="G1077" s="173"/>
      <c r="H1077" s="173"/>
      <c r="I1077" s="174"/>
      <c r="K1077" s="177"/>
      <c r="L1077" s="177"/>
      <c r="Q1077" s="179"/>
      <c r="R1077" s="217"/>
      <c r="S1077" s="218"/>
      <c r="T1077" s="180"/>
      <c r="U1077" s="181"/>
      <c r="V1077" s="181"/>
      <c r="W1077" s="181"/>
      <c r="X1077" s="181"/>
      <c r="Y1077" s="3"/>
      <c r="Z1077" s="3"/>
    </row>
    <row r="1078" spans="1:26" ht="23.25" customHeight="1">
      <c r="A1078" s="281"/>
      <c r="B1078" s="281"/>
      <c r="C1078" s="281"/>
      <c r="F1078" s="173"/>
      <c r="G1078" s="173"/>
      <c r="H1078" s="173"/>
      <c r="I1078" s="174"/>
      <c r="K1078" s="177"/>
      <c r="L1078" s="177"/>
      <c r="Q1078" s="179"/>
      <c r="R1078" s="217"/>
      <c r="S1078" s="218"/>
      <c r="T1078" s="180"/>
      <c r="U1078" s="181"/>
      <c r="V1078" s="181"/>
      <c r="W1078" s="181"/>
      <c r="X1078" s="181"/>
      <c r="Y1078" s="3"/>
      <c r="Z1078" s="3"/>
    </row>
    <row r="1079" spans="1:26" ht="23.25" customHeight="1">
      <c r="A1079" s="281"/>
      <c r="B1079" s="281"/>
      <c r="C1079" s="281"/>
      <c r="F1079" s="173"/>
      <c r="G1079" s="173"/>
      <c r="H1079" s="173"/>
      <c r="I1079" s="174"/>
      <c r="K1079" s="177"/>
      <c r="L1079" s="177"/>
      <c r="Q1079" s="179"/>
      <c r="R1079" s="217"/>
      <c r="S1079" s="218"/>
      <c r="T1079" s="180"/>
      <c r="U1079" s="181"/>
      <c r="V1079" s="181"/>
      <c r="W1079" s="181"/>
      <c r="X1079" s="181"/>
      <c r="Y1079" s="3"/>
      <c r="Z1079" s="3"/>
    </row>
    <row r="1080" spans="1:26" ht="23.25" customHeight="1">
      <c r="A1080" s="281"/>
      <c r="B1080" s="281"/>
      <c r="C1080" s="281"/>
      <c r="F1080" s="173"/>
      <c r="G1080" s="173"/>
      <c r="H1080" s="173"/>
      <c r="I1080" s="174"/>
      <c r="K1080" s="177"/>
      <c r="L1080" s="177"/>
      <c r="Q1080" s="179"/>
      <c r="R1080" s="217"/>
      <c r="S1080" s="218"/>
      <c r="T1080" s="180"/>
      <c r="U1080" s="181"/>
      <c r="V1080" s="181"/>
      <c r="W1080" s="181"/>
      <c r="X1080" s="181"/>
      <c r="Y1080" s="3"/>
      <c r="Z1080" s="3"/>
    </row>
    <row r="1081" spans="1:26" ht="23.25" customHeight="1">
      <c r="A1081" s="281"/>
      <c r="B1081" s="281"/>
      <c r="C1081" s="281"/>
      <c r="F1081" s="173"/>
      <c r="G1081" s="173"/>
      <c r="H1081" s="173"/>
      <c r="I1081" s="174"/>
      <c r="K1081" s="177"/>
      <c r="L1081" s="177"/>
      <c r="Q1081" s="179"/>
      <c r="R1081" s="217"/>
      <c r="S1081" s="218"/>
      <c r="T1081" s="180"/>
      <c r="U1081" s="181"/>
      <c r="V1081" s="181"/>
      <c r="W1081" s="181"/>
      <c r="X1081" s="181"/>
      <c r="Y1081" s="3"/>
      <c r="Z1081" s="3"/>
    </row>
    <row r="1082" spans="1:26" ht="23.25" customHeight="1">
      <c r="A1082" s="281"/>
      <c r="B1082" s="281"/>
      <c r="C1082" s="281"/>
      <c r="F1082" s="173"/>
      <c r="G1082" s="173"/>
      <c r="H1082" s="173"/>
      <c r="I1082" s="174"/>
      <c r="K1082" s="177"/>
      <c r="L1082" s="177"/>
      <c r="Q1082" s="179"/>
      <c r="R1082" s="217"/>
      <c r="S1082" s="218"/>
      <c r="T1082" s="180"/>
      <c r="U1082" s="181"/>
      <c r="V1082" s="181"/>
      <c r="W1082" s="181"/>
      <c r="X1082" s="181"/>
      <c r="Y1082" s="3"/>
      <c r="Z1082" s="3"/>
    </row>
    <row r="1083" spans="1:26" ht="23.25" customHeight="1">
      <c r="A1083" s="281"/>
      <c r="B1083" s="281"/>
      <c r="C1083" s="281"/>
      <c r="F1083" s="173"/>
      <c r="G1083" s="173"/>
      <c r="H1083" s="173"/>
      <c r="I1083" s="174"/>
      <c r="K1083" s="177"/>
      <c r="L1083" s="177"/>
      <c r="Q1083" s="179"/>
      <c r="R1083" s="217"/>
      <c r="S1083" s="218"/>
      <c r="T1083" s="180"/>
      <c r="U1083" s="181"/>
      <c r="V1083" s="181"/>
      <c r="W1083" s="181"/>
      <c r="X1083" s="181"/>
      <c r="Y1083" s="3"/>
      <c r="Z1083" s="3"/>
    </row>
    <row r="1084" spans="1:26" ht="23.25" customHeight="1">
      <c r="A1084" s="281"/>
      <c r="B1084" s="281"/>
      <c r="C1084" s="281"/>
      <c r="F1084" s="173"/>
      <c r="G1084" s="173"/>
      <c r="H1084" s="173"/>
      <c r="I1084" s="174"/>
      <c r="K1084" s="177"/>
      <c r="L1084" s="177"/>
      <c r="Q1084" s="179"/>
      <c r="R1084" s="217"/>
      <c r="S1084" s="218"/>
      <c r="T1084" s="180"/>
      <c r="U1084" s="181"/>
      <c r="V1084" s="181"/>
      <c r="W1084" s="181"/>
      <c r="X1084" s="181"/>
      <c r="Y1084" s="3"/>
      <c r="Z1084" s="3"/>
    </row>
    <row r="1085" spans="1:26" ht="23.25" customHeight="1">
      <c r="A1085" s="281"/>
      <c r="B1085" s="281"/>
      <c r="C1085" s="281"/>
      <c r="F1085" s="173"/>
      <c r="G1085" s="173"/>
      <c r="H1085" s="173"/>
      <c r="I1085" s="174"/>
      <c r="K1085" s="177"/>
      <c r="L1085" s="177"/>
      <c r="Q1085" s="179"/>
      <c r="R1085" s="217"/>
      <c r="S1085" s="218"/>
      <c r="T1085" s="180"/>
      <c r="U1085" s="181"/>
      <c r="V1085" s="181"/>
      <c r="W1085" s="181"/>
      <c r="X1085" s="181"/>
      <c r="Y1085" s="3"/>
      <c r="Z1085" s="3"/>
    </row>
    <row r="1086" spans="1:26" ht="23.25" customHeight="1">
      <c r="A1086" s="281"/>
      <c r="B1086" s="281"/>
      <c r="C1086" s="281"/>
      <c r="F1086" s="173"/>
      <c r="G1086" s="173"/>
      <c r="H1086" s="173"/>
      <c r="I1086" s="174"/>
      <c r="K1086" s="177"/>
      <c r="L1086" s="177"/>
      <c r="Q1086" s="179"/>
      <c r="R1086" s="217"/>
      <c r="S1086" s="218"/>
      <c r="T1086" s="180"/>
      <c r="U1086" s="181"/>
      <c r="V1086" s="181"/>
      <c r="W1086" s="181"/>
      <c r="X1086" s="181"/>
      <c r="Y1086" s="3"/>
      <c r="Z1086" s="3"/>
    </row>
    <row r="1087" spans="1:26" ht="23.25" customHeight="1">
      <c r="A1087" s="281"/>
      <c r="B1087" s="281"/>
      <c r="C1087" s="281"/>
      <c r="F1087" s="173"/>
      <c r="G1087" s="173"/>
      <c r="H1087" s="173"/>
      <c r="I1087" s="174"/>
      <c r="K1087" s="177"/>
      <c r="L1087" s="177"/>
      <c r="Q1087" s="179"/>
      <c r="R1087" s="217"/>
      <c r="S1087" s="218"/>
      <c r="T1087" s="180"/>
      <c r="U1087" s="181"/>
      <c r="V1087" s="181"/>
      <c r="W1087" s="181"/>
      <c r="X1087" s="181"/>
      <c r="Y1087" s="3"/>
      <c r="Z1087" s="3"/>
    </row>
    <row r="1088" spans="1:26" ht="23.25" customHeight="1">
      <c r="A1088" s="281"/>
      <c r="B1088" s="281"/>
      <c r="C1088" s="281"/>
      <c r="F1088" s="173"/>
      <c r="G1088" s="173"/>
      <c r="H1088" s="173"/>
      <c r="I1088" s="174"/>
      <c r="K1088" s="177"/>
      <c r="L1088" s="177"/>
      <c r="Q1088" s="179"/>
      <c r="R1088" s="217"/>
      <c r="S1088" s="218"/>
      <c r="T1088" s="180"/>
      <c r="U1088" s="181"/>
      <c r="V1088" s="181"/>
      <c r="W1088" s="181"/>
      <c r="X1088" s="181"/>
      <c r="Y1088" s="3"/>
      <c r="Z1088" s="3"/>
    </row>
    <row r="1089" spans="1:26" ht="23.25" customHeight="1">
      <c r="A1089" s="281"/>
      <c r="B1089" s="281"/>
      <c r="C1089" s="281"/>
      <c r="F1089" s="173"/>
      <c r="G1089" s="173"/>
      <c r="H1089" s="173"/>
      <c r="I1089" s="174"/>
      <c r="K1089" s="177"/>
      <c r="L1089" s="177"/>
      <c r="Q1089" s="179"/>
      <c r="R1089" s="217"/>
      <c r="S1089" s="218"/>
      <c r="T1089" s="180"/>
      <c r="U1089" s="181"/>
      <c r="V1089" s="181"/>
      <c r="W1089" s="181"/>
      <c r="X1089" s="181"/>
      <c r="Y1089" s="3"/>
      <c r="Z1089" s="3"/>
    </row>
    <row r="1090" spans="1:26" ht="23.25" customHeight="1">
      <c r="A1090" s="281"/>
      <c r="B1090" s="281"/>
      <c r="C1090" s="281"/>
      <c r="F1090" s="173"/>
      <c r="G1090" s="173"/>
      <c r="H1090" s="173"/>
      <c r="I1090" s="174"/>
      <c r="K1090" s="177"/>
      <c r="L1090" s="177"/>
      <c r="Q1090" s="179"/>
      <c r="R1090" s="217"/>
      <c r="S1090" s="218"/>
      <c r="T1090" s="180"/>
      <c r="U1090" s="181"/>
      <c r="V1090" s="181"/>
      <c r="W1090" s="181"/>
      <c r="X1090" s="181"/>
      <c r="Y1090" s="3"/>
      <c r="Z1090" s="3"/>
    </row>
    <row r="1091" spans="1:26" ht="23.25" customHeight="1">
      <c r="A1091" s="281"/>
      <c r="B1091" s="281"/>
      <c r="C1091" s="281"/>
      <c r="F1091" s="173"/>
      <c r="G1091" s="173"/>
      <c r="H1091" s="173"/>
      <c r="I1091" s="174"/>
      <c r="K1091" s="177"/>
      <c r="L1091" s="177"/>
      <c r="Q1091" s="179"/>
      <c r="R1091" s="217"/>
      <c r="S1091" s="218"/>
      <c r="T1091" s="180"/>
      <c r="U1091" s="181"/>
      <c r="V1091" s="181"/>
      <c r="W1091" s="181"/>
      <c r="X1091" s="181"/>
      <c r="Y1091" s="3"/>
      <c r="Z1091" s="3"/>
    </row>
    <row r="1092" spans="1:26" ht="23.25" customHeight="1">
      <c r="A1092" s="281"/>
      <c r="B1092" s="281"/>
      <c r="C1092" s="281"/>
      <c r="F1092" s="173"/>
      <c r="G1092" s="173"/>
      <c r="H1092" s="173"/>
      <c r="I1092" s="174"/>
      <c r="K1092" s="177"/>
      <c r="L1092" s="177"/>
      <c r="Q1092" s="179"/>
      <c r="R1092" s="217"/>
      <c r="S1092" s="218"/>
      <c r="T1092" s="180"/>
      <c r="U1092" s="181"/>
      <c r="V1092" s="181"/>
      <c r="W1092" s="181"/>
      <c r="X1092" s="181"/>
      <c r="Y1092" s="3"/>
      <c r="Z1092" s="3"/>
    </row>
    <row r="1093" spans="1:26" ht="23.25" customHeight="1">
      <c r="A1093" s="281"/>
      <c r="B1093" s="281"/>
      <c r="C1093" s="281"/>
      <c r="F1093" s="173"/>
      <c r="G1093" s="173"/>
      <c r="H1093" s="173"/>
      <c r="I1093" s="174"/>
      <c r="K1093" s="177"/>
      <c r="L1093" s="177"/>
      <c r="Q1093" s="179"/>
      <c r="R1093" s="217"/>
      <c r="S1093" s="218"/>
      <c r="T1093" s="180"/>
      <c r="U1093" s="181"/>
      <c r="V1093" s="181"/>
      <c r="W1093" s="181"/>
      <c r="X1093" s="181"/>
      <c r="Y1093" s="3"/>
      <c r="Z1093" s="3"/>
    </row>
    <row r="1094" spans="1:26" ht="23.25" customHeight="1">
      <c r="A1094" s="281"/>
      <c r="B1094" s="281"/>
      <c r="C1094" s="281"/>
      <c r="F1094" s="173"/>
      <c r="G1094" s="173"/>
      <c r="H1094" s="173"/>
      <c r="I1094" s="174"/>
      <c r="K1094" s="177"/>
      <c r="L1094" s="177"/>
      <c r="Q1094" s="179"/>
      <c r="R1094" s="217"/>
      <c r="S1094" s="218"/>
      <c r="T1094" s="180"/>
      <c r="U1094" s="181"/>
      <c r="V1094" s="181"/>
      <c r="W1094" s="181"/>
      <c r="X1094" s="181"/>
      <c r="Y1094" s="3"/>
      <c r="Z1094" s="3"/>
    </row>
    <row r="1095" spans="1:26" ht="23.25" customHeight="1">
      <c r="A1095" s="281"/>
      <c r="B1095" s="281"/>
      <c r="C1095" s="281"/>
      <c r="F1095" s="173"/>
      <c r="G1095" s="173"/>
      <c r="H1095" s="173"/>
      <c r="I1095" s="174"/>
      <c r="K1095" s="177"/>
      <c r="L1095" s="177"/>
      <c r="Q1095" s="179"/>
      <c r="R1095" s="217"/>
      <c r="S1095" s="218"/>
      <c r="T1095" s="180"/>
      <c r="U1095" s="181"/>
      <c r="V1095" s="181"/>
      <c r="W1095" s="181"/>
      <c r="X1095" s="181"/>
      <c r="Y1095" s="3"/>
      <c r="Z1095" s="3"/>
    </row>
    <row r="1096" spans="1:26" ht="23.25" customHeight="1">
      <c r="A1096" s="281"/>
      <c r="B1096" s="281"/>
      <c r="C1096" s="281"/>
      <c r="F1096" s="173"/>
      <c r="G1096" s="173"/>
      <c r="H1096" s="173"/>
      <c r="I1096" s="174"/>
      <c r="K1096" s="177"/>
      <c r="L1096" s="177"/>
      <c r="Q1096" s="179"/>
      <c r="R1096" s="217"/>
      <c r="S1096" s="218"/>
      <c r="T1096" s="180"/>
      <c r="U1096" s="181"/>
      <c r="V1096" s="181"/>
      <c r="W1096" s="181"/>
      <c r="X1096" s="181"/>
      <c r="Y1096" s="3"/>
      <c r="Z1096" s="3"/>
    </row>
    <row r="1097" spans="1:26" ht="23.25" customHeight="1">
      <c r="A1097" s="281"/>
      <c r="B1097" s="281"/>
      <c r="C1097" s="281"/>
      <c r="F1097" s="173"/>
      <c r="G1097" s="173"/>
      <c r="H1097" s="173"/>
      <c r="I1097" s="174"/>
      <c r="K1097" s="177"/>
      <c r="L1097" s="177"/>
      <c r="Q1097" s="179"/>
      <c r="R1097" s="217"/>
      <c r="S1097" s="218"/>
      <c r="T1097" s="180"/>
      <c r="U1097" s="181"/>
      <c r="V1097" s="181"/>
      <c r="W1097" s="181"/>
      <c r="X1097" s="181"/>
      <c r="Y1097" s="3"/>
      <c r="Z1097" s="3"/>
    </row>
    <row r="1098" spans="1:26" ht="23.25" customHeight="1">
      <c r="A1098" s="281"/>
      <c r="B1098" s="281"/>
      <c r="C1098" s="281"/>
      <c r="F1098" s="173"/>
      <c r="G1098" s="173"/>
      <c r="H1098" s="173"/>
      <c r="I1098" s="174"/>
      <c r="K1098" s="177"/>
      <c r="L1098" s="177"/>
      <c r="Q1098" s="179"/>
      <c r="R1098" s="217"/>
      <c r="S1098" s="218"/>
      <c r="T1098" s="180"/>
      <c r="U1098" s="181"/>
      <c r="V1098" s="181"/>
      <c r="W1098" s="181"/>
      <c r="X1098" s="181"/>
      <c r="Y1098" s="3"/>
      <c r="Z1098" s="3"/>
    </row>
    <row r="1099" spans="1:26" ht="23.25" customHeight="1">
      <c r="A1099" s="281"/>
      <c r="B1099" s="281"/>
      <c r="C1099" s="281"/>
      <c r="F1099" s="173"/>
      <c r="G1099" s="173"/>
      <c r="H1099" s="173"/>
      <c r="I1099" s="174"/>
      <c r="K1099" s="177"/>
      <c r="L1099" s="177"/>
      <c r="Q1099" s="179"/>
      <c r="R1099" s="217"/>
      <c r="S1099" s="218"/>
      <c r="T1099" s="180"/>
      <c r="U1099" s="181"/>
      <c r="V1099" s="181"/>
      <c r="W1099" s="181"/>
      <c r="X1099" s="181"/>
      <c r="Y1099" s="3"/>
      <c r="Z1099" s="3"/>
    </row>
    <row r="1100" spans="1:26" ht="23.25" customHeight="1">
      <c r="A1100" s="281"/>
      <c r="B1100" s="281"/>
      <c r="C1100" s="281"/>
      <c r="F1100" s="173"/>
      <c r="G1100" s="173"/>
      <c r="H1100" s="173"/>
      <c r="I1100" s="174"/>
      <c r="K1100" s="177"/>
      <c r="L1100" s="177"/>
      <c r="Q1100" s="179"/>
      <c r="R1100" s="217"/>
      <c r="S1100" s="218"/>
      <c r="T1100" s="180"/>
      <c r="U1100" s="181"/>
      <c r="V1100" s="181"/>
      <c r="W1100" s="181"/>
      <c r="X1100" s="181"/>
      <c r="Y1100" s="3"/>
      <c r="Z1100" s="3"/>
    </row>
    <row r="1101" spans="1:26" ht="23.25" customHeight="1">
      <c r="A1101" s="281"/>
      <c r="B1101" s="281"/>
      <c r="C1101" s="281"/>
      <c r="F1101" s="173"/>
      <c r="G1101" s="173"/>
      <c r="H1101" s="173"/>
      <c r="I1101" s="174"/>
      <c r="K1101" s="177"/>
      <c r="L1101" s="177"/>
      <c r="Q1101" s="179"/>
      <c r="R1101" s="217"/>
      <c r="S1101" s="218"/>
      <c r="T1101" s="180"/>
      <c r="U1101" s="181"/>
      <c r="V1101" s="181"/>
      <c r="W1101" s="181"/>
      <c r="X1101" s="181"/>
      <c r="Y1101" s="3"/>
      <c r="Z1101" s="3"/>
    </row>
    <row r="1102" spans="1:26" ht="23.25" customHeight="1">
      <c r="A1102" s="281"/>
      <c r="B1102" s="281"/>
      <c r="C1102" s="281"/>
      <c r="F1102" s="173"/>
      <c r="G1102" s="173"/>
      <c r="H1102" s="173"/>
      <c r="I1102" s="174"/>
      <c r="K1102" s="177"/>
      <c r="L1102" s="177"/>
      <c r="Q1102" s="179"/>
      <c r="R1102" s="217"/>
      <c r="S1102" s="218"/>
      <c r="T1102" s="180"/>
      <c r="U1102" s="181"/>
      <c r="V1102" s="181"/>
      <c r="W1102" s="181"/>
      <c r="X1102" s="181"/>
      <c r="Y1102" s="3"/>
      <c r="Z1102" s="3"/>
    </row>
    <row r="1103" spans="1:26" ht="23.25" customHeight="1">
      <c r="A1103" s="281"/>
      <c r="B1103" s="281"/>
      <c r="C1103" s="281"/>
      <c r="F1103" s="173"/>
      <c r="G1103" s="173"/>
      <c r="H1103" s="173"/>
      <c r="I1103" s="174"/>
      <c r="K1103" s="177"/>
      <c r="L1103" s="177"/>
      <c r="Q1103" s="179"/>
      <c r="R1103" s="217"/>
      <c r="S1103" s="218"/>
      <c r="T1103" s="180"/>
      <c r="U1103" s="181"/>
      <c r="V1103" s="181"/>
      <c r="W1103" s="181"/>
      <c r="X1103" s="181"/>
      <c r="Y1103" s="3"/>
      <c r="Z1103" s="3"/>
    </row>
    <row r="1104" spans="1:26" ht="23.25" customHeight="1">
      <c r="A1104" s="281"/>
      <c r="B1104" s="281"/>
      <c r="C1104" s="281"/>
      <c r="F1104" s="173"/>
      <c r="G1104" s="173"/>
      <c r="H1104" s="173"/>
      <c r="I1104" s="174"/>
      <c r="K1104" s="177"/>
      <c r="L1104" s="177"/>
      <c r="Q1104" s="179"/>
      <c r="R1104" s="217"/>
      <c r="S1104" s="218"/>
      <c r="T1104" s="180"/>
      <c r="U1104" s="181"/>
      <c r="V1104" s="181"/>
      <c r="W1104" s="181"/>
      <c r="X1104" s="181"/>
      <c r="Y1104" s="3"/>
      <c r="Z1104" s="3"/>
    </row>
    <row r="1105" spans="1:26" ht="23.25" customHeight="1">
      <c r="A1105" s="281"/>
      <c r="B1105" s="281"/>
      <c r="C1105" s="281"/>
      <c r="F1105" s="173"/>
      <c r="G1105" s="173"/>
      <c r="H1105" s="173"/>
      <c r="I1105" s="174"/>
      <c r="K1105" s="177"/>
      <c r="L1105" s="177"/>
      <c r="Q1105" s="179"/>
      <c r="R1105" s="217"/>
      <c r="S1105" s="218"/>
      <c r="T1105" s="180"/>
      <c r="U1105" s="181"/>
      <c r="V1105" s="181"/>
      <c r="W1105" s="181"/>
      <c r="X1105" s="181"/>
      <c r="Y1105" s="3"/>
      <c r="Z1105" s="3"/>
    </row>
    <row r="1106" spans="1:26" ht="23.25" customHeight="1">
      <c r="A1106" s="281"/>
      <c r="B1106" s="281"/>
      <c r="C1106" s="281"/>
      <c r="F1106" s="173"/>
      <c r="G1106" s="173"/>
      <c r="H1106" s="173"/>
      <c r="I1106" s="174"/>
      <c r="K1106" s="177"/>
      <c r="L1106" s="177"/>
      <c r="Q1106" s="179"/>
      <c r="R1106" s="217"/>
      <c r="S1106" s="218"/>
      <c r="T1106" s="180"/>
      <c r="U1106" s="181"/>
      <c r="V1106" s="181"/>
      <c r="W1106" s="181"/>
      <c r="X1106" s="181"/>
      <c r="Y1106" s="3"/>
      <c r="Z1106" s="3"/>
    </row>
    <row r="1107" spans="1:26" ht="23.25" customHeight="1">
      <c r="A1107" s="281"/>
      <c r="B1107" s="281"/>
      <c r="C1107" s="281"/>
      <c r="F1107" s="173"/>
      <c r="G1107" s="173"/>
      <c r="H1107" s="173"/>
      <c r="I1107" s="174"/>
      <c r="K1107" s="177"/>
      <c r="L1107" s="177"/>
      <c r="Q1107" s="179"/>
      <c r="R1107" s="217"/>
      <c r="S1107" s="218"/>
      <c r="T1107" s="180"/>
      <c r="U1107" s="181"/>
      <c r="V1107" s="181"/>
      <c r="W1107" s="181"/>
      <c r="X1107" s="181"/>
      <c r="Y1107" s="3"/>
      <c r="Z1107" s="3"/>
    </row>
    <row r="1108" spans="1:26" ht="23.25" customHeight="1">
      <c r="A1108" s="281"/>
      <c r="B1108" s="281"/>
      <c r="C1108" s="281"/>
      <c r="F1108" s="173"/>
      <c r="G1108" s="173"/>
      <c r="H1108" s="173"/>
      <c r="I1108" s="174"/>
      <c r="K1108" s="177"/>
      <c r="L1108" s="177"/>
      <c r="Q1108" s="179"/>
      <c r="R1108" s="217"/>
      <c r="S1108" s="218"/>
      <c r="T1108" s="180"/>
      <c r="U1108" s="181"/>
      <c r="V1108" s="181"/>
      <c r="W1108" s="181"/>
      <c r="X1108" s="181"/>
      <c r="Y1108" s="3"/>
      <c r="Z1108" s="3"/>
    </row>
    <row r="1109" spans="1:26" ht="23.25" customHeight="1">
      <c r="A1109" s="281"/>
      <c r="B1109" s="281"/>
      <c r="C1109" s="281"/>
      <c r="F1109" s="173"/>
      <c r="G1109" s="173"/>
      <c r="H1109" s="173"/>
      <c r="I1109" s="174"/>
      <c r="K1109" s="177"/>
      <c r="L1109" s="177"/>
      <c r="Q1109" s="179"/>
      <c r="R1109" s="217"/>
      <c r="S1109" s="218"/>
      <c r="T1109" s="180"/>
      <c r="U1109" s="181"/>
      <c r="V1109" s="181"/>
      <c r="W1109" s="181"/>
      <c r="X1109" s="181"/>
      <c r="Y1109" s="3"/>
      <c r="Z1109" s="3"/>
    </row>
    <row r="1110" spans="1:26" ht="23.25" customHeight="1">
      <c r="A1110" s="281"/>
      <c r="B1110" s="281"/>
      <c r="C1110" s="281"/>
      <c r="F1110" s="173"/>
      <c r="G1110" s="173"/>
      <c r="H1110" s="173"/>
      <c r="I1110" s="174"/>
      <c r="K1110" s="177"/>
      <c r="L1110" s="177"/>
      <c r="Q1110" s="179"/>
      <c r="R1110" s="217"/>
      <c r="S1110" s="218"/>
      <c r="T1110" s="180"/>
      <c r="U1110" s="181"/>
      <c r="V1110" s="181"/>
      <c r="W1110" s="181"/>
      <c r="X1110" s="181"/>
      <c r="Y1110" s="3"/>
      <c r="Z1110" s="3"/>
    </row>
    <row r="1111" spans="1:26" ht="23.25" customHeight="1">
      <c r="A1111" s="281"/>
      <c r="B1111" s="281"/>
      <c r="C1111" s="281"/>
      <c r="F1111" s="173"/>
      <c r="G1111" s="173"/>
      <c r="H1111" s="173"/>
      <c r="I1111" s="174"/>
      <c r="K1111" s="177"/>
      <c r="L1111" s="177"/>
      <c r="Q1111" s="179"/>
      <c r="R1111" s="217"/>
      <c r="S1111" s="218"/>
      <c r="T1111" s="180"/>
      <c r="U1111" s="181"/>
      <c r="V1111" s="181"/>
      <c r="W1111" s="181"/>
      <c r="X1111" s="181"/>
      <c r="Y1111" s="3"/>
      <c r="Z1111" s="3"/>
    </row>
    <row r="1112" spans="1:26" ht="23.25" customHeight="1">
      <c r="A1112" s="281"/>
      <c r="B1112" s="281"/>
      <c r="C1112" s="281"/>
      <c r="F1112" s="173"/>
      <c r="G1112" s="173"/>
      <c r="H1112" s="173"/>
      <c r="I1112" s="174"/>
      <c r="K1112" s="177"/>
      <c r="L1112" s="177"/>
      <c r="Q1112" s="179"/>
      <c r="R1112" s="217"/>
      <c r="S1112" s="218"/>
      <c r="T1112" s="180"/>
      <c r="U1112" s="181"/>
      <c r="V1112" s="181"/>
      <c r="W1112" s="181"/>
      <c r="X1112" s="181"/>
      <c r="Y1112" s="3"/>
      <c r="Z1112" s="3"/>
    </row>
    <row r="1113" spans="1:26" ht="23.25" customHeight="1">
      <c r="A1113" s="281"/>
      <c r="B1113" s="281"/>
      <c r="C1113" s="281"/>
      <c r="F1113" s="173"/>
      <c r="G1113" s="173"/>
      <c r="H1113" s="173"/>
      <c r="I1113" s="174"/>
      <c r="K1113" s="177"/>
      <c r="L1113" s="177"/>
      <c r="Q1113" s="179"/>
      <c r="R1113" s="217"/>
      <c r="S1113" s="218"/>
      <c r="T1113" s="180"/>
      <c r="U1113" s="181"/>
      <c r="V1113" s="181"/>
      <c r="W1113" s="181"/>
      <c r="X1113" s="181"/>
      <c r="Y1113" s="3"/>
      <c r="Z1113" s="3"/>
    </row>
    <row r="1114" spans="1:26" ht="23.25" customHeight="1">
      <c r="A1114" s="281"/>
      <c r="B1114" s="281"/>
      <c r="C1114" s="281"/>
      <c r="F1114" s="173"/>
      <c r="G1114" s="173"/>
      <c r="H1114" s="173"/>
      <c r="I1114" s="174"/>
      <c r="K1114" s="177"/>
      <c r="L1114" s="177"/>
      <c r="Q1114" s="179"/>
      <c r="R1114" s="217"/>
      <c r="S1114" s="218"/>
      <c r="T1114" s="180"/>
      <c r="U1114" s="181"/>
      <c r="V1114" s="181"/>
      <c r="W1114" s="181"/>
      <c r="X1114" s="181"/>
      <c r="Y1114" s="3"/>
      <c r="Z1114" s="3"/>
    </row>
    <row r="1115" spans="1:26" ht="23.25" customHeight="1">
      <c r="A1115" s="281"/>
      <c r="B1115" s="281"/>
      <c r="C1115" s="281"/>
      <c r="F1115" s="173"/>
      <c r="G1115" s="173"/>
      <c r="H1115" s="173"/>
      <c r="I1115" s="174"/>
      <c r="K1115" s="177"/>
      <c r="L1115" s="177"/>
      <c r="Q1115" s="179"/>
      <c r="R1115" s="217"/>
      <c r="S1115" s="218"/>
      <c r="T1115" s="180"/>
      <c r="U1115" s="181"/>
      <c r="V1115" s="181"/>
      <c r="W1115" s="181"/>
      <c r="X1115" s="181"/>
      <c r="Y1115" s="3"/>
      <c r="Z1115" s="3"/>
    </row>
    <row r="1116" spans="1:26" ht="23.25" customHeight="1">
      <c r="A1116" s="281"/>
      <c r="B1116" s="281"/>
      <c r="C1116" s="281"/>
      <c r="F1116" s="173"/>
      <c r="G1116" s="173"/>
      <c r="H1116" s="173"/>
      <c r="I1116" s="174"/>
      <c r="K1116" s="177"/>
      <c r="L1116" s="177"/>
      <c r="Q1116" s="179"/>
      <c r="R1116" s="217"/>
      <c r="S1116" s="218"/>
      <c r="T1116" s="180"/>
      <c r="U1116" s="181"/>
      <c r="V1116" s="181"/>
      <c r="W1116" s="181"/>
      <c r="X1116" s="181"/>
      <c r="Y1116" s="3"/>
      <c r="Z1116" s="3"/>
    </row>
    <row r="1117" spans="1:26" ht="23.25" customHeight="1">
      <c r="A1117" s="281"/>
      <c r="B1117" s="281"/>
      <c r="C1117" s="281"/>
      <c r="F1117" s="173"/>
      <c r="G1117" s="173"/>
      <c r="H1117" s="173"/>
      <c r="I1117" s="174"/>
      <c r="K1117" s="177"/>
      <c r="L1117" s="177"/>
      <c r="Q1117" s="179"/>
      <c r="R1117" s="217"/>
      <c r="S1117" s="218"/>
      <c r="T1117" s="180"/>
      <c r="U1117" s="181"/>
      <c r="V1117" s="181"/>
      <c r="W1117" s="181"/>
      <c r="X1117" s="181"/>
      <c r="Y1117" s="3"/>
      <c r="Z1117" s="3"/>
    </row>
    <row r="1118" spans="1:26" ht="23.25" customHeight="1">
      <c r="A1118" s="281"/>
      <c r="B1118" s="281"/>
      <c r="C1118" s="281"/>
      <c r="F1118" s="173"/>
      <c r="G1118" s="173"/>
      <c r="H1118" s="173"/>
      <c r="I1118" s="174"/>
      <c r="K1118" s="177"/>
      <c r="L1118" s="177"/>
      <c r="Q1118" s="179"/>
      <c r="R1118" s="217"/>
      <c r="S1118" s="218"/>
      <c r="T1118" s="180"/>
      <c r="U1118" s="181"/>
      <c r="V1118" s="181"/>
      <c r="W1118" s="181"/>
      <c r="X1118" s="181"/>
      <c r="Y1118" s="3"/>
      <c r="Z1118" s="3"/>
    </row>
    <row r="1119" spans="1:26" ht="23.25" customHeight="1">
      <c r="A1119" s="281"/>
      <c r="B1119" s="281"/>
      <c r="C1119" s="281"/>
      <c r="F1119" s="173"/>
      <c r="G1119" s="173"/>
      <c r="H1119" s="173"/>
      <c r="I1119" s="174"/>
      <c r="K1119" s="177"/>
      <c r="L1119" s="177"/>
      <c r="Q1119" s="179"/>
      <c r="R1119" s="217"/>
      <c r="S1119" s="218"/>
      <c r="T1119" s="180"/>
      <c r="U1119" s="181"/>
      <c r="V1119" s="181"/>
      <c r="W1119" s="181"/>
      <c r="X1119" s="181"/>
      <c r="Y1119" s="3"/>
      <c r="Z1119" s="3"/>
    </row>
    <row r="1120" spans="1:26" ht="23.25" customHeight="1">
      <c r="A1120" s="281"/>
      <c r="B1120" s="281"/>
      <c r="C1120" s="281"/>
      <c r="F1120" s="173"/>
      <c r="G1120" s="173"/>
      <c r="H1120" s="173"/>
      <c r="I1120" s="174"/>
      <c r="K1120" s="177"/>
      <c r="L1120" s="177"/>
      <c r="Q1120" s="179"/>
      <c r="R1120" s="217"/>
      <c r="S1120" s="218"/>
      <c r="T1120" s="180"/>
      <c r="U1120" s="181"/>
      <c r="V1120" s="181"/>
      <c r="W1120" s="181"/>
      <c r="X1120" s="181"/>
      <c r="Y1120" s="3"/>
      <c r="Z1120" s="3"/>
    </row>
    <row r="1121" spans="1:26" ht="23.25" customHeight="1">
      <c r="A1121" s="281"/>
      <c r="B1121" s="281"/>
      <c r="C1121" s="281"/>
      <c r="F1121" s="173"/>
      <c r="G1121" s="173"/>
      <c r="H1121" s="173"/>
      <c r="I1121" s="174"/>
      <c r="K1121" s="177"/>
      <c r="L1121" s="177"/>
      <c r="Q1121" s="179"/>
      <c r="R1121" s="217"/>
      <c r="S1121" s="218"/>
      <c r="T1121" s="180"/>
      <c r="U1121" s="181"/>
      <c r="V1121" s="181"/>
      <c r="W1121" s="181"/>
      <c r="X1121" s="181"/>
      <c r="Y1121" s="3"/>
      <c r="Z1121" s="3"/>
    </row>
    <row r="1122" spans="1:26" ht="23.25" customHeight="1">
      <c r="A1122" s="281"/>
      <c r="B1122" s="281"/>
      <c r="C1122" s="281"/>
      <c r="F1122" s="173"/>
      <c r="G1122" s="173"/>
      <c r="H1122" s="173"/>
      <c r="I1122" s="174"/>
      <c r="K1122" s="177"/>
      <c r="L1122" s="177"/>
      <c r="Q1122" s="179"/>
      <c r="R1122" s="217"/>
      <c r="S1122" s="218"/>
      <c r="T1122" s="180"/>
      <c r="U1122" s="181"/>
      <c r="V1122" s="181"/>
      <c r="W1122" s="181"/>
      <c r="X1122" s="181"/>
      <c r="Y1122" s="3"/>
      <c r="Z1122" s="3"/>
    </row>
    <row r="1123" spans="1:26" ht="23.25" customHeight="1">
      <c r="A1123" s="281"/>
      <c r="B1123" s="281"/>
      <c r="C1123" s="281"/>
      <c r="F1123" s="173"/>
      <c r="G1123" s="173"/>
      <c r="H1123" s="173"/>
      <c r="I1123" s="174"/>
      <c r="K1123" s="177"/>
      <c r="L1123" s="177"/>
      <c r="Q1123" s="179"/>
      <c r="R1123" s="217"/>
      <c r="S1123" s="218"/>
      <c r="T1123" s="180"/>
      <c r="U1123" s="181"/>
      <c r="V1123" s="181"/>
      <c r="W1123" s="181"/>
      <c r="X1123" s="181"/>
      <c r="Y1123" s="3"/>
      <c r="Z1123" s="3"/>
    </row>
    <row r="1124" spans="1:26" ht="23.25" customHeight="1">
      <c r="A1124" s="281"/>
      <c r="B1124" s="281"/>
      <c r="C1124" s="281"/>
      <c r="F1124" s="173"/>
      <c r="G1124" s="173"/>
      <c r="H1124" s="173"/>
      <c r="I1124" s="174"/>
      <c r="K1124" s="177"/>
      <c r="L1124" s="177"/>
      <c r="Q1124" s="179"/>
      <c r="R1124" s="217"/>
      <c r="S1124" s="218"/>
      <c r="T1124" s="180"/>
      <c r="U1124" s="181"/>
      <c r="V1124" s="181"/>
      <c r="W1124" s="181"/>
      <c r="X1124" s="181"/>
      <c r="Y1124" s="3"/>
      <c r="Z1124" s="3"/>
    </row>
    <row r="1125" spans="1:26" ht="23.25" customHeight="1">
      <c r="A1125" s="281"/>
      <c r="B1125" s="281"/>
      <c r="C1125" s="281"/>
      <c r="F1125" s="173"/>
      <c r="G1125" s="173"/>
      <c r="H1125" s="173"/>
      <c r="I1125" s="174"/>
      <c r="K1125" s="177"/>
      <c r="L1125" s="177"/>
      <c r="Q1125" s="179"/>
      <c r="R1125" s="217"/>
      <c r="S1125" s="218"/>
      <c r="T1125" s="180"/>
      <c r="U1125" s="181"/>
      <c r="V1125" s="181"/>
      <c r="W1125" s="181"/>
      <c r="X1125" s="181"/>
      <c r="Y1125" s="3"/>
      <c r="Z1125" s="3"/>
    </row>
    <row r="1126" spans="1:26" ht="23.25" customHeight="1">
      <c r="A1126" s="281"/>
      <c r="B1126" s="281"/>
      <c r="C1126" s="281"/>
      <c r="F1126" s="173"/>
      <c r="G1126" s="173"/>
      <c r="H1126" s="173"/>
      <c r="I1126" s="174"/>
      <c r="K1126" s="177"/>
      <c r="L1126" s="177"/>
      <c r="Q1126" s="179"/>
      <c r="R1126" s="217"/>
      <c r="S1126" s="218"/>
      <c r="T1126" s="180"/>
      <c r="U1126" s="181"/>
      <c r="V1126" s="181"/>
      <c r="W1126" s="181"/>
      <c r="X1126" s="181"/>
      <c r="Y1126" s="3"/>
      <c r="Z1126" s="3"/>
    </row>
    <row r="1127" spans="1:26" ht="23.25" customHeight="1">
      <c r="A1127" s="281"/>
      <c r="B1127" s="281"/>
      <c r="C1127" s="281"/>
      <c r="F1127" s="173"/>
      <c r="G1127" s="173"/>
      <c r="H1127" s="173"/>
      <c r="I1127" s="174"/>
      <c r="K1127" s="177"/>
      <c r="L1127" s="177"/>
      <c r="Q1127" s="179"/>
      <c r="R1127" s="217"/>
      <c r="S1127" s="218"/>
      <c r="T1127" s="180"/>
      <c r="U1127" s="181"/>
      <c r="V1127" s="181"/>
      <c r="W1127" s="181"/>
      <c r="X1127" s="181"/>
      <c r="Y1127" s="3"/>
      <c r="Z1127" s="3"/>
    </row>
    <row r="1128" spans="1:26" ht="23.25" customHeight="1">
      <c r="A1128" s="281"/>
      <c r="B1128" s="281"/>
      <c r="C1128" s="281"/>
      <c r="F1128" s="173"/>
      <c r="G1128" s="173"/>
      <c r="H1128" s="173"/>
      <c r="I1128" s="174"/>
      <c r="K1128" s="177"/>
      <c r="L1128" s="177"/>
      <c r="Q1128" s="179"/>
      <c r="R1128" s="217"/>
      <c r="S1128" s="218"/>
      <c r="T1128" s="180"/>
      <c r="U1128" s="181"/>
      <c r="V1128" s="181"/>
      <c r="W1128" s="181"/>
      <c r="X1128" s="181"/>
      <c r="Y1128" s="3"/>
      <c r="Z1128" s="3"/>
    </row>
    <row r="1129" spans="1:26" ht="23.25" customHeight="1">
      <c r="A1129" s="281"/>
      <c r="B1129" s="281"/>
      <c r="C1129" s="281"/>
      <c r="F1129" s="173"/>
      <c r="G1129" s="173"/>
      <c r="H1129" s="173"/>
      <c r="I1129" s="174"/>
      <c r="K1129" s="177"/>
      <c r="L1129" s="177"/>
      <c r="Q1129" s="179"/>
      <c r="R1129" s="217"/>
      <c r="S1129" s="218"/>
      <c r="T1129" s="180"/>
      <c r="U1129" s="181"/>
      <c r="V1129" s="181"/>
      <c r="W1129" s="181"/>
      <c r="X1129" s="181"/>
      <c r="Y1129" s="3"/>
      <c r="Z1129" s="3"/>
    </row>
    <row r="1130" spans="1:26" ht="23.25" customHeight="1">
      <c r="A1130" s="281"/>
      <c r="B1130" s="281"/>
      <c r="C1130" s="281"/>
      <c r="F1130" s="173"/>
      <c r="G1130" s="173"/>
      <c r="H1130" s="173"/>
      <c r="I1130" s="174"/>
      <c r="K1130" s="177"/>
      <c r="L1130" s="177"/>
      <c r="Q1130" s="179"/>
      <c r="R1130" s="217"/>
      <c r="S1130" s="218"/>
      <c r="T1130" s="180"/>
      <c r="U1130" s="181"/>
      <c r="V1130" s="181"/>
      <c r="W1130" s="181"/>
      <c r="X1130" s="181"/>
      <c r="Y1130" s="3"/>
      <c r="Z1130" s="3"/>
    </row>
    <row r="1131" spans="1:26" ht="23.25" customHeight="1">
      <c r="A1131" s="281"/>
      <c r="B1131" s="281"/>
      <c r="C1131" s="281"/>
      <c r="F1131" s="173"/>
      <c r="G1131" s="173"/>
      <c r="H1131" s="173"/>
      <c r="I1131" s="174"/>
      <c r="K1131" s="177"/>
      <c r="L1131" s="177"/>
      <c r="Q1131" s="179"/>
      <c r="R1131" s="217"/>
      <c r="S1131" s="218"/>
      <c r="T1131" s="180"/>
      <c r="U1131" s="181"/>
      <c r="V1131" s="181"/>
      <c r="W1131" s="181"/>
      <c r="X1131" s="181"/>
      <c r="Y1131" s="3"/>
      <c r="Z1131" s="3"/>
    </row>
    <row r="1132" spans="1:26" ht="23.25" customHeight="1">
      <c r="A1132" s="281"/>
      <c r="B1132" s="281"/>
      <c r="C1132" s="281"/>
      <c r="F1132" s="173"/>
      <c r="G1132" s="173"/>
      <c r="H1132" s="173"/>
      <c r="I1132" s="174"/>
      <c r="K1132" s="177"/>
      <c r="L1132" s="177"/>
      <c r="Q1132" s="179"/>
      <c r="R1132" s="217"/>
      <c r="S1132" s="218"/>
      <c r="T1132" s="180"/>
      <c r="U1132" s="181"/>
      <c r="V1132" s="181"/>
      <c r="W1132" s="181"/>
      <c r="X1132" s="181"/>
      <c r="Y1132" s="3"/>
      <c r="Z1132" s="3"/>
    </row>
    <row r="1133" spans="1:26" ht="23.25" customHeight="1">
      <c r="A1133" s="281"/>
      <c r="B1133" s="281"/>
      <c r="C1133" s="281"/>
      <c r="F1133" s="173"/>
      <c r="G1133" s="173"/>
      <c r="H1133" s="173"/>
      <c r="I1133" s="174"/>
      <c r="K1133" s="177"/>
      <c r="L1133" s="177"/>
      <c r="Q1133" s="179"/>
      <c r="R1133" s="217"/>
      <c r="S1133" s="218"/>
      <c r="T1133" s="180"/>
      <c r="U1133" s="181"/>
      <c r="V1133" s="181"/>
      <c r="W1133" s="181"/>
      <c r="X1133" s="181"/>
      <c r="Y1133" s="3"/>
      <c r="Z1133" s="3"/>
    </row>
    <row r="1134" spans="1:26" ht="23.25" customHeight="1">
      <c r="A1134" s="281"/>
      <c r="B1134" s="281"/>
      <c r="C1134" s="281"/>
      <c r="F1134" s="173"/>
      <c r="G1134" s="173"/>
      <c r="H1134" s="173"/>
      <c r="I1134" s="174"/>
      <c r="K1134" s="177"/>
      <c r="L1134" s="177"/>
      <c r="Q1134" s="179"/>
      <c r="R1134" s="217"/>
      <c r="S1134" s="218"/>
      <c r="T1134" s="180"/>
      <c r="U1134" s="181"/>
      <c r="V1134" s="181"/>
      <c r="W1134" s="181"/>
      <c r="X1134" s="181"/>
      <c r="Y1134" s="3"/>
      <c r="Z1134" s="3"/>
    </row>
    <row r="1135" spans="1:26" ht="23.25" customHeight="1">
      <c r="A1135" s="281"/>
      <c r="B1135" s="281"/>
      <c r="C1135" s="281"/>
      <c r="F1135" s="173"/>
      <c r="G1135" s="173"/>
      <c r="H1135" s="173"/>
      <c r="I1135" s="174"/>
      <c r="K1135" s="177"/>
      <c r="L1135" s="177"/>
      <c r="Q1135" s="179"/>
      <c r="R1135" s="217"/>
      <c r="S1135" s="218"/>
      <c r="T1135" s="180"/>
      <c r="U1135" s="181"/>
      <c r="V1135" s="181"/>
      <c r="W1135" s="181"/>
      <c r="X1135" s="181"/>
      <c r="Y1135" s="3"/>
      <c r="Z1135" s="3"/>
    </row>
    <row r="1136" spans="1:26" ht="23.25" customHeight="1">
      <c r="A1136" s="281"/>
      <c r="B1136" s="281"/>
      <c r="C1136" s="281"/>
      <c r="F1136" s="173"/>
      <c r="G1136" s="173"/>
      <c r="H1136" s="173"/>
      <c r="I1136" s="174"/>
      <c r="K1136" s="177"/>
      <c r="L1136" s="177"/>
      <c r="Q1136" s="179"/>
      <c r="R1136" s="217"/>
      <c r="S1136" s="218"/>
      <c r="T1136" s="180"/>
      <c r="U1136" s="181"/>
      <c r="V1136" s="181"/>
      <c r="W1136" s="181"/>
      <c r="X1136" s="181"/>
      <c r="Y1136" s="3"/>
      <c r="Z1136" s="3"/>
    </row>
    <row r="1137" spans="1:26" ht="23.25" customHeight="1">
      <c r="A1137" s="281"/>
      <c r="B1137" s="281"/>
      <c r="C1137" s="281"/>
      <c r="F1137" s="173"/>
      <c r="G1137" s="173"/>
      <c r="H1137" s="173"/>
      <c r="I1137" s="174"/>
      <c r="K1137" s="177"/>
      <c r="L1137" s="177"/>
      <c r="Q1137" s="179"/>
      <c r="R1137" s="217"/>
      <c r="S1137" s="218"/>
      <c r="T1137" s="180"/>
      <c r="U1137" s="181"/>
      <c r="V1137" s="181"/>
      <c r="W1137" s="181"/>
      <c r="X1137" s="181"/>
      <c r="Y1137" s="3"/>
      <c r="Z1137" s="3"/>
    </row>
    <row r="1138" spans="1:26" ht="23.25" customHeight="1">
      <c r="A1138" s="281"/>
      <c r="B1138" s="281"/>
      <c r="C1138" s="281"/>
      <c r="F1138" s="173"/>
      <c r="G1138" s="173"/>
      <c r="H1138" s="173"/>
      <c r="I1138" s="174"/>
      <c r="K1138" s="177"/>
      <c r="L1138" s="177"/>
      <c r="Q1138" s="179"/>
      <c r="R1138" s="217"/>
      <c r="S1138" s="218"/>
      <c r="T1138" s="180"/>
      <c r="U1138" s="181"/>
      <c r="V1138" s="181"/>
      <c r="W1138" s="181"/>
      <c r="X1138" s="181"/>
      <c r="Y1138" s="3"/>
      <c r="Z1138" s="3"/>
    </row>
    <row r="1139" spans="1:26" ht="23.25" customHeight="1">
      <c r="A1139" s="281"/>
      <c r="B1139" s="281"/>
      <c r="C1139" s="281"/>
      <c r="F1139" s="173"/>
      <c r="G1139" s="173"/>
      <c r="H1139" s="173"/>
      <c r="I1139" s="174"/>
      <c r="K1139" s="177"/>
      <c r="L1139" s="177"/>
      <c r="Q1139" s="179"/>
      <c r="R1139" s="217"/>
      <c r="S1139" s="218"/>
      <c r="T1139" s="180"/>
      <c r="U1139" s="181"/>
      <c r="V1139" s="181"/>
      <c r="W1139" s="181"/>
      <c r="X1139" s="181"/>
      <c r="Y1139" s="3"/>
      <c r="Z1139" s="3"/>
    </row>
    <row r="1140" spans="1:26" ht="23.25" customHeight="1">
      <c r="A1140" s="281"/>
      <c r="B1140" s="281"/>
      <c r="C1140" s="281"/>
      <c r="F1140" s="173"/>
      <c r="G1140" s="173"/>
      <c r="H1140" s="173"/>
      <c r="I1140" s="174"/>
      <c r="K1140" s="177"/>
      <c r="L1140" s="177"/>
      <c r="Q1140" s="179"/>
      <c r="R1140" s="217"/>
      <c r="S1140" s="218"/>
      <c r="T1140" s="180"/>
      <c r="U1140" s="181"/>
      <c r="V1140" s="181"/>
      <c r="W1140" s="181"/>
      <c r="X1140" s="181"/>
      <c r="Y1140" s="3"/>
      <c r="Z1140" s="3"/>
    </row>
    <row r="1141" spans="1:26" ht="23.25" customHeight="1">
      <c r="A1141" s="281"/>
      <c r="B1141" s="281"/>
      <c r="C1141" s="281"/>
      <c r="F1141" s="173"/>
      <c r="G1141" s="173"/>
      <c r="H1141" s="173"/>
      <c r="I1141" s="174"/>
      <c r="K1141" s="177"/>
      <c r="L1141" s="177"/>
      <c r="Q1141" s="179"/>
      <c r="R1141" s="217"/>
      <c r="S1141" s="218"/>
      <c r="T1141" s="180"/>
      <c r="U1141" s="181"/>
      <c r="V1141" s="181"/>
      <c r="W1141" s="181"/>
      <c r="X1141" s="181"/>
      <c r="Y1141" s="3"/>
      <c r="Z1141" s="3"/>
    </row>
    <row r="1142" spans="1:26" ht="23.25" customHeight="1">
      <c r="A1142" s="281"/>
      <c r="B1142" s="281"/>
      <c r="C1142" s="281"/>
      <c r="F1142" s="173"/>
      <c r="G1142" s="173"/>
      <c r="H1142" s="173"/>
      <c r="I1142" s="174"/>
      <c r="K1142" s="177"/>
      <c r="L1142" s="177"/>
      <c r="Q1142" s="179"/>
      <c r="R1142" s="217"/>
      <c r="S1142" s="218"/>
      <c r="T1142" s="180"/>
      <c r="U1142" s="181"/>
      <c r="V1142" s="181"/>
      <c r="W1142" s="181"/>
      <c r="X1142" s="181"/>
      <c r="Y1142" s="3"/>
      <c r="Z1142" s="3"/>
    </row>
    <row r="1143" spans="1:26" ht="23.25" customHeight="1">
      <c r="A1143" s="281"/>
      <c r="B1143" s="281"/>
      <c r="C1143" s="281"/>
      <c r="F1143" s="173"/>
      <c r="G1143" s="173"/>
      <c r="H1143" s="173"/>
      <c r="I1143" s="174"/>
      <c r="K1143" s="177"/>
      <c r="L1143" s="177"/>
      <c r="Q1143" s="179"/>
      <c r="R1143" s="217"/>
      <c r="S1143" s="218"/>
      <c r="T1143" s="180"/>
      <c r="U1143" s="181"/>
      <c r="V1143" s="181"/>
      <c r="W1143" s="181"/>
      <c r="X1143" s="181"/>
      <c r="Y1143" s="3"/>
      <c r="Z1143" s="3"/>
    </row>
    <row r="1144" spans="1:26" ht="23.25" customHeight="1">
      <c r="A1144" s="281"/>
      <c r="B1144" s="281"/>
      <c r="C1144" s="281"/>
      <c r="F1144" s="173"/>
      <c r="G1144" s="173"/>
      <c r="H1144" s="173"/>
      <c r="I1144" s="174"/>
      <c r="K1144" s="177"/>
      <c r="L1144" s="177"/>
      <c r="Q1144" s="179"/>
      <c r="R1144" s="217"/>
      <c r="S1144" s="218"/>
      <c r="T1144" s="180"/>
      <c r="U1144" s="181"/>
      <c r="V1144" s="181"/>
      <c r="W1144" s="181"/>
      <c r="X1144" s="181"/>
      <c r="Y1144" s="3"/>
      <c r="Z1144" s="3"/>
    </row>
    <row r="1145" spans="1:26" ht="23.25" customHeight="1">
      <c r="A1145" s="281"/>
      <c r="B1145" s="281"/>
      <c r="C1145" s="281"/>
      <c r="F1145" s="173"/>
      <c r="G1145" s="173"/>
      <c r="H1145" s="173"/>
      <c r="I1145" s="174"/>
      <c r="K1145" s="177"/>
      <c r="L1145" s="177"/>
      <c r="Q1145" s="179"/>
      <c r="R1145" s="217"/>
      <c r="S1145" s="218"/>
      <c r="T1145" s="180"/>
      <c r="U1145" s="181"/>
      <c r="V1145" s="181"/>
      <c r="W1145" s="181"/>
      <c r="X1145" s="181"/>
      <c r="Y1145" s="3"/>
      <c r="Z1145" s="3"/>
    </row>
    <row r="1146" spans="1:26" ht="23.25" customHeight="1">
      <c r="A1146" s="281"/>
      <c r="B1146" s="281"/>
      <c r="C1146" s="281"/>
      <c r="F1146" s="173"/>
      <c r="G1146" s="173"/>
      <c r="H1146" s="173"/>
      <c r="I1146" s="174"/>
      <c r="K1146" s="177"/>
      <c r="L1146" s="177"/>
      <c r="Q1146" s="179"/>
      <c r="R1146" s="217"/>
      <c r="S1146" s="218"/>
      <c r="T1146" s="180"/>
      <c r="U1146" s="181"/>
      <c r="V1146" s="181"/>
      <c r="W1146" s="181"/>
      <c r="X1146" s="181"/>
      <c r="Y1146" s="3"/>
      <c r="Z1146" s="3"/>
    </row>
    <row r="1147" spans="1:26" ht="23.25" customHeight="1">
      <c r="A1147" s="281"/>
      <c r="B1147" s="281"/>
      <c r="C1147" s="281"/>
      <c r="F1147" s="173"/>
      <c r="G1147" s="173"/>
      <c r="H1147" s="173"/>
      <c r="I1147" s="174"/>
      <c r="K1147" s="177"/>
      <c r="L1147" s="177"/>
      <c r="Q1147" s="179"/>
      <c r="R1147" s="217"/>
      <c r="S1147" s="218"/>
      <c r="T1147" s="180"/>
      <c r="U1147" s="181"/>
      <c r="V1147" s="181"/>
      <c r="W1147" s="181"/>
      <c r="X1147" s="181"/>
      <c r="Y1147" s="3"/>
      <c r="Z1147" s="3"/>
    </row>
    <row r="1148" spans="1:26" ht="23.25" customHeight="1">
      <c r="A1148" s="281"/>
      <c r="B1148" s="281"/>
      <c r="C1148" s="281"/>
      <c r="F1148" s="173"/>
      <c r="G1148" s="173"/>
      <c r="H1148" s="173"/>
      <c r="I1148" s="174"/>
      <c r="K1148" s="177"/>
      <c r="L1148" s="177"/>
      <c r="Q1148" s="179"/>
      <c r="R1148" s="217"/>
      <c r="S1148" s="218"/>
      <c r="T1148" s="180"/>
      <c r="U1148" s="181"/>
      <c r="V1148" s="181"/>
      <c r="W1148" s="181"/>
      <c r="X1148" s="181"/>
      <c r="Y1148" s="3"/>
      <c r="Z1148" s="3"/>
    </row>
    <row r="1149" spans="1:26" ht="23.25" customHeight="1">
      <c r="A1149" s="281"/>
      <c r="B1149" s="281"/>
      <c r="C1149" s="281"/>
      <c r="F1149" s="173"/>
      <c r="G1149" s="173"/>
      <c r="H1149" s="173"/>
      <c r="I1149" s="174"/>
      <c r="K1149" s="177"/>
      <c r="L1149" s="177"/>
      <c r="Q1149" s="179"/>
      <c r="R1149" s="217"/>
      <c r="S1149" s="218"/>
      <c r="T1149" s="180"/>
      <c r="U1149" s="181"/>
      <c r="V1149" s="181"/>
      <c r="W1149" s="181"/>
      <c r="X1149" s="181"/>
      <c r="Y1149" s="3"/>
      <c r="Z1149" s="3"/>
    </row>
    <row r="1150" spans="1:26" ht="23.25" customHeight="1">
      <c r="A1150" s="281"/>
      <c r="B1150" s="281"/>
      <c r="C1150" s="281"/>
      <c r="F1150" s="173"/>
      <c r="G1150" s="173"/>
      <c r="H1150" s="173"/>
      <c r="I1150" s="174"/>
      <c r="K1150" s="177"/>
      <c r="L1150" s="177"/>
      <c r="Q1150" s="179"/>
      <c r="R1150" s="217"/>
      <c r="S1150" s="218"/>
      <c r="T1150" s="180"/>
      <c r="U1150" s="181"/>
      <c r="V1150" s="181"/>
      <c r="W1150" s="181"/>
      <c r="X1150" s="181"/>
      <c r="Y1150" s="3"/>
      <c r="Z1150" s="3"/>
    </row>
    <row r="1151" spans="1:26" ht="23.25" customHeight="1">
      <c r="A1151" s="281"/>
      <c r="B1151" s="281"/>
      <c r="C1151" s="281"/>
      <c r="F1151" s="173"/>
      <c r="G1151" s="173"/>
      <c r="H1151" s="173"/>
      <c r="I1151" s="174"/>
      <c r="K1151" s="177"/>
      <c r="L1151" s="177"/>
      <c r="Q1151" s="179"/>
      <c r="R1151" s="217"/>
      <c r="S1151" s="218"/>
      <c r="T1151" s="180"/>
      <c r="U1151" s="181"/>
      <c r="V1151" s="181"/>
      <c r="W1151" s="181"/>
      <c r="X1151" s="181"/>
      <c r="Y1151" s="3"/>
      <c r="Z1151" s="3"/>
    </row>
    <row r="1152" spans="1:26" ht="23.25" customHeight="1">
      <c r="A1152" s="281"/>
      <c r="B1152" s="281"/>
      <c r="C1152" s="281"/>
      <c r="F1152" s="173"/>
      <c r="G1152" s="173"/>
      <c r="H1152" s="173"/>
      <c r="I1152" s="174"/>
      <c r="K1152" s="177"/>
      <c r="L1152" s="177"/>
      <c r="Q1152" s="179"/>
      <c r="R1152" s="217"/>
      <c r="S1152" s="218"/>
      <c r="T1152" s="180"/>
      <c r="U1152" s="181"/>
      <c r="V1152" s="181"/>
      <c r="W1152" s="181"/>
      <c r="X1152" s="181"/>
      <c r="Y1152" s="3"/>
      <c r="Z1152" s="3"/>
    </row>
    <row r="1153" spans="1:26" ht="23.25" customHeight="1">
      <c r="A1153" s="281"/>
      <c r="B1153" s="281"/>
      <c r="C1153" s="281"/>
      <c r="F1153" s="173"/>
      <c r="G1153" s="173"/>
      <c r="H1153" s="173"/>
      <c r="I1153" s="174"/>
      <c r="K1153" s="177"/>
      <c r="L1153" s="177"/>
      <c r="Q1153" s="179"/>
      <c r="R1153" s="217"/>
      <c r="S1153" s="218"/>
      <c r="T1153" s="180"/>
      <c r="U1153" s="181"/>
      <c r="V1153" s="181"/>
      <c r="W1153" s="181"/>
      <c r="X1153" s="181"/>
      <c r="Y1153" s="3"/>
      <c r="Z1153" s="3"/>
    </row>
    <row r="1154" spans="1:26" ht="23.25" customHeight="1">
      <c r="A1154" s="281"/>
      <c r="B1154" s="281"/>
      <c r="C1154" s="281"/>
      <c r="F1154" s="173"/>
      <c r="G1154" s="173"/>
      <c r="H1154" s="173"/>
      <c r="I1154" s="174"/>
      <c r="K1154" s="177"/>
      <c r="L1154" s="177"/>
      <c r="Q1154" s="179"/>
      <c r="R1154" s="217"/>
      <c r="S1154" s="218"/>
      <c r="T1154" s="180"/>
      <c r="U1154" s="181"/>
      <c r="V1154" s="181"/>
      <c r="W1154" s="181"/>
      <c r="X1154" s="181"/>
      <c r="Y1154" s="3"/>
      <c r="Z1154" s="3"/>
    </row>
    <row r="1155" spans="1:26" ht="23.25" customHeight="1">
      <c r="A1155" s="281"/>
      <c r="B1155" s="281"/>
      <c r="C1155" s="281"/>
      <c r="F1155" s="173"/>
      <c r="G1155" s="173"/>
      <c r="H1155" s="173"/>
      <c r="I1155" s="174"/>
      <c r="K1155" s="177"/>
      <c r="L1155" s="177"/>
      <c r="Q1155" s="179"/>
      <c r="R1155" s="217"/>
      <c r="S1155" s="218"/>
      <c r="T1155" s="180"/>
      <c r="U1155" s="181"/>
      <c r="V1155" s="181"/>
      <c r="W1155" s="181"/>
      <c r="X1155" s="181"/>
      <c r="Y1155" s="3"/>
      <c r="Z1155" s="3"/>
    </row>
    <row r="1156" spans="1:26" ht="23.25" customHeight="1">
      <c r="A1156" s="281"/>
      <c r="B1156" s="281"/>
      <c r="C1156" s="281"/>
      <c r="F1156" s="173"/>
      <c r="G1156" s="173"/>
      <c r="H1156" s="173"/>
      <c r="I1156" s="174"/>
      <c r="K1156" s="177"/>
      <c r="L1156" s="177"/>
      <c r="Q1156" s="179"/>
      <c r="R1156" s="217"/>
      <c r="S1156" s="218"/>
      <c r="T1156" s="180"/>
      <c r="U1156" s="181"/>
      <c r="V1156" s="181"/>
      <c r="W1156" s="181"/>
      <c r="X1156" s="181"/>
      <c r="Y1156" s="3"/>
      <c r="Z1156" s="3"/>
    </row>
    <row r="1157" spans="1:26" ht="23.25" customHeight="1">
      <c r="A1157" s="281"/>
      <c r="B1157" s="281"/>
      <c r="C1157" s="281"/>
      <c r="F1157" s="173"/>
      <c r="G1157" s="173"/>
      <c r="H1157" s="173"/>
      <c r="I1157" s="174"/>
      <c r="K1157" s="177"/>
      <c r="L1157" s="177"/>
      <c r="Q1157" s="179"/>
      <c r="R1157" s="217"/>
      <c r="S1157" s="218"/>
      <c r="T1157" s="180"/>
      <c r="U1157" s="181"/>
      <c r="V1157" s="181"/>
      <c r="W1157" s="181"/>
      <c r="X1157" s="181"/>
      <c r="Y1157" s="3"/>
      <c r="Z1157" s="3"/>
    </row>
    <row r="1158" spans="1:26" ht="23.25" customHeight="1">
      <c r="A1158" s="281"/>
      <c r="B1158" s="281"/>
      <c r="C1158" s="281"/>
      <c r="F1158" s="173"/>
      <c r="G1158" s="173"/>
      <c r="H1158" s="173"/>
      <c r="I1158" s="174"/>
      <c r="K1158" s="177"/>
      <c r="L1158" s="177"/>
      <c r="Q1158" s="179"/>
      <c r="R1158" s="217"/>
      <c r="S1158" s="218"/>
      <c r="T1158" s="180"/>
      <c r="U1158" s="181"/>
      <c r="V1158" s="181"/>
      <c r="W1158" s="181"/>
      <c r="X1158" s="181"/>
      <c r="Y1158" s="3"/>
      <c r="Z1158" s="3"/>
    </row>
    <row r="1159" spans="1:26" ht="23.25" customHeight="1">
      <c r="A1159" s="281"/>
      <c r="B1159" s="281"/>
      <c r="C1159" s="281"/>
      <c r="F1159" s="173"/>
      <c r="G1159" s="173"/>
      <c r="H1159" s="173"/>
      <c r="I1159" s="174"/>
      <c r="K1159" s="177"/>
      <c r="L1159" s="177"/>
      <c r="Q1159" s="179"/>
      <c r="R1159" s="217"/>
      <c r="S1159" s="218"/>
      <c r="T1159" s="180"/>
      <c r="U1159" s="181"/>
      <c r="V1159" s="181"/>
      <c r="W1159" s="181"/>
      <c r="X1159" s="181"/>
      <c r="Y1159" s="3"/>
      <c r="Z1159" s="3"/>
    </row>
    <row r="1160" spans="1:26" ht="23.25" customHeight="1">
      <c r="A1160" s="281"/>
      <c r="B1160" s="281"/>
      <c r="C1160" s="281"/>
      <c r="F1160" s="173"/>
      <c r="G1160" s="173"/>
      <c r="H1160" s="173"/>
      <c r="I1160" s="174"/>
      <c r="K1160" s="177"/>
      <c r="L1160" s="177"/>
      <c r="Q1160" s="179"/>
      <c r="R1160" s="217"/>
      <c r="S1160" s="218"/>
      <c r="T1160" s="180"/>
      <c r="U1160" s="181"/>
      <c r="V1160" s="181"/>
      <c r="W1160" s="181"/>
      <c r="X1160" s="181"/>
      <c r="Y1160" s="3"/>
      <c r="Z1160" s="3"/>
    </row>
    <row r="1161" spans="1:26" ht="23.25" customHeight="1">
      <c r="A1161" s="281"/>
      <c r="B1161" s="281"/>
      <c r="C1161" s="281"/>
      <c r="F1161" s="173"/>
      <c r="G1161" s="173"/>
      <c r="H1161" s="173"/>
      <c r="I1161" s="174"/>
      <c r="K1161" s="177"/>
      <c r="L1161" s="177"/>
      <c r="Q1161" s="179"/>
      <c r="R1161" s="217"/>
      <c r="S1161" s="218"/>
      <c r="T1161" s="180"/>
      <c r="U1161" s="181"/>
      <c r="V1161" s="181"/>
      <c r="W1161" s="181"/>
      <c r="X1161" s="181"/>
      <c r="Y1161" s="3"/>
      <c r="Z1161" s="3"/>
    </row>
    <row r="1162" spans="1:26" ht="23.25" customHeight="1">
      <c r="A1162" s="281"/>
      <c r="B1162" s="281"/>
      <c r="C1162" s="281"/>
      <c r="F1162" s="173"/>
      <c r="G1162" s="173"/>
      <c r="H1162" s="173"/>
      <c r="I1162" s="174"/>
      <c r="K1162" s="177"/>
      <c r="L1162" s="177"/>
      <c r="Q1162" s="179"/>
      <c r="R1162" s="217"/>
      <c r="S1162" s="218"/>
      <c r="T1162" s="180"/>
      <c r="U1162" s="181"/>
      <c r="V1162" s="181"/>
      <c r="W1162" s="181"/>
      <c r="X1162" s="181"/>
      <c r="Y1162" s="3"/>
      <c r="Z1162" s="3"/>
    </row>
    <row r="1163" spans="1:26" ht="23.25" customHeight="1">
      <c r="A1163" s="281"/>
      <c r="B1163" s="281"/>
      <c r="C1163" s="281"/>
      <c r="F1163" s="173"/>
      <c r="G1163" s="173"/>
      <c r="H1163" s="173"/>
      <c r="I1163" s="174"/>
      <c r="K1163" s="177"/>
      <c r="L1163" s="177"/>
      <c r="Q1163" s="179"/>
      <c r="R1163" s="217"/>
      <c r="S1163" s="218"/>
      <c r="T1163" s="180"/>
      <c r="U1163" s="181"/>
      <c r="V1163" s="181"/>
      <c r="W1163" s="181"/>
      <c r="X1163" s="181"/>
      <c r="Y1163" s="3"/>
      <c r="Z1163" s="3"/>
    </row>
    <row r="1164" spans="1:26" ht="23.25" customHeight="1">
      <c r="A1164" s="281"/>
      <c r="B1164" s="281"/>
      <c r="C1164" s="281"/>
      <c r="F1164" s="173"/>
      <c r="G1164" s="173"/>
      <c r="H1164" s="173"/>
      <c r="I1164" s="174"/>
      <c r="K1164" s="177"/>
      <c r="L1164" s="177"/>
      <c r="Q1164" s="179"/>
      <c r="R1164" s="217"/>
      <c r="S1164" s="218"/>
      <c r="T1164" s="180"/>
      <c r="U1164" s="181"/>
      <c r="V1164" s="181"/>
      <c r="W1164" s="181"/>
      <c r="X1164" s="181"/>
      <c r="Y1164" s="3"/>
      <c r="Z1164" s="3"/>
    </row>
    <row r="1165" spans="1:26" ht="23.25" customHeight="1">
      <c r="A1165" s="281"/>
      <c r="B1165" s="281"/>
      <c r="C1165" s="281"/>
      <c r="F1165" s="173"/>
      <c r="G1165" s="173"/>
      <c r="H1165" s="173"/>
      <c r="I1165" s="174"/>
      <c r="K1165" s="177"/>
      <c r="L1165" s="177"/>
      <c r="Q1165" s="179"/>
      <c r="R1165" s="217"/>
      <c r="S1165" s="218"/>
      <c r="T1165" s="180"/>
      <c r="U1165" s="181"/>
      <c r="V1165" s="181"/>
      <c r="W1165" s="181"/>
      <c r="X1165" s="181"/>
      <c r="Y1165" s="3"/>
      <c r="Z1165" s="3"/>
    </row>
    <row r="1166" spans="1:26" ht="23.25" customHeight="1">
      <c r="A1166" s="281"/>
      <c r="B1166" s="281"/>
      <c r="C1166" s="281"/>
      <c r="F1166" s="173"/>
      <c r="G1166" s="173"/>
      <c r="H1166" s="173"/>
      <c r="I1166" s="174"/>
      <c r="K1166" s="177"/>
      <c r="L1166" s="177"/>
      <c r="Q1166" s="179"/>
      <c r="R1166" s="217"/>
      <c r="S1166" s="218"/>
      <c r="T1166" s="180"/>
      <c r="U1166" s="181"/>
      <c r="V1166" s="181"/>
      <c r="W1166" s="181"/>
      <c r="X1166" s="181"/>
      <c r="Y1166" s="3"/>
      <c r="Z1166" s="3"/>
    </row>
    <row r="1167" spans="1:26" ht="23.25" customHeight="1">
      <c r="A1167" s="281"/>
      <c r="B1167" s="281"/>
      <c r="C1167" s="281"/>
      <c r="F1167" s="173"/>
      <c r="G1167" s="173"/>
      <c r="H1167" s="173"/>
      <c r="I1167" s="174"/>
      <c r="K1167" s="177"/>
      <c r="L1167" s="177"/>
      <c r="Q1167" s="179"/>
      <c r="R1167" s="217"/>
      <c r="S1167" s="218"/>
      <c r="T1167" s="180"/>
      <c r="U1167" s="181"/>
      <c r="V1167" s="181"/>
      <c r="W1167" s="181"/>
      <c r="X1167" s="181"/>
      <c r="Y1167" s="3"/>
      <c r="Z1167" s="3"/>
    </row>
    <row r="1168" spans="1:26" ht="23.25" customHeight="1">
      <c r="A1168" s="281"/>
      <c r="B1168" s="281"/>
      <c r="C1168" s="281"/>
      <c r="F1168" s="173"/>
      <c r="G1168" s="173"/>
      <c r="H1168" s="173"/>
      <c r="I1168" s="174"/>
      <c r="K1168" s="177"/>
      <c r="L1168" s="177"/>
      <c r="Q1168" s="179"/>
      <c r="R1168" s="217"/>
      <c r="S1168" s="218"/>
      <c r="T1168" s="180"/>
      <c r="U1168" s="181"/>
      <c r="V1168" s="181"/>
      <c r="W1168" s="181"/>
      <c r="X1168" s="181"/>
      <c r="Y1168" s="3"/>
      <c r="Z1168" s="3"/>
    </row>
    <row r="1169" spans="1:26" ht="23.25" customHeight="1">
      <c r="A1169" s="281"/>
      <c r="B1169" s="281"/>
      <c r="C1169" s="281"/>
      <c r="F1169" s="173"/>
      <c r="G1169" s="173"/>
      <c r="H1169" s="173"/>
      <c r="I1169" s="174"/>
      <c r="K1169" s="177"/>
      <c r="L1169" s="177"/>
      <c r="Q1169" s="179"/>
      <c r="R1169" s="217"/>
      <c r="S1169" s="218"/>
      <c r="T1169" s="180"/>
      <c r="U1169" s="181"/>
      <c r="V1169" s="181"/>
      <c r="W1169" s="181"/>
      <c r="X1169" s="181"/>
      <c r="Y1169" s="3"/>
      <c r="Z1169" s="3"/>
    </row>
    <row r="1170" spans="1:26" ht="23.25" customHeight="1">
      <c r="A1170" s="281"/>
      <c r="B1170" s="281"/>
      <c r="C1170" s="281"/>
      <c r="F1170" s="173"/>
      <c r="G1170" s="173"/>
      <c r="H1170" s="173"/>
      <c r="I1170" s="174"/>
      <c r="K1170" s="177"/>
      <c r="L1170" s="177"/>
      <c r="Q1170" s="179"/>
      <c r="R1170" s="217"/>
      <c r="S1170" s="218"/>
      <c r="T1170" s="180"/>
      <c r="U1170" s="181"/>
      <c r="V1170" s="181"/>
      <c r="W1170" s="181"/>
      <c r="X1170" s="181"/>
      <c r="Y1170" s="3"/>
      <c r="Z1170" s="3"/>
    </row>
    <row r="1171" spans="1:26" ht="23.25" customHeight="1">
      <c r="A1171" s="281"/>
      <c r="B1171" s="281"/>
      <c r="C1171" s="281"/>
      <c r="F1171" s="173"/>
      <c r="G1171" s="173"/>
      <c r="H1171" s="173"/>
      <c r="I1171" s="174"/>
      <c r="K1171" s="177"/>
      <c r="L1171" s="177"/>
      <c r="Q1171" s="179"/>
      <c r="R1171" s="217"/>
      <c r="S1171" s="218"/>
      <c r="T1171" s="180"/>
      <c r="U1171" s="181"/>
      <c r="V1171" s="181"/>
      <c r="W1171" s="181"/>
      <c r="X1171" s="181"/>
      <c r="Y1171" s="3"/>
      <c r="Z1171" s="3"/>
    </row>
    <row r="1172" spans="1:26" ht="23.25" customHeight="1">
      <c r="A1172" s="281"/>
      <c r="B1172" s="281"/>
      <c r="C1172" s="281"/>
      <c r="F1172" s="173"/>
      <c r="G1172" s="173"/>
      <c r="H1172" s="173"/>
      <c r="I1172" s="174"/>
      <c r="K1172" s="177"/>
      <c r="L1172" s="177"/>
      <c r="Q1172" s="179"/>
      <c r="R1172" s="217"/>
      <c r="S1172" s="218"/>
      <c r="T1172" s="180"/>
      <c r="U1172" s="181"/>
      <c r="V1172" s="181"/>
      <c r="W1172" s="181"/>
      <c r="X1172" s="181"/>
      <c r="Y1172" s="3"/>
      <c r="Z1172" s="3"/>
    </row>
    <row r="1173" spans="1:26" ht="23.25" customHeight="1">
      <c r="A1173" s="281"/>
      <c r="B1173" s="281"/>
      <c r="C1173" s="281"/>
      <c r="F1173" s="173"/>
      <c r="G1173" s="173"/>
      <c r="H1173" s="173"/>
      <c r="I1173" s="174"/>
      <c r="K1173" s="177"/>
      <c r="L1173" s="177"/>
      <c r="Q1173" s="179"/>
      <c r="R1173" s="217"/>
      <c r="S1173" s="218"/>
      <c r="T1173" s="180"/>
      <c r="U1173" s="181"/>
      <c r="V1173" s="181"/>
      <c r="W1173" s="181"/>
      <c r="X1173" s="181"/>
      <c r="Y1173" s="3"/>
      <c r="Z1173" s="3"/>
    </row>
    <row r="1174" spans="1:26" ht="23.25" customHeight="1">
      <c r="A1174" s="281"/>
      <c r="B1174" s="281"/>
      <c r="C1174" s="281"/>
      <c r="F1174" s="173"/>
      <c r="G1174" s="173"/>
      <c r="H1174" s="173"/>
      <c r="I1174" s="174"/>
      <c r="K1174" s="177"/>
      <c r="L1174" s="177"/>
      <c r="Q1174" s="179"/>
      <c r="R1174" s="217"/>
      <c r="S1174" s="218"/>
      <c r="T1174" s="180"/>
      <c r="U1174" s="181"/>
      <c r="V1174" s="181"/>
      <c r="W1174" s="181"/>
      <c r="X1174" s="181"/>
      <c r="Y1174" s="3"/>
      <c r="Z1174" s="3"/>
    </row>
    <row r="1175" spans="1:26" ht="23.25" customHeight="1">
      <c r="A1175" s="281"/>
      <c r="B1175" s="281"/>
      <c r="C1175" s="281"/>
      <c r="F1175" s="173"/>
      <c r="G1175" s="173"/>
      <c r="H1175" s="173"/>
      <c r="I1175" s="174"/>
      <c r="K1175" s="177"/>
      <c r="L1175" s="177"/>
      <c r="Q1175" s="179"/>
      <c r="R1175" s="217"/>
      <c r="S1175" s="218"/>
      <c r="T1175" s="180"/>
      <c r="U1175" s="181"/>
      <c r="V1175" s="181"/>
      <c r="W1175" s="181"/>
      <c r="X1175" s="181"/>
      <c r="Y1175" s="3"/>
      <c r="Z1175" s="3"/>
    </row>
    <row r="1176" spans="1:26" ht="23.25" customHeight="1">
      <c r="A1176" s="281"/>
      <c r="B1176" s="281"/>
      <c r="C1176" s="281"/>
      <c r="F1176" s="173"/>
      <c r="G1176" s="173"/>
      <c r="H1176" s="173"/>
      <c r="I1176" s="174"/>
      <c r="K1176" s="177"/>
      <c r="L1176" s="177"/>
      <c r="Q1176" s="179"/>
      <c r="R1176" s="217"/>
      <c r="S1176" s="218"/>
      <c r="T1176" s="180"/>
      <c r="U1176" s="181"/>
      <c r="V1176" s="181"/>
      <c r="W1176" s="181"/>
      <c r="X1176" s="181"/>
      <c r="Y1176" s="3"/>
      <c r="Z1176" s="3"/>
    </row>
    <row r="1177" spans="1:26" ht="23.25" customHeight="1">
      <c r="A1177" s="281"/>
      <c r="B1177" s="281"/>
      <c r="C1177" s="281"/>
      <c r="F1177" s="173"/>
      <c r="G1177" s="173"/>
      <c r="H1177" s="173"/>
      <c r="I1177" s="174"/>
      <c r="K1177" s="177"/>
      <c r="L1177" s="177"/>
      <c r="Q1177" s="179"/>
      <c r="R1177" s="217"/>
      <c r="S1177" s="218"/>
      <c r="T1177" s="180"/>
      <c r="U1177" s="181"/>
      <c r="V1177" s="181"/>
      <c r="W1177" s="181"/>
      <c r="X1177" s="181"/>
      <c r="Y1177" s="3"/>
      <c r="Z1177" s="3"/>
    </row>
    <row r="1178" spans="1:26" ht="23.25" customHeight="1">
      <c r="A1178" s="281"/>
      <c r="B1178" s="281"/>
      <c r="C1178" s="281"/>
      <c r="F1178" s="173"/>
      <c r="G1178" s="173"/>
      <c r="H1178" s="173"/>
      <c r="I1178" s="174"/>
      <c r="K1178" s="177"/>
      <c r="L1178" s="177"/>
      <c r="Q1178" s="179"/>
      <c r="R1178" s="217"/>
      <c r="S1178" s="218"/>
      <c r="T1178" s="180"/>
      <c r="U1178" s="181"/>
      <c r="V1178" s="181"/>
      <c r="W1178" s="181"/>
      <c r="X1178" s="181"/>
      <c r="Y1178" s="3"/>
      <c r="Z1178" s="3"/>
    </row>
    <row r="1179" spans="1:26" ht="23.25" customHeight="1">
      <c r="A1179" s="281"/>
      <c r="B1179" s="281"/>
      <c r="C1179" s="281"/>
      <c r="F1179" s="173"/>
      <c r="G1179" s="173"/>
      <c r="H1179" s="173"/>
      <c r="I1179" s="174"/>
      <c r="K1179" s="177"/>
      <c r="L1179" s="177"/>
      <c r="Q1179" s="179"/>
      <c r="R1179" s="217"/>
      <c r="S1179" s="218"/>
      <c r="T1179" s="180"/>
      <c r="U1179" s="181"/>
      <c r="V1179" s="181"/>
      <c r="W1179" s="181"/>
      <c r="X1179" s="181"/>
      <c r="Y1179" s="3"/>
      <c r="Z1179" s="3"/>
    </row>
    <row r="1180" spans="1:26" ht="23.25" customHeight="1">
      <c r="A1180" s="281"/>
      <c r="B1180" s="281"/>
      <c r="C1180" s="281"/>
      <c r="F1180" s="173"/>
      <c r="G1180" s="173"/>
      <c r="H1180" s="173"/>
      <c r="I1180" s="174"/>
      <c r="K1180" s="177"/>
      <c r="L1180" s="177"/>
      <c r="Q1180" s="179"/>
      <c r="R1180" s="217"/>
      <c r="S1180" s="218"/>
      <c r="T1180" s="180"/>
      <c r="U1180" s="181"/>
      <c r="V1180" s="181"/>
      <c r="W1180" s="181"/>
      <c r="X1180" s="181"/>
      <c r="Y1180" s="3"/>
      <c r="Z1180" s="3"/>
    </row>
    <row r="1181" spans="1:26" ht="23.25" customHeight="1">
      <c r="A1181" s="281"/>
      <c r="B1181" s="281"/>
      <c r="C1181" s="281"/>
      <c r="F1181" s="173"/>
      <c r="G1181" s="173"/>
      <c r="H1181" s="173"/>
      <c r="I1181" s="174"/>
      <c r="K1181" s="177"/>
      <c r="L1181" s="177"/>
      <c r="Q1181" s="179"/>
      <c r="R1181" s="217"/>
      <c r="S1181" s="218"/>
      <c r="T1181" s="180"/>
      <c r="U1181" s="181"/>
      <c r="V1181" s="181"/>
      <c r="W1181" s="181"/>
      <c r="X1181" s="181"/>
      <c r="Y1181" s="3"/>
      <c r="Z1181" s="3"/>
    </row>
    <row r="1182" spans="1:26" ht="23.25" customHeight="1">
      <c r="A1182" s="281"/>
      <c r="B1182" s="281"/>
      <c r="C1182" s="281"/>
      <c r="F1182" s="173"/>
      <c r="G1182" s="173"/>
      <c r="H1182" s="173"/>
      <c r="I1182" s="174"/>
      <c r="K1182" s="177"/>
      <c r="L1182" s="177"/>
      <c r="Q1182" s="179"/>
      <c r="R1182" s="217"/>
      <c r="S1182" s="218"/>
      <c r="T1182" s="180"/>
      <c r="U1182" s="181"/>
      <c r="V1182" s="181"/>
      <c r="W1182" s="181"/>
      <c r="X1182" s="181"/>
      <c r="Y1182" s="3"/>
      <c r="Z1182" s="3"/>
    </row>
    <row r="1183" spans="1:26" ht="23.25" customHeight="1">
      <c r="A1183" s="281"/>
      <c r="B1183" s="281"/>
      <c r="C1183" s="281"/>
      <c r="F1183" s="173"/>
      <c r="G1183" s="173"/>
      <c r="H1183" s="173"/>
      <c r="I1183" s="174"/>
      <c r="K1183" s="177"/>
      <c r="L1183" s="177"/>
      <c r="Q1183" s="179"/>
      <c r="R1183" s="217"/>
      <c r="S1183" s="218"/>
      <c r="T1183" s="180"/>
      <c r="U1183" s="181"/>
      <c r="V1183" s="181"/>
      <c r="W1183" s="181"/>
      <c r="X1183" s="181"/>
      <c r="Y1183" s="3"/>
      <c r="Z1183" s="3"/>
    </row>
    <row r="1184" spans="1:26" ht="23.25" customHeight="1">
      <c r="A1184" s="281"/>
      <c r="B1184" s="281"/>
      <c r="C1184" s="281"/>
      <c r="F1184" s="173"/>
      <c r="G1184" s="173"/>
      <c r="H1184" s="173"/>
      <c r="I1184" s="174"/>
      <c r="K1184" s="177"/>
      <c r="L1184" s="177"/>
      <c r="Q1184" s="179"/>
      <c r="R1184" s="217"/>
      <c r="S1184" s="218"/>
      <c r="T1184" s="180"/>
      <c r="U1184" s="181"/>
      <c r="V1184" s="181"/>
      <c r="W1184" s="181"/>
      <c r="X1184" s="181"/>
      <c r="Y1184" s="3"/>
      <c r="Z1184" s="3"/>
    </row>
    <row r="1185" spans="1:26" ht="23.25" customHeight="1">
      <c r="A1185" s="281"/>
      <c r="B1185" s="281"/>
      <c r="C1185" s="281"/>
      <c r="F1185" s="173"/>
      <c r="G1185" s="173"/>
      <c r="H1185" s="173"/>
      <c r="I1185" s="174"/>
      <c r="K1185" s="177"/>
      <c r="L1185" s="177"/>
      <c r="Q1185" s="179"/>
      <c r="R1185" s="217"/>
      <c r="S1185" s="218"/>
      <c r="T1185" s="180"/>
      <c r="U1185" s="181"/>
      <c r="V1185" s="181"/>
      <c r="W1185" s="181"/>
      <c r="X1185" s="181"/>
      <c r="Y1185" s="3"/>
      <c r="Z1185" s="3"/>
    </row>
    <row r="1186" spans="1:26" ht="23.25" customHeight="1">
      <c r="A1186" s="281"/>
      <c r="B1186" s="281"/>
      <c r="C1186" s="281"/>
      <c r="F1186" s="173"/>
      <c r="G1186" s="173"/>
      <c r="H1186" s="173"/>
      <c r="I1186" s="174"/>
      <c r="K1186" s="177"/>
      <c r="L1186" s="177"/>
      <c r="Q1186" s="179"/>
      <c r="R1186" s="217"/>
      <c r="S1186" s="218"/>
      <c r="T1186" s="180"/>
      <c r="U1186" s="181"/>
      <c r="V1186" s="181"/>
      <c r="W1186" s="181"/>
      <c r="X1186" s="181"/>
      <c r="Y1186" s="3"/>
      <c r="Z1186" s="3"/>
    </row>
    <row r="1187" spans="1:26" ht="23.25" customHeight="1">
      <c r="A1187" s="281"/>
      <c r="B1187" s="281"/>
      <c r="C1187" s="281"/>
      <c r="F1187" s="173"/>
      <c r="G1187" s="173"/>
      <c r="H1187" s="173"/>
      <c r="I1187" s="174"/>
      <c r="K1187" s="177"/>
      <c r="L1187" s="177"/>
      <c r="Q1187" s="179"/>
      <c r="R1187" s="217"/>
      <c r="S1187" s="218"/>
      <c r="T1187" s="180"/>
      <c r="U1187" s="181"/>
      <c r="V1187" s="181"/>
      <c r="W1187" s="181"/>
      <c r="X1187" s="181"/>
      <c r="Y1187" s="3"/>
      <c r="Z1187" s="3"/>
    </row>
    <row r="1188" spans="1:26" ht="23.25" customHeight="1">
      <c r="A1188" s="281"/>
      <c r="B1188" s="281"/>
      <c r="C1188" s="281"/>
      <c r="F1188" s="173"/>
      <c r="G1188" s="173"/>
      <c r="H1188" s="173"/>
      <c r="I1188" s="174"/>
      <c r="K1188" s="177"/>
      <c r="L1188" s="177"/>
      <c r="Q1188" s="179"/>
      <c r="R1188" s="217"/>
      <c r="S1188" s="218"/>
      <c r="T1188" s="180"/>
      <c r="U1188" s="181"/>
      <c r="V1188" s="181"/>
      <c r="W1188" s="181"/>
      <c r="X1188" s="181"/>
      <c r="Y1188" s="3"/>
      <c r="Z1188" s="3"/>
    </row>
    <row r="1189" spans="1:26" ht="23.25" customHeight="1">
      <c r="A1189" s="281"/>
      <c r="B1189" s="281"/>
      <c r="C1189" s="281"/>
      <c r="F1189" s="173"/>
      <c r="G1189" s="173"/>
      <c r="H1189" s="173"/>
      <c r="I1189" s="174"/>
      <c r="K1189" s="177"/>
      <c r="L1189" s="177"/>
      <c r="Q1189" s="179"/>
      <c r="R1189" s="217"/>
      <c r="S1189" s="218"/>
      <c r="T1189" s="180"/>
      <c r="U1189" s="181"/>
      <c r="V1189" s="181"/>
      <c r="W1189" s="181"/>
      <c r="X1189" s="181"/>
      <c r="Y1189" s="3"/>
      <c r="Z1189" s="3"/>
    </row>
    <row r="1190" spans="1:26" ht="23.25" customHeight="1">
      <c r="A1190" s="281"/>
      <c r="B1190" s="281"/>
      <c r="C1190" s="281"/>
      <c r="F1190" s="173"/>
      <c r="G1190" s="173"/>
      <c r="H1190" s="173"/>
      <c r="I1190" s="174"/>
      <c r="K1190" s="177"/>
      <c r="L1190" s="177"/>
      <c r="Q1190" s="179"/>
      <c r="R1190" s="217"/>
      <c r="S1190" s="218"/>
      <c r="T1190" s="180"/>
      <c r="U1190" s="181"/>
      <c r="V1190" s="181"/>
      <c r="W1190" s="181"/>
      <c r="X1190" s="181"/>
      <c r="Y1190" s="3"/>
      <c r="Z1190" s="3"/>
    </row>
    <row r="1191" spans="1:26" ht="23.25" customHeight="1">
      <c r="A1191" s="281"/>
      <c r="B1191" s="281"/>
      <c r="C1191" s="281"/>
      <c r="F1191" s="173"/>
      <c r="G1191" s="173"/>
      <c r="H1191" s="173"/>
      <c r="I1191" s="174"/>
      <c r="K1191" s="177"/>
      <c r="L1191" s="177"/>
      <c r="Q1191" s="179"/>
      <c r="R1191" s="217"/>
      <c r="S1191" s="218"/>
      <c r="T1191" s="180"/>
      <c r="U1191" s="181"/>
      <c r="V1191" s="181"/>
      <c r="W1191" s="181"/>
      <c r="X1191" s="181"/>
      <c r="Y1191" s="3"/>
      <c r="Z1191" s="3"/>
    </row>
    <row r="1192" spans="1:26" ht="23.25" customHeight="1">
      <c r="A1192" s="281"/>
      <c r="B1192" s="281"/>
      <c r="C1192" s="281"/>
      <c r="F1192" s="173"/>
      <c r="G1192" s="173"/>
      <c r="H1192" s="173"/>
      <c r="I1192" s="174"/>
      <c r="K1192" s="177"/>
      <c r="L1192" s="177"/>
      <c r="Q1192" s="179"/>
      <c r="R1192" s="217"/>
      <c r="S1192" s="218"/>
      <c r="T1192" s="180"/>
      <c r="U1192" s="181"/>
      <c r="V1192" s="181"/>
      <c r="W1192" s="181"/>
      <c r="X1192" s="181"/>
      <c r="Y1192" s="3"/>
      <c r="Z1192" s="3"/>
    </row>
    <row r="1193" spans="1:26" ht="23.25" customHeight="1">
      <c r="A1193" s="281"/>
      <c r="B1193" s="281"/>
      <c r="C1193" s="281"/>
      <c r="F1193" s="173"/>
      <c r="G1193" s="173"/>
      <c r="H1193" s="173"/>
      <c r="I1193" s="174"/>
      <c r="K1193" s="177"/>
      <c r="L1193" s="177"/>
      <c r="Q1193" s="179"/>
      <c r="R1193" s="217"/>
      <c r="S1193" s="218"/>
      <c r="T1193" s="180"/>
      <c r="U1193" s="181"/>
      <c r="V1193" s="181"/>
      <c r="W1193" s="181"/>
      <c r="X1193" s="181"/>
      <c r="Y1193" s="3"/>
      <c r="Z1193" s="3"/>
    </row>
    <row r="1194" spans="1:26" ht="23.25" customHeight="1">
      <c r="A1194" s="281"/>
      <c r="B1194" s="281"/>
      <c r="C1194" s="281"/>
      <c r="F1194" s="173"/>
      <c r="G1194" s="173"/>
      <c r="H1194" s="173"/>
      <c r="I1194" s="174"/>
      <c r="K1194" s="177"/>
      <c r="L1194" s="177"/>
      <c r="Q1194" s="179"/>
      <c r="R1194" s="217"/>
      <c r="S1194" s="218"/>
      <c r="T1194" s="180"/>
      <c r="U1194" s="181"/>
      <c r="V1194" s="181"/>
      <c r="W1194" s="181"/>
      <c r="X1194" s="181"/>
      <c r="Y1194" s="3"/>
      <c r="Z1194" s="3"/>
    </row>
    <row r="1195" spans="1:26" ht="23.25" customHeight="1">
      <c r="A1195" s="281"/>
      <c r="B1195" s="281"/>
      <c r="C1195" s="281"/>
      <c r="F1195" s="173"/>
      <c r="G1195" s="173"/>
      <c r="H1195" s="173"/>
      <c r="I1195" s="174"/>
      <c r="K1195" s="177"/>
      <c r="L1195" s="177"/>
      <c r="Q1195" s="179"/>
      <c r="R1195" s="217"/>
      <c r="S1195" s="218"/>
      <c r="T1195" s="180"/>
      <c r="U1195" s="181"/>
      <c r="V1195" s="181"/>
      <c r="W1195" s="181"/>
      <c r="X1195" s="181"/>
      <c r="Y1195" s="3"/>
      <c r="Z1195" s="3"/>
    </row>
    <row r="1196" spans="1:26" ht="23.25" customHeight="1">
      <c r="A1196" s="281"/>
      <c r="B1196" s="281"/>
      <c r="C1196" s="281"/>
      <c r="F1196" s="173"/>
      <c r="G1196" s="173"/>
      <c r="H1196" s="173"/>
      <c r="I1196" s="174"/>
      <c r="K1196" s="177"/>
      <c r="L1196" s="177"/>
      <c r="Q1196" s="179"/>
      <c r="R1196" s="217"/>
      <c r="S1196" s="218"/>
      <c r="T1196" s="180"/>
      <c r="U1196" s="181"/>
      <c r="V1196" s="181"/>
      <c r="W1196" s="181"/>
      <c r="X1196" s="181"/>
      <c r="Y1196" s="3"/>
      <c r="Z1196" s="3"/>
    </row>
    <row r="1197" spans="1:26" ht="23.25" customHeight="1">
      <c r="A1197" s="281"/>
      <c r="B1197" s="281"/>
      <c r="C1197" s="281"/>
      <c r="F1197" s="173"/>
      <c r="G1197" s="173"/>
      <c r="H1197" s="173"/>
      <c r="I1197" s="174"/>
      <c r="K1197" s="177"/>
      <c r="L1197" s="177"/>
      <c r="Q1197" s="179"/>
      <c r="R1197" s="217"/>
      <c r="S1197" s="218"/>
      <c r="T1197" s="180"/>
      <c r="U1197" s="181"/>
      <c r="V1197" s="181"/>
      <c r="W1197" s="181"/>
      <c r="X1197" s="181"/>
      <c r="Y1197" s="3"/>
      <c r="Z1197" s="3"/>
    </row>
    <row r="1198" spans="1:26" ht="23.25" customHeight="1">
      <c r="A1198" s="281"/>
      <c r="B1198" s="281"/>
      <c r="C1198" s="281"/>
      <c r="F1198" s="173"/>
      <c r="G1198" s="173"/>
      <c r="H1198" s="173"/>
      <c r="I1198" s="174"/>
      <c r="K1198" s="177"/>
      <c r="L1198" s="177"/>
      <c r="Q1198" s="179"/>
      <c r="R1198" s="217"/>
      <c r="S1198" s="218"/>
      <c r="T1198" s="180"/>
      <c r="U1198" s="181"/>
      <c r="V1198" s="181"/>
      <c r="W1198" s="181"/>
      <c r="X1198" s="181"/>
      <c r="Y1198" s="3"/>
      <c r="Z1198" s="3"/>
    </row>
    <row r="1199" spans="1:26" ht="23.25" customHeight="1">
      <c r="A1199" s="281"/>
      <c r="B1199" s="281"/>
      <c r="C1199" s="281"/>
      <c r="F1199" s="173"/>
      <c r="G1199" s="173"/>
      <c r="H1199" s="173"/>
      <c r="I1199" s="174"/>
      <c r="K1199" s="177"/>
      <c r="L1199" s="177"/>
      <c r="Q1199" s="179"/>
      <c r="R1199" s="217"/>
      <c r="S1199" s="218"/>
      <c r="T1199" s="180"/>
      <c r="U1199" s="181"/>
      <c r="V1199" s="181"/>
      <c r="W1199" s="181"/>
      <c r="X1199" s="181"/>
      <c r="Y1199" s="3"/>
      <c r="Z1199" s="3"/>
    </row>
    <row r="1200" spans="1:26" ht="23.25" customHeight="1">
      <c r="A1200" s="281"/>
      <c r="B1200" s="281"/>
      <c r="C1200" s="281"/>
      <c r="F1200" s="173"/>
      <c r="G1200" s="173"/>
      <c r="H1200" s="173"/>
      <c r="I1200" s="174"/>
      <c r="K1200" s="177"/>
      <c r="L1200" s="177"/>
      <c r="Q1200" s="179"/>
      <c r="R1200" s="217"/>
      <c r="S1200" s="218"/>
      <c r="T1200" s="180"/>
      <c r="U1200" s="181"/>
      <c r="V1200" s="181"/>
      <c r="W1200" s="181"/>
      <c r="X1200" s="181"/>
      <c r="Y1200" s="3"/>
      <c r="Z1200" s="3"/>
    </row>
    <row r="1201" spans="1:26" ht="23.25" customHeight="1">
      <c r="A1201" s="281"/>
      <c r="B1201" s="281"/>
      <c r="C1201" s="281"/>
      <c r="F1201" s="173"/>
      <c r="G1201" s="173"/>
      <c r="H1201" s="173"/>
      <c r="I1201" s="174"/>
      <c r="K1201" s="177"/>
      <c r="L1201" s="177"/>
      <c r="Q1201" s="179"/>
      <c r="R1201" s="217"/>
      <c r="S1201" s="218"/>
      <c r="T1201" s="180"/>
      <c r="U1201" s="181"/>
      <c r="V1201" s="181"/>
      <c r="W1201" s="181"/>
      <c r="X1201" s="181"/>
      <c r="Y1201" s="3"/>
      <c r="Z1201" s="3"/>
    </row>
    <row r="1202" spans="1:26" ht="23.25" customHeight="1">
      <c r="A1202" s="281"/>
      <c r="B1202" s="281"/>
      <c r="C1202" s="281"/>
      <c r="F1202" s="173"/>
      <c r="G1202" s="173"/>
      <c r="H1202" s="173"/>
      <c r="I1202" s="174"/>
      <c r="K1202" s="177"/>
      <c r="L1202" s="177"/>
      <c r="Q1202" s="179"/>
      <c r="R1202" s="217"/>
      <c r="S1202" s="218"/>
      <c r="T1202" s="180"/>
      <c r="U1202" s="181"/>
      <c r="V1202" s="181"/>
      <c r="W1202" s="181"/>
      <c r="X1202" s="181"/>
      <c r="Y1202" s="3"/>
      <c r="Z1202" s="3"/>
    </row>
    <row r="1203" spans="1:26" ht="23.25" customHeight="1">
      <c r="A1203" s="281"/>
      <c r="B1203" s="281"/>
      <c r="C1203" s="281"/>
      <c r="F1203" s="173"/>
      <c r="G1203" s="173"/>
      <c r="H1203" s="173"/>
      <c r="I1203" s="174"/>
      <c r="K1203" s="177"/>
      <c r="L1203" s="177"/>
      <c r="Q1203" s="179"/>
      <c r="R1203" s="217"/>
      <c r="S1203" s="218"/>
      <c r="T1203" s="180"/>
      <c r="U1203" s="181"/>
      <c r="V1203" s="181"/>
      <c r="W1203" s="181"/>
      <c r="X1203" s="181"/>
      <c r="Y1203" s="3"/>
      <c r="Z1203" s="3"/>
    </row>
    <row r="1204" spans="1:26" ht="23.25" customHeight="1">
      <c r="A1204" s="281"/>
      <c r="B1204" s="281"/>
      <c r="C1204" s="281"/>
      <c r="F1204" s="173"/>
      <c r="G1204" s="173"/>
      <c r="H1204" s="173"/>
      <c r="I1204" s="174"/>
      <c r="K1204" s="177"/>
      <c r="L1204" s="177"/>
      <c r="Q1204" s="179"/>
      <c r="R1204" s="217"/>
      <c r="S1204" s="218"/>
      <c r="T1204" s="180"/>
      <c r="U1204" s="181"/>
      <c r="V1204" s="181"/>
      <c r="W1204" s="181"/>
      <c r="X1204" s="181"/>
      <c r="Y1204" s="3"/>
      <c r="Z1204" s="3"/>
    </row>
    <row r="1205" spans="1:26" ht="23.25" customHeight="1">
      <c r="A1205" s="281"/>
      <c r="B1205" s="281"/>
      <c r="C1205" s="281"/>
      <c r="F1205" s="173"/>
      <c r="G1205" s="173"/>
      <c r="H1205" s="173"/>
      <c r="I1205" s="174"/>
      <c r="K1205" s="177"/>
      <c r="L1205" s="177"/>
      <c r="Q1205" s="179"/>
      <c r="R1205" s="217"/>
      <c r="S1205" s="218"/>
      <c r="T1205" s="180"/>
      <c r="U1205" s="181"/>
      <c r="V1205" s="181"/>
      <c r="W1205" s="181"/>
      <c r="X1205" s="181"/>
      <c r="Y1205" s="3"/>
      <c r="Z1205" s="3"/>
    </row>
    <row r="1206" spans="1:26" ht="23.25" customHeight="1">
      <c r="A1206" s="281"/>
      <c r="B1206" s="281"/>
      <c r="C1206" s="281"/>
      <c r="F1206" s="173"/>
      <c r="G1206" s="173"/>
      <c r="H1206" s="173"/>
      <c r="I1206" s="174"/>
      <c r="K1206" s="177"/>
      <c r="L1206" s="177"/>
      <c r="Q1206" s="179"/>
      <c r="R1206" s="217"/>
      <c r="S1206" s="218"/>
      <c r="T1206" s="180"/>
      <c r="U1206" s="181"/>
      <c r="V1206" s="181"/>
      <c r="W1206" s="181"/>
      <c r="X1206" s="181"/>
      <c r="Y1206" s="3"/>
      <c r="Z1206" s="3"/>
    </row>
    <row r="1207" spans="1:26" ht="23.25" customHeight="1">
      <c r="A1207" s="281"/>
      <c r="B1207" s="281"/>
      <c r="C1207" s="281"/>
      <c r="F1207" s="173"/>
      <c r="G1207" s="173"/>
      <c r="H1207" s="173"/>
      <c r="I1207" s="174"/>
      <c r="K1207" s="177"/>
      <c r="L1207" s="177"/>
      <c r="Q1207" s="179"/>
      <c r="R1207" s="217"/>
      <c r="S1207" s="218"/>
      <c r="T1207" s="180"/>
      <c r="U1207" s="181"/>
      <c r="V1207" s="181"/>
      <c r="W1207" s="181"/>
      <c r="X1207" s="181"/>
      <c r="Y1207" s="3"/>
      <c r="Z1207" s="3"/>
    </row>
    <row r="1208" spans="1:26" ht="23.25" customHeight="1">
      <c r="A1208" s="281"/>
      <c r="B1208" s="281"/>
      <c r="C1208" s="281"/>
      <c r="F1208" s="173"/>
      <c r="G1208" s="173"/>
      <c r="H1208" s="173"/>
      <c r="I1208" s="174"/>
      <c r="K1208" s="177"/>
      <c r="L1208" s="177"/>
      <c r="Q1208" s="179"/>
      <c r="R1208" s="217"/>
      <c r="S1208" s="218"/>
      <c r="T1208" s="180"/>
      <c r="U1208" s="181"/>
      <c r="V1208" s="181"/>
      <c r="W1208" s="181"/>
      <c r="X1208" s="181"/>
      <c r="Y1208" s="3"/>
      <c r="Z1208" s="3"/>
    </row>
    <row r="1209" spans="1:26" ht="23.25" customHeight="1">
      <c r="A1209" s="281"/>
      <c r="B1209" s="281"/>
      <c r="C1209" s="281"/>
      <c r="F1209" s="173"/>
      <c r="G1209" s="173"/>
      <c r="H1209" s="173"/>
      <c r="I1209" s="174"/>
      <c r="K1209" s="177"/>
      <c r="L1209" s="177"/>
      <c r="Q1209" s="179"/>
      <c r="R1209" s="217"/>
      <c r="S1209" s="218"/>
      <c r="T1209" s="180"/>
      <c r="U1209" s="181"/>
      <c r="V1209" s="181"/>
      <c r="W1209" s="181"/>
      <c r="X1209" s="181"/>
      <c r="Y1209" s="3"/>
      <c r="Z1209" s="3"/>
    </row>
    <row r="1210" spans="1:26" ht="23.25" customHeight="1">
      <c r="A1210" s="281"/>
      <c r="B1210" s="281"/>
      <c r="C1210" s="281"/>
      <c r="F1210" s="173"/>
      <c r="G1210" s="173"/>
      <c r="H1210" s="173"/>
      <c r="I1210" s="174"/>
      <c r="K1210" s="177"/>
      <c r="L1210" s="177"/>
      <c r="Q1210" s="179"/>
      <c r="R1210" s="217"/>
      <c r="S1210" s="218"/>
      <c r="T1210" s="180"/>
      <c r="U1210" s="181"/>
      <c r="V1210" s="181"/>
      <c r="W1210" s="181"/>
      <c r="X1210" s="181"/>
      <c r="Y1210" s="3"/>
      <c r="Z1210" s="3"/>
    </row>
    <row r="1211" spans="1:26" ht="23.25" customHeight="1">
      <c r="A1211" s="281"/>
      <c r="B1211" s="281"/>
      <c r="C1211" s="281"/>
      <c r="F1211" s="173"/>
      <c r="G1211" s="173"/>
      <c r="H1211" s="173"/>
      <c r="I1211" s="174"/>
      <c r="K1211" s="177"/>
      <c r="L1211" s="177"/>
      <c r="Q1211" s="179"/>
      <c r="R1211" s="217"/>
      <c r="S1211" s="218"/>
      <c r="T1211" s="180"/>
      <c r="U1211" s="181"/>
      <c r="V1211" s="181"/>
      <c r="W1211" s="181"/>
      <c r="X1211" s="181"/>
      <c r="Y1211" s="3"/>
      <c r="Z1211" s="3"/>
    </row>
    <row r="1212" spans="1:26" ht="23.25" customHeight="1">
      <c r="A1212" s="281"/>
      <c r="B1212" s="281"/>
      <c r="C1212" s="281"/>
      <c r="F1212" s="173"/>
      <c r="G1212" s="173"/>
      <c r="H1212" s="173"/>
      <c r="I1212" s="174"/>
      <c r="K1212" s="177"/>
      <c r="L1212" s="177"/>
      <c r="Q1212" s="179"/>
      <c r="R1212" s="217"/>
      <c r="S1212" s="218"/>
      <c r="T1212" s="180"/>
      <c r="U1212" s="181"/>
      <c r="V1212" s="181"/>
      <c r="W1212" s="181"/>
      <c r="X1212" s="181"/>
      <c r="Y1212" s="3"/>
      <c r="Z1212" s="3"/>
    </row>
    <row r="1213" spans="1:26" ht="23.25" customHeight="1">
      <c r="A1213" s="281"/>
      <c r="B1213" s="281"/>
      <c r="C1213" s="281"/>
      <c r="F1213" s="173"/>
      <c r="G1213" s="173"/>
      <c r="H1213" s="173"/>
      <c r="I1213" s="174"/>
      <c r="K1213" s="177"/>
      <c r="L1213" s="177"/>
      <c r="Q1213" s="179"/>
      <c r="R1213" s="217"/>
      <c r="S1213" s="218"/>
      <c r="T1213" s="180"/>
      <c r="U1213" s="181"/>
      <c r="V1213" s="181"/>
      <c r="W1213" s="181"/>
      <c r="X1213" s="181"/>
      <c r="Y1213" s="3"/>
      <c r="Z1213" s="3"/>
    </row>
    <row r="1214" spans="1:26" ht="23.25" customHeight="1">
      <c r="A1214" s="281"/>
      <c r="B1214" s="281"/>
      <c r="C1214" s="281"/>
      <c r="F1214" s="173"/>
      <c r="G1214" s="173"/>
      <c r="H1214" s="173"/>
      <c r="I1214" s="174"/>
      <c r="K1214" s="177"/>
      <c r="L1214" s="177"/>
      <c r="Q1214" s="179"/>
      <c r="R1214" s="217"/>
      <c r="S1214" s="218"/>
      <c r="T1214" s="180"/>
      <c r="U1214" s="181"/>
      <c r="V1214" s="181"/>
      <c r="W1214" s="181"/>
      <c r="X1214" s="181"/>
      <c r="Y1214" s="3"/>
      <c r="Z1214" s="3"/>
    </row>
    <row r="1215" spans="1:26" ht="23.25" customHeight="1">
      <c r="A1215" s="281"/>
      <c r="B1215" s="281"/>
      <c r="C1215" s="281"/>
      <c r="F1215" s="173"/>
      <c r="G1215" s="173"/>
      <c r="H1215" s="173"/>
      <c r="I1215" s="174"/>
      <c r="K1215" s="177"/>
      <c r="L1215" s="177"/>
      <c r="Q1215" s="179"/>
      <c r="R1215" s="217"/>
      <c r="S1215" s="218"/>
      <c r="T1215" s="180"/>
      <c r="U1215" s="181"/>
      <c r="V1215" s="181"/>
      <c r="W1215" s="181"/>
      <c r="X1215" s="181"/>
      <c r="Y1215" s="3"/>
      <c r="Z1215" s="3"/>
    </row>
    <row r="1216" spans="1:26" ht="23.25" customHeight="1">
      <c r="A1216" s="281"/>
      <c r="B1216" s="281"/>
      <c r="C1216" s="281"/>
      <c r="F1216" s="173"/>
      <c r="G1216" s="173"/>
      <c r="H1216" s="173"/>
      <c r="I1216" s="174"/>
      <c r="K1216" s="177"/>
      <c r="L1216" s="177"/>
      <c r="Q1216" s="179"/>
      <c r="R1216" s="217"/>
      <c r="S1216" s="218"/>
      <c r="T1216" s="180"/>
      <c r="U1216" s="181"/>
      <c r="V1216" s="181"/>
      <c r="W1216" s="181"/>
      <c r="X1216" s="181"/>
      <c r="Y1216" s="3"/>
      <c r="Z1216" s="3"/>
    </row>
    <row r="1217" spans="1:26" ht="23.25" customHeight="1">
      <c r="A1217" s="281"/>
      <c r="B1217" s="281"/>
      <c r="C1217" s="281"/>
      <c r="F1217" s="173"/>
      <c r="G1217" s="173"/>
      <c r="H1217" s="173"/>
      <c r="I1217" s="174"/>
      <c r="K1217" s="177"/>
      <c r="L1217" s="177"/>
      <c r="Q1217" s="179"/>
      <c r="R1217" s="217"/>
      <c r="S1217" s="218"/>
      <c r="T1217" s="180"/>
      <c r="U1217" s="181"/>
      <c r="V1217" s="181"/>
      <c r="W1217" s="181"/>
      <c r="X1217" s="181"/>
      <c r="Y1217" s="3"/>
      <c r="Z1217" s="3"/>
    </row>
    <row r="1218" spans="1:26" ht="23.25" customHeight="1">
      <c r="A1218" s="281"/>
      <c r="B1218" s="281"/>
      <c r="C1218" s="281"/>
      <c r="F1218" s="173"/>
      <c r="G1218" s="173"/>
      <c r="H1218" s="173"/>
      <c r="I1218" s="174"/>
      <c r="K1218" s="177"/>
      <c r="L1218" s="177"/>
      <c r="Q1218" s="179"/>
      <c r="R1218" s="217"/>
      <c r="S1218" s="218"/>
      <c r="T1218" s="180"/>
      <c r="U1218" s="181"/>
      <c r="V1218" s="181"/>
      <c r="W1218" s="181"/>
      <c r="X1218" s="181"/>
      <c r="Y1218" s="3"/>
      <c r="Z1218" s="3"/>
    </row>
    <row r="1219" spans="1:26" ht="23.25" customHeight="1">
      <c r="A1219" s="281"/>
      <c r="B1219" s="281"/>
      <c r="C1219" s="281"/>
      <c r="F1219" s="173"/>
      <c r="G1219" s="173"/>
      <c r="H1219" s="173"/>
      <c r="I1219" s="174"/>
      <c r="K1219" s="177"/>
      <c r="L1219" s="177"/>
      <c r="Q1219" s="179"/>
      <c r="R1219" s="217"/>
      <c r="S1219" s="218"/>
      <c r="T1219" s="180"/>
      <c r="U1219" s="181"/>
      <c r="V1219" s="181"/>
      <c r="W1219" s="181"/>
      <c r="X1219" s="181"/>
      <c r="Y1219" s="3"/>
      <c r="Z1219" s="3"/>
    </row>
    <row r="1220" spans="1:26" ht="23.25" customHeight="1">
      <c r="A1220" s="281"/>
      <c r="B1220" s="281"/>
      <c r="C1220" s="281"/>
      <c r="F1220" s="173"/>
      <c r="G1220" s="173"/>
      <c r="H1220" s="173"/>
      <c r="I1220" s="174"/>
      <c r="K1220" s="177"/>
      <c r="L1220" s="177"/>
      <c r="Q1220" s="179"/>
      <c r="R1220" s="217"/>
      <c r="S1220" s="218"/>
      <c r="T1220" s="180"/>
      <c r="U1220" s="181"/>
      <c r="V1220" s="181"/>
      <c r="W1220" s="181"/>
      <c r="X1220" s="181"/>
      <c r="Y1220" s="3"/>
      <c r="Z1220" s="3"/>
    </row>
    <row r="1221" spans="1:26" ht="23.25" customHeight="1">
      <c r="A1221" s="281"/>
      <c r="B1221" s="281"/>
      <c r="C1221" s="281"/>
      <c r="F1221" s="173"/>
      <c r="G1221" s="173"/>
      <c r="H1221" s="173"/>
      <c r="I1221" s="174"/>
      <c r="K1221" s="177"/>
      <c r="L1221" s="177"/>
      <c r="Q1221" s="179"/>
      <c r="R1221" s="217"/>
      <c r="S1221" s="218"/>
      <c r="T1221" s="180"/>
      <c r="U1221" s="181"/>
      <c r="V1221" s="181"/>
      <c r="W1221" s="181"/>
      <c r="X1221" s="181"/>
      <c r="Y1221" s="3"/>
      <c r="Z1221" s="3"/>
    </row>
    <row r="1222" spans="1:26" ht="23.25" customHeight="1">
      <c r="A1222" s="281"/>
      <c r="B1222" s="281"/>
      <c r="C1222" s="281"/>
      <c r="F1222" s="173"/>
      <c r="G1222" s="173"/>
      <c r="H1222" s="173"/>
      <c r="I1222" s="174"/>
      <c r="K1222" s="177"/>
      <c r="L1222" s="177"/>
      <c r="Q1222" s="179"/>
      <c r="R1222" s="217"/>
      <c r="S1222" s="218"/>
      <c r="T1222" s="180"/>
      <c r="U1222" s="181"/>
      <c r="V1222" s="181"/>
      <c r="W1222" s="181"/>
      <c r="X1222" s="181"/>
      <c r="Y1222" s="3"/>
      <c r="Z1222" s="3"/>
    </row>
    <row r="1223" spans="1:26" ht="23.25" customHeight="1">
      <c r="A1223" s="281"/>
      <c r="B1223" s="281"/>
      <c r="C1223" s="281"/>
      <c r="F1223" s="173"/>
      <c r="G1223" s="173"/>
      <c r="H1223" s="173"/>
      <c r="I1223" s="174"/>
      <c r="K1223" s="177"/>
      <c r="L1223" s="177"/>
      <c r="Q1223" s="179"/>
      <c r="R1223" s="217"/>
      <c r="S1223" s="218"/>
      <c r="T1223" s="180"/>
      <c r="U1223" s="181"/>
      <c r="V1223" s="181"/>
      <c r="W1223" s="181"/>
      <c r="X1223" s="181"/>
      <c r="Y1223" s="3"/>
      <c r="Z1223" s="3"/>
    </row>
    <row r="1224" spans="1:26" ht="23.25" customHeight="1">
      <c r="A1224" s="281"/>
      <c r="B1224" s="281"/>
      <c r="C1224" s="281"/>
      <c r="F1224" s="173"/>
      <c r="G1224" s="173"/>
      <c r="H1224" s="173"/>
      <c r="I1224" s="174"/>
      <c r="K1224" s="177"/>
      <c r="L1224" s="177"/>
      <c r="Q1224" s="179"/>
      <c r="R1224" s="217"/>
      <c r="S1224" s="218"/>
      <c r="T1224" s="180"/>
      <c r="U1224" s="181"/>
      <c r="V1224" s="181"/>
      <c r="W1224" s="181"/>
      <c r="X1224" s="181"/>
      <c r="Y1224" s="3"/>
      <c r="Z1224" s="3"/>
    </row>
    <row r="1225" spans="1:26" ht="23.25" customHeight="1">
      <c r="A1225" s="281"/>
      <c r="B1225" s="281"/>
      <c r="C1225" s="281"/>
      <c r="F1225" s="173"/>
      <c r="G1225" s="173"/>
      <c r="H1225" s="173"/>
      <c r="I1225" s="174"/>
      <c r="K1225" s="177"/>
      <c r="L1225" s="177"/>
      <c r="Q1225" s="179"/>
      <c r="R1225" s="217"/>
      <c r="S1225" s="218"/>
      <c r="T1225" s="180"/>
      <c r="U1225" s="181"/>
      <c r="V1225" s="181"/>
      <c r="W1225" s="181"/>
      <c r="X1225" s="181"/>
      <c r="Y1225" s="3"/>
      <c r="Z1225" s="3"/>
    </row>
    <row r="1226" spans="1:26" ht="23.25" customHeight="1">
      <c r="A1226" s="281"/>
      <c r="B1226" s="281"/>
      <c r="C1226" s="281"/>
      <c r="F1226" s="173"/>
      <c r="G1226" s="173"/>
      <c r="H1226" s="173"/>
      <c r="I1226" s="174"/>
      <c r="K1226" s="177"/>
      <c r="L1226" s="177"/>
      <c r="Q1226" s="179"/>
      <c r="R1226" s="217"/>
      <c r="S1226" s="218"/>
      <c r="T1226" s="180"/>
      <c r="U1226" s="181"/>
      <c r="V1226" s="181"/>
      <c r="W1226" s="181"/>
      <c r="X1226" s="181"/>
      <c r="Y1226" s="3"/>
      <c r="Z1226" s="3"/>
    </row>
    <row r="1227" spans="1:26" ht="23.25" customHeight="1">
      <c r="A1227" s="281"/>
      <c r="B1227" s="281"/>
      <c r="C1227" s="281"/>
      <c r="F1227" s="173"/>
      <c r="G1227" s="173"/>
      <c r="H1227" s="173"/>
      <c r="I1227" s="174"/>
      <c r="K1227" s="177"/>
      <c r="L1227" s="177"/>
      <c r="Q1227" s="179"/>
      <c r="R1227" s="217"/>
      <c r="S1227" s="218"/>
      <c r="T1227" s="180"/>
      <c r="U1227" s="181"/>
      <c r="V1227" s="181"/>
      <c r="W1227" s="181"/>
      <c r="X1227" s="181"/>
      <c r="Y1227" s="3"/>
      <c r="Z1227" s="3"/>
    </row>
    <row r="1228" spans="1:26" ht="23.25" customHeight="1">
      <c r="A1228" s="281"/>
      <c r="B1228" s="281"/>
      <c r="C1228" s="281"/>
      <c r="F1228" s="173"/>
      <c r="G1228" s="173"/>
      <c r="H1228" s="173"/>
      <c r="I1228" s="174"/>
      <c r="K1228" s="177"/>
      <c r="L1228" s="177"/>
      <c r="Q1228" s="179"/>
      <c r="R1228" s="217"/>
      <c r="S1228" s="218"/>
      <c r="T1228" s="180"/>
      <c r="U1228" s="181"/>
      <c r="V1228" s="181"/>
      <c r="W1228" s="181"/>
      <c r="X1228" s="181"/>
      <c r="Y1228" s="3"/>
      <c r="Z1228" s="3"/>
    </row>
    <row r="1229" spans="1:26" ht="23.25" customHeight="1">
      <c r="A1229" s="281"/>
      <c r="B1229" s="281"/>
      <c r="C1229" s="281"/>
      <c r="F1229" s="173"/>
      <c r="G1229" s="173"/>
      <c r="H1229" s="173"/>
      <c r="I1229" s="174"/>
      <c r="K1229" s="177"/>
      <c r="L1229" s="177"/>
      <c r="Q1229" s="179"/>
      <c r="R1229" s="217"/>
      <c r="S1229" s="218"/>
      <c r="T1229" s="180"/>
      <c r="U1229" s="181"/>
      <c r="V1229" s="181"/>
      <c r="W1229" s="181"/>
      <c r="X1229" s="181"/>
      <c r="Y1229" s="3"/>
      <c r="Z1229" s="3"/>
    </row>
    <row r="1230" spans="1:26" ht="23.25" customHeight="1">
      <c r="A1230" s="281"/>
      <c r="B1230" s="281"/>
      <c r="C1230" s="281"/>
      <c r="F1230" s="173"/>
      <c r="G1230" s="173"/>
      <c r="H1230" s="173"/>
      <c r="I1230" s="174"/>
      <c r="K1230" s="177"/>
      <c r="L1230" s="177"/>
      <c r="Q1230" s="179"/>
      <c r="R1230" s="217"/>
      <c r="S1230" s="218"/>
      <c r="T1230" s="180"/>
      <c r="U1230" s="181"/>
      <c r="V1230" s="181"/>
      <c r="W1230" s="181"/>
      <c r="X1230" s="181"/>
      <c r="Y1230" s="3"/>
      <c r="Z1230" s="3"/>
    </row>
    <row r="1231" spans="1:26" ht="23.25" customHeight="1">
      <c r="A1231" s="281"/>
      <c r="B1231" s="281"/>
      <c r="C1231" s="281"/>
      <c r="F1231" s="173"/>
      <c r="G1231" s="173"/>
      <c r="H1231" s="173"/>
      <c r="I1231" s="174"/>
      <c r="K1231" s="177"/>
      <c r="L1231" s="177"/>
      <c r="Q1231" s="179"/>
      <c r="R1231" s="217"/>
      <c r="S1231" s="218"/>
      <c r="T1231" s="180"/>
      <c r="U1231" s="181"/>
      <c r="V1231" s="181"/>
      <c r="W1231" s="181"/>
      <c r="X1231" s="181"/>
      <c r="Y1231" s="3"/>
      <c r="Z1231" s="3"/>
    </row>
    <row r="1232" spans="1:26" ht="23.25" customHeight="1">
      <c r="A1232" s="281"/>
      <c r="B1232" s="281"/>
      <c r="C1232" s="281"/>
      <c r="F1232" s="173"/>
      <c r="G1232" s="173"/>
      <c r="H1232" s="173"/>
      <c r="I1232" s="174"/>
      <c r="K1232" s="177"/>
      <c r="L1232" s="177"/>
      <c r="Q1232" s="179"/>
      <c r="R1232" s="217"/>
      <c r="S1232" s="218"/>
      <c r="T1232" s="180"/>
      <c r="U1232" s="181"/>
      <c r="V1232" s="181"/>
      <c r="W1232" s="181"/>
      <c r="X1232" s="181"/>
      <c r="Y1232" s="3"/>
      <c r="Z1232" s="3"/>
    </row>
    <row r="1233" spans="1:26" ht="23.25" customHeight="1">
      <c r="A1233" s="281"/>
      <c r="B1233" s="281"/>
      <c r="C1233" s="281"/>
      <c r="F1233" s="173"/>
      <c r="G1233" s="173"/>
      <c r="H1233" s="173"/>
      <c r="I1233" s="174"/>
      <c r="K1233" s="177"/>
      <c r="L1233" s="177"/>
      <c r="Q1233" s="179"/>
      <c r="R1233" s="217"/>
      <c r="S1233" s="218"/>
      <c r="T1233" s="180"/>
      <c r="U1233" s="181"/>
      <c r="V1233" s="181"/>
      <c r="W1233" s="181"/>
      <c r="X1233" s="181"/>
      <c r="Y1233" s="3"/>
      <c r="Z1233" s="3"/>
    </row>
    <row r="1234" spans="1:26" ht="23.25" customHeight="1">
      <c r="A1234" s="281"/>
      <c r="B1234" s="281"/>
      <c r="C1234" s="281"/>
      <c r="F1234" s="173"/>
      <c r="G1234" s="173"/>
      <c r="H1234" s="173"/>
      <c r="I1234" s="174"/>
      <c r="K1234" s="177"/>
      <c r="L1234" s="177"/>
      <c r="Q1234" s="179"/>
      <c r="R1234" s="217"/>
      <c r="S1234" s="218"/>
      <c r="T1234" s="180"/>
      <c r="U1234" s="181"/>
      <c r="V1234" s="181"/>
      <c r="W1234" s="181"/>
      <c r="X1234" s="181"/>
      <c r="Y1234" s="3"/>
      <c r="Z1234" s="3"/>
    </row>
    <row r="1235" spans="1:26" ht="23.25" customHeight="1">
      <c r="A1235" s="281"/>
      <c r="B1235" s="281"/>
      <c r="C1235" s="281"/>
      <c r="F1235" s="173"/>
      <c r="G1235" s="173"/>
      <c r="H1235" s="173"/>
      <c r="I1235" s="174"/>
      <c r="K1235" s="177"/>
      <c r="L1235" s="177"/>
      <c r="Q1235" s="179"/>
      <c r="R1235" s="217"/>
      <c r="S1235" s="218"/>
      <c r="T1235" s="180"/>
      <c r="U1235" s="181"/>
      <c r="V1235" s="181"/>
      <c r="W1235" s="181"/>
      <c r="X1235" s="181"/>
      <c r="Y1235" s="3"/>
      <c r="Z1235" s="3"/>
    </row>
    <row r="1236" spans="1:26" ht="23.25" customHeight="1">
      <c r="A1236" s="281"/>
      <c r="B1236" s="281"/>
      <c r="C1236" s="281"/>
      <c r="F1236" s="173"/>
      <c r="G1236" s="173"/>
      <c r="H1236" s="173"/>
      <c r="I1236" s="174"/>
      <c r="K1236" s="177"/>
      <c r="L1236" s="177"/>
      <c r="Q1236" s="179"/>
      <c r="R1236" s="217"/>
      <c r="S1236" s="218"/>
      <c r="T1236" s="180"/>
      <c r="U1236" s="181"/>
      <c r="V1236" s="181"/>
      <c r="W1236" s="181"/>
      <c r="X1236" s="181"/>
      <c r="Y1236" s="3"/>
      <c r="Z1236" s="3"/>
    </row>
    <row r="1237" spans="1:26" ht="23.25" customHeight="1">
      <c r="A1237" s="281"/>
      <c r="B1237" s="281"/>
      <c r="C1237" s="281"/>
      <c r="F1237" s="173"/>
      <c r="G1237" s="173"/>
      <c r="H1237" s="173"/>
      <c r="I1237" s="174"/>
      <c r="K1237" s="177"/>
      <c r="L1237" s="177"/>
      <c r="Q1237" s="179"/>
      <c r="R1237" s="217"/>
      <c r="S1237" s="218"/>
      <c r="T1237" s="180"/>
      <c r="U1237" s="181"/>
      <c r="V1237" s="181"/>
      <c r="W1237" s="181"/>
      <c r="X1237" s="181"/>
      <c r="Y1237" s="3"/>
      <c r="Z1237" s="3"/>
    </row>
    <row r="1238" spans="1:26" ht="23.25" customHeight="1">
      <c r="A1238" s="281"/>
      <c r="B1238" s="281"/>
      <c r="C1238" s="281"/>
      <c r="F1238" s="173"/>
      <c r="G1238" s="173"/>
      <c r="H1238" s="173"/>
      <c r="I1238" s="174"/>
      <c r="K1238" s="177"/>
      <c r="L1238" s="177"/>
      <c r="Q1238" s="179"/>
      <c r="R1238" s="217"/>
      <c r="S1238" s="218"/>
      <c r="T1238" s="180"/>
      <c r="U1238" s="181"/>
      <c r="V1238" s="181"/>
      <c r="W1238" s="181"/>
      <c r="X1238" s="181"/>
      <c r="Y1238" s="3"/>
      <c r="Z1238" s="3"/>
    </row>
    <row r="1239" spans="1:26" ht="23.25" customHeight="1">
      <c r="A1239" s="281"/>
      <c r="B1239" s="281"/>
      <c r="C1239" s="281"/>
      <c r="F1239" s="173"/>
      <c r="G1239" s="173"/>
      <c r="H1239" s="173"/>
      <c r="I1239" s="174"/>
      <c r="K1239" s="177"/>
      <c r="L1239" s="177"/>
      <c r="Q1239" s="179"/>
      <c r="R1239" s="217"/>
      <c r="S1239" s="218"/>
      <c r="T1239" s="180"/>
      <c r="U1239" s="181"/>
      <c r="V1239" s="181"/>
      <c r="W1239" s="181"/>
      <c r="X1239" s="181"/>
      <c r="Y1239" s="3"/>
      <c r="Z1239" s="3"/>
    </row>
    <row r="1240" spans="1:26" ht="23.25" customHeight="1">
      <c r="A1240" s="281"/>
      <c r="B1240" s="281"/>
      <c r="C1240" s="281"/>
      <c r="F1240" s="173"/>
      <c r="G1240" s="173"/>
      <c r="H1240" s="173"/>
      <c r="I1240" s="174"/>
      <c r="K1240" s="177"/>
      <c r="L1240" s="177"/>
      <c r="Q1240" s="179"/>
      <c r="R1240" s="217"/>
      <c r="S1240" s="218"/>
      <c r="T1240" s="180"/>
      <c r="U1240" s="181"/>
      <c r="V1240" s="181"/>
      <c r="W1240" s="181"/>
      <c r="X1240" s="181"/>
      <c r="Y1240" s="3"/>
      <c r="Z1240" s="3"/>
    </row>
    <row r="1241" spans="1:26" ht="23.25" customHeight="1">
      <c r="A1241" s="281"/>
      <c r="B1241" s="281"/>
      <c r="C1241" s="281"/>
      <c r="F1241" s="173"/>
      <c r="G1241" s="173"/>
      <c r="H1241" s="173"/>
      <c r="I1241" s="174"/>
      <c r="K1241" s="177"/>
      <c r="L1241" s="177"/>
      <c r="Q1241" s="179"/>
      <c r="R1241" s="217"/>
      <c r="S1241" s="218"/>
      <c r="T1241" s="180"/>
      <c r="U1241" s="181"/>
      <c r="V1241" s="181"/>
      <c r="W1241" s="181"/>
      <c r="X1241" s="181"/>
      <c r="Y1241" s="3"/>
      <c r="Z1241" s="3"/>
    </row>
    <row r="1242" spans="1:26" ht="23.25" customHeight="1">
      <c r="A1242" s="281"/>
      <c r="B1242" s="281"/>
      <c r="C1242" s="281"/>
      <c r="F1242" s="173"/>
      <c r="G1242" s="173"/>
      <c r="H1242" s="173"/>
      <c r="I1242" s="174"/>
      <c r="K1242" s="177"/>
      <c r="L1242" s="177"/>
      <c r="Q1242" s="179"/>
      <c r="R1242" s="217"/>
      <c r="S1242" s="218"/>
      <c r="T1242" s="180"/>
      <c r="U1242" s="181"/>
      <c r="V1242" s="181"/>
      <c r="W1242" s="181"/>
      <c r="X1242" s="181"/>
      <c r="Y1242" s="3"/>
      <c r="Z1242" s="3"/>
    </row>
    <row r="1243" spans="1:26" ht="23.25" customHeight="1">
      <c r="A1243" s="281"/>
      <c r="B1243" s="281"/>
      <c r="C1243" s="281"/>
      <c r="F1243" s="173"/>
      <c r="G1243" s="173"/>
      <c r="H1243" s="173"/>
      <c r="I1243" s="174"/>
      <c r="K1243" s="177"/>
      <c r="L1243" s="177"/>
      <c r="Q1243" s="179"/>
      <c r="R1243" s="217"/>
      <c r="S1243" s="218"/>
      <c r="T1243" s="180"/>
      <c r="U1243" s="181"/>
      <c r="V1243" s="181"/>
      <c r="W1243" s="181"/>
      <c r="X1243" s="181"/>
      <c r="Y1243" s="3"/>
      <c r="Z1243" s="3"/>
    </row>
    <row r="1244" spans="1:26" ht="23.25" customHeight="1">
      <c r="A1244" s="281"/>
      <c r="B1244" s="281"/>
      <c r="C1244" s="281"/>
      <c r="F1244" s="173"/>
      <c r="G1244" s="173"/>
      <c r="H1244" s="173"/>
      <c r="I1244" s="174"/>
      <c r="K1244" s="177"/>
      <c r="L1244" s="177"/>
      <c r="Q1244" s="179"/>
      <c r="R1244" s="217"/>
      <c r="S1244" s="218"/>
      <c r="T1244" s="180"/>
      <c r="U1244" s="181"/>
      <c r="V1244" s="181"/>
      <c r="W1244" s="181"/>
      <c r="X1244" s="181"/>
      <c r="Y1244" s="3"/>
      <c r="Z1244" s="3"/>
    </row>
    <row r="1245" spans="1:26" ht="23.25" customHeight="1">
      <c r="A1245" s="281"/>
      <c r="B1245" s="281"/>
      <c r="C1245" s="281"/>
      <c r="F1245" s="173"/>
      <c r="G1245" s="173"/>
      <c r="H1245" s="173"/>
      <c r="I1245" s="174"/>
      <c r="K1245" s="177"/>
      <c r="L1245" s="177"/>
      <c r="Q1245" s="179"/>
      <c r="R1245" s="217"/>
      <c r="S1245" s="218"/>
      <c r="T1245" s="180"/>
      <c r="U1245" s="181"/>
      <c r="V1245" s="181"/>
      <c r="W1245" s="181"/>
      <c r="X1245" s="181"/>
      <c r="Y1245" s="3"/>
      <c r="Z1245" s="3"/>
    </row>
    <row r="1246" spans="1:26" ht="23.25" customHeight="1">
      <c r="A1246" s="281"/>
      <c r="B1246" s="281"/>
      <c r="C1246" s="281"/>
      <c r="F1246" s="173"/>
      <c r="G1246" s="173"/>
      <c r="H1246" s="173"/>
      <c r="I1246" s="174"/>
      <c r="K1246" s="177"/>
      <c r="L1246" s="177"/>
      <c r="Q1246" s="179"/>
      <c r="R1246" s="217"/>
      <c r="S1246" s="218"/>
      <c r="T1246" s="180"/>
      <c r="U1246" s="181"/>
      <c r="V1246" s="181"/>
      <c r="W1246" s="181"/>
      <c r="X1246" s="181"/>
      <c r="Y1246" s="3"/>
      <c r="Z1246" s="3"/>
    </row>
    <row r="1247" spans="1:26" ht="23.25" customHeight="1">
      <c r="A1247" s="281"/>
      <c r="B1247" s="281"/>
      <c r="C1247" s="281"/>
      <c r="F1247" s="173"/>
      <c r="G1247" s="173"/>
      <c r="H1247" s="173"/>
      <c r="I1247" s="174"/>
      <c r="K1247" s="177"/>
      <c r="L1247" s="177"/>
      <c r="Q1247" s="179"/>
      <c r="R1247" s="217"/>
      <c r="S1247" s="218"/>
      <c r="T1247" s="180"/>
      <c r="U1247" s="181"/>
      <c r="V1247" s="181"/>
      <c r="W1247" s="181"/>
      <c r="X1247" s="181"/>
      <c r="Y1247" s="3"/>
      <c r="Z1247" s="3"/>
    </row>
    <row r="1248" spans="1:26" ht="23.25" customHeight="1">
      <c r="A1248" s="281"/>
      <c r="B1248" s="281"/>
      <c r="C1248" s="281"/>
      <c r="F1248" s="173"/>
      <c r="G1248" s="173"/>
      <c r="H1248" s="173"/>
      <c r="I1248" s="174"/>
      <c r="K1248" s="177"/>
      <c r="L1248" s="177"/>
      <c r="Q1248" s="179"/>
      <c r="R1248" s="217"/>
      <c r="S1248" s="218"/>
      <c r="T1248" s="180"/>
      <c r="U1248" s="181"/>
      <c r="V1248" s="181"/>
      <c r="W1248" s="181"/>
      <c r="X1248" s="181"/>
      <c r="Y1248" s="3"/>
      <c r="Z1248" s="3"/>
    </row>
    <row r="1249" spans="1:26" ht="23.25" customHeight="1">
      <c r="A1249" s="281"/>
      <c r="B1249" s="281"/>
      <c r="C1249" s="281"/>
      <c r="F1249" s="173"/>
      <c r="G1249" s="173"/>
      <c r="H1249" s="173"/>
      <c r="I1249" s="174"/>
      <c r="K1249" s="177"/>
      <c r="L1249" s="177"/>
      <c r="Q1249" s="179"/>
      <c r="R1249" s="217"/>
      <c r="S1249" s="218"/>
      <c r="T1249" s="180"/>
      <c r="U1249" s="181"/>
      <c r="V1249" s="181"/>
      <c r="W1249" s="181"/>
      <c r="X1249" s="181"/>
      <c r="Y1249" s="3"/>
      <c r="Z1249" s="3"/>
    </row>
    <row r="1250" spans="1:26" ht="23.25" customHeight="1">
      <c r="A1250" s="281"/>
      <c r="B1250" s="281"/>
      <c r="C1250" s="281"/>
      <c r="F1250" s="173"/>
      <c r="G1250" s="173"/>
      <c r="H1250" s="173"/>
      <c r="I1250" s="174"/>
      <c r="K1250" s="177"/>
      <c r="L1250" s="177"/>
      <c r="Q1250" s="179"/>
      <c r="R1250" s="217"/>
      <c r="S1250" s="218"/>
      <c r="T1250" s="180"/>
      <c r="U1250" s="181"/>
      <c r="V1250" s="181"/>
      <c r="W1250" s="181"/>
      <c r="X1250" s="181"/>
      <c r="Y1250" s="3"/>
      <c r="Z1250" s="3"/>
    </row>
    <row r="1251" spans="1:26" ht="23.25" customHeight="1">
      <c r="A1251" s="281"/>
      <c r="B1251" s="281"/>
      <c r="C1251" s="281"/>
      <c r="F1251" s="173"/>
      <c r="G1251" s="173"/>
      <c r="H1251" s="173"/>
      <c r="I1251" s="174"/>
      <c r="K1251" s="177"/>
      <c r="L1251" s="177"/>
      <c r="Q1251" s="179"/>
      <c r="R1251" s="217"/>
      <c r="S1251" s="218"/>
      <c r="T1251" s="180"/>
      <c r="U1251" s="181"/>
      <c r="V1251" s="181"/>
      <c r="W1251" s="181"/>
      <c r="X1251" s="181"/>
      <c r="Y1251" s="3"/>
      <c r="Z1251" s="3"/>
    </row>
    <row r="1252" spans="1:26" ht="23.25" customHeight="1">
      <c r="A1252" s="281"/>
      <c r="B1252" s="281"/>
      <c r="C1252" s="281"/>
      <c r="F1252" s="173"/>
      <c r="G1252" s="173"/>
      <c r="H1252" s="173"/>
      <c r="I1252" s="174"/>
      <c r="K1252" s="177"/>
      <c r="L1252" s="177"/>
      <c r="Q1252" s="179"/>
      <c r="R1252" s="217"/>
      <c r="S1252" s="218"/>
      <c r="T1252" s="180"/>
      <c r="U1252" s="181"/>
      <c r="V1252" s="181"/>
      <c r="W1252" s="181"/>
      <c r="X1252" s="181"/>
      <c r="Y1252" s="3"/>
      <c r="Z1252" s="3"/>
    </row>
    <row r="1253" spans="1:26" ht="23.25" customHeight="1">
      <c r="A1253" s="281"/>
      <c r="B1253" s="281"/>
      <c r="C1253" s="281"/>
      <c r="F1253" s="173"/>
      <c r="G1253" s="173"/>
      <c r="H1253" s="173"/>
      <c r="I1253" s="174"/>
      <c r="K1253" s="177"/>
      <c r="L1253" s="177"/>
      <c r="Q1253" s="179"/>
      <c r="R1253" s="217"/>
      <c r="S1253" s="218"/>
      <c r="T1253" s="180"/>
      <c r="U1253" s="181"/>
      <c r="V1253" s="181"/>
      <c r="W1253" s="181"/>
      <c r="X1253" s="181"/>
      <c r="Y1253" s="3"/>
      <c r="Z1253" s="3"/>
    </row>
    <row r="1254" spans="1:26" ht="23.25" customHeight="1">
      <c r="A1254" s="281"/>
      <c r="B1254" s="281"/>
      <c r="C1254" s="281"/>
      <c r="F1254" s="173"/>
      <c r="G1254" s="173"/>
      <c r="H1254" s="173"/>
      <c r="I1254" s="174"/>
      <c r="K1254" s="177"/>
      <c r="L1254" s="177"/>
      <c r="Q1254" s="179"/>
      <c r="R1254" s="217"/>
      <c r="S1254" s="218"/>
      <c r="T1254" s="180"/>
      <c r="U1254" s="181"/>
      <c r="V1254" s="181"/>
      <c r="W1254" s="181"/>
      <c r="X1254" s="181"/>
      <c r="Y1254" s="3"/>
      <c r="Z1254" s="3"/>
    </row>
    <row r="1255" spans="1:26" ht="23.25" customHeight="1">
      <c r="A1255" s="281"/>
      <c r="B1255" s="281"/>
      <c r="C1255" s="281"/>
      <c r="F1255" s="173"/>
      <c r="G1255" s="173"/>
      <c r="H1255" s="173"/>
      <c r="I1255" s="174"/>
      <c r="K1255" s="177"/>
      <c r="L1255" s="177"/>
      <c r="Q1255" s="179"/>
      <c r="R1255" s="217"/>
      <c r="S1255" s="218"/>
      <c r="T1255" s="180"/>
      <c r="U1255" s="181"/>
      <c r="V1255" s="181"/>
      <c r="W1255" s="181"/>
      <c r="X1255" s="181"/>
      <c r="Y1255" s="3"/>
      <c r="Z1255" s="3"/>
    </row>
    <row r="1256" spans="1:26" ht="23.25" customHeight="1">
      <c r="A1256" s="281"/>
      <c r="B1256" s="281"/>
      <c r="C1256" s="281"/>
      <c r="F1256" s="173"/>
      <c r="G1256" s="173"/>
      <c r="H1256" s="173"/>
      <c r="I1256" s="174"/>
      <c r="K1256" s="177"/>
      <c r="L1256" s="177"/>
      <c r="Q1256" s="179"/>
      <c r="R1256" s="217"/>
      <c r="S1256" s="218"/>
      <c r="T1256" s="180"/>
      <c r="U1256" s="181"/>
      <c r="V1256" s="181"/>
      <c r="W1256" s="181"/>
      <c r="X1256" s="181"/>
      <c r="Y1256" s="3"/>
      <c r="Z1256" s="3"/>
    </row>
    <row r="1257" spans="1:26" ht="23.25" customHeight="1">
      <c r="A1257" s="281"/>
      <c r="B1257" s="281"/>
      <c r="C1257" s="281"/>
      <c r="F1257" s="173"/>
      <c r="G1257" s="173"/>
      <c r="H1257" s="173"/>
      <c r="I1257" s="174"/>
      <c r="K1257" s="177"/>
      <c r="L1257" s="177"/>
      <c r="Q1257" s="179"/>
      <c r="R1257" s="217"/>
      <c r="S1257" s="218"/>
      <c r="T1257" s="180"/>
      <c r="U1257" s="181"/>
      <c r="V1257" s="181"/>
      <c r="W1257" s="181"/>
      <c r="X1257" s="181"/>
      <c r="Y1257" s="3"/>
      <c r="Z1257" s="3"/>
    </row>
    <row r="1258" spans="1:26" ht="23.25" customHeight="1">
      <c r="A1258" s="281"/>
      <c r="B1258" s="281"/>
      <c r="C1258" s="281"/>
      <c r="F1258" s="173"/>
      <c r="G1258" s="173"/>
      <c r="H1258" s="173"/>
      <c r="I1258" s="174"/>
      <c r="K1258" s="177"/>
      <c r="L1258" s="177"/>
      <c r="Q1258" s="179"/>
      <c r="R1258" s="217"/>
      <c r="S1258" s="218"/>
      <c r="T1258" s="180"/>
      <c r="U1258" s="181"/>
      <c r="V1258" s="181"/>
      <c r="W1258" s="181"/>
      <c r="X1258" s="181"/>
      <c r="Y1258" s="3"/>
      <c r="Z1258" s="3"/>
    </row>
    <row r="1259" spans="1:26" ht="23.25" customHeight="1">
      <c r="A1259" s="281"/>
      <c r="B1259" s="281"/>
      <c r="C1259" s="281"/>
      <c r="F1259" s="173"/>
      <c r="G1259" s="173"/>
      <c r="H1259" s="173"/>
      <c r="I1259" s="174"/>
      <c r="K1259" s="177"/>
      <c r="L1259" s="177"/>
      <c r="Q1259" s="179"/>
      <c r="R1259" s="217"/>
      <c r="S1259" s="218"/>
      <c r="T1259" s="180"/>
      <c r="U1259" s="181"/>
      <c r="V1259" s="181"/>
      <c r="W1259" s="181"/>
      <c r="X1259" s="181"/>
      <c r="Y1259" s="3"/>
      <c r="Z1259" s="3"/>
    </row>
    <row r="1260" spans="1:26" ht="23.25" customHeight="1">
      <c r="A1260" s="281"/>
      <c r="B1260" s="281"/>
      <c r="C1260" s="281"/>
      <c r="F1260" s="173"/>
      <c r="G1260" s="173"/>
      <c r="H1260" s="173"/>
      <c r="I1260" s="174"/>
      <c r="K1260" s="177"/>
      <c r="L1260" s="177"/>
      <c r="Q1260" s="179"/>
      <c r="R1260" s="217"/>
      <c r="S1260" s="218"/>
      <c r="T1260" s="180"/>
      <c r="U1260" s="181"/>
      <c r="V1260" s="181"/>
      <c r="W1260" s="181"/>
      <c r="X1260" s="181"/>
      <c r="Y1260" s="3"/>
      <c r="Z1260" s="3"/>
    </row>
    <row r="1261" spans="1:26" ht="23.25" customHeight="1">
      <c r="A1261" s="281"/>
      <c r="B1261" s="281"/>
      <c r="C1261" s="281"/>
      <c r="F1261" s="173"/>
      <c r="G1261" s="173"/>
      <c r="H1261" s="173"/>
      <c r="I1261" s="174"/>
      <c r="K1261" s="177"/>
      <c r="L1261" s="177"/>
      <c r="Q1261" s="179"/>
      <c r="R1261" s="217"/>
      <c r="S1261" s="218"/>
      <c r="T1261" s="180"/>
      <c r="U1261" s="181"/>
      <c r="V1261" s="181"/>
      <c r="W1261" s="181"/>
      <c r="X1261" s="181"/>
      <c r="Y1261" s="3"/>
      <c r="Z1261" s="3"/>
    </row>
    <row r="1262" spans="1:26" ht="23.25" customHeight="1">
      <c r="A1262" s="281"/>
      <c r="B1262" s="281"/>
      <c r="C1262" s="281"/>
      <c r="F1262" s="173"/>
      <c r="G1262" s="173"/>
      <c r="H1262" s="173"/>
      <c r="I1262" s="174"/>
      <c r="K1262" s="177"/>
      <c r="L1262" s="177"/>
      <c r="Q1262" s="179"/>
      <c r="R1262" s="217"/>
      <c r="S1262" s="218"/>
      <c r="T1262" s="180"/>
      <c r="U1262" s="181"/>
      <c r="V1262" s="181"/>
      <c r="W1262" s="181"/>
      <c r="X1262" s="181"/>
      <c r="Y1262" s="3"/>
      <c r="Z1262" s="3"/>
    </row>
    <row r="1263" spans="1:26" ht="23.25" customHeight="1">
      <c r="A1263" s="281"/>
      <c r="B1263" s="281"/>
      <c r="C1263" s="281"/>
      <c r="F1263" s="173"/>
      <c r="G1263" s="173"/>
      <c r="H1263" s="173"/>
      <c r="I1263" s="174"/>
      <c r="K1263" s="177"/>
      <c r="L1263" s="177"/>
      <c r="Q1263" s="179"/>
      <c r="R1263" s="217"/>
      <c r="S1263" s="218"/>
      <c r="T1263" s="180"/>
      <c r="U1263" s="181"/>
      <c r="V1263" s="181"/>
      <c r="W1263" s="181"/>
      <c r="X1263" s="181"/>
      <c r="Y1263" s="3"/>
      <c r="Z1263" s="3"/>
    </row>
    <row r="1264" spans="1:26" ht="23.25" customHeight="1">
      <c r="A1264" s="281"/>
      <c r="B1264" s="281"/>
      <c r="C1264" s="281"/>
      <c r="F1264" s="173"/>
      <c r="G1264" s="173"/>
      <c r="H1264" s="173"/>
      <c r="I1264" s="174"/>
      <c r="K1264" s="177"/>
      <c r="L1264" s="177"/>
      <c r="Q1264" s="179"/>
      <c r="R1264" s="217"/>
      <c r="S1264" s="218"/>
      <c r="T1264" s="180"/>
      <c r="U1264" s="181"/>
      <c r="V1264" s="181"/>
      <c r="W1264" s="181"/>
      <c r="X1264" s="181"/>
      <c r="Y1264" s="3"/>
      <c r="Z1264" s="3"/>
    </row>
    <row r="1265" spans="1:26" ht="23.25" customHeight="1">
      <c r="A1265" s="281"/>
      <c r="B1265" s="281"/>
      <c r="C1265" s="281"/>
      <c r="F1265" s="173"/>
      <c r="G1265" s="173"/>
      <c r="H1265" s="173"/>
      <c r="I1265" s="174"/>
      <c r="K1265" s="177"/>
      <c r="L1265" s="177"/>
      <c r="Q1265" s="179"/>
      <c r="R1265" s="217"/>
      <c r="S1265" s="218"/>
      <c r="T1265" s="180"/>
      <c r="U1265" s="181"/>
      <c r="V1265" s="181"/>
      <c r="W1265" s="181"/>
      <c r="X1265" s="181"/>
      <c r="Y1265" s="3"/>
      <c r="Z1265" s="3"/>
    </row>
    <row r="1266" spans="1:26" ht="23.25" customHeight="1">
      <c r="A1266" s="281"/>
      <c r="B1266" s="281"/>
      <c r="C1266" s="281"/>
      <c r="F1266" s="173"/>
      <c r="G1266" s="173"/>
      <c r="H1266" s="173"/>
      <c r="I1266" s="174"/>
      <c r="K1266" s="177"/>
      <c r="L1266" s="177"/>
      <c r="Q1266" s="179"/>
      <c r="R1266" s="217"/>
      <c r="S1266" s="218"/>
      <c r="T1266" s="180"/>
      <c r="U1266" s="181"/>
      <c r="V1266" s="181"/>
      <c r="W1266" s="181"/>
      <c r="X1266" s="181"/>
      <c r="Y1266" s="3"/>
      <c r="Z1266" s="3"/>
    </row>
    <row r="1267" spans="1:26" ht="23.25" customHeight="1">
      <c r="A1267" s="281"/>
      <c r="B1267" s="281"/>
      <c r="C1267" s="281"/>
      <c r="F1267" s="173"/>
      <c r="G1267" s="173"/>
      <c r="H1267" s="173"/>
      <c r="I1267" s="174"/>
      <c r="K1267" s="177"/>
      <c r="L1267" s="177"/>
      <c r="Q1267" s="179"/>
      <c r="R1267" s="217"/>
      <c r="S1267" s="218"/>
      <c r="T1267" s="180"/>
      <c r="U1267" s="181"/>
      <c r="V1267" s="181"/>
      <c r="W1267" s="181"/>
      <c r="X1267" s="181"/>
      <c r="Y1267" s="3"/>
      <c r="Z1267" s="3"/>
    </row>
    <row r="1268" spans="1:26" ht="23.25" customHeight="1">
      <c r="A1268" s="281"/>
      <c r="B1268" s="281"/>
      <c r="C1268" s="281"/>
      <c r="F1268" s="173"/>
      <c r="G1268" s="173"/>
      <c r="H1268" s="173"/>
      <c r="I1268" s="174"/>
      <c r="K1268" s="177"/>
      <c r="L1268" s="177"/>
      <c r="Q1268" s="179"/>
      <c r="R1268" s="217"/>
      <c r="S1268" s="218"/>
      <c r="T1268" s="180"/>
      <c r="U1268" s="181"/>
      <c r="V1268" s="181"/>
      <c r="W1268" s="181"/>
      <c r="X1268" s="181"/>
      <c r="Y1268" s="3"/>
      <c r="Z1268" s="3"/>
    </row>
    <row r="1269" spans="1:26" ht="23.25" customHeight="1">
      <c r="A1269" s="281"/>
      <c r="B1269" s="281"/>
      <c r="C1269" s="281"/>
      <c r="F1269" s="173"/>
      <c r="G1269" s="173"/>
      <c r="H1269" s="173"/>
      <c r="I1269" s="174"/>
      <c r="K1269" s="177"/>
      <c r="L1269" s="177"/>
      <c r="Q1269" s="179"/>
      <c r="R1269" s="217"/>
      <c r="S1269" s="218"/>
      <c r="T1269" s="180"/>
      <c r="U1269" s="181"/>
      <c r="V1269" s="181"/>
      <c r="W1269" s="181"/>
      <c r="X1269" s="181"/>
      <c r="Y1269" s="3"/>
      <c r="Z1269" s="3"/>
    </row>
    <row r="1270" spans="1:26" ht="23.25" customHeight="1">
      <c r="A1270" s="281"/>
      <c r="B1270" s="281"/>
      <c r="C1270" s="281"/>
      <c r="F1270" s="173"/>
      <c r="G1270" s="173"/>
      <c r="H1270" s="173"/>
      <c r="I1270" s="174"/>
      <c r="K1270" s="177"/>
      <c r="L1270" s="177"/>
      <c r="Q1270" s="179"/>
      <c r="R1270" s="217"/>
      <c r="S1270" s="218"/>
      <c r="T1270" s="180"/>
      <c r="U1270" s="181"/>
      <c r="V1270" s="181"/>
      <c r="W1270" s="181"/>
      <c r="X1270" s="181"/>
      <c r="Y1270" s="3"/>
      <c r="Z1270" s="3"/>
    </row>
    <row r="1271" spans="1:26" ht="23.25" customHeight="1">
      <c r="A1271" s="281"/>
      <c r="B1271" s="281"/>
      <c r="C1271" s="281"/>
      <c r="F1271" s="173"/>
      <c r="G1271" s="173"/>
      <c r="H1271" s="173"/>
      <c r="I1271" s="174"/>
      <c r="K1271" s="177"/>
      <c r="L1271" s="177"/>
      <c r="Q1271" s="179"/>
      <c r="R1271" s="217"/>
      <c r="S1271" s="218"/>
      <c r="T1271" s="180"/>
      <c r="U1271" s="181"/>
      <c r="V1271" s="181"/>
      <c r="W1271" s="181"/>
      <c r="X1271" s="181"/>
      <c r="Y1271" s="3"/>
      <c r="Z1271" s="3"/>
    </row>
    <row r="1272" spans="1:26" ht="23.25" customHeight="1">
      <c r="A1272" s="281"/>
      <c r="B1272" s="281"/>
      <c r="C1272" s="281"/>
      <c r="F1272" s="173"/>
      <c r="G1272" s="173"/>
      <c r="H1272" s="173"/>
      <c r="I1272" s="174"/>
      <c r="K1272" s="177"/>
      <c r="L1272" s="177"/>
      <c r="Q1272" s="179"/>
      <c r="R1272" s="217"/>
      <c r="S1272" s="218"/>
      <c r="T1272" s="180"/>
      <c r="U1272" s="181"/>
      <c r="V1272" s="181"/>
      <c r="W1272" s="181"/>
      <c r="X1272" s="181"/>
      <c r="Y1272" s="3"/>
      <c r="Z1272" s="3"/>
    </row>
    <row r="1273" spans="1:26" ht="23.25" customHeight="1">
      <c r="A1273" s="281"/>
      <c r="B1273" s="281"/>
      <c r="C1273" s="281"/>
      <c r="F1273" s="173"/>
      <c r="G1273" s="173"/>
      <c r="H1273" s="173"/>
      <c r="I1273" s="174"/>
      <c r="K1273" s="177"/>
      <c r="L1273" s="177"/>
      <c r="Q1273" s="179"/>
      <c r="R1273" s="217"/>
      <c r="S1273" s="218"/>
      <c r="T1273" s="180"/>
      <c r="U1273" s="181"/>
      <c r="V1273" s="181"/>
      <c r="W1273" s="181"/>
      <c r="X1273" s="181"/>
      <c r="Y1273" s="3"/>
      <c r="Z1273" s="3"/>
    </row>
    <row r="1274" spans="1:26" ht="23.25" customHeight="1">
      <c r="A1274" s="281"/>
      <c r="B1274" s="281"/>
      <c r="C1274" s="281"/>
      <c r="F1274" s="173"/>
      <c r="G1274" s="173"/>
      <c r="H1274" s="173"/>
      <c r="I1274" s="174"/>
      <c r="K1274" s="177"/>
      <c r="L1274" s="177"/>
      <c r="Q1274" s="179"/>
      <c r="R1274" s="217"/>
      <c r="S1274" s="218"/>
      <c r="T1274" s="180"/>
      <c r="U1274" s="181"/>
      <c r="V1274" s="181"/>
      <c r="W1274" s="181"/>
      <c r="X1274" s="181"/>
      <c r="Y1274" s="3"/>
      <c r="Z1274" s="3"/>
    </row>
    <row r="1275" spans="1:26" ht="23.25" customHeight="1">
      <c r="A1275" s="281"/>
      <c r="B1275" s="281"/>
      <c r="C1275" s="281"/>
      <c r="F1275" s="173"/>
      <c r="G1275" s="173"/>
      <c r="H1275" s="173"/>
      <c r="I1275" s="174"/>
      <c r="K1275" s="177"/>
      <c r="L1275" s="177"/>
      <c r="Q1275" s="179"/>
      <c r="R1275" s="217"/>
      <c r="S1275" s="218"/>
      <c r="T1275" s="180"/>
      <c r="U1275" s="181"/>
      <c r="V1275" s="181"/>
      <c r="W1275" s="181"/>
      <c r="X1275" s="181"/>
      <c r="Y1275" s="3"/>
      <c r="Z1275" s="3"/>
    </row>
    <row r="1276" spans="1:26" ht="23.25" customHeight="1">
      <c r="A1276" s="281"/>
      <c r="B1276" s="281"/>
      <c r="C1276" s="281"/>
      <c r="F1276" s="173"/>
      <c r="G1276" s="173"/>
      <c r="H1276" s="173"/>
      <c r="I1276" s="174"/>
      <c r="K1276" s="177"/>
      <c r="L1276" s="177"/>
      <c r="Q1276" s="179"/>
      <c r="R1276" s="217"/>
      <c r="S1276" s="218"/>
      <c r="T1276" s="180"/>
      <c r="U1276" s="181"/>
      <c r="V1276" s="181"/>
      <c r="W1276" s="181"/>
      <c r="X1276" s="181"/>
      <c r="Y1276" s="3"/>
      <c r="Z1276" s="3"/>
    </row>
    <row r="1277" spans="1:26" ht="23.25" customHeight="1">
      <c r="A1277" s="281"/>
      <c r="B1277" s="281"/>
      <c r="C1277" s="281"/>
      <c r="F1277" s="173"/>
      <c r="G1277" s="173"/>
      <c r="H1277" s="173"/>
      <c r="I1277" s="174"/>
      <c r="K1277" s="177"/>
      <c r="L1277" s="177"/>
      <c r="Q1277" s="179"/>
      <c r="R1277" s="217"/>
      <c r="S1277" s="218"/>
      <c r="T1277" s="180"/>
      <c r="U1277" s="181"/>
      <c r="V1277" s="181"/>
      <c r="W1277" s="181"/>
      <c r="X1277" s="181"/>
      <c r="Y1277" s="3"/>
      <c r="Z1277" s="3"/>
    </row>
    <row r="1278" spans="1:26" ht="23.25" customHeight="1">
      <c r="A1278" s="281"/>
      <c r="B1278" s="281"/>
      <c r="C1278" s="281"/>
      <c r="F1278" s="173"/>
      <c r="G1278" s="173"/>
      <c r="H1278" s="173"/>
      <c r="I1278" s="174"/>
      <c r="K1278" s="177"/>
      <c r="L1278" s="177"/>
      <c r="Q1278" s="179"/>
      <c r="R1278" s="217"/>
      <c r="S1278" s="218"/>
      <c r="T1278" s="180"/>
      <c r="U1278" s="181"/>
      <c r="V1278" s="181"/>
      <c r="W1278" s="181"/>
      <c r="X1278" s="181"/>
      <c r="Y1278" s="3"/>
      <c r="Z1278" s="3"/>
    </row>
    <row r="1279" spans="1:26" ht="23.25" customHeight="1">
      <c r="A1279" s="281"/>
      <c r="B1279" s="281"/>
      <c r="C1279" s="281"/>
      <c r="F1279" s="173"/>
      <c r="G1279" s="173"/>
      <c r="H1279" s="173"/>
      <c r="I1279" s="174"/>
      <c r="K1279" s="177"/>
      <c r="L1279" s="177"/>
      <c r="Q1279" s="179"/>
      <c r="R1279" s="217"/>
      <c r="S1279" s="218"/>
      <c r="T1279" s="180"/>
      <c r="U1279" s="181"/>
      <c r="V1279" s="181"/>
      <c r="W1279" s="181"/>
      <c r="X1279" s="181"/>
      <c r="Y1279" s="3"/>
      <c r="Z1279" s="3"/>
    </row>
    <row r="1280" spans="1:26" ht="23.25" customHeight="1">
      <c r="A1280" s="281"/>
      <c r="B1280" s="281"/>
      <c r="C1280" s="281"/>
      <c r="F1280" s="173"/>
      <c r="G1280" s="173"/>
      <c r="H1280" s="173"/>
      <c r="I1280" s="174"/>
      <c r="K1280" s="177"/>
      <c r="L1280" s="177"/>
      <c r="Q1280" s="179"/>
      <c r="R1280" s="217"/>
      <c r="S1280" s="218"/>
      <c r="T1280" s="180"/>
      <c r="U1280" s="181"/>
      <c r="V1280" s="181"/>
      <c r="W1280" s="181"/>
      <c r="X1280" s="181"/>
      <c r="Y1280" s="3"/>
      <c r="Z1280" s="3"/>
    </row>
    <row r="1281" spans="1:26" ht="23.25" customHeight="1">
      <c r="A1281" s="281"/>
      <c r="B1281" s="281"/>
      <c r="C1281" s="281"/>
      <c r="F1281" s="173"/>
      <c r="G1281" s="173"/>
      <c r="H1281" s="173"/>
      <c r="I1281" s="174"/>
      <c r="K1281" s="177"/>
      <c r="L1281" s="177"/>
      <c r="Q1281" s="179"/>
      <c r="R1281" s="217"/>
      <c r="S1281" s="218"/>
      <c r="T1281" s="180"/>
      <c r="U1281" s="181"/>
      <c r="V1281" s="181"/>
      <c r="W1281" s="181"/>
      <c r="X1281" s="181"/>
      <c r="Y1281" s="3"/>
      <c r="Z1281" s="3"/>
    </row>
    <row r="1282" spans="1:26" ht="23.25" customHeight="1">
      <c r="A1282" s="281"/>
      <c r="B1282" s="281"/>
      <c r="C1282" s="281"/>
      <c r="F1282" s="173"/>
      <c r="G1282" s="173"/>
      <c r="H1282" s="173"/>
      <c r="I1282" s="174"/>
      <c r="K1282" s="177"/>
      <c r="L1282" s="177"/>
      <c r="Q1282" s="179"/>
      <c r="R1282" s="217"/>
      <c r="S1282" s="218"/>
      <c r="T1282" s="180"/>
      <c r="U1282" s="181"/>
      <c r="V1282" s="181"/>
      <c r="W1282" s="181"/>
      <c r="X1282" s="181"/>
      <c r="Y1282" s="3"/>
      <c r="Z1282" s="3"/>
    </row>
    <row r="1283" spans="1:26" ht="23.25" customHeight="1">
      <c r="A1283" s="281"/>
      <c r="B1283" s="281"/>
      <c r="C1283" s="281"/>
      <c r="F1283" s="173"/>
      <c r="G1283" s="173"/>
      <c r="H1283" s="173"/>
      <c r="I1283" s="174"/>
      <c r="K1283" s="177"/>
      <c r="L1283" s="177"/>
      <c r="Q1283" s="179"/>
      <c r="R1283" s="217"/>
      <c r="S1283" s="218"/>
      <c r="T1283" s="180"/>
      <c r="U1283" s="181"/>
      <c r="V1283" s="181"/>
      <c r="W1283" s="181"/>
      <c r="X1283" s="181"/>
      <c r="Y1283" s="3"/>
      <c r="Z1283" s="3"/>
    </row>
    <row r="1284" spans="1:26" ht="23.25" customHeight="1">
      <c r="A1284" s="281"/>
      <c r="B1284" s="281"/>
      <c r="C1284" s="281"/>
      <c r="F1284" s="173"/>
      <c r="G1284" s="173"/>
      <c r="H1284" s="173"/>
      <c r="I1284" s="174"/>
      <c r="K1284" s="177"/>
      <c r="L1284" s="177"/>
      <c r="Q1284" s="179"/>
      <c r="R1284" s="217"/>
      <c r="S1284" s="218"/>
      <c r="T1284" s="180"/>
      <c r="U1284" s="181"/>
      <c r="V1284" s="181"/>
      <c r="W1284" s="181"/>
      <c r="X1284" s="181"/>
      <c r="Y1284" s="3"/>
      <c r="Z1284" s="3"/>
    </row>
    <row r="1285" spans="1:26" ht="23.25" customHeight="1">
      <c r="A1285" s="281"/>
      <c r="B1285" s="281"/>
      <c r="C1285" s="281"/>
      <c r="F1285" s="173"/>
      <c r="G1285" s="173"/>
      <c r="H1285" s="173"/>
      <c r="I1285" s="174"/>
      <c r="K1285" s="177"/>
      <c r="L1285" s="177"/>
      <c r="Q1285" s="179"/>
      <c r="R1285" s="217"/>
      <c r="S1285" s="218"/>
      <c r="T1285" s="180"/>
      <c r="U1285" s="181"/>
      <c r="V1285" s="181"/>
      <c r="W1285" s="181"/>
      <c r="X1285" s="181"/>
      <c r="Y1285" s="3"/>
      <c r="Z1285" s="3"/>
    </row>
    <row r="1286" spans="1:26" ht="23.25" customHeight="1">
      <c r="A1286" s="281"/>
      <c r="B1286" s="281"/>
      <c r="C1286" s="281"/>
      <c r="F1286" s="173"/>
      <c r="G1286" s="173"/>
      <c r="H1286" s="173"/>
      <c r="I1286" s="174"/>
      <c r="K1286" s="177"/>
      <c r="L1286" s="177"/>
      <c r="Q1286" s="179"/>
      <c r="R1286" s="217"/>
      <c r="S1286" s="218"/>
      <c r="T1286" s="180"/>
      <c r="U1286" s="181"/>
      <c r="V1286" s="181"/>
      <c r="W1286" s="181"/>
      <c r="X1286" s="181"/>
      <c r="Y1286" s="3"/>
      <c r="Z1286" s="3"/>
    </row>
    <row r="1287" spans="1:26" ht="23.25" customHeight="1">
      <c r="A1287" s="281"/>
      <c r="B1287" s="281"/>
      <c r="C1287" s="281"/>
      <c r="F1287" s="173"/>
      <c r="G1287" s="173"/>
      <c r="H1287" s="173"/>
      <c r="I1287" s="174"/>
      <c r="K1287" s="177"/>
      <c r="L1287" s="177"/>
      <c r="Q1287" s="179"/>
      <c r="R1287" s="217"/>
      <c r="S1287" s="218"/>
      <c r="T1287" s="180"/>
      <c r="U1287" s="181"/>
      <c r="V1287" s="181"/>
      <c r="W1287" s="181"/>
      <c r="X1287" s="181"/>
      <c r="Y1287" s="3"/>
      <c r="Z1287" s="3"/>
    </row>
    <row r="1288" spans="1:26" ht="23.25" customHeight="1">
      <c r="A1288" s="281"/>
      <c r="B1288" s="281"/>
      <c r="C1288" s="281"/>
      <c r="F1288" s="173"/>
      <c r="G1288" s="173"/>
      <c r="H1288" s="173"/>
      <c r="I1288" s="174"/>
      <c r="K1288" s="177"/>
      <c r="L1288" s="177"/>
      <c r="Q1288" s="179"/>
      <c r="R1288" s="217"/>
      <c r="S1288" s="218"/>
      <c r="T1288" s="180"/>
      <c r="U1288" s="181"/>
      <c r="V1288" s="181"/>
      <c r="W1288" s="181"/>
      <c r="X1288" s="181"/>
      <c r="Y1288" s="3"/>
      <c r="Z1288" s="3"/>
    </row>
    <row r="1289" spans="1:26" ht="23.25" customHeight="1">
      <c r="A1289" s="281"/>
      <c r="B1289" s="281"/>
      <c r="C1289" s="281"/>
      <c r="F1289" s="173"/>
      <c r="G1289" s="173"/>
      <c r="H1289" s="173"/>
      <c r="I1289" s="174"/>
      <c r="K1289" s="177"/>
      <c r="L1289" s="177"/>
      <c r="Q1289" s="179"/>
      <c r="R1289" s="217"/>
      <c r="S1289" s="218"/>
      <c r="T1289" s="180"/>
      <c r="U1289" s="181"/>
      <c r="V1289" s="181"/>
      <c r="W1289" s="181"/>
      <c r="X1289" s="181"/>
      <c r="Y1289" s="3"/>
      <c r="Z1289" s="3"/>
    </row>
    <row r="1290" spans="1:26" ht="23.25" customHeight="1">
      <c r="A1290" s="281"/>
      <c r="B1290" s="281"/>
      <c r="C1290" s="281"/>
      <c r="F1290" s="173"/>
      <c r="G1290" s="173"/>
      <c r="H1290" s="173"/>
      <c r="I1290" s="174"/>
      <c r="K1290" s="177"/>
      <c r="L1290" s="177"/>
      <c r="Q1290" s="179"/>
      <c r="R1290" s="217"/>
      <c r="S1290" s="218"/>
      <c r="T1290" s="180"/>
      <c r="U1290" s="181"/>
      <c r="V1290" s="181"/>
      <c r="W1290" s="181"/>
      <c r="X1290" s="181"/>
      <c r="Y1290" s="3"/>
      <c r="Z1290" s="3"/>
    </row>
    <row r="1291" spans="1:26" ht="23.25" customHeight="1">
      <c r="A1291" s="281"/>
      <c r="B1291" s="281"/>
      <c r="C1291" s="281"/>
      <c r="F1291" s="173"/>
      <c r="G1291" s="173"/>
      <c r="H1291" s="173"/>
      <c r="I1291" s="174"/>
      <c r="K1291" s="177"/>
      <c r="L1291" s="177"/>
      <c r="Q1291" s="179"/>
      <c r="R1291" s="217"/>
      <c r="S1291" s="218"/>
      <c r="T1291" s="180"/>
      <c r="U1291" s="181"/>
      <c r="V1291" s="181"/>
      <c r="W1291" s="181"/>
      <c r="X1291" s="181"/>
      <c r="Y1291" s="3"/>
      <c r="Z1291" s="3"/>
    </row>
    <row r="1292" spans="1:26" ht="23.25" customHeight="1">
      <c r="A1292" s="281"/>
      <c r="B1292" s="281"/>
      <c r="C1292" s="281"/>
      <c r="F1292" s="173"/>
      <c r="G1292" s="173"/>
      <c r="H1292" s="173"/>
      <c r="I1292" s="174"/>
      <c r="K1292" s="177"/>
      <c r="L1292" s="177"/>
      <c r="Q1292" s="179"/>
      <c r="R1292" s="217"/>
      <c r="S1292" s="218"/>
      <c r="T1292" s="180"/>
      <c r="U1292" s="181"/>
      <c r="V1292" s="181"/>
      <c r="W1292" s="181"/>
      <c r="X1292" s="181"/>
      <c r="Y1292" s="3"/>
      <c r="Z1292" s="3"/>
    </row>
    <row r="1293" spans="1:26" ht="23.25" customHeight="1">
      <c r="A1293" s="281"/>
      <c r="B1293" s="281"/>
      <c r="C1293" s="281"/>
      <c r="F1293" s="173"/>
      <c r="G1293" s="173"/>
      <c r="H1293" s="173"/>
      <c r="I1293" s="174"/>
      <c r="K1293" s="177"/>
      <c r="L1293" s="177"/>
      <c r="Q1293" s="179"/>
      <c r="R1293" s="217"/>
      <c r="S1293" s="218"/>
      <c r="T1293" s="180"/>
      <c r="U1293" s="181"/>
      <c r="V1293" s="181"/>
      <c r="W1293" s="181"/>
      <c r="X1293" s="181"/>
      <c r="Y1293" s="3"/>
      <c r="Z1293" s="3"/>
    </row>
    <row r="1294" spans="1:26" ht="23.25" customHeight="1">
      <c r="A1294" s="281"/>
      <c r="B1294" s="281"/>
      <c r="C1294" s="281"/>
      <c r="F1294" s="173"/>
      <c r="G1294" s="173"/>
      <c r="H1294" s="173"/>
      <c r="I1294" s="174"/>
      <c r="K1294" s="177"/>
      <c r="L1294" s="177"/>
      <c r="Q1294" s="179"/>
      <c r="R1294" s="217"/>
      <c r="S1294" s="218"/>
      <c r="T1294" s="180"/>
      <c r="U1294" s="181"/>
      <c r="V1294" s="181"/>
      <c r="W1294" s="181"/>
      <c r="X1294" s="181"/>
      <c r="Y1294" s="3"/>
      <c r="Z1294" s="3"/>
    </row>
    <row r="1295" spans="1:26" ht="23.25" customHeight="1">
      <c r="A1295" s="281"/>
      <c r="B1295" s="281"/>
      <c r="C1295" s="281"/>
      <c r="F1295" s="173"/>
      <c r="G1295" s="173"/>
      <c r="H1295" s="173"/>
      <c r="I1295" s="174"/>
      <c r="K1295" s="177"/>
      <c r="L1295" s="177"/>
      <c r="Q1295" s="179"/>
      <c r="R1295" s="217"/>
      <c r="S1295" s="218"/>
      <c r="T1295" s="180"/>
      <c r="U1295" s="181"/>
      <c r="V1295" s="181"/>
      <c r="W1295" s="181"/>
      <c r="X1295" s="181"/>
      <c r="Y1295" s="3"/>
      <c r="Z1295" s="3"/>
    </row>
    <row r="1296" spans="1:26" ht="23.25" customHeight="1">
      <c r="A1296" s="281"/>
      <c r="B1296" s="281"/>
      <c r="C1296" s="281"/>
      <c r="F1296" s="173"/>
      <c r="G1296" s="173"/>
      <c r="H1296" s="173"/>
      <c r="I1296" s="174"/>
      <c r="K1296" s="177"/>
      <c r="L1296" s="177"/>
      <c r="Q1296" s="179"/>
      <c r="R1296" s="217"/>
      <c r="S1296" s="218"/>
      <c r="T1296" s="180"/>
      <c r="U1296" s="181"/>
      <c r="V1296" s="181"/>
      <c r="W1296" s="181"/>
      <c r="X1296" s="181"/>
      <c r="Y1296" s="3"/>
      <c r="Z1296" s="3"/>
    </row>
    <row r="1297" spans="1:26" ht="23.25" customHeight="1">
      <c r="A1297" s="281"/>
      <c r="B1297" s="281"/>
      <c r="C1297" s="281"/>
      <c r="F1297" s="173"/>
      <c r="G1297" s="173"/>
      <c r="H1297" s="173"/>
      <c r="I1297" s="174"/>
      <c r="K1297" s="177"/>
      <c r="L1297" s="177"/>
      <c r="Q1297" s="179"/>
      <c r="R1297" s="217"/>
      <c r="S1297" s="218"/>
      <c r="T1297" s="180"/>
      <c r="U1297" s="181"/>
      <c r="V1297" s="181"/>
      <c r="W1297" s="181"/>
      <c r="X1297" s="181"/>
      <c r="Y1297" s="3"/>
      <c r="Z1297" s="3"/>
    </row>
    <row r="1298" spans="1:26" ht="23.25" customHeight="1">
      <c r="A1298" s="281"/>
      <c r="B1298" s="281"/>
      <c r="C1298" s="281"/>
      <c r="F1298" s="173"/>
      <c r="G1298" s="173"/>
      <c r="H1298" s="173"/>
      <c r="I1298" s="174"/>
      <c r="K1298" s="177"/>
      <c r="L1298" s="177"/>
      <c r="Q1298" s="179"/>
      <c r="R1298" s="217"/>
      <c r="S1298" s="218"/>
      <c r="T1298" s="180"/>
      <c r="U1298" s="181"/>
      <c r="V1298" s="181"/>
      <c r="W1298" s="181"/>
      <c r="X1298" s="181"/>
      <c r="Y1298" s="3"/>
      <c r="Z1298" s="3"/>
    </row>
    <row r="1299" spans="1:26" ht="23.25" customHeight="1">
      <c r="A1299" s="281"/>
      <c r="B1299" s="281"/>
      <c r="C1299" s="281"/>
      <c r="F1299" s="173"/>
      <c r="G1299" s="173"/>
      <c r="H1299" s="173"/>
      <c r="I1299" s="174"/>
      <c r="K1299" s="177"/>
      <c r="L1299" s="177"/>
      <c r="Q1299" s="179"/>
      <c r="R1299" s="217"/>
      <c r="S1299" s="218"/>
      <c r="T1299" s="180"/>
      <c r="U1299" s="181"/>
      <c r="V1299" s="181"/>
      <c r="W1299" s="181"/>
      <c r="X1299" s="181"/>
      <c r="Y1299" s="3"/>
      <c r="Z1299" s="3"/>
    </row>
    <row r="1300" spans="1:26" ht="23.25" customHeight="1">
      <c r="A1300" s="281"/>
      <c r="B1300" s="281"/>
      <c r="C1300" s="281"/>
      <c r="F1300" s="173"/>
      <c r="G1300" s="173"/>
      <c r="H1300" s="173"/>
      <c r="I1300" s="174"/>
      <c r="K1300" s="177"/>
      <c r="L1300" s="177"/>
      <c r="Q1300" s="179"/>
      <c r="R1300" s="217"/>
      <c r="S1300" s="218"/>
      <c r="T1300" s="180"/>
      <c r="U1300" s="181"/>
      <c r="V1300" s="181"/>
      <c r="W1300" s="181"/>
      <c r="X1300" s="181"/>
      <c r="Y1300" s="3"/>
      <c r="Z1300" s="3"/>
    </row>
    <row r="1301" spans="1:26" ht="23.25" customHeight="1">
      <c r="A1301" s="281"/>
      <c r="B1301" s="281"/>
      <c r="C1301" s="281"/>
      <c r="F1301" s="173"/>
      <c r="G1301" s="173"/>
      <c r="H1301" s="173"/>
      <c r="I1301" s="174"/>
      <c r="K1301" s="177"/>
      <c r="L1301" s="177"/>
      <c r="Q1301" s="179"/>
      <c r="R1301" s="217"/>
      <c r="S1301" s="218"/>
      <c r="T1301" s="180"/>
      <c r="U1301" s="181"/>
      <c r="V1301" s="181"/>
      <c r="W1301" s="181"/>
      <c r="X1301" s="181"/>
      <c r="Y1301" s="3"/>
      <c r="Z1301" s="3"/>
    </row>
    <row r="1302" spans="1:26" ht="23.25" customHeight="1">
      <c r="A1302" s="281"/>
      <c r="B1302" s="281"/>
      <c r="C1302" s="281"/>
      <c r="F1302" s="173"/>
      <c r="G1302" s="173"/>
      <c r="H1302" s="173"/>
      <c r="I1302" s="174"/>
      <c r="K1302" s="177"/>
      <c r="L1302" s="177"/>
      <c r="Q1302" s="179"/>
      <c r="R1302" s="217"/>
      <c r="S1302" s="218"/>
      <c r="T1302" s="180"/>
      <c r="U1302" s="181"/>
      <c r="V1302" s="181"/>
      <c r="W1302" s="181"/>
      <c r="X1302" s="181"/>
      <c r="Y1302" s="3"/>
      <c r="Z1302" s="3"/>
    </row>
    <row r="1303" spans="1:26" ht="23.25" customHeight="1">
      <c r="A1303" s="281"/>
      <c r="B1303" s="281"/>
      <c r="C1303" s="281"/>
      <c r="F1303" s="173"/>
      <c r="G1303" s="173"/>
      <c r="H1303" s="173"/>
      <c r="I1303" s="174"/>
      <c r="K1303" s="177"/>
      <c r="L1303" s="177"/>
      <c r="Q1303" s="179"/>
      <c r="R1303" s="217"/>
      <c r="S1303" s="218"/>
      <c r="T1303" s="180"/>
      <c r="U1303" s="181"/>
      <c r="V1303" s="181"/>
      <c r="W1303" s="181"/>
      <c r="X1303" s="181"/>
      <c r="Y1303" s="3"/>
      <c r="Z1303" s="3"/>
    </row>
    <row r="1304" spans="1:26" ht="23.25" customHeight="1">
      <c r="A1304" s="281"/>
      <c r="B1304" s="281"/>
      <c r="C1304" s="281"/>
      <c r="F1304" s="173"/>
      <c r="G1304" s="173"/>
      <c r="H1304" s="173"/>
      <c r="I1304" s="174"/>
      <c r="K1304" s="177"/>
      <c r="L1304" s="177"/>
      <c r="Q1304" s="179"/>
      <c r="R1304" s="217"/>
      <c r="S1304" s="218"/>
      <c r="T1304" s="180"/>
      <c r="U1304" s="181"/>
      <c r="V1304" s="181"/>
      <c r="W1304" s="181"/>
      <c r="X1304" s="181"/>
      <c r="Y1304" s="3"/>
      <c r="Z1304" s="3"/>
    </row>
    <row r="1305" spans="1:26" ht="23.25" customHeight="1">
      <c r="A1305" s="281"/>
      <c r="B1305" s="281"/>
      <c r="C1305" s="281"/>
      <c r="F1305" s="173"/>
      <c r="G1305" s="173"/>
      <c r="H1305" s="173"/>
      <c r="I1305" s="174"/>
      <c r="K1305" s="177"/>
      <c r="L1305" s="177"/>
      <c r="Q1305" s="179"/>
      <c r="R1305" s="217"/>
      <c r="S1305" s="218"/>
      <c r="T1305" s="180"/>
      <c r="U1305" s="181"/>
      <c r="V1305" s="181"/>
      <c r="W1305" s="181"/>
      <c r="X1305" s="181"/>
      <c r="Y1305" s="3"/>
      <c r="Z1305" s="3"/>
    </row>
    <row r="1306" spans="1:26" ht="23.25" customHeight="1">
      <c r="A1306" s="281"/>
      <c r="B1306" s="281"/>
      <c r="C1306" s="281"/>
      <c r="F1306" s="173"/>
      <c r="G1306" s="173"/>
      <c r="H1306" s="173"/>
      <c r="I1306" s="174"/>
      <c r="K1306" s="177"/>
      <c r="L1306" s="177"/>
      <c r="Q1306" s="179"/>
      <c r="R1306" s="217"/>
      <c r="S1306" s="218"/>
      <c r="T1306" s="180"/>
      <c r="U1306" s="181"/>
      <c r="V1306" s="181"/>
      <c r="W1306" s="181"/>
      <c r="X1306" s="181"/>
      <c r="Y1306" s="3"/>
      <c r="Z1306" s="3"/>
    </row>
    <row r="1307" spans="1:26" ht="23.25" customHeight="1">
      <c r="A1307" s="281"/>
      <c r="B1307" s="281"/>
      <c r="C1307" s="281"/>
      <c r="F1307" s="173"/>
      <c r="G1307" s="173"/>
      <c r="H1307" s="173"/>
      <c r="I1307" s="174"/>
      <c r="K1307" s="177"/>
      <c r="L1307" s="177"/>
      <c r="Q1307" s="179"/>
      <c r="R1307" s="217"/>
      <c r="S1307" s="218"/>
      <c r="T1307" s="180"/>
      <c r="U1307" s="181"/>
      <c r="V1307" s="181"/>
      <c r="W1307" s="181"/>
      <c r="X1307" s="181"/>
      <c r="Y1307" s="3"/>
      <c r="Z1307" s="3"/>
    </row>
    <row r="1308" spans="1:26" ht="23.25" customHeight="1">
      <c r="A1308" s="281"/>
      <c r="B1308" s="281"/>
      <c r="C1308" s="281"/>
      <c r="F1308" s="173"/>
      <c r="G1308" s="173"/>
      <c r="H1308" s="173"/>
      <c r="I1308" s="174"/>
      <c r="K1308" s="177"/>
      <c r="L1308" s="177"/>
      <c r="Q1308" s="179"/>
      <c r="R1308" s="217"/>
      <c r="S1308" s="218"/>
      <c r="T1308" s="180"/>
      <c r="U1308" s="181"/>
      <c r="V1308" s="181"/>
      <c r="W1308" s="181"/>
      <c r="X1308" s="181"/>
      <c r="Y1308" s="3"/>
      <c r="Z1308" s="3"/>
    </row>
    <row r="1309" spans="1:26" ht="23.25" customHeight="1">
      <c r="A1309" s="281"/>
      <c r="B1309" s="281"/>
      <c r="C1309" s="281"/>
      <c r="F1309" s="173"/>
      <c r="G1309" s="173"/>
      <c r="H1309" s="173"/>
      <c r="I1309" s="174"/>
      <c r="K1309" s="177"/>
      <c r="L1309" s="177"/>
      <c r="Q1309" s="179"/>
      <c r="R1309" s="217"/>
      <c r="S1309" s="218"/>
      <c r="T1309" s="180"/>
      <c r="U1309" s="181"/>
      <c r="V1309" s="181"/>
      <c r="W1309" s="181"/>
      <c r="X1309" s="181"/>
      <c r="Y1309" s="3"/>
      <c r="Z1309" s="3"/>
    </row>
    <row r="1310" spans="1:26" ht="23.25" customHeight="1">
      <c r="A1310" s="281"/>
      <c r="B1310" s="281"/>
      <c r="C1310" s="281"/>
      <c r="F1310" s="173"/>
      <c r="G1310" s="173"/>
      <c r="H1310" s="173"/>
      <c r="I1310" s="174"/>
      <c r="K1310" s="177"/>
      <c r="L1310" s="177"/>
      <c r="Q1310" s="179"/>
      <c r="R1310" s="217"/>
      <c r="S1310" s="218"/>
      <c r="T1310" s="180"/>
      <c r="U1310" s="181"/>
      <c r="V1310" s="181"/>
      <c r="W1310" s="181"/>
      <c r="X1310" s="181"/>
      <c r="Y1310" s="3"/>
      <c r="Z1310" s="3"/>
    </row>
    <row r="1311" spans="1:26" ht="23.25" customHeight="1">
      <c r="A1311" s="281"/>
      <c r="B1311" s="281"/>
      <c r="C1311" s="281"/>
      <c r="F1311" s="173"/>
      <c r="G1311" s="173"/>
      <c r="H1311" s="173"/>
      <c r="I1311" s="174"/>
      <c r="K1311" s="177"/>
      <c r="L1311" s="177"/>
      <c r="Q1311" s="179"/>
      <c r="R1311" s="217"/>
      <c r="S1311" s="218"/>
      <c r="T1311" s="180"/>
      <c r="U1311" s="181"/>
      <c r="V1311" s="181"/>
      <c r="W1311" s="181"/>
      <c r="X1311" s="181"/>
      <c r="Y1311" s="3"/>
      <c r="Z1311" s="3"/>
    </row>
    <row r="1312" spans="1:26" ht="23.25" customHeight="1">
      <c r="A1312" s="281"/>
      <c r="B1312" s="281"/>
      <c r="C1312" s="281"/>
      <c r="F1312" s="173"/>
      <c r="G1312" s="173"/>
      <c r="H1312" s="173"/>
      <c r="I1312" s="174"/>
      <c r="K1312" s="177"/>
      <c r="L1312" s="177"/>
      <c r="Q1312" s="179"/>
      <c r="R1312" s="217"/>
      <c r="S1312" s="218"/>
      <c r="T1312" s="180"/>
      <c r="U1312" s="181"/>
      <c r="V1312" s="181"/>
      <c r="W1312" s="181"/>
      <c r="X1312" s="181"/>
      <c r="Y1312" s="3"/>
      <c r="Z1312" s="3"/>
    </row>
    <row r="1313" spans="1:26" ht="23.25" customHeight="1">
      <c r="A1313" s="281"/>
      <c r="B1313" s="281"/>
      <c r="C1313" s="281"/>
      <c r="F1313" s="173"/>
      <c r="G1313" s="173"/>
      <c r="H1313" s="173"/>
      <c r="I1313" s="174"/>
      <c r="K1313" s="177"/>
      <c r="L1313" s="177"/>
      <c r="Q1313" s="179"/>
      <c r="R1313" s="217"/>
      <c r="S1313" s="218"/>
      <c r="T1313" s="180"/>
      <c r="U1313" s="181"/>
      <c r="V1313" s="181"/>
      <c r="W1313" s="181"/>
      <c r="X1313" s="181"/>
      <c r="Y1313" s="3"/>
      <c r="Z1313" s="3"/>
    </row>
    <row r="1314" spans="1:26" ht="23.25" customHeight="1">
      <c r="A1314" s="281"/>
      <c r="B1314" s="281"/>
      <c r="C1314" s="281"/>
      <c r="F1314" s="173"/>
      <c r="G1314" s="173"/>
      <c r="H1314" s="173"/>
      <c r="I1314" s="174"/>
      <c r="K1314" s="177"/>
      <c r="L1314" s="177"/>
      <c r="Q1314" s="179"/>
      <c r="R1314" s="217"/>
      <c r="S1314" s="218"/>
      <c r="T1314" s="180"/>
      <c r="U1314" s="181"/>
      <c r="V1314" s="181"/>
      <c r="W1314" s="181"/>
      <c r="X1314" s="181"/>
      <c r="Y1314" s="3"/>
      <c r="Z1314" s="3"/>
    </row>
    <row r="1315" spans="1:26" ht="23.25" customHeight="1">
      <c r="A1315" s="281"/>
      <c r="B1315" s="281"/>
      <c r="C1315" s="281"/>
      <c r="F1315" s="173"/>
      <c r="G1315" s="173"/>
      <c r="H1315" s="173"/>
      <c r="I1315" s="174"/>
      <c r="K1315" s="177"/>
      <c r="L1315" s="177"/>
      <c r="Q1315" s="179"/>
      <c r="R1315" s="217"/>
      <c r="S1315" s="218"/>
      <c r="T1315" s="180"/>
      <c r="U1315" s="181"/>
      <c r="V1315" s="181"/>
      <c r="W1315" s="181"/>
      <c r="X1315" s="181"/>
      <c r="Y1315" s="3"/>
      <c r="Z1315" s="3"/>
    </row>
    <row r="1316" spans="1:26" ht="23.25" customHeight="1">
      <c r="A1316" s="281"/>
      <c r="B1316" s="281"/>
      <c r="C1316" s="281"/>
      <c r="F1316" s="173"/>
      <c r="G1316" s="173"/>
      <c r="H1316" s="173"/>
      <c r="I1316" s="174"/>
      <c r="K1316" s="177"/>
      <c r="L1316" s="177"/>
      <c r="Q1316" s="179"/>
      <c r="R1316" s="217"/>
      <c r="S1316" s="218"/>
      <c r="T1316" s="180"/>
      <c r="U1316" s="181"/>
      <c r="V1316" s="181"/>
      <c r="W1316" s="181"/>
      <c r="X1316" s="181"/>
      <c r="Y1316" s="3"/>
      <c r="Z1316" s="3"/>
    </row>
    <row r="1317" spans="1:26" ht="23.25" customHeight="1">
      <c r="A1317" s="281"/>
      <c r="B1317" s="281"/>
      <c r="C1317" s="281"/>
      <c r="F1317" s="173"/>
      <c r="G1317" s="173"/>
      <c r="H1317" s="173"/>
      <c r="I1317" s="174"/>
      <c r="K1317" s="177"/>
      <c r="L1317" s="177"/>
      <c r="Q1317" s="179"/>
      <c r="R1317" s="217"/>
      <c r="S1317" s="218"/>
      <c r="T1317" s="180"/>
      <c r="U1317" s="181"/>
      <c r="V1317" s="181"/>
      <c r="W1317" s="181"/>
      <c r="X1317" s="181"/>
      <c r="Y1317" s="3"/>
      <c r="Z1317" s="3"/>
    </row>
    <row r="1318" spans="1:26" ht="23.25" customHeight="1">
      <c r="A1318" s="281"/>
      <c r="B1318" s="281"/>
      <c r="C1318" s="281"/>
      <c r="F1318" s="173"/>
      <c r="G1318" s="173"/>
      <c r="H1318" s="173"/>
      <c r="I1318" s="174"/>
      <c r="K1318" s="177"/>
      <c r="L1318" s="177"/>
      <c r="Q1318" s="179"/>
      <c r="R1318" s="217"/>
      <c r="S1318" s="218"/>
      <c r="T1318" s="180"/>
      <c r="U1318" s="181"/>
      <c r="V1318" s="181"/>
      <c r="W1318" s="181"/>
      <c r="X1318" s="181"/>
      <c r="Y1318" s="3"/>
      <c r="Z1318" s="3"/>
    </row>
    <row r="1319" spans="1:26" ht="23.25" customHeight="1">
      <c r="A1319" s="281"/>
      <c r="B1319" s="281"/>
      <c r="C1319" s="281"/>
      <c r="F1319" s="173"/>
      <c r="G1319" s="173"/>
      <c r="H1319" s="173"/>
      <c r="I1319" s="174"/>
      <c r="K1319" s="177"/>
      <c r="L1319" s="177"/>
      <c r="Q1319" s="179"/>
      <c r="R1319" s="217"/>
      <c r="S1319" s="218"/>
      <c r="T1319" s="180"/>
      <c r="U1319" s="181"/>
      <c r="V1319" s="181"/>
      <c r="W1319" s="181"/>
      <c r="X1319" s="181"/>
      <c r="Y1319" s="3"/>
      <c r="Z1319" s="3"/>
    </row>
    <row r="1320" spans="1:26" ht="23.25" customHeight="1">
      <c r="A1320" s="281"/>
      <c r="B1320" s="281"/>
      <c r="C1320" s="281"/>
      <c r="F1320" s="173"/>
      <c r="G1320" s="173"/>
      <c r="H1320" s="173"/>
      <c r="I1320" s="174"/>
      <c r="K1320" s="177"/>
      <c r="L1320" s="177"/>
      <c r="Q1320" s="179"/>
      <c r="R1320" s="217"/>
      <c r="S1320" s="218"/>
      <c r="T1320" s="180"/>
      <c r="U1320" s="181"/>
      <c r="V1320" s="181"/>
      <c r="W1320" s="181"/>
      <c r="X1320" s="181"/>
      <c r="Y1320" s="3"/>
      <c r="Z1320" s="3"/>
    </row>
    <row r="1321" spans="1:26" ht="23.25" customHeight="1">
      <c r="A1321" s="281"/>
      <c r="B1321" s="281"/>
      <c r="C1321" s="281"/>
      <c r="F1321" s="173"/>
      <c r="G1321" s="173"/>
      <c r="H1321" s="173"/>
      <c r="I1321" s="174"/>
      <c r="K1321" s="177"/>
      <c r="L1321" s="177"/>
      <c r="Q1321" s="179"/>
      <c r="R1321" s="217"/>
      <c r="S1321" s="218"/>
      <c r="T1321" s="180"/>
      <c r="U1321" s="181"/>
      <c r="V1321" s="181"/>
      <c r="W1321" s="181"/>
      <c r="X1321" s="181"/>
      <c r="Y1321" s="3"/>
      <c r="Z1321" s="3"/>
    </row>
    <row r="1322" spans="1:26" ht="23.25" customHeight="1">
      <c r="A1322" s="281"/>
      <c r="B1322" s="281"/>
      <c r="C1322" s="281"/>
      <c r="F1322" s="173"/>
      <c r="G1322" s="173"/>
      <c r="H1322" s="173"/>
      <c r="I1322" s="174"/>
      <c r="K1322" s="177"/>
      <c r="L1322" s="177"/>
      <c r="Q1322" s="179"/>
      <c r="R1322" s="217"/>
      <c r="S1322" s="218"/>
      <c r="T1322" s="180"/>
      <c r="U1322" s="181"/>
      <c r="V1322" s="181"/>
      <c r="W1322" s="181"/>
      <c r="X1322" s="181"/>
      <c r="Y1322" s="3"/>
      <c r="Z1322" s="3"/>
    </row>
    <row r="1323" spans="1:26" ht="23.25" customHeight="1">
      <c r="A1323" s="281"/>
      <c r="B1323" s="281"/>
      <c r="C1323" s="281"/>
      <c r="F1323" s="173"/>
      <c r="G1323" s="173"/>
      <c r="H1323" s="173"/>
      <c r="I1323" s="174"/>
      <c r="K1323" s="177"/>
      <c r="L1323" s="177"/>
      <c r="Q1323" s="179"/>
      <c r="R1323" s="217"/>
      <c r="S1323" s="218"/>
      <c r="T1323" s="180"/>
      <c r="U1323" s="181"/>
      <c r="V1323" s="181"/>
      <c r="W1323" s="181"/>
      <c r="X1323" s="181"/>
      <c r="Y1323" s="3"/>
      <c r="Z1323" s="3"/>
    </row>
    <row r="1324" spans="1:26" ht="23.25" customHeight="1">
      <c r="A1324" s="281"/>
      <c r="B1324" s="281"/>
      <c r="C1324" s="281"/>
      <c r="F1324" s="173"/>
      <c r="G1324" s="173"/>
      <c r="H1324" s="173"/>
      <c r="I1324" s="174"/>
      <c r="K1324" s="177"/>
      <c r="L1324" s="177"/>
      <c r="Q1324" s="179"/>
      <c r="R1324" s="217"/>
      <c r="S1324" s="218"/>
      <c r="T1324" s="180"/>
      <c r="U1324" s="181"/>
      <c r="V1324" s="181"/>
      <c r="W1324" s="181"/>
      <c r="X1324" s="181"/>
      <c r="Y1324" s="3"/>
      <c r="Z1324" s="3"/>
    </row>
    <row r="1325" spans="1:26" ht="23.25" customHeight="1">
      <c r="A1325" s="281"/>
      <c r="B1325" s="281"/>
      <c r="C1325" s="281"/>
      <c r="F1325" s="173"/>
      <c r="G1325" s="173"/>
      <c r="H1325" s="173"/>
      <c r="I1325" s="174"/>
      <c r="K1325" s="177"/>
      <c r="L1325" s="177"/>
      <c r="Q1325" s="179"/>
      <c r="R1325" s="217"/>
      <c r="S1325" s="218"/>
      <c r="T1325" s="180"/>
      <c r="U1325" s="181"/>
      <c r="V1325" s="181"/>
      <c r="W1325" s="181"/>
      <c r="X1325" s="181"/>
      <c r="Y1325" s="3"/>
      <c r="Z1325" s="3"/>
    </row>
    <row r="1326" spans="1:26" ht="23.25" customHeight="1">
      <c r="A1326" s="281"/>
      <c r="B1326" s="281"/>
      <c r="C1326" s="281"/>
      <c r="F1326" s="173"/>
      <c r="G1326" s="173"/>
      <c r="H1326" s="173"/>
      <c r="I1326" s="174"/>
      <c r="K1326" s="177"/>
      <c r="L1326" s="177"/>
      <c r="Q1326" s="179"/>
      <c r="R1326" s="217"/>
      <c r="S1326" s="218"/>
      <c r="T1326" s="180"/>
      <c r="U1326" s="181"/>
      <c r="V1326" s="181"/>
      <c r="W1326" s="181"/>
      <c r="X1326" s="181"/>
      <c r="Y1326" s="3"/>
      <c r="Z1326" s="3"/>
    </row>
    <row r="1327" spans="1:26" ht="23.25" customHeight="1">
      <c r="A1327" s="281"/>
      <c r="B1327" s="281"/>
      <c r="C1327" s="281"/>
      <c r="F1327" s="173"/>
      <c r="G1327" s="173"/>
      <c r="H1327" s="173"/>
      <c r="I1327" s="174"/>
      <c r="K1327" s="177"/>
      <c r="L1327" s="177"/>
      <c r="Q1327" s="179"/>
      <c r="R1327" s="217"/>
      <c r="S1327" s="218"/>
      <c r="T1327" s="180"/>
      <c r="U1327" s="181"/>
      <c r="V1327" s="181"/>
      <c r="W1327" s="181"/>
      <c r="X1327" s="181"/>
      <c r="Y1327" s="3"/>
      <c r="Z1327" s="3"/>
    </row>
    <row r="1328" spans="1:26" ht="23.25" customHeight="1">
      <c r="A1328" s="281"/>
      <c r="B1328" s="281"/>
      <c r="C1328" s="281"/>
      <c r="F1328" s="173"/>
      <c r="G1328" s="173"/>
      <c r="H1328" s="173"/>
      <c r="I1328" s="174"/>
      <c r="K1328" s="177"/>
      <c r="L1328" s="177"/>
      <c r="Q1328" s="179"/>
      <c r="R1328" s="217"/>
      <c r="S1328" s="218"/>
      <c r="T1328" s="180"/>
      <c r="U1328" s="181"/>
      <c r="V1328" s="181"/>
      <c r="W1328" s="181"/>
      <c r="X1328" s="181"/>
      <c r="Y1328" s="3"/>
      <c r="Z1328" s="3"/>
    </row>
    <row r="1329" spans="1:26" ht="23.25" customHeight="1">
      <c r="A1329" s="281"/>
      <c r="B1329" s="281"/>
      <c r="C1329" s="281"/>
      <c r="F1329" s="173"/>
      <c r="G1329" s="173"/>
      <c r="H1329" s="173"/>
      <c r="I1329" s="174"/>
      <c r="K1329" s="177"/>
      <c r="L1329" s="177"/>
      <c r="Q1329" s="179"/>
      <c r="R1329" s="217"/>
      <c r="S1329" s="218"/>
      <c r="T1329" s="180"/>
      <c r="U1329" s="181"/>
      <c r="V1329" s="181"/>
      <c r="W1329" s="181"/>
      <c r="X1329" s="181"/>
      <c r="Y1329" s="3"/>
      <c r="Z1329" s="3"/>
    </row>
    <row r="1330" spans="1:26" ht="23.25" customHeight="1">
      <c r="A1330" s="281"/>
      <c r="B1330" s="281"/>
      <c r="C1330" s="281"/>
      <c r="F1330" s="173"/>
      <c r="G1330" s="173"/>
      <c r="H1330" s="173"/>
      <c r="I1330" s="174"/>
      <c r="K1330" s="177"/>
      <c r="L1330" s="177"/>
      <c r="Q1330" s="179"/>
      <c r="R1330" s="217"/>
      <c r="S1330" s="218"/>
      <c r="T1330" s="180"/>
      <c r="U1330" s="181"/>
      <c r="V1330" s="181"/>
      <c r="W1330" s="181"/>
      <c r="X1330" s="181"/>
      <c r="Y1330" s="3"/>
      <c r="Z1330" s="3"/>
    </row>
    <row r="1331" spans="1:26" ht="23.25" customHeight="1">
      <c r="A1331" s="281"/>
      <c r="B1331" s="281"/>
      <c r="C1331" s="281"/>
      <c r="F1331" s="173"/>
      <c r="G1331" s="173"/>
      <c r="H1331" s="173"/>
      <c r="I1331" s="174"/>
      <c r="K1331" s="177"/>
      <c r="L1331" s="177"/>
      <c r="Q1331" s="179"/>
      <c r="R1331" s="217"/>
      <c r="S1331" s="218"/>
      <c r="T1331" s="180"/>
      <c r="U1331" s="181"/>
      <c r="V1331" s="181"/>
      <c r="W1331" s="181"/>
      <c r="X1331" s="181"/>
      <c r="Y1331" s="3"/>
      <c r="Z1331" s="3"/>
    </row>
    <row r="1332" spans="1:26" ht="23.25" customHeight="1">
      <c r="A1332" s="281"/>
      <c r="B1332" s="281"/>
      <c r="C1332" s="281"/>
      <c r="F1332" s="173"/>
      <c r="G1332" s="173"/>
      <c r="H1332" s="173"/>
      <c r="I1332" s="174"/>
      <c r="K1332" s="177"/>
      <c r="L1332" s="177"/>
      <c r="Q1332" s="179"/>
      <c r="R1332" s="217"/>
      <c r="S1332" s="218"/>
      <c r="T1332" s="180"/>
      <c r="U1332" s="181"/>
      <c r="V1332" s="181"/>
      <c r="W1332" s="181"/>
      <c r="X1332" s="181"/>
      <c r="Y1332" s="3"/>
      <c r="Z1332" s="3"/>
    </row>
    <row r="1333" spans="1:26" ht="23.25" customHeight="1">
      <c r="A1333" s="281"/>
      <c r="B1333" s="281"/>
      <c r="C1333" s="281"/>
      <c r="F1333" s="173"/>
      <c r="G1333" s="173"/>
      <c r="H1333" s="173"/>
      <c r="I1333" s="174"/>
      <c r="K1333" s="177"/>
      <c r="L1333" s="177"/>
      <c r="Q1333" s="179"/>
      <c r="R1333" s="217"/>
      <c r="S1333" s="218"/>
      <c r="T1333" s="180"/>
      <c r="U1333" s="181"/>
      <c r="V1333" s="181"/>
      <c r="W1333" s="181"/>
      <c r="X1333" s="181"/>
      <c r="Y1333" s="3"/>
      <c r="Z1333" s="3"/>
    </row>
    <row r="1334" spans="1:26" ht="23.25" customHeight="1">
      <c r="A1334" s="281"/>
      <c r="B1334" s="281"/>
      <c r="C1334" s="281"/>
      <c r="F1334" s="173"/>
      <c r="G1334" s="173"/>
      <c r="H1334" s="173"/>
      <c r="I1334" s="174"/>
      <c r="K1334" s="177"/>
      <c r="L1334" s="177"/>
      <c r="Q1334" s="179"/>
      <c r="R1334" s="217"/>
      <c r="S1334" s="218"/>
      <c r="T1334" s="180"/>
      <c r="U1334" s="181"/>
      <c r="V1334" s="181"/>
      <c r="W1334" s="181"/>
      <c r="X1334" s="181"/>
      <c r="Y1334" s="3"/>
      <c r="Z1334" s="3"/>
    </row>
    <row r="1335" spans="1:26" ht="23.25" customHeight="1">
      <c r="A1335" s="281"/>
      <c r="B1335" s="281"/>
      <c r="C1335" s="281"/>
      <c r="F1335" s="173"/>
      <c r="G1335" s="173"/>
      <c r="H1335" s="173"/>
      <c r="I1335" s="174"/>
      <c r="K1335" s="177"/>
      <c r="L1335" s="177"/>
      <c r="Q1335" s="179"/>
      <c r="R1335" s="217"/>
      <c r="S1335" s="218"/>
      <c r="T1335" s="180"/>
      <c r="U1335" s="181"/>
      <c r="V1335" s="181"/>
      <c r="W1335" s="181"/>
      <c r="X1335" s="181"/>
      <c r="Y1335" s="3"/>
      <c r="Z1335" s="3"/>
    </row>
    <row r="1336" spans="1:26" ht="23.25" customHeight="1">
      <c r="A1336" s="281"/>
      <c r="B1336" s="281"/>
      <c r="C1336" s="281"/>
      <c r="F1336" s="173"/>
      <c r="G1336" s="173"/>
      <c r="H1336" s="173"/>
      <c r="I1336" s="174"/>
      <c r="K1336" s="177"/>
      <c r="L1336" s="177"/>
      <c r="Q1336" s="179"/>
      <c r="R1336" s="217"/>
      <c r="S1336" s="218"/>
      <c r="T1336" s="180"/>
      <c r="U1336" s="181"/>
      <c r="V1336" s="181"/>
      <c r="W1336" s="181"/>
      <c r="X1336" s="181"/>
      <c r="Y1336" s="3"/>
      <c r="Z1336" s="3"/>
    </row>
    <row r="1337" spans="1:26" ht="23.25" customHeight="1">
      <c r="A1337" s="281"/>
      <c r="B1337" s="281"/>
      <c r="C1337" s="281"/>
      <c r="F1337" s="173"/>
      <c r="G1337" s="173"/>
      <c r="H1337" s="173"/>
      <c r="I1337" s="174"/>
      <c r="K1337" s="177"/>
      <c r="L1337" s="177"/>
      <c r="Q1337" s="179"/>
      <c r="R1337" s="217"/>
      <c r="S1337" s="218"/>
      <c r="T1337" s="180"/>
      <c r="U1337" s="181"/>
      <c r="V1337" s="181"/>
      <c r="W1337" s="181"/>
      <c r="X1337" s="181"/>
      <c r="Y1337" s="3"/>
      <c r="Z1337" s="3"/>
    </row>
    <row r="1338" spans="1:26" ht="23.25" customHeight="1">
      <c r="A1338" s="281"/>
      <c r="B1338" s="281"/>
      <c r="C1338" s="281"/>
      <c r="F1338" s="173"/>
      <c r="G1338" s="173"/>
      <c r="H1338" s="173"/>
      <c r="I1338" s="174"/>
      <c r="K1338" s="177"/>
      <c r="L1338" s="177"/>
      <c r="Q1338" s="179"/>
      <c r="R1338" s="217"/>
      <c r="S1338" s="218"/>
      <c r="T1338" s="180"/>
      <c r="U1338" s="181"/>
      <c r="V1338" s="181"/>
      <c r="W1338" s="181"/>
      <c r="X1338" s="181"/>
      <c r="Y1338" s="3"/>
      <c r="Z1338" s="3"/>
    </row>
    <row r="1339" spans="1:26" ht="23.25" customHeight="1">
      <c r="A1339" s="281"/>
      <c r="B1339" s="281"/>
      <c r="C1339" s="281"/>
      <c r="F1339" s="173"/>
      <c r="G1339" s="173"/>
      <c r="H1339" s="173"/>
      <c r="I1339" s="174"/>
      <c r="K1339" s="177"/>
      <c r="L1339" s="177"/>
      <c r="Q1339" s="179"/>
      <c r="R1339" s="217"/>
      <c r="S1339" s="218"/>
      <c r="T1339" s="180"/>
      <c r="U1339" s="181"/>
      <c r="V1339" s="181"/>
      <c r="W1339" s="181"/>
      <c r="X1339" s="181"/>
      <c r="Y1339" s="3"/>
      <c r="Z1339" s="3"/>
    </row>
    <row r="1340" spans="1:26" ht="23.25" customHeight="1">
      <c r="A1340" s="281"/>
      <c r="B1340" s="281"/>
      <c r="C1340" s="281"/>
      <c r="F1340" s="173"/>
      <c r="G1340" s="173"/>
      <c r="H1340" s="173"/>
      <c r="I1340" s="174"/>
      <c r="K1340" s="177"/>
      <c r="L1340" s="177"/>
      <c r="Q1340" s="179"/>
      <c r="R1340" s="217"/>
      <c r="S1340" s="218"/>
      <c r="T1340" s="180"/>
      <c r="U1340" s="181"/>
      <c r="V1340" s="181"/>
      <c r="W1340" s="181"/>
      <c r="X1340" s="181"/>
      <c r="Y1340" s="3"/>
      <c r="Z1340" s="3"/>
    </row>
    <row r="1341" spans="1:26" ht="23.25" customHeight="1">
      <c r="A1341" s="281"/>
      <c r="B1341" s="281"/>
      <c r="C1341" s="281"/>
      <c r="F1341" s="173"/>
      <c r="G1341" s="173"/>
      <c r="H1341" s="173"/>
      <c r="I1341" s="174"/>
      <c r="K1341" s="177"/>
      <c r="L1341" s="177"/>
      <c r="Q1341" s="179"/>
      <c r="R1341" s="217"/>
      <c r="S1341" s="218"/>
      <c r="T1341" s="180"/>
      <c r="U1341" s="181"/>
      <c r="V1341" s="181"/>
      <c r="W1341" s="181"/>
      <c r="X1341" s="181"/>
      <c r="Y1341" s="3"/>
      <c r="Z1341" s="3"/>
    </row>
    <row r="1342" spans="1:26" ht="23.25" customHeight="1">
      <c r="A1342" s="281"/>
      <c r="B1342" s="281"/>
      <c r="C1342" s="281"/>
      <c r="F1342" s="173"/>
      <c r="G1342" s="173"/>
      <c r="H1342" s="173"/>
      <c r="I1342" s="174"/>
      <c r="K1342" s="177"/>
      <c r="L1342" s="177"/>
      <c r="Q1342" s="179"/>
      <c r="R1342" s="217"/>
      <c r="S1342" s="218"/>
      <c r="T1342" s="180"/>
      <c r="U1342" s="181"/>
      <c r="V1342" s="181"/>
      <c r="W1342" s="181"/>
      <c r="X1342" s="181"/>
      <c r="Y1342" s="3"/>
      <c r="Z1342" s="3"/>
    </row>
    <row r="1343" spans="1:26" ht="23.25" customHeight="1">
      <c r="A1343" s="281"/>
      <c r="B1343" s="281"/>
      <c r="C1343" s="281"/>
      <c r="F1343" s="173"/>
      <c r="G1343" s="173"/>
      <c r="H1343" s="173"/>
      <c r="I1343" s="174"/>
      <c r="K1343" s="177"/>
      <c r="L1343" s="177"/>
      <c r="Q1343" s="179"/>
      <c r="R1343" s="217"/>
      <c r="S1343" s="218"/>
      <c r="T1343" s="180"/>
      <c r="U1343" s="181"/>
      <c r="V1343" s="181"/>
      <c r="W1343" s="181"/>
      <c r="X1343" s="181"/>
      <c r="Y1343" s="3"/>
      <c r="Z1343" s="3"/>
    </row>
    <row r="1344" spans="1:26" ht="23.25" customHeight="1">
      <c r="A1344" s="281"/>
      <c r="B1344" s="281"/>
      <c r="C1344" s="281"/>
      <c r="F1344" s="173"/>
      <c r="G1344" s="173"/>
      <c r="H1344" s="173"/>
      <c r="I1344" s="174"/>
      <c r="K1344" s="177"/>
      <c r="L1344" s="177"/>
      <c r="Q1344" s="179"/>
      <c r="R1344" s="217"/>
      <c r="S1344" s="218"/>
      <c r="T1344" s="180"/>
      <c r="U1344" s="181"/>
      <c r="V1344" s="181"/>
      <c r="W1344" s="181"/>
      <c r="X1344" s="181"/>
      <c r="Y1344" s="3"/>
      <c r="Z1344" s="3"/>
    </row>
    <row r="1345" spans="1:26" ht="23.25" customHeight="1">
      <c r="A1345" s="281"/>
      <c r="B1345" s="281"/>
      <c r="C1345" s="281"/>
      <c r="F1345" s="173"/>
      <c r="G1345" s="173"/>
      <c r="H1345" s="173"/>
      <c r="I1345" s="174"/>
      <c r="K1345" s="177"/>
      <c r="L1345" s="177"/>
      <c r="Q1345" s="179"/>
      <c r="R1345" s="217"/>
      <c r="S1345" s="218"/>
      <c r="T1345" s="180"/>
      <c r="U1345" s="181"/>
      <c r="V1345" s="181"/>
      <c r="W1345" s="181"/>
      <c r="X1345" s="181"/>
      <c r="Y1345" s="3"/>
      <c r="Z1345" s="3"/>
    </row>
    <row r="1346" spans="1:26" ht="23.25" customHeight="1">
      <c r="A1346" s="281"/>
      <c r="B1346" s="281"/>
      <c r="C1346" s="281"/>
      <c r="F1346" s="173"/>
      <c r="G1346" s="173"/>
      <c r="H1346" s="173"/>
      <c r="I1346" s="174"/>
      <c r="K1346" s="177"/>
      <c r="L1346" s="177"/>
      <c r="Q1346" s="179"/>
      <c r="R1346" s="217"/>
      <c r="S1346" s="218"/>
      <c r="T1346" s="180"/>
      <c r="U1346" s="181"/>
      <c r="V1346" s="181"/>
      <c r="W1346" s="181"/>
      <c r="X1346" s="181"/>
      <c r="Y1346" s="3"/>
      <c r="Z1346" s="3"/>
    </row>
    <row r="1347" spans="1:26" ht="23.25" customHeight="1">
      <c r="A1347" s="281"/>
      <c r="B1347" s="281"/>
      <c r="C1347" s="281"/>
      <c r="F1347" s="173"/>
      <c r="G1347" s="173"/>
      <c r="H1347" s="173"/>
      <c r="I1347" s="174"/>
      <c r="K1347" s="177"/>
      <c r="L1347" s="177"/>
      <c r="Q1347" s="179"/>
      <c r="R1347" s="217"/>
      <c r="S1347" s="218"/>
      <c r="T1347" s="180"/>
      <c r="U1347" s="181"/>
      <c r="V1347" s="181"/>
      <c r="W1347" s="181"/>
      <c r="X1347" s="181"/>
      <c r="Y1347" s="3"/>
      <c r="Z1347" s="3"/>
    </row>
    <row r="1348" spans="1:26" ht="23.25" customHeight="1">
      <c r="A1348" s="281"/>
      <c r="B1348" s="281"/>
      <c r="C1348" s="281"/>
      <c r="F1348" s="173"/>
      <c r="G1348" s="173"/>
      <c r="H1348" s="173"/>
      <c r="I1348" s="174"/>
      <c r="K1348" s="177"/>
      <c r="L1348" s="177"/>
      <c r="Q1348" s="179"/>
      <c r="R1348" s="217"/>
      <c r="S1348" s="218"/>
      <c r="T1348" s="180"/>
      <c r="U1348" s="181"/>
      <c r="V1348" s="181"/>
      <c r="W1348" s="181"/>
      <c r="X1348" s="181"/>
      <c r="Y1348" s="3"/>
      <c r="Z1348" s="3"/>
    </row>
    <row r="1349" spans="1:26" ht="23.25" customHeight="1">
      <c r="A1349" s="281"/>
      <c r="B1349" s="281"/>
      <c r="C1349" s="281"/>
      <c r="F1349" s="173"/>
      <c r="G1349" s="173"/>
      <c r="H1349" s="173"/>
      <c r="I1349" s="174"/>
      <c r="K1349" s="177"/>
      <c r="L1349" s="177"/>
      <c r="Q1349" s="179"/>
      <c r="R1349" s="217"/>
      <c r="S1349" s="218"/>
      <c r="T1349" s="180"/>
      <c r="U1349" s="181"/>
      <c r="V1349" s="181"/>
      <c r="W1349" s="181"/>
      <c r="X1349" s="181"/>
      <c r="Y1349" s="3"/>
      <c r="Z1349" s="3"/>
    </row>
    <row r="1350" spans="1:26" ht="23.25" customHeight="1">
      <c r="A1350" s="281"/>
      <c r="B1350" s="281"/>
      <c r="C1350" s="281"/>
      <c r="F1350" s="173"/>
      <c r="G1350" s="173"/>
      <c r="H1350" s="173"/>
      <c r="I1350" s="174"/>
      <c r="K1350" s="177"/>
      <c r="L1350" s="177"/>
      <c r="Q1350" s="179"/>
      <c r="R1350" s="217"/>
      <c r="S1350" s="218"/>
      <c r="T1350" s="180"/>
      <c r="U1350" s="181"/>
      <c r="V1350" s="181"/>
      <c r="W1350" s="181"/>
      <c r="X1350" s="181"/>
      <c r="Y1350" s="3"/>
      <c r="Z1350" s="3"/>
    </row>
    <row r="1351" spans="1:26" ht="23.25" customHeight="1">
      <c r="A1351" s="281"/>
      <c r="B1351" s="281"/>
      <c r="C1351" s="281"/>
      <c r="F1351" s="173"/>
      <c r="G1351" s="173"/>
      <c r="H1351" s="173"/>
      <c r="I1351" s="174"/>
      <c r="K1351" s="177"/>
      <c r="L1351" s="177"/>
      <c r="Q1351" s="179"/>
      <c r="R1351" s="217"/>
      <c r="S1351" s="218"/>
      <c r="T1351" s="180"/>
      <c r="U1351" s="181"/>
      <c r="V1351" s="181"/>
      <c r="W1351" s="181"/>
      <c r="X1351" s="181"/>
      <c r="Y1351" s="3"/>
      <c r="Z1351" s="3"/>
    </row>
    <row r="1352" spans="1:26" ht="23.25" customHeight="1">
      <c r="A1352" s="281"/>
      <c r="B1352" s="281"/>
      <c r="C1352" s="281"/>
      <c r="F1352" s="173"/>
      <c r="G1352" s="173"/>
      <c r="H1352" s="173"/>
      <c r="I1352" s="174"/>
      <c r="K1352" s="177"/>
      <c r="L1352" s="177"/>
      <c r="Q1352" s="179"/>
      <c r="R1352" s="217"/>
      <c r="S1352" s="218"/>
      <c r="T1352" s="180"/>
      <c r="U1352" s="181"/>
      <c r="V1352" s="181"/>
      <c r="W1352" s="181"/>
      <c r="X1352" s="181"/>
      <c r="Y1352" s="3"/>
      <c r="Z1352" s="3"/>
    </row>
    <row r="1353" spans="1:26" ht="23.25" customHeight="1">
      <c r="A1353" s="281"/>
      <c r="B1353" s="281"/>
      <c r="C1353" s="281"/>
      <c r="F1353" s="173"/>
      <c r="G1353" s="173"/>
      <c r="H1353" s="173"/>
      <c r="I1353" s="174"/>
      <c r="K1353" s="177"/>
      <c r="L1353" s="177"/>
      <c r="Q1353" s="179"/>
      <c r="R1353" s="217"/>
      <c r="S1353" s="218"/>
      <c r="T1353" s="180"/>
      <c r="U1353" s="181"/>
      <c r="V1353" s="181"/>
      <c r="W1353" s="181"/>
      <c r="X1353" s="181"/>
      <c r="Y1353" s="3"/>
      <c r="Z1353" s="3"/>
    </row>
    <row r="1354" spans="1:26" ht="23.25" customHeight="1">
      <c r="A1354" s="281"/>
      <c r="B1354" s="281"/>
      <c r="C1354" s="281"/>
      <c r="F1354" s="173"/>
      <c r="G1354" s="173"/>
      <c r="H1354" s="173"/>
      <c r="I1354" s="174"/>
      <c r="K1354" s="177"/>
      <c r="L1354" s="177"/>
      <c r="Q1354" s="179"/>
      <c r="R1354" s="217"/>
      <c r="S1354" s="218"/>
      <c r="T1354" s="180"/>
      <c r="U1354" s="181"/>
      <c r="V1354" s="181"/>
      <c r="W1354" s="181"/>
      <c r="X1354" s="181"/>
      <c r="Y1354" s="3"/>
      <c r="Z1354" s="3"/>
    </row>
    <row r="1355" spans="1:26" ht="23.25" customHeight="1">
      <c r="A1355" s="281"/>
      <c r="B1355" s="281"/>
      <c r="C1355" s="281"/>
      <c r="F1355" s="173"/>
      <c r="G1355" s="173"/>
      <c r="H1355" s="173"/>
      <c r="I1355" s="174"/>
      <c r="K1355" s="177"/>
      <c r="L1355" s="177"/>
      <c r="Q1355" s="179"/>
      <c r="R1355" s="217"/>
      <c r="S1355" s="218"/>
      <c r="T1355" s="180"/>
      <c r="U1355" s="181"/>
      <c r="V1355" s="181"/>
      <c r="W1355" s="181"/>
      <c r="X1355" s="181"/>
      <c r="Y1355" s="3"/>
      <c r="Z1355" s="3"/>
    </row>
    <row r="1356" spans="1:26" ht="23.25" customHeight="1">
      <c r="A1356" s="281"/>
      <c r="B1356" s="281"/>
      <c r="C1356" s="281"/>
      <c r="F1356" s="173"/>
      <c r="G1356" s="173"/>
      <c r="H1356" s="173"/>
      <c r="I1356" s="174"/>
      <c r="K1356" s="177"/>
      <c r="L1356" s="177"/>
      <c r="Q1356" s="179"/>
      <c r="R1356" s="217"/>
      <c r="S1356" s="218"/>
      <c r="T1356" s="180"/>
      <c r="U1356" s="181"/>
      <c r="V1356" s="181"/>
      <c r="W1356" s="181"/>
      <c r="X1356" s="181"/>
      <c r="Y1356" s="3"/>
      <c r="Z1356" s="3"/>
    </row>
    <row r="1357" spans="1:26" ht="23.25" customHeight="1">
      <c r="A1357" s="281"/>
      <c r="B1357" s="281"/>
      <c r="C1357" s="281"/>
      <c r="F1357" s="173"/>
      <c r="G1357" s="173"/>
      <c r="H1357" s="173"/>
      <c r="I1357" s="174"/>
      <c r="K1357" s="177"/>
      <c r="L1357" s="177"/>
      <c r="Q1357" s="179"/>
      <c r="R1357" s="217"/>
      <c r="S1357" s="218"/>
      <c r="T1357" s="180"/>
      <c r="U1357" s="181"/>
      <c r="V1357" s="181"/>
      <c r="W1357" s="181"/>
      <c r="X1357" s="181"/>
      <c r="Y1357" s="3"/>
      <c r="Z1357" s="3"/>
    </row>
    <row r="1358" spans="1:26" ht="23.25" customHeight="1">
      <c r="A1358" s="281"/>
      <c r="B1358" s="281"/>
      <c r="C1358" s="281"/>
      <c r="F1358" s="173"/>
      <c r="G1358" s="173"/>
      <c r="H1358" s="173"/>
      <c r="I1358" s="174"/>
      <c r="K1358" s="177"/>
      <c r="L1358" s="177"/>
      <c r="Q1358" s="179"/>
      <c r="R1358" s="217"/>
      <c r="S1358" s="218"/>
      <c r="T1358" s="180"/>
      <c r="U1358" s="181"/>
      <c r="V1358" s="181"/>
      <c r="W1358" s="181"/>
      <c r="X1358" s="181"/>
      <c r="Y1358" s="3"/>
      <c r="Z1358" s="3"/>
    </row>
    <row r="1359" spans="1:26" ht="23.25" customHeight="1">
      <c r="A1359" s="281"/>
      <c r="B1359" s="281"/>
      <c r="C1359" s="281"/>
      <c r="F1359" s="173"/>
      <c r="G1359" s="173"/>
      <c r="H1359" s="173"/>
      <c r="I1359" s="174"/>
      <c r="K1359" s="177"/>
      <c r="L1359" s="177"/>
      <c r="Q1359" s="179"/>
      <c r="R1359" s="217"/>
      <c r="S1359" s="218"/>
      <c r="T1359" s="180"/>
      <c r="U1359" s="181"/>
      <c r="V1359" s="181"/>
      <c r="W1359" s="181"/>
      <c r="X1359" s="181"/>
      <c r="Y1359" s="3"/>
      <c r="Z1359" s="3"/>
    </row>
    <row r="1360" spans="1:26" ht="23.25" customHeight="1">
      <c r="A1360" s="281"/>
      <c r="B1360" s="281"/>
      <c r="C1360" s="281"/>
      <c r="F1360" s="173"/>
      <c r="G1360" s="173"/>
      <c r="H1360" s="173"/>
      <c r="I1360" s="174"/>
      <c r="K1360" s="177"/>
      <c r="L1360" s="177"/>
      <c r="Q1360" s="179"/>
      <c r="R1360" s="217"/>
      <c r="S1360" s="218"/>
      <c r="T1360" s="180"/>
      <c r="U1360" s="181"/>
      <c r="V1360" s="181"/>
      <c r="W1360" s="181"/>
      <c r="X1360" s="181"/>
      <c r="Y1360" s="3"/>
      <c r="Z1360" s="3"/>
    </row>
    <row r="1361" spans="1:26" ht="23.25" customHeight="1">
      <c r="A1361" s="281"/>
      <c r="B1361" s="281"/>
      <c r="C1361" s="281"/>
      <c r="F1361" s="173"/>
      <c r="G1361" s="173"/>
      <c r="H1361" s="173"/>
      <c r="I1361" s="174"/>
      <c r="K1361" s="177"/>
      <c r="L1361" s="177"/>
      <c r="Q1361" s="179"/>
      <c r="R1361" s="217"/>
      <c r="S1361" s="218"/>
      <c r="T1361" s="180"/>
      <c r="U1361" s="181"/>
      <c r="V1361" s="181"/>
      <c r="W1361" s="181"/>
      <c r="X1361" s="181"/>
      <c r="Y1361" s="3"/>
      <c r="Z1361" s="3"/>
    </row>
    <row r="1362" spans="1:26" ht="23.25" customHeight="1">
      <c r="A1362" s="281"/>
      <c r="B1362" s="281"/>
      <c r="C1362" s="281"/>
      <c r="F1362" s="173"/>
      <c r="G1362" s="173"/>
      <c r="H1362" s="173"/>
      <c r="I1362" s="174"/>
      <c r="K1362" s="177"/>
      <c r="L1362" s="177"/>
      <c r="Q1362" s="179"/>
      <c r="R1362" s="217"/>
      <c r="S1362" s="218"/>
      <c r="T1362" s="180"/>
      <c r="U1362" s="181"/>
      <c r="V1362" s="181"/>
      <c r="W1362" s="181"/>
      <c r="X1362" s="181"/>
      <c r="Y1362" s="3"/>
      <c r="Z1362" s="3"/>
    </row>
    <row r="1363" spans="1:26" ht="23.25" customHeight="1">
      <c r="A1363" s="281"/>
      <c r="B1363" s="281"/>
      <c r="C1363" s="281"/>
      <c r="F1363" s="173"/>
      <c r="G1363" s="173"/>
      <c r="H1363" s="173"/>
      <c r="I1363" s="174"/>
      <c r="K1363" s="177"/>
      <c r="L1363" s="177"/>
      <c r="Q1363" s="179"/>
      <c r="R1363" s="217"/>
      <c r="S1363" s="218"/>
      <c r="T1363" s="180"/>
      <c r="U1363" s="181"/>
      <c r="V1363" s="181"/>
      <c r="W1363" s="181"/>
      <c r="X1363" s="181"/>
      <c r="Y1363" s="3"/>
      <c r="Z1363" s="3"/>
    </row>
    <row r="1364" spans="1:26" ht="23.25" customHeight="1">
      <c r="A1364" s="281"/>
      <c r="B1364" s="281"/>
      <c r="C1364" s="281"/>
      <c r="F1364" s="173"/>
      <c r="G1364" s="173"/>
      <c r="H1364" s="173"/>
      <c r="I1364" s="174"/>
      <c r="K1364" s="177"/>
      <c r="L1364" s="177"/>
      <c r="Q1364" s="179"/>
      <c r="R1364" s="217"/>
      <c r="S1364" s="218"/>
      <c r="T1364" s="180"/>
      <c r="U1364" s="181"/>
      <c r="V1364" s="181"/>
      <c r="W1364" s="181"/>
      <c r="X1364" s="181"/>
      <c r="Y1364" s="3"/>
      <c r="Z1364" s="3"/>
    </row>
    <row r="1365" spans="1:26" ht="23.25" customHeight="1">
      <c r="A1365" s="281"/>
      <c r="B1365" s="281"/>
      <c r="C1365" s="281"/>
      <c r="F1365" s="173"/>
      <c r="G1365" s="173"/>
      <c r="H1365" s="173"/>
      <c r="I1365" s="174"/>
      <c r="K1365" s="177"/>
      <c r="L1365" s="177"/>
      <c r="Q1365" s="179"/>
      <c r="R1365" s="217"/>
      <c r="S1365" s="218"/>
      <c r="T1365" s="180"/>
      <c r="U1365" s="181"/>
      <c r="V1365" s="181"/>
      <c r="W1365" s="181"/>
      <c r="X1365" s="181"/>
      <c r="Y1365" s="3"/>
      <c r="Z1365" s="3"/>
    </row>
    <row r="1366" spans="1:26" ht="23.25" customHeight="1">
      <c r="A1366" s="281"/>
      <c r="B1366" s="281"/>
      <c r="C1366" s="281"/>
      <c r="F1366" s="173"/>
      <c r="G1366" s="173"/>
      <c r="H1366" s="173"/>
      <c r="I1366" s="174"/>
      <c r="K1366" s="177"/>
      <c r="L1366" s="177"/>
      <c r="Q1366" s="179"/>
      <c r="R1366" s="217"/>
      <c r="S1366" s="218"/>
      <c r="T1366" s="180"/>
      <c r="U1366" s="181"/>
      <c r="V1366" s="181"/>
      <c r="W1366" s="181"/>
      <c r="X1366" s="181"/>
      <c r="Y1366" s="3"/>
      <c r="Z1366" s="3"/>
    </row>
    <row r="1367" spans="1:26" ht="23.25" customHeight="1">
      <c r="A1367" s="281"/>
      <c r="B1367" s="281"/>
      <c r="C1367" s="281"/>
      <c r="F1367" s="173"/>
      <c r="G1367" s="173"/>
      <c r="H1367" s="173"/>
      <c r="I1367" s="174"/>
      <c r="K1367" s="177"/>
      <c r="L1367" s="177"/>
      <c r="Q1367" s="179"/>
      <c r="R1367" s="217"/>
      <c r="S1367" s="218"/>
      <c r="T1367" s="180"/>
      <c r="U1367" s="181"/>
      <c r="V1367" s="181"/>
      <c r="W1367" s="181"/>
      <c r="X1367" s="181"/>
      <c r="Y1367" s="3"/>
      <c r="Z1367" s="3"/>
    </row>
    <row r="1368" spans="1:26" ht="23.25" customHeight="1">
      <c r="A1368" s="281"/>
      <c r="B1368" s="281"/>
      <c r="C1368" s="281"/>
      <c r="F1368" s="173"/>
      <c r="G1368" s="173"/>
      <c r="H1368" s="173"/>
      <c r="I1368" s="174"/>
      <c r="K1368" s="177"/>
      <c r="L1368" s="177"/>
      <c r="Q1368" s="179"/>
      <c r="R1368" s="217"/>
      <c r="S1368" s="218"/>
      <c r="T1368" s="180"/>
      <c r="U1368" s="181"/>
      <c r="V1368" s="181"/>
      <c r="W1368" s="181"/>
      <c r="X1368" s="181"/>
      <c r="Y1368" s="3"/>
      <c r="Z1368" s="3"/>
    </row>
    <row r="1369" spans="1:26" ht="23.25" customHeight="1">
      <c r="A1369" s="281"/>
      <c r="B1369" s="281"/>
      <c r="C1369" s="281"/>
      <c r="F1369" s="173"/>
      <c r="G1369" s="173"/>
      <c r="H1369" s="173"/>
      <c r="I1369" s="174"/>
      <c r="K1369" s="177"/>
      <c r="L1369" s="177"/>
      <c r="Q1369" s="179"/>
      <c r="R1369" s="217"/>
      <c r="S1369" s="218"/>
      <c r="T1369" s="180"/>
      <c r="U1369" s="181"/>
      <c r="V1369" s="181"/>
      <c r="W1369" s="181"/>
      <c r="X1369" s="181"/>
      <c r="Y1369" s="3"/>
      <c r="Z1369" s="3"/>
    </row>
    <row r="1370" spans="1:26" ht="23.25" customHeight="1">
      <c r="A1370" s="281"/>
      <c r="B1370" s="281"/>
      <c r="C1370" s="281"/>
      <c r="F1370" s="173"/>
      <c r="G1370" s="173"/>
      <c r="H1370" s="173"/>
      <c r="I1370" s="174"/>
      <c r="K1370" s="177"/>
      <c r="L1370" s="177"/>
      <c r="Q1370" s="179"/>
      <c r="R1370" s="217"/>
      <c r="S1370" s="218"/>
      <c r="T1370" s="180"/>
      <c r="U1370" s="181"/>
      <c r="V1370" s="181"/>
      <c r="W1370" s="181"/>
      <c r="X1370" s="181"/>
      <c r="Y1370" s="3"/>
      <c r="Z1370" s="3"/>
    </row>
    <row r="1371" spans="1:26" ht="23.25" customHeight="1">
      <c r="A1371" s="281"/>
      <c r="B1371" s="281"/>
      <c r="C1371" s="281"/>
      <c r="F1371" s="173"/>
      <c r="G1371" s="173"/>
      <c r="H1371" s="173"/>
      <c r="I1371" s="174"/>
      <c r="K1371" s="177"/>
      <c r="L1371" s="177"/>
      <c r="Q1371" s="179"/>
      <c r="R1371" s="217"/>
      <c r="S1371" s="218"/>
      <c r="T1371" s="180"/>
      <c r="U1371" s="181"/>
      <c r="V1371" s="181"/>
      <c r="W1371" s="181"/>
      <c r="X1371" s="181"/>
      <c r="Y1371" s="3"/>
      <c r="Z1371" s="3"/>
    </row>
    <row r="1372" spans="1:26" ht="23.25" customHeight="1">
      <c r="A1372" s="281"/>
      <c r="B1372" s="281"/>
      <c r="C1372" s="281"/>
      <c r="F1372" s="173"/>
      <c r="G1372" s="173"/>
      <c r="H1372" s="173"/>
      <c r="I1372" s="174"/>
      <c r="K1372" s="177"/>
      <c r="L1372" s="177"/>
      <c r="Q1372" s="179"/>
      <c r="R1372" s="217"/>
      <c r="S1372" s="218"/>
      <c r="T1372" s="180"/>
      <c r="U1372" s="181"/>
      <c r="V1372" s="181"/>
      <c r="W1372" s="181"/>
      <c r="X1372" s="181"/>
      <c r="Y1372" s="3"/>
      <c r="Z1372" s="3"/>
    </row>
    <row r="1373" spans="1:26" ht="23.25" customHeight="1">
      <c r="A1373" s="281"/>
      <c r="B1373" s="281"/>
      <c r="C1373" s="281"/>
      <c r="F1373" s="173"/>
      <c r="G1373" s="173"/>
      <c r="H1373" s="173"/>
      <c r="I1373" s="174"/>
      <c r="K1373" s="177"/>
      <c r="L1373" s="177"/>
      <c r="Q1373" s="179"/>
      <c r="R1373" s="217"/>
      <c r="S1373" s="218"/>
      <c r="T1373" s="180"/>
      <c r="U1373" s="181"/>
      <c r="V1373" s="181"/>
      <c r="W1373" s="181"/>
      <c r="X1373" s="181"/>
      <c r="Y1373" s="3"/>
      <c r="Z1373" s="3"/>
    </row>
    <row r="1374" spans="1:26" ht="23.25" customHeight="1">
      <c r="A1374" s="281"/>
      <c r="B1374" s="281"/>
      <c r="C1374" s="281"/>
      <c r="F1374" s="173"/>
      <c r="G1374" s="173"/>
      <c r="H1374" s="173"/>
      <c r="I1374" s="174"/>
      <c r="K1374" s="177"/>
      <c r="L1374" s="177"/>
      <c r="Q1374" s="179"/>
      <c r="R1374" s="217"/>
      <c r="S1374" s="218"/>
      <c r="T1374" s="180"/>
      <c r="U1374" s="181"/>
      <c r="V1374" s="181"/>
      <c r="W1374" s="181"/>
      <c r="X1374" s="181"/>
      <c r="Y1374" s="3"/>
      <c r="Z1374" s="3"/>
    </row>
    <row r="1375" spans="1:26" ht="23.25" customHeight="1">
      <c r="A1375" s="281"/>
      <c r="B1375" s="281"/>
      <c r="C1375" s="281"/>
      <c r="F1375" s="173"/>
      <c r="G1375" s="173"/>
      <c r="H1375" s="173"/>
      <c r="I1375" s="174"/>
      <c r="K1375" s="177"/>
      <c r="L1375" s="177"/>
      <c r="Q1375" s="179"/>
      <c r="R1375" s="217"/>
      <c r="S1375" s="218"/>
      <c r="T1375" s="180"/>
      <c r="U1375" s="181"/>
      <c r="V1375" s="181"/>
      <c r="W1375" s="181"/>
      <c r="X1375" s="181"/>
      <c r="Y1375" s="3"/>
      <c r="Z1375" s="3"/>
    </row>
    <row r="1376" spans="1:26" ht="23.25" customHeight="1">
      <c r="A1376" s="281"/>
      <c r="B1376" s="281"/>
      <c r="C1376" s="281"/>
      <c r="F1376" s="173"/>
      <c r="G1376" s="173"/>
      <c r="H1376" s="173"/>
      <c r="I1376" s="174"/>
      <c r="K1376" s="177"/>
      <c r="L1376" s="177"/>
      <c r="Q1376" s="179"/>
      <c r="R1376" s="217"/>
      <c r="S1376" s="218"/>
      <c r="T1376" s="180"/>
      <c r="U1376" s="181"/>
      <c r="V1376" s="181"/>
      <c r="W1376" s="181"/>
      <c r="X1376" s="181"/>
      <c r="Y1376" s="3"/>
      <c r="Z1376" s="3"/>
    </row>
    <row r="1377" spans="1:26" ht="23.25" customHeight="1">
      <c r="A1377" s="281"/>
      <c r="B1377" s="281"/>
      <c r="C1377" s="281"/>
      <c r="F1377" s="173"/>
      <c r="G1377" s="173"/>
      <c r="H1377" s="173"/>
      <c r="I1377" s="174"/>
      <c r="K1377" s="177"/>
      <c r="L1377" s="177"/>
      <c r="Q1377" s="179"/>
      <c r="R1377" s="217"/>
      <c r="S1377" s="218"/>
      <c r="T1377" s="180"/>
      <c r="U1377" s="181"/>
      <c r="V1377" s="181"/>
      <c r="W1377" s="181"/>
      <c r="X1377" s="181"/>
      <c r="Y1377" s="3"/>
      <c r="Z1377" s="3"/>
    </row>
    <row r="1378" spans="1:26" ht="23.25" customHeight="1">
      <c r="A1378" s="281"/>
      <c r="B1378" s="281"/>
      <c r="C1378" s="281"/>
      <c r="F1378" s="173"/>
      <c r="G1378" s="173"/>
      <c r="H1378" s="173"/>
      <c r="I1378" s="174"/>
      <c r="K1378" s="177"/>
      <c r="L1378" s="177"/>
      <c r="Q1378" s="179"/>
      <c r="R1378" s="217"/>
      <c r="S1378" s="218"/>
      <c r="T1378" s="180"/>
      <c r="U1378" s="181"/>
      <c r="V1378" s="181"/>
      <c r="W1378" s="181"/>
      <c r="X1378" s="181"/>
      <c r="Y1378" s="3"/>
      <c r="Z1378" s="3"/>
    </row>
    <row r="1379" spans="1:26" ht="23.25" customHeight="1">
      <c r="A1379" s="281"/>
      <c r="B1379" s="281"/>
      <c r="C1379" s="281"/>
      <c r="F1379" s="173"/>
      <c r="G1379" s="173"/>
      <c r="H1379" s="173"/>
      <c r="I1379" s="174"/>
      <c r="K1379" s="177"/>
      <c r="L1379" s="177"/>
      <c r="Q1379" s="179"/>
      <c r="R1379" s="217"/>
      <c r="S1379" s="218"/>
      <c r="T1379" s="180"/>
      <c r="U1379" s="181"/>
      <c r="V1379" s="181"/>
      <c r="W1379" s="181"/>
      <c r="X1379" s="181"/>
      <c r="Y1379" s="3"/>
      <c r="Z1379" s="3"/>
    </row>
    <row r="1380" spans="1:26" ht="23.25" customHeight="1">
      <c r="A1380" s="281"/>
      <c r="B1380" s="281"/>
      <c r="C1380" s="281"/>
      <c r="F1380" s="173"/>
      <c r="G1380" s="173"/>
      <c r="H1380" s="173"/>
      <c r="I1380" s="174"/>
      <c r="K1380" s="177"/>
      <c r="L1380" s="177"/>
      <c r="Q1380" s="179"/>
      <c r="R1380" s="217"/>
      <c r="S1380" s="218"/>
      <c r="T1380" s="180"/>
      <c r="U1380" s="181"/>
      <c r="V1380" s="181"/>
      <c r="W1380" s="181"/>
      <c r="X1380" s="181"/>
      <c r="Y1380" s="3"/>
      <c r="Z1380" s="3"/>
    </row>
    <row r="1381" spans="1:26" ht="23.25" customHeight="1">
      <c r="A1381" s="281"/>
      <c r="B1381" s="281"/>
      <c r="C1381" s="281"/>
      <c r="F1381" s="173"/>
      <c r="G1381" s="173"/>
      <c r="H1381" s="173"/>
      <c r="I1381" s="174"/>
      <c r="K1381" s="177"/>
      <c r="L1381" s="177"/>
      <c r="Q1381" s="179"/>
      <c r="R1381" s="217"/>
      <c r="S1381" s="218"/>
      <c r="T1381" s="180"/>
      <c r="U1381" s="181"/>
      <c r="V1381" s="181"/>
      <c r="W1381" s="181"/>
      <c r="X1381" s="181"/>
      <c r="Y1381" s="3"/>
      <c r="Z1381" s="3"/>
    </row>
    <row r="1382" spans="1:26" ht="23.25" customHeight="1">
      <c r="A1382" s="281"/>
      <c r="B1382" s="281"/>
      <c r="C1382" s="281"/>
      <c r="F1382" s="173"/>
      <c r="G1382" s="173"/>
      <c r="H1382" s="173"/>
      <c r="I1382" s="174"/>
      <c r="K1382" s="177"/>
      <c r="L1382" s="177"/>
      <c r="Q1382" s="179"/>
      <c r="R1382" s="217"/>
      <c r="S1382" s="218"/>
      <c r="T1382" s="180"/>
      <c r="U1382" s="181"/>
      <c r="V1382" s="181"/>
      <c r="W1382" s="181"/>
      <c r="X1382" s="181"/>
      <c r="Y1382" s="3"/>
      <c r="Z1382" s="3"/>
    </row>
    <row r="1383" spans="1:26" ht="23.25" customHeight="1">
      <c r="A1383" s="281"/>
      <c r="B1383" s="281"/>
      <c r="C1383" s="281"/>
      <c r="F1383" s="173"/>
      <c r="G1383" s="173"/>
      <c r="H1383" s="173"/>
      <c r="I1383" s="174"/>
      <c r="K1383" s="177"/>
      <c r="L1383" s="177"/>
      <c r="Q1383" s="179"/>
      <c r="R1383" s="217"/>
      <c r="S1383" s="218"/>
      <c r="T1383" s="180"/>
      <c r="U1383" s="181"/>
      <c r="V1383" s="181"/>
      <c r="W1383" s="181"/>
      <c r="X1383" s="181"/>
      <c r="Y1383" s="3"/>
      <c r="Z1383" s="3"/>
    </row>
    <row r="1384" spans="1:26" ht="23.25" customHeight="1">
      <c r="A1384" s="281"/>
      <c r="B1384" s="281"/>
      <c r="C1384" s="281"/>
      <c r="F1384" s="173"/>
      <c r="G1384" s="173"/>
      <c r="H1384" s="173"/>
      <c r="I1384" s="174"/>
      <c r="K1384" s="177"/>
      <c r="L1384" s="177"/>
      <c r="Q1384" s="179"/>
      <c r="R1384" s="217"/>
      <c r="S1384" s="218"/>
      <c r="T1384" s="180"/>
      <c r="U1384" s="181"/>
      <c r="V1384" s="181"/>
      <c r="W1384" s="181"/>
      <c r="X1384" s="181"/>
      <c r="Y1384" s="3"/>
      <c r="Z1384" s="3"/>
    </row>
    <row r="1385" spans="1:26" ht="23.25" customHeight="1">
      <c r="A1385" s="281"/>
      <c r="B1385" s="281"/>
      <c r="C1385" s="281"/>
      <c r="F1385" s="173"/>
      <c r="G1385" s="173"/>
      <c r="H1385" s="173"/>
      <c r="I1385" s="174"/>
      <c r="K1385" s="177"/>
      <c r="L1385" s="177"/>
      <c r="Q1385" s="179"/>
      <c r="R1385" s="217"/>
      <c r="S1385" s="218"/>
      <c r="T1385" s="180"/>
      <c r="U1385" s="181"/>
      <c r="V1385" s="181"/>
      <c r="W1385" s="181"/>
      <c r="X1385" s="181"/>
      <c r="Y1385" s="3"/>
      <c r="Z1385" s="3"/>
    </row>
    <row r="1386" spans="1:26" ht="23.25" customHeight="1">
      <c r="A1386" s="281"/>
      <c r="B1386" s="281"/>
      <c r="C1386" s="281"/>
      <c r="F1386" s="173"/>
      <c r="G1386" s="173"/>
      <c r="H1386" s="173"/>
      <c r="I1386" s="174"/>
      <c r="K1386" s="177"/>
      <c r="L1386" s="177"/>
      <c r="Q1386" s="179"/>
      <c r="R1386" s="217"/>
      <c r="S1386" s="218"/>
      <c r="T1386" s="180"/>
      <c r="U1386" s="181"/>
      <c r="V1386" s="181"/>
      <c r="W1386" s="181"/>
      <c r="X1386" s="181"/>
      <c r="Y1386" s="3"/>
      <c r="Z1386" s="3"/>
    </row>
    <row r="1387" spans="1:26" ht="23.25" customHeight="1">
      <c r="A1387" s="281"/>
      <c r="B1387" s="281"/>
      <c r="C1387" s="281"/>
      <c r="F1387" s="173"/>
      <c r="G1387" s="173"/>
      <c r="H1387" s="173"/>
      <c r="I1387" s="174"/>
      <c r="K1387" s="177"/>
      <c r="L1387" s="177"/>
      <c r="Q1387" s="179"/>
      <c r="R1387" s="217"/>
      <c r="S1387" s="218"/>
      <c r="T1387" s="180"/>
      <c r="U1387" s="181"/>
      <c r="V1387" s="181"/>
      <c r="W1387" s="181"/>
      <c r="X1387" s="181"/>
      <c r="Y1387" s="3"/>
      <c r="Z1387" s="3"/>
    </row>
    <row r="1388" spans="1:26" ht="23.25" customHeight="1">
      <c r="A1388" s="281"/>
      <c r="B1388" s="281"/>
      <c r="C1388" s="281"/>
      <c r="F1388" s="173"/>
      <c r="G1388" s="173"/>
      <c r="H1388" s="173"/>
      <c r="I1388" s="174"/>
      <c r="K1388" s="177"/>
      <c r="L1388" s="177"/>
      <c r="Q1388" s="179"/>
      <c r="R1388" s="217"/>
      <c r="S1388" s="218"/>
      <c r="T1388" s="180"/>
      <c r="U1388" s="181"/>
      <c r="V1388" s="181"/>
      <c r="W1388" s="181"/>
      <c r="X1388" s="181"/>
      <c r="Y1388" s="3"/>
      <c r="Z1388" s="3"/>
    </row>
    <row r="1389" spans="1:26" ht="23.25" customHeight="1">
      <c r="A1389" s="281"/>
      <c r="B1389" s="281"/>
      <c r="C1389" s="281"/>
      <c r="F1389" s="173"/>
      <c r="G1389" s="173"/>
      <c r="H1389" s="173"/>
      <c r="I1389" s="174"/>
      <c r="K1389" s="177"/>
      <c r="L1389" s="177"/>
      <c r="Q1389" s="179"/>
      <c r="R1389" s="217"/>
      <c r="S1389" s="218"/>
      <c r="T1389" s="180"/>
      <c r="U1389" s="181"/>
      <c r="V1389" s="181"/>
      <c r="W1389" s="181"/>
      <c r="X1389" s="181"/>
      <c r="Y1389" s="3"/>
      <c r="Z1389" s="3"/>
    </row>
    <row r="1390" spans="1:26" ht="23.25" customHeight="1">
      <c r="A1390" s="281"/>
      <c r="B1390" s="281"/>
      <c r="C1390" s="281"/>
      <c r="F1390" s="173"/>
      <c r="G1390" s="173"/>
      <c r="H1390" s="173"/>
      <c r="I1390" s="174"/>
      <c r="K1390" s="177"/>
      <c r="L1390" s="177"/>
      <c r="Q1390" s="179"/>
      <c r="R1390" s="217"/>
      <c r="S1390" s="218"/>
      <c r="T1390" s="180"/>
      <c r="U1390" s="181"/>
      <c r="V1390" s="181"/>
      <c r="W1390" s="181"/>
      <c r="X1390" s="181"/>
      <c r="Y1390" s="3"/>
      <c r="Z1390" s="3"/>
    </row>
    <row r="1391" spans="1:26" ht="23.25" customHeight="1">
      <c r="A1391" s="281"/>
      <c r="B1391" s="281"/>
      <c r="C1391" s="281"/>
      <c r="F1391" s="173"/>
      <c r="G1391" s="173"/>
      <c r="H1391" s="173"/>
      <c r="I1391" s="174"/>
      <c r="K1391" s="177"/>
      <c r="L1391" s="177"/>
      <c r="Q1391" s="179"/>
      <c r="R1391" s="217"/>
      <c r="S1391" s="218"/>
      <c r="T1391" s="180"/>
      <c r="U1391" s="181"/>
      <c r="V1391" s="181"/>
      <c r="W1391" s="181"/>
      <c r="X1391" s="181"/>
      <c r="Y1391" s="3"/>
      <c r="Z1391" s="3"/>
    </row>
    <row r="1392" spans="1:26" ht="23.25" customHeight="1">
      <c r="A1392" s="281"/>
      <c r="B1392" s="281"/>
      <c r="C1392" s="281"/>
      <c r="F1392" s="173"/>
      <c r="G1392" s="173"/>
      <c r="H1392" s="173"/>
      <c r="I1392" s="174"/>
      <c r="K1392" s="177"/>
      <c r="L1392" s="177"/>
      <c r="Q1392" s="179"/>
      <c r="R1392" s="217"/>
      <c r="S1392" s="218"/>
      <c r="T1392" s="180"/>
      <c r="U1392" s="181"/>
      <c r="V1392" s="181"/>
      <c r="W1392" s="181"/>
      <c r="X1392" s="181"/>
      <c r="Y1392" s="3"/>
      <c r="Z1392" s="3"/>
    </row>
    <row r="1393" spans="1:26" ht="23.25" customHeight="1">
      <c r="A1393" s="281"/>
      <c r="B1393" s="281"/>
      <c r="C1393" s="281"/>
      <c r="F1393" s="173"/>
      <c r="G1393" s="173"/>
      <c r="H1393" s="173"/>
      <c r="I1393" s="174"/>
      <c r="K1393" s="177"/>
      <c r="L1393" s="177"/>
      <c r="Q1393" s="179"/>
      <c r="R1393" s="217"/>
      <c r="S1393" s="218"/>
      <c r="T1393" s="180"/>
      <c r="U1393" s="181"/>
      <c r="V1393" s="181"/>
      <c r="W1393" s="181"/>
      <c r="X1393" s="181"/>
      <c r="Y1393" s="3"/>
      <c r="Z1393" s="3"/>
    </row>
    <row r="1394" spans="1:26" ht="23.25" customHeight="1">
      <c r="A1394" s="281"/>
      <c r="B1394" s="281"/>
      <c r="C1394" s="281"/>
      <c r="F1394" s="173"/>
      <c r="G1394" s="173"/>
      <c r="H1394" s="173"/>
      <c r="I1394" s="174"/>
      <c r="K1394" s="177"/>
      <c r="L1394" s="177"/>
      <c r="Q1394" s="179"/>
      <c r="R1394" s="217"/>
      <c r="S1394" s="218"/>
      <c r="T1394" s="180"/>
      <c r="U1394" s="181"/>
      <c r="V1394" s="181"/>
      <c r="W1394" s="181"/>
      <c r="X1394" s="181"/>
      <c r="Y1394" s="3"/>
      <c r="Z1394" s="3"/>
    </row>
    <row r="1395" spans="1:26" ht="23.25" customHeight="1">
      <c r="A1395" s="281"/>
      <c r="B1395" s="281"/>
      <c r="C1395" s="281"/>
      <c r="F1395" s="173"/>
      <c r="G1395" s="173"/>
      <c r="H1395" s="173"/>
      <c r="I1395" s="174"/>
      <c r="K1395" s="177"/>
      <c r="L1395" s="177"/>
      <c r="Q1395" s="179"/>
      <c r="R1395" s="217"/>
      <c r="S1395" s="218"/>
      <c r="T1395" s="180"/>
      <c r="U1395" s="181"/>
      <c r="V1395" s="181"/>
      <c r="W1395" s="181"/>
      <c r="X1395" s="181"/>
      <c r="Y1395" s="3"/>
      <c r="Z1395" s="3"/>
    </row>
    <row r="1396" spans="1:26" ht="23.25" customHeight="1">
      <c r="A1396" s="281"/>
      <c r="B1396" s="281"/>
      <c r="C1396" s="281"/>
      <c r="F1396" s="173"/>
      <c r="G1396" s="173"/>
      <c r="H1396" s="173"/>
      <c r="I1396" s="174"/>
      <c r="K1396" s="177"/>
      <c r="L1396" s="177"/>
      <c r="Q1396" s="179"/>
      <c r="R1396" s="217"/>
      <c r="S1396" s="218"/>
      <c r="T1396" s="180"/>
      <c r="U1396" s="181"/>
      <c r="V1396" s="181"/>
      <c r="W1396" s="181"/>
      <c r="X1396" s="181"/>
      <c r="Y1396" s="3"/>
      <c r="Z1396" s="3"/>
    </row>
    <row r="1397" spans="1:26" ht="23.25" customHeight="1">
      <c r="A1397" s="281"/>
      <c r="B1397" s="281"/>
      <c r="C1397" s="281"/>
      <c r="F1397" s="173"/>
      <c r="G1397" s="173"/>
      <c r="H1397" s="173"/>
      <c r="I1397" s="174"/>
      <c r="K1397" s="177"/>
      <c r="L1397" s="177"/>
      <c r="Q1397" s="179"/>
      <c r="R1397" s="217"/>
      <c r="S1397" s="218"/>
      <c r="T1397" s="180"/>
      <c r="U1397" s="181"/>
      <c r="V1397" s="181"/>
      <c r="W1397" s="181"/>
      <c r="X1397" s="181"/>
      <c r="Y1397" s="3"/>
      <c r="Z1397" s="3"/>
    </row>
    <row r="1398" spans="1:26" ht="23.25" customHeight="1">
      <c r="A1398" s="281"/>
      <c r="B1398" s="281"/>
      <c r="C1398" s="281"/>
      <c r="F1398" s="173"/>
      <c r="G1398" s="173"/>
      <c r="H1398" s="173"/>
      <c r="I1398" s="174"/>
      <c r="K1398" s="177"/>
      <c r="L1398" s="177"/>
      <c r="Q1398" s="179"/>
      <c r="R1398" s="217"/>
      <c r="S1398" s="218"/>
      <c r="T1398" s="180"/>
      <c r="U1398" s="181"/>
      <c r="V1398" s="181"/>
      <c r="W1398" s="181"/>
      <c r="X1398" s="181"/>
      <c r="Y1398" s="3"/>
      <c r="Z1398" s="3"/>
    </row>
    <row r="1399" spans="1:26" ht="23.25" customHeight="1">
      <c r="A1399" s="281"/>
      <c r="B1399" s="281"/>
      <c r="C1399" s="281"/>
      <c r="F1399" s="173"/>
      <c r="G1399" s="173"/>
      <c r="H1399" s="173"/>
      <c r="I1399" s="174"/>
      <c r="K1399" s="177"/>
      <c r="L1399" s="177"/>
      <c r="Q1399" s="179"/>
      <c r="R1399" s="217"/>
      <c r="S1399" s="218"/>
      <c r="T1399" s="180"/>
      <c r="U1399" s="181"/>
      <c r="V1399" s="181"/>
      <c r="W1399" s="181"/>
      <c r="X1399" s="181"/>
      <c r="Y1399" s="3"/>
      <c r="Z1399" s="3"/>
    </row>
    <row r="1400" spans="1:26" ht="23.25" customHeight="1">
      <c r="A1400" s="281"/>
      <c r="B1400" s="281"/>
      <c r="C1400" s="281"/>
      <c r="F1400" s="173"/>
      <c r="G1400" s="173"/>
      <c r="H1400" s="173"/>
      <c r="I1400" s="174"/>
      <c r="K1400" s="177"/>
      <c r="L1400" s="177"/>
      <c r="Q1400" s="179"/>
      <c r="R1400" s="217"/>
      <c r="S1400" s="218"/>
      <c r="T1400" s="180"/>
      <c r="U1400" s="181"/>
      <c r="V1400" s="181"/>
      <c r="W1400" s="181"/>
      <c r="X1400" s="181"/>
      <c r="Y1400" s="3"/>
      <c r="Z1400" s="3"/>
    </row>
    <row r="1401" spans="1:26" ht="23.25" customHeight="1">
      <c r="A1401" s="281"/>
      <c r="B1401" s="281"/>
      <c r="C1401" s="281"/>
      <c r="F1401" s="173"/>
      <c r="G1401" s="173"/>
      <c r="H1401" s="173"/>
      <c r="I1401" s="174"/>
      <c r="K1401" s="177"/>
      <c r="L1401" s="177"/>
      <c r="Q1401" s="179"/>
      <c r="R1401" s="217"/>
      <c r="S1401" s="218"/>
      <c r="T1401" s="180"/>
      <c r="U1401" s="181"/>
      <c r="V1401" s="181"/>
      <c r="W1401" s="181"/>
      <c r="X1401" s="181"/>
      <c r="Y1401" s="3"/>
      <c r="Z1401" s="3"/>
    </row>
    <row r="1402" spans="1:26" ht="23.25" customHeight="1">
      <c r="A1402" s="281"/>
      <c r="B1402" s="281"/>
      <c r="C1402" s="281"/>
      <c r="F1402" s="173"/>
      <c r="G1402" s="173"/>
      <c r="H1402" s="173"/>
      <c r="I1402" s="174"/>
      <c r="K1402" s="177"/>
      <c r="L1402" s="177"/>
      <c r="Q1402" s="179"/>
      <c r="R1402" s="217"/>
      <c r="S1402" s="218"/>
      <c r="T1402" s="180"/>
      <c r="U1402" s="181"/>
      <c r="V1402" s="181"/>
      <c r="W1402" s="181"/>
      <c r="X1402" s="181"/>
      <c r="Y1402" s="3"/>
      <c r="Z1402" s="3"/>
    </row>
    <row r="1403" spans="1:26" ht="23.25" customHeight="1">
      <c r="A1403" s="281"/>
      <c r="B1403" s="281"/>
      <c r="C1403" s="281"/>
      <c r="F1403" s="173"/>
      <c r="G1403" s="173"/>
      <c r="H1403" s="173"/>
      <c r="I1403" s="174"/>
      <c r="K1403" s="177"/>
      <c r="L1403" s="177"/>
      <c r="Q1403" s="179"/>
      <c r="R1403" s="217"/>
      <c r="S1403" s="218"/>
      <c r="T1403" s="180"/>
      <c r="U1403" s="181"/>
      <c r="V1403" s="181"/>
      <c r="W1403" s="181"/>
      <c r="X1403" s="181"/>
      <c r="Y1403" s="3"/>
      <c r="Z1403" s="3"/>
    </row>
    <row r="1404" spans="1:26" ht="23.25" customHeight="1">
      <c r="A1404" s="281"/>
      <c r="B1404" s="281"/>
      <c r="C1404" s="281"/>
      <c r="F1404" s="173"/>
      <c r="G1404" s="173"/>
      <c r="H1404" s="173"/>
      <c r="I1404" s="174"/>
      <c r="K1404" s="177"/>
      <c r="L1404" s="177"/>
      <c r="Q1404" s="179"/>
      <c r="R1404" s="217"/>
      <c r="S1404" s="218"/>
      <c r="T1404" s="180"/>
      <c r="U1404" s="181"/>
      <c r="V1404" s="181"/>
      <c r="W1404" s="181"/>
      <c r="X1404" s="181"/>
      <c r="Y1404" s="3"/>
      <c r="Z1404" s="3"/>
    </row>
    <row r="1405" spans="1:26" ht="23.25" customHeight="1">
      <c r="A1405" s="281"/>
      <c r="B1405" s="281"/>
      <c r="C1405" s="281"/>
      <c r="F1405" s="173"/>
      <c r="G1405" s="173"/>
      <c r="H1405" s="173"/>
      <c r="I1405" s="174"/>
      <c r="K1405" s="177"/>
      <c r="L1405" s="177"/>
      <c r="Q1405" s="179"/>
      <c r="R1405" s="217"/>
      <c r="S1405" s="218"/>
      <c r="T1405" s="180"/>
      <c r="U1405" s="181"/>
      <c r="V1405" s="181"/>
      <c r="W1405" s="181"/>
      <c r="X1405" s="181"/>
      <c r="Y1405" s="3"/>
      <c r="Z1405" s="3"/>
    </row>
    <row r="1406" spans="1:26" ht="23.25" customHeight="1">
      <c r="A1406" s="281"/>
      <c r="B1406" s="281"/>
      <c r="C1406" s="281"/>
      <c r="F1406" s="173"/>
      <c r="G1406" s="173"/>
      <c r="H1406" s="173"/>
      <c r="I1406" s="174"/>
      <c r="K1406" s="177"/>
      <c r="L1406" s="177"/>
      <c r="Q1406" s="179"/>
      <c r="R1406" s="217"/>
      <c r="S1406" s="218"/>
      <c r="T1406" s="180"/>
      <c r="U1406" s="181"/>
      <c r="V1406" s="181"/>
      <c r="W1406" s="181"/>
      <c r="X1406" s="181"/>
      <c r="Y1406" s="3"/>
      <c r="Z1406" s="3"/>
    </row>
    <row r="1407" spans="1:26" ht="23.25" customHeight="1">
      <c r="A1407" s="281"/>
      <c r="B1407" s="281"/>
      <c r="C1407" s="281"/>
      <c r="F1407" s="173"/>
      <c r="G1407" s="173"/>
      <c r="H1407" s="173"/>
      <c r="I1407" s="174"/>
      <c r="K1407" s="177"/>
      <c r="L1407" s="177"/>
      <c r="Q1407" s="179"/>
      <c r="R1407" s="217"/>
      <c r="S1407" s="218"/>
      <c r="T1407" s="180"/>
      <c r="U1407" s="181"/>
      <c r="V1407" s="181"/>
      <c r="W1407" s="181"/>
      <c r="X1407" s="181"/>
      <c r="Y1407" s="3"/>
      <c r="Z1407" s="3"/>
    </row>
    <row r="1408" spans="1:26" ht="23.25" customHeight="1">
      <c r="A1408" s="281"/>
      <c r="B1408" s="281"/>
      <c r="C1408" s="281"/>
      <c r="F1408" s="173"/>
      <c r="G1408" s="173"/>
      <c r="H1408" s="173"/>
      <c r="I1408" s="174"/>
      <c r="K1408" s="177"/>
      <c r="L1408" s="177"/>
      <c r="Q1408" s="179"/>
      <c r="R1408" s="217"/>
      <c r="S1408" s="218"/>
      <c r="T1408" s="180"/>
      <c r="U1408" s="181"/>
      <c r="V1408" s="181"/>
      <c r="W1408" s="181"/>
      <c r="X1408" s="181"/>
      <c r="Y1408" s="3"/>
      <c r="Z1408" s="3"/>
    </row>
    <row r="1409" spans="1:26" ht="23.25" customHeight="1">
      <c r="A1409" s="281"/>
      <c r="B1409" s="281"/>
      <c r="C1409" s="281"/>
      <c r="F1409" s="173"/>
      <c r="G1409" s="173"/>
      <c r="H1409" s="173"/>
      <c r="I1409" s="174"/>
      <c r="K1409" s="177"/>
      <c r="L1409" s="177"/>
      <c r="Q1409" s="179"/>
      <c r="R1409" s="217"/>
      <c r="S1409" s="218"/>
      <c r="T1409" s="180"/>
      <c r="U1409" s="181"/>
      <c r="V1409" s="181"/>
      <c r="W1409" s="181"/>
      <c r="X1409" s="181"/>
      <c r="Y1409" s="3"/>
      <c r="Z1409" s="3"/>
    </row>
    <row r="1410" spans="1:26" ht="23.25" customHeight="1">
      <c r="A1410" s="281"/>
      <c r="B1410" s="281"/>
      <c r="C1410" s="281"/>
      <c r="F1410" s="173"/>
      <c r="G1410" s="173"/>
      <c r="H1410" s="173"/>
      <c r="I1410" s="174"/>
      <c r="K1410" s="177"/>
      <c r="L1410" s="177"/>
      <c r="Q1410" s="179"/>
      <c r="R1410" s="217"/>
      <c r="S1410" s="218"/>
      <c r="T1410" s="180"/>
      <c r="U1410" s="181"/>
      <c r="V1410" s="181"/>
      <c r="W1410" s="181"/>
      <c r="X1410" s="181"/>
      <c r="Y1410" s="3"/>
      <c r="Z1410" s="3"/>
    </row>
    <row r="1411" spans="1:26" ht="23.25" customHeight="1">
      <c r="A1411" s="281"/>
      <c r="B1411" s="281"/>
      <c r="C1411" s="281"/>
      <c r="F1411" s="173"/>
      <c r="G1411" s="173"/>
      <c r="H1411" s="173"/>
      <c r="I1411" s="174"/>
      <c r="K1411" s="177"/>
      <c r="L1411" s="177"/>
      <c r="Q1411" s="179"/>
      <c r="R1411" s="217"/>
      <c r="S1411" s="218"/>
      <c r="T1411" s="180"/>
      <c r="U1411" s="181"/>
      <c r="V1411" s="181"/>
      <c r="W1411" s="181"/>
      <c r="X1411" s="181"/>
      <c r="Y1411" s="3"/>
      <c r="Z1411" s="3"/>
    </row>
    <row r="1412" spans="1:26" ht="23.25" customHeight="1">
      <c r="A1412" s="281"/>
      <c r="B1412" s="281"/>
      <c r="C1412" s="281"/>
      <c r="F1412" s="173"/>
      <c r="G1412" s="173"/>
      <c r="H1412" s="173"/>
      <c r="I1412" s="174"/>
      <c r="K1412" s="177"/>
      <c r="L1412" s="177"/>
      <c r="Q1412" s="179"/>
      <c r="R1412" s="217"/>
      <c r="S1412" s="218"/>
      <c r="T1412" s="180"/>
      <c r="U1412" s="181"/>
      <c r="V1412" s="181"/>
      <c r="W1412" s="181"/>
      <c r="X1412" s="181"/>
      <c r="Y1412" s="3"/>
      <c r="Z1412" s="3"/>
    </row>
    <row r="1413" spans="1:26" ht="23.25" customHeight="1">
      <c r="A1413" s="281"/>
      <c r="B1413" s="281"/>
      <c r="C1413" s="281"/>
      <c r="F1413" s="173"/>
      <c r="G1413" s="173"/>
      <c r="H1413" s="173"/>
      <c r="I1413" s="174"/>
      <c r="K1413" s="177"/>
      <c r="L1413" s="177"/>
      <c r="Q1413" s="179"/>
      <c r="R1413" s="217"/>
      <c r="S1413" s="218"/>
      <c r="T1413" s="180"/>
      <c r="U1413" s="181"/>
      <c r="V1413" s="181"/>
      <c r="W1413" s="181"/>
      <c r="X1413" s="181"/>
      <c r="Y1413" s="3"/>
      <c r="Z1413" s="3"/>
    </row>
    <row r="1414" spans="1:26" ht="23.25" customHeight="1">
      <c r="A1414" s="281"/>
      <c r="B1414" s="281"/>
      <c r="C1414" s="281"/>
      <c r="F1414" s="173"/>
      <c r="G1414" s="173"/>
      <c r="H1414" s="173"/>
      <c r="I1414" s="174"/>
      <c r="K1414" s="177"/>
      <c r="L1414" s="177"/>
      <c r="Q1414" s="179"/>
      <c r="R1414" s="217"/>
      <c r="S1414" s="218"/>
      <c r="T1414" s="180"/>
      <c r="U1414" s="181"/>
      <c r="V1414" s="181"/>
      <c r="W1414" s="181"/>
      <c r="X1414" s="181"/>
      <c r="Y1414" s="3"/>
      <c r="Z1414" s="3"/>
    </row>
    <row r="1415" spans="1:26" ht="23.25" customHeight="1">
      <c r="A1415" s="281"/>
      <c r="B1415" s="281"/>
      <c r="C1415" s="281"/>
      <c r="F1415" s="173"/>
      <c r="G1415" s="173"/>
      <c r="H1415" s="173"/>
      <c r="I1415" s="174"/>
      <c r="K1415" s="177"/>
      <c r="L1415" s="177"/>
      <c r="Q1415" s="179"/>
      <c r="R1415" s="217"/>
      <c r="S1415" s="218"/>
      <c r="T1415" s="180"/>
      <c r="U1415" s="181"/>
      <c r="V1415" s="181"/>
      <c r="W1415" s="181"/>
      <c r="X1415" s="181"/>
      <c r="Y1415" s="3"/>
      <c r="Z1415" s="3"/>
    </row>
    <row r="1416" spans="1:26" ht="23.25" customHeight="1">
      <c r="A1416" s="281"/>
      <c r="B1416" s="281"/>
      <c r="C1416" s="281"/>
      <c r="F1416" s="173"/>
      <c r="G1416" s="173"/>
      <c r="H1416" s="173"/>
      <c r="I1416" s="174"/>
      <c r="K1416" s="177"/>
      <c r="L1416" s="177"/>
      <c r="Q1416" s="179"/>
      <c r="R1416" s="217"/>
      <c r="S1416" s="218"/>
      <c r="T1416" s="180"/>
      <c r="U1416" s="181"/>
      <c r="V1416" s="181"/>
      <c r="W1416" s="181"/>
      <c r="X1416" s="181"/>
      <c r="Y1416" s="3"/>
      <c r="Z1416" s="3"/>
    </row>
    <row r="1417" spans="1:26" ht="23.25" customHeight="1">
      <c r="A1417" s="281"/>
      <c r="B1417" s="281"/>
      <c r="C1417" s="281"/>
      <c r="F1417" s="173"/>
      <c r="G1417" s="173"/>
      <c r="H1417" s="173"/>
      <c r="I1417" s="174"/>
      <c r="K1417" s="177"/>
      <c r="L1417" s="177"/>
      <c r="Q1417" s="179"/>
      <c r="R1417" s="217"/>
      <c r="S1417" s="218"/>
      <c r="T1417" s="180"/>
      <c r="U1417" s="181"/>
      <c r="V1417" s="181"/>
      <c r="W1417" s="181"/>
      <c r="X1417" s="181"/>
      <c r="Y1417" s="3"/>
      <c r="Z1417" s="3"/>
    </row>
    <row r="1418" spans="1:26" ht="23.25" customHeight="1">
      <c r="A1418" s="281"/>
      <c r="B1418" s="281"/>
      <c r="C1418" s="281"/>
      <c r="F1418" s="173"/>
      <c r="G1418" s="173"/>
      <c r="H1418" s="173"/>
      <c r="I1418" s="174"/>
      <c r="K1418" s="177"/>
      <c r="L1418" s="177"/>
      <c r="Q1418" s="179"/>
      <c r="R1418" s="217"/>
      <c r="S1418" s="218"/>
      <c r="T1418" s="180"/>
      <c r="U1418" s="181"/>
      <c r="V1418" s="181"/>
      <c r="W1418" s="181"/>
      <c r="X1418" s="181"/>
      <c r="Y1418" s="3"/>
      <c r="Z1418" s="3"/>
    </row>
    <row r="1419" spans="1:26" ht="23.25" customHeight="1">
      <c r="A1419" s="281"/>
      <c r="B1419" s="281"/>
      <c r="C1419" s="281"/>
      <c r="F1419" s="173"/>
      <c r="G1419" s="173"/>
      <c r="H1419" s="173"/>
      <c r="I1419" s="174"/>
      <c r="K1419" s="177"/>
      <c r="L1419" s="177"/>
      <c r="Q1419" s="179"/>
      <c r="R1419" s="217"/>
      <c r="S1419" s="218"/>
      <c r="T1419" s="180"/>
      <c r="U1419" s="181"/>
      <c r="V1419" s="181"/>
      <c r="W1419" s="181"/>
      <c r="X1419" s="181"/>
      <c r="Y1419" s="3"/>
      <c r="Z1419" s="3"/>
    </row>
    <row r="1420" spans="1:26" ht="23.25" customHeight="1">
      <c r="A1420" s="281"/>
      <c r="B1420" s="281"/>
      <c r="C1420" s="281"/>
      <c r="F1420" s="173"/>
      <c r="G1420" s="173"/>
      <c r="H1420" s="173"/>
      <c r="I1420" s="174"/>
      <c r="K1420" s="177"/>
      <c r="L1420" s="177"/>
      <c r="Q1420" s="179"/>
      <c r="R1420" s="217"/>
      <c r="S1420" s="218"/>
      <c r="T1420" s="180"/>
      <c r="U1420" s="181"/>
      <c r="V1420" s="181"/>
      <c r="W1420" s="181"/>
      <c r="X1420" s="181"/>
      <c r="Y1420" s="3"/>
      <c r="Z1420" s="3"/>
    </row>
    <row r="1421" spans="1:26" ht="23.25" customHeight="1">
      <c r="A1421" s="281"/>
      <c r="B1421" s="281"/>
      <c r="C1421" s="281"/>
      <c r="F1421" s="173"/>
      <c r="G1421" s="173"/>
      <c r="H1421" s="173"/>
      <c r="I1421" s="174"/>
      <c r="K1421" s="177"/>
      <c r="L1421" s="177"/>
      <c r="Q1421" s="179"/>
      <c r="R1421" s="217"/>
      <c r="S1421" s="218"/>
      <c r="T1421" s="180"/>
      <c r="U1421" s="181"/>
      <c r="V1421" s="181"/>
      <c r="W1421" s="181"/>
      <c r="X1421" s="181"/>
      <c r="Y1421" s="3"/>
      <c r="Z1421" s="3"/>
    </row>
    <row r="1422" spans="1:26" ht="23.25" customHeight="1">
      <c r="A1422" s="281"/>
      <c r="B1422" s="281"/>
      <c r="C1422" s="281"/>
      <c r="F1422" s="173"/>
      <c r="G1422" s="173"/>
      <c r="H1422" s="173"/>
      <c r="I1422" s="174"/>
      <c r="K1422" s="177"/>
      <c r="L1422" s="177"/>
      <c r="Q1422" s="179"/>
      <c r="R1422" s="217"/>
      <c r="S1422" s="218"/>
      <c r="T1422" s="180"/>
      <c r="U1422" s="181"/>
      <c r="V1422" s="181"/>
      <c r="W1422" s="181"/>
      <c r="X1422" s="181"/>
      <c r="Y1422" s="3"/>
      <c r="Z1422" s="3"/>
    </row>
    <row r="1423" spans="1:26" ht="23.25" customHeight="1">
      <c r="A1423" s="281"/>
      <c r="B1423" s="281"/>
      <c r="C1423" s="281"/>
      <c r="F1423" s="173"/>
      <c r="G1423" s="173"/>
      <c r="H1423" s="173"/>
      <c r="I1423" s="174"/>
      <c r="K1423" s="177"/>
      <c r="L1423" s="177"/>
      <c r="Q1423" s="179"/>
      <c r="R1423" s="217"/>
      <c r="S1423" s="218"/>
      <c r="T1423" s="180"/>
      <c r="U1423" s="181"/>
      <c r="V1423" s="181"/>
      <c r="W1423" s="181"/>
      <c r="X1423" s="181"/>
      <c r="Y1423" s="3"/>
      <c r="Z1423" s="3"/>
    </row>
    <row r="1424" spans="1:26" ht="23.25" customHeight="1">
      <c r="A1424" s="281"/>
      <c r="B1424" s="281"/>
      <c r="C1424" s="281"/>
      <c r="F1424" s="173"/>
      <c r="G1424" s="173"/>
      <c r="H1424" s="173"/>
      <c r="I1424" s="174"/>
      <c r="K1424" s="177"/>
      <c r="L1424" s="177"/>
      <c r="Q1424" s="179"/>
      <c r="R1424" s="217"/>
      <c r="S1424" s="218"/>
      <c r="T1424" s="180"/>
      <c r="U1424" s="181"/>
      <c r="V1424" s="181"/>
      <c r="W1424" s="181"/>
      <c r="X1424" s="181"/>
      <c r="Y1424" s="3"/>
      <c r="Z1424" s="3"/>
    </row>
    <row r="1425" spans="1:26" ht="23.25" customHeight="1">
      <c r="A1425" s="281"/>
      <c r="B1425" s="281"/>
      <c r="C1425" s="281"/>
      <c r="F1425" s="173"/>
      <c r="G1425" s="173"/>
      <c r="H1425" s="173"/>
      <c r="I1425" s="174"/>
      <c r="K1425" s="177"/>
      <c r="L1425" s="177"/>
      <c r="Q1425" s="179"/>
      <c r="R1425" s="217"/>
      <c r="S1425" s="218"/>
      <c r="T1425" s="180"/>
      <c r="U1425" s="181"/>
      <c r="V1425" s="181"/>
      <c r="W1425" s="181"/>
      <c r="X1425" s="181"/>
      <c r="Y1425" s="3"/>
      <c r="Z1425" s="3"/>
    </row>
    <row r="1426" spans="1:26" ht="23.25" customHeight="1">
      <c r="A1426" s="281"/>
      <c r="B1426" s="281"/>
      <c r="C1426" s="281"/>
      <c r="F1426" s="173"/>
      <c r="G1426" s="173"/>
      <c r="H1426" s="173"/>
      <c r="I1426" s="174"/>
      <c r="K1426" s="177"/>
      <c r="L1426" s="177"/>
      <c r="Q1426" s="179"/>
      <c r="R1426" s="217"/>
      <c r="S1426" s="218"/>
      <c r="T1426" s="180"/>
      <c r="U1426" s="181"/>
      <c r="V1426" s="181"/>
      <c r="W1426" s="181"/>
      <c r="X1426" s="181"/>
      <c r="Y1426" s="3"/>
      <c r="Z1426" s="3"/>
    </row>
    <row r="1427" spans="1:26" ht="23.25" customHeight="1">
      <c r="A1427" s="281"/>
      <c r="B1427" s="281"/>
      <c r="C1427" s="281"/>
      <c r="F1427" s="173"/>
      <c r="G1427" s="173"/>
      <c r="H1427" s="173"/>
      <c r="I1427" s="174"/>
      <c r="K1427" s="177"/>
      <c r="L1427" s="177"/>
      <c r="Q1427" s="179"/>
      <c r="R1427" s="217"/>
      <c r="S1427" s="218"/>
      <c r="T1427" s="180"/>
      <c r="U1427" s="181"/>
      <c r="V1427" s="181"/>
      <c r="W1427" s="181"/>
      <c r="X1427" s="181"/>
      <c r="Y1427" s="3"/>
      <c r="Z1427" s="3"/>
    </row>
    <row r="1428" spans="1:26" ht="23.25" customHeight="1">
      <c r="A1428" s="281"/>
      <c r="B1428" s="281"/>
      <c r="C1428" s="281"/>
      <c r="F1428" s="173"/>
      <c r="G1428" s="173"/>
      <c r="H1428" s="173"/>
      <c r="I1428" s="174"/>
      <c r="K1428" s="177"/>
      <c r="L1428" s="177"/>
      <c r="Q1428" s="179"/>
      <c r="R1428" s="217"/>
      <c r="S1428" s="218"/>
      <c r="T1428" s="180"/>
      <c r="U1428" s="181"/>
      <c r="V1428" s="181"/>
      <c r="W1428" s="181"/>
      <c r="X1428" s="181"/>
      <c r="Y1428" s="3"/>
      <c r="Z1428" s="3"/>
    </row>
    <row r="1429" spans="1:26" ht="23.25" customHeight="1">
      <c r="A1429" s="281"/>
      <c r="B1429" s="281"/>
      <c r="C1429" s="281"/>
      <c r="F1429" s="173"/>
      <c r="G1429" s="173"/>
      <c r="H1429" s="173"/>
      <c r="I1429" s="174"/>
      <c r="K1429" s="177"/>
      <c r="L1429" s="177"/>
      <c r="Q1429" s="179"/>
      <c r="R1429" s="217"/>
      <c r="S1429" s="218"/>
      <c r="T1429" s="180"/>
      <c r="U1429" s="181"/>
      <c r="V1429" s="181"/>
      <c r="W1429" s="181"/>
      <c r="X1429" s="181"/>
      <c r="Y1429" s="3"/>
      <c r="Z1429" s="3"/>
    </row>
    <row r="1430" spans="1:26" ht="23.25" customHeight="1">
      <c r="A1430" s="281"/>
      <c r="B1430" s="281"/>
      <c r="C1430" s="281"/>
      <c r="F1430" s="173"/>
      <c r="G1430" s="173"/>
      <c r="H1430" s="173"/>
      <c r="I1430" s="174"/>
      <c r="K1430" s="177"/>
      <c r="L1430" s="177"/>
      <c r="Q1430" s="179"/>
      <c r="R1430" s="217"/>
      <c r="S1430" s="218"/>
      <c r="T1430" s="180"/>
      <c r="U1430" s="181"/>
      <c r="V1430" s="181"/>
      <c r="W1430" s="181"/>
      <c r="X1430" s="181"/>
      <c r="Y1430" s="3"/>
      <c r="Z1430" s="3"/>
    </row>
    <row r="1431" spans="1:26" ht="23.25" customHeight="1">
      <c r="A1431" s="281"/>
      <c r="B1431" s="281"/>
      <c r="C1431" s="281"/>
      <c r="F1431" s="173"/>
      <c r="G1431" s="173"/>
      <c r="H1431" s="173"/>
      <c r="I1431" s="174"/>
      <c r="K1431" s="177"/>
      <c r="L1431" s="177"/>
      <c r="Q1431" s="179"/>
      <c r="R1431" s="217"/>
      <c r="S1431" s="218"/>
      <c r="T1431" s="180"/>
      <c r="U1431" s="181"/>
      <c r="V1431" s="181"/>
      <c r="W1431" s="181"/>
      <c r="X1431" s="181"/>
      <c r="Y1431" s="3"/>
      <c r="Z1431" s="3"/>
    </row>
    <row r="1432" spans="1:26" ht="23.25" customHeight="1">
      <c r="A1432" s="281"/>
      <c r="B1432" s="281"/>
      <c r="C1432" s="281"/>
      <c r="F1432" s="173"/>
      <c r="G1432" s="173"/>
      <c r="H1432" s="173"/>
      <c r="I1432" s="174"/>
      <c r="K1432" s="177"/>
      <c r="L1432" s="177"/>
      <c r="Q1432" s="179"/>
      <c r="R1432" s="217"/>
      <c r="S1432" s="218"/>
      <c r="T1432" s="180"/>
      <c r="U1432" s="181"/>
      <c r="V1432" s="181"/>
      <c r="W1432" s="181"/>
      <c r="X1432" s="181"/>
      <c r="Y1432" s="3"/>
      <c r="Z1432" s="3"/>
    </row>
    <row r="1433" spans="1:26" ht="23.25" customHeight="1">
      <c r="A1433" s="281"/>
      <c r="B1433" s="281"/>
      <c r="C1433" s="281"/>
      <c r="F1433" s="173"/>
      <c r="G1433" s="173"/>
      <c r="H1433" s="173"/>
      <c r="I1433" s="174"/>
      <c r="K1433" s="177"/>
      <c r="L1433" s="177"/>
      <c r="Q1433" s="179"/>
      <c r="R1433" s="217"/>
      <c r="S1433" s="218"/>
      <c r="T1433" s="180"/>
      <c r="U1433" s="181"/>
      <c r="V1433" s="181"/>
      <c r="W1433" s="181"/>
      <c r="X1433" s="181"/>
      <c r="Y1433" s="3"/>
      <c r="Z1433" s="3"/>
    </row>
    <row r="1434" spans="1:26" ht="23.25" customHeight="1">
      <c r="A1434" s="281"/>
      <c r="B1434" s="281"/>
      <c r="C1434" s="281"/>
      <c r="F1434" s="173"/>
      <c r="G1434" s="173"/>
      <c r="H1434" s="173"/>
      <c r="I1434" s="174"/>
      <c r="K1434" s="177"/>
      <c r="L1434" s="177"/>
      <c r="Q1434" s="179"/>
      <c r="R1434" s="217"/>
      <c r="S1434" s="218"/>
      <c r="T1434" s="180"/>
      <c r="U1434" s="181"/>
      <c r="V1434" s="181"/>
      <c r="W1434" s="181"/>
      <c r="X1434" s="181"/>
      <c r="Y1434" s="3"/>
      <c r="Z1434" s="3"/>
    </row>
    <row r="1435" spans="1:26" ht="23.25" customHeight="1">
      <c r="A1435" s="281"/>
      <c r="B1435" s="281"/>
      <c r="C1435" s="281"/>
      <c r="F1435" s="173"/>
      <c r="G1435" s="173"/>
      <c r="H1435" s="173"/>
      <c r="I1435" s="174"/>
      <c r="K1435" s="177"/>
      <c r="L1435" s="177"/>
      <c r="Q1435" s="179"/>
      <c r="R1435" s="217"/>
      <c r="S1435" s="218"/>
      <c r="T1435" s="180"/>
      <c r="U1435" s="181"/>
      <c r="V1435" s="181"/>
      <c r="W1435" s="181"/>
      <c r="X1435" s="181"/>
      <c r="Y1435" s="3"/>
      <c r="Z1435" s="3"/>
    </row>
    <row r="1436" spans="1:26" ht="23.25" customHeight="1">
      <c r="A1436" s="281"/>
      <c r="B1436" s="281"/>
      <c r="C1436" s="281"/>
      <c r="F1436" s="173"/>
      <c r="G1436" s="173"/>
      <c r="H1436" s="173"/>
      <c r="I1436" s="174"/>
      <c r="K1436" s="177"/>
      <c r="L1436" s="177"/>
      <c r="Q1436" s="179"/>
      <c r="R1436" s="217"/>
      <c r="S1436" s="218"/>
      <c r="T1436" s="180"/>
      <c r="U1436" s="181"/>
      <c r="V1436" s="181"/>
      <c r="W1436" s="181"/>
      <c r="X1436" s="181"/>
      <c r="Y1436" s="3"/>
      <c r="Z1436" s="3"/>
    </row>
    <row r="1437" spans="1:26" ht="23.25" customHeight="1">
      <c r="A1437" s="281"/>
      <c r="B1437" s="281"/>
      <c r="C1437" s="281"/>
      <c r="F1437" s="173"/>
      <c r="G1437" s="173"/>
      <c r="H1437" s="173"/>
      <c r="I1437" s="174"/>
      <c r="K1437" s="177"/>
      <c r="L1437" s="177"/>
      <c r="Q1437" s="179"/>
      <c r="R1437" s="217"/>
      <c r="S1437" s="218"/>
      <c r="T1437" s="180"/>
      <c r="U1437" s="181"/>
      <c r="V1437" s="181"/>
      <c r="W1437" s="181"/>
      <c r="X1437" s="181"/>
      <c r="Y1437" s="3"/>
      <c r="Z1437" s="3"/>
    </row>
    <row r="1438" spans="1:26" ht="23.25" customHeight="1">
      <c r="A1438" s="281"/>
      <c r="B1438" s="281"/>
      <c r="C1438" s="281"/>
      <c r="F1438" s="173"/>
      <c r="G1438" s="173"/>
      <c r="H1438" s="173"/>
      <c r="I1438" s="174"/>
      <c r="K1438" s="177"/>
      <c r="L1438" s="177"/>
      <c r="Q1438" s="179"/>
      <c r="R1438" s="217"/>
      <c r="S1438" s="218"/>
      <c r="T1438" s="180"/>
      <c r="U1438" s="181"/>
      <c r="V1438" s="181"/>
      <c r="W1438" s="181"/>
      <c r="X1438" s="181"/>
      <c r="Y1438" s="3"/>
      <c r="Z1438" s="3"/>
    </row>
    <row r="1439" spans="1:26" ht="23.25" customHeight="1">
      <c r="A1439" s="281"/>
      <c r="B1439" s="281"/>
      <c r="C1439" s="281"/>
      <c r="F1439" s="173"/>
      <c r="G1439" s="173"/>
      <c r="H1439" s="173"/>
      <c r="I1439" s="174"/>
      <c r="K1439" s="177"/>
      <c r="L1439" s="177"/>
      <c r="Q1439" s="179"/>
      <c r="R1439" s="217"/>
      <c r="S1439" s="218"/>
      <c r="T1439" s="180"/>
      <c r="U1439" s="181"/>
      <c r="V1439" s="181"/>
      <c r="W1439" s="181"/>
      <c r="X1439" s="181"/>
      <c r="Y1439" s="3"/>
      <c r="Z1439" s="3"/>
    </row>
    <row r="1440" spans="1:26" ht="23.25" customHeight="1">
      <c r="A1440" s="281"/>
      <c r="B1440" s="281"/>
      <c r="C1440" s="281"/>
      <c r="F1440" s="173"/>
      <c r="G1440" s="173"/>
      <c r="H1440" s="173"/>
      <c r="I1440" s="174"/>
      <c r="K1440" s="177"/>
      <c r="L1440" s="177"/>
      <c r="Q1440" s="179"/>
      <c r="R1440" s="217"/>
      <c r="S1440" s="218"/>
      <c r="T1440" s="180"/>
      <c r="U1440" s="181"/>
      <c r="V1440" s="181"/>
      <c r="W1440" s="181"/>
      <c r="X1440" s="181"/>
      <c r="Y1440" s="3"/>
      <c r="Z1440" s="3"/>
    </row>
    <row r="1441" spans="1:26" ht="23.25" customHeight="1">
      <c r="A1441" s="281"/>
      <c r="B1441" s="281"/>
      <c r="C1441" s="281"/>
      <c r="F1441" s="173"/>
      <c r="G1441" s="173"/>
      <c r="H1441" s="173"/>
      <c r="I1441" s="174"/>
      <c r="K1441" s="177"/>
      <c r="L1441" s="177"/>
      <c r="Q1441" s="179"/>
      <c r="R1441" s="217"/>
      <c r="S1441" s="218"/>
      <c r="T1441" s="180"/>
      <c r="U1441" s="181"/>
      <c r="V1441" s="181"/>
      <c r="W1441" s="181"/>
      <c r="X1441" s="181"/>
      <c r="Y1441" s="3"/>
      <c r="Z1441" s="3"/>
    </row>
    <row r="1442" spans="1:26" ht="23.25" customHeight="1">
      <c r="A1442" s="281"/>
      <c r="B1442" s="281"/>
      <c r="C1442" s="281"/>
      <c r="F1442" s="173"/>
      <c r="G1442" s="173"/>
      <c r="H1442" s="173"/>
      <c r="I1442" s="174"/>
      <c r="K1442" s="177"/>
      <c r="L1442" s="177"/>
      <c r="Q1442" s="179"/>
      <c r="R1442" s="217"/>
      <c r="S1442" s="218"/>
      <c r="T1442" s="180"/>
      <c r="U1442" s="181"/>
      <c r="V1442" s="181"/>
      <c r="W1442" s="181"/>
      <c r="X1442" s="181"/>
      <c r="Y1442" s="3"/>
      <c r="Z1442" s="3"/>
    </row>
    <row r="1443" spans="1:26" ht="23.25" customHeight="1">
      <c r="A1443" s="281"/>
      <c r="B1443" s="281"/>
      <c r="C1443" s="281"/>
      <c r="F1443" s="173"/>
      <c r="G1443" s="173"/>
      <c r="H1443" s="173"/>
      <c r="I1443" s="174"/>
      <c r="K1443" s="177"/>
      <c r="L1443" s="177"/>
      <c r="Q1443" s="179"/>
      <c r="R1443" s="217"/>
      <c r="S1443" s="218"/>
      <c r="T1443" s="180"/>
      <c r="U1443" s="181"/>
      <c r="V1443" s="181"/>
      <c r="W1443" s="181"/>
      <c r="X1443" s="181"/>
      <c r="Y1443" s="3"/>
      <c r="Z1443" s="3"/>
    </row>
    <row r="1444" spans="1:26" ht="23.25" customHeight="1">
      <c r="A1444" s="281"/>
      <c r="B1444" s="281"/>
      <c r="C1444" s="281"/>
      <c r="F1444" s="173"/>
      <c r="G1444" s="173"/>
      <c r="H1444" s="173"/>
      <c r="I1444" s="174"/>
      <c r="K1444" s="177"/>
      <c r="L1444" s="177"/>
      <c r="Q1444" s="179"/>
      <c r="R1444" s="217"/>
      <c r="S1444" s="218"/>
      <c r="T1444" s="180"/>
      <c r="U1444" s="181"/>
      <c r="V1444" s="181"/>
      <c r="W1444" s="181"/>
      <c r="X1444" s="181"/>
      <c r="Y1444" s="3"/>
      <c r="Z1444" s="3"/>
    </row>
    <row r="1445" spans="1:26" ht="23.25" customHeight="1">
      <c r="A1445" s="281"/>
      <c r="B1445" s="281"/>
      <c r="C1445" s="281"/>
      <c r="F1445" s="173"/>
      <c r="G1445" s="173"/>
      <c r="H1445" s="173"/>
      <c r="I1445" s="174"/>
      <c r="K1445" s="177"/>
      <c r="L1445" s="177"/>
      <c r="Q1445" s="179"/>
      <c r="R1445" s="217"/>
      <c r="S1445" s="218"/>
      <c r="T1445" s="180"/>
      <c r="U1445" s="181"/>
      <c r="V1445" s="181"/>
      <c r="W1445" s="181"/>
      <c r="X1445" s="181"/>
      <c r="Y1445" s="3"/>
      <c r="Z1445" s="3"/>
    </row>
    <row r="1446" spans="1:26" ht="23.25" customHeight="1">
      <c r="A1446" s="281"/>
      <c r="B1446" s="281"/>
      <c r="C1446" s="281"/>
      <c r="F1446" s="173"/>
      <c r="G1446" s="173"/>
      <c r="H1446" s="173"/>
      <c r="I1446" s="174"/>
      <c r="K1446" s="177"/>
      <c r="L1446" s="177"/>
      <c r="Q1446" s="179"/>
      <c r="R1446" s="217"/>
      <c r="S1446" s="218"/>
      <c r="T1446" s="180"/>
      <c r="U1446" s="181"/>
      <c r="V1446" s="181"/>
      <c r="W1446" s="181"/>
      <c r="X1446" s="181"/>
      <c r="Y1446" s="3"/>
      <c r="Z1446" s="3"/>
    </row>
    <row r="1447" spans="1:26" ht="23.25" customHeight="1">
      <c r="A1447" s="281"/>
      <c r="B1447" s="281"/>
      <c r="C1447" s="281"/>
      <c r="F1447" s="173"/>
      <c r="G1447" s="173"/>
      <c r="H1447" s="173"/>
      <c r="I1447" s="174"/>
      <c r="K1447" s="177"/>
      <c r="L1447" s="177"/>
      <c r="Q1447" s="179"/>
      <c r="R1447" s="217"/>
      <c r="S1447" s="218"/>
      <c r="T1447" s="180"/>
      <c r="U1447" s="181"/>
      <c r="V1447" s="181"/>
      <c r="W1447" s="181"/>
      <c r="X1447" s="181"/>
      <c r="Y1447" s="3"/>
      <c r="Z1447" s="3"/>
    </row>
    <row r="1448" spans="1:26" ht="23.25" customHeight="1">
      <c r="A1448" s="281"/>
      <c r="B1448" s="281"/>
      <c r="C1448" s="281"/>
      <c r="F1448" s="173"/>
      <c r="G1448" s="173"/>
      <c r="H1448" s="173"/>
      <c r="I1448" s="174"/>
      <c r="K1448" s="177"/>
      <c r="L1448" s="177"/>
      <c r="Q1448" s="179"/>
      <c r="R1448" s="217"/>
      <c r="S1448" s="218"/>
      <c r="T1448" s="180"/>
      <c r="U1448" s="181"/>
      <c r="V1448" s="181"/>
      <c r="W1448" s="181"/>
      <c r="X1448" s="181"/>
      <c r="Y1448" s="3"/>
      <c r="Z1448" s="3"/>
    </row>
    <row r="1449" spans="1:26" ht="23.25" customHeight="1">
      <c r="A1449" s="281"/>
      <c r="B1449" s="281"/>
      <c r="C1449" s="281"/>
      <c r="F1449" s="173"/>
      <c r="G1449" s="173"/>
      <c r="H1449" s="173"/>
      <c r="I1449" s="174"/>
      <c r="K1449" s="177"/>
      <c r="L1449" s="177"/>
      <c r="Q1449" s="179"/>
      <c r="R1449" s="217"/>
      <c r="S1449" s="218"/>
      <c r="T1449" s="180"/>
      <c r="U1449" s="181"/>
      <c r="V1449" s="181"/>
      <c r="W1449" s="181"/>
      <c r="X1449" s="181"/>
      <c r="Y1449" s="3"/>
      <c r="Z1449" s="3"/>
    </row>
    <row r="1450" spans="1:26" ht="23.25" customHeight="1">
      <c r="A1450" s="281"/>
      <c r="B1450" s="281"/>
      <c r="C1450" s="281"/>
      <c r="F1450" s="173"/>
      <c r="G1450" s="173"/>
      <c r="H1450" s="173"/>
      <c r="I1450" s="174"/>
      <c r="K1450" s="177"/>
      <c r="L1450" s="177"/>
      <c r="Q1450" s="179"/>
      <c r="R1450" s="217"/>
      <c r="S1450" s="218"/>
      <c r="T1450" s="180"/>
      <c r="U1450" s="181"/>
      <c r="V1450" s="181"/>
      <c r="W1450" s="181"/>
      <c r="X1450" s="181"/>
      <c r="Y1450" s="3"/>
      <c r="Z1450" s="3"/>
    </row>
    <row r="1451" spans="1:26" ht="23.25" customHeight="1">
      <c r="A1451" s="281"/>
      <c r="B1451" s="281"/>
      <c r="C1451" s="281"/>
      <c r="F1451" s="173"/>
      <c r="G1451" s="173"/>
      <c r="H1451" s="173"/>
      <c r="I1451" s="174"/>
      <c r="K1451" s="177"/>
      <c r="L1451" s="177"/>
      <c r="Q1451" s="179"/>
      <c r="R1451" s="217"/>
      <c r="S1451" s="218"/>
      <c r="T1451" s="180"/>
      <c r="U1451" s="181"/>
      <c r="V1451" s="181"/>
      <c r="W1451" s="181"/>
      <c r="X1451" s="181"/>
      <c r="Y1451" s="3"/>
      <c r="Z1451" s="3"/>
    </row>
    <row r="1452" spans="1:26" ht="23.25" customHeight="1">
      <c r="A1452" s="281"/>
      <c r="B1452" s="281"/>
      <c r="C1452" s="281"/>
      <c r="F1452" s="173"/>
      <c r="G1452" s="173"/>
      <c r="H1452" s="173"/>
      <c r="I1452" s="174"/>
      <c r="K1452" s="177"/>
      <c r="L1452" s="177"/>
      <c r="Q1452" s="179"/>
      <c r="R1452" s="217"/>
      <c r="S1452" s="218"/>
      <c r="T1452" s="180"/>
      <c r="U1452" s="181"/>
      <c r="V1452" s="181"/>
      <c r="W1452" s="181"/>
      <c r="X1452" s="181"/>
      <c r="Y1452" s="3"/>
      <c r="Z1452" s="3"/>
    </row>
    <row r="1453" spans="1:26" ht="23.25" customHeight="1">
      <c r="A1453" s="281"/>
      <c r="B1453" s="281"/>
      <c r="C1453" s="281"/>
      <c r="F1453" s="173"/>
      <c r="G1453" s="173"/>
      <c r="H1453" s="173"/>
      <c r="I1453" s="174"/>
      <c r="K1453" s="177"/>
      <c r="L1453" s="177"/>
      <c r="Q1453" s="179"/>
      <c r="R1453" s="217"/>
      <c r="S1453" s="218"/>
      <c r="T1453" s="180"/>
      <c r="U1453" s="181"/>
      <c r="V1453" s="181"/>
      <c r="W1453" s="181"/>
      <c r="X1453" s="181"/>
      <c r="Y1453" s="3"/>
      <c r="Z1453" s="3"/>
    </row>
    <row r="1454" spans="1:26" ht="23.25" customHeight="1">
      <c r="A1454" s="281"/>
      <c r="B1454" s="281"/>
      <c r="C1454" s="281"/>
      <c r="F1454" s="173"/>
      <c r="G1454" s="173"/>
      <c r="H1454" s="173"/>
      <c r="I1454" s="174"/>
      <c r="K1454" s="177"/>
      <c r="L1454" s="177"/>
      <c r="Q1454" s="179"/>
      <c r="R1454" s="217"/>
      <c r="S1454" s="218"/>
      <c r="T1454" s="180"/>
      <c r="U1454" s="181"/>
      <c r="V1454" s="181"/>
      <c r="W1454" s="181"/>
      <c r="X1454" s="181"/>
      <c r="Y1454" s="3"/>
      <c r="Z1454" s="3"/>
    </row>
    <row r="1455" spans="1:26" ht="23.25" customHeight="1">
      <c r="A1455" s="281"/>
      <c r="B1455" s="281"/>
      <c r="C1455" s="281"/>
      <c r="F1455" s="173"/>
      <c r="G1455" s="173"/>
      <c r="H1455" s="173"/>
      <c r="I1455" s="174"/>
      <c r="K1455" s="177"/>
      <c r="L1455" s="177"/>
      <c r="Q1455" s="179"/>
      <c r="R1455" s="217"/>
      <c r="S1455" s="218"/>
      <c r="T1455" s="180"/>
      <c r="U1455" s="181"/>
      <c r="V1455" s="181"/>
      <c r="W1455" s="181"/>
      <c r="X1455" s="181"/>
      <c r="Y1455" s="3"/>
      <c r="Z1455" s="3"/>
    </row>
    <row r="1456" spans="1:26" ht="23.25" customHeight="1">
      <c r="A1456" s="281"/>
      <c r="B1456" s="281"/>
      <c r="C1456" s="281"/>
      <c r="F1456" s="173"/>
      <c r="G1456" s="173"/>
      <c r="H1456" s="173"/>
      <c r="I1456" s="174"/>
      <c r="K1456" s="177"/>
      <c r="L1456" s="177"/>
      <c r="Q1456" s="179"/>
      <c r="R1456" s="217"/>
      <c r="S1456" s="218"/>
      <c r="T1456" s="180"/>
      <c r="U1456" s="181"/>
      <c r="V1456" s="181"/>
      <c r="W1456" s="181"/>
      <c r="X1456" s="181"/>
      <c r="Y1456" s="3"/>
      <c r="Z1456" s="3"/>
    </row>
    <row r="1457" spans="1:26" ht="23.25" customHeight="1">
      <c r="A1457" s="281"/>
      <c r="B1457" s="281"/>
      <c r="C1457" s="281"/>
      <c r="F1457" s="173"/>
      <c r="G1457" s="173"/>
      <c r="H1457" s="173"/>
      <c r="I1457" s="174"/>
      <c r="K1457" s="177"/>
      <c r="L1457" s="177"/>
      <c r="Q1457" s="179"/>
      <c r="R1457" s="217"/>
      <c r="S1457" s="218"/>
      <c r="T1457" s="180"/>
      <c r="U1457" s="181"/>
      <c r="V1457" s="181"/>
      <c r="W1457" s="181"/>
      <c r="X1457" s="181"/>
      <c r="Y1457" s="3"/>
      <c r="Z1457" s="3"/>
    </row>
    <row r="1458" spans="1:26" ht="23.25" customHeight="1">
      <c r="A1458" s="281"/>
      <c r="B1458" s="281"/>
      <c r="C1458" s="281"/>
      <c r="F1458" s="173"/>
      <c r="G1458" s="173"/>
      <c r="H1458" s="173"/>
      <c r="I1458" s="174"/>
      <c r="K1458" s="177"/>
      <c r="L1458" s="177"/>
      <c r="Q1458" s="179"/>
      <c r="R1458" s="217"/>
      <c r="S1458" s="218"/>
      <c r="T1458" s="180"/>
      <c r="U1458" s="181"/>
      <c r="V1458" s="181"/>
      <c r="W1458" s="181"/>
      <c r="X1458" s="181"/>
      <c r="Y1458" s="3"/>
      <c r="Z1458" s="3"/>
    </row>
    <row r="1459" spans="1:26" ht="23.25" customHeight="1">
      <c r="A1459" s="281"/>
      <c r="B1459" s="281"/>
      <c r="C1459" s="281"/>
      <c r="F1459" s="173"/>
      <c r="G1459" s="173"/>
      <c r="H1459" s="173"/>
      <c r="I1459" s="174"/>
      <c r="K1459" s="177"/>
      <c r="L1459" s="177"/>
      <c r="Q1459" s="179"/>
      <c r="R1459" s="217"/>
      <c r="S1459" s="218"/>
      <c r="T1459" s="180"/>
      <c r="U1459" s="181"/>
      <c r="V1459" s="181"/>
      <c r="W1459" s="181"/>
      <c r="X1459" s="181"/>
      <c r="Y1459" s="3"/>
      <c r="Z1459" s="3"/>
    </row>
    <row r="1460" spans="1:26" ht="23.25" customHeight="1">
      <c r="A1460" s="281"/>
      <c r="B1460" s="281"/>
      <c r="C1460" s="281"/>
      <c r="F1460" s="173"/>
      <c r="G1460" s="173"/>
      <c r="H1460" s="173"/>
      <c r="I1460" s="174"/>
      <c r="K1460" s="177"/>
      <c r="L1460" s="177"/>
      <c r="Q1460" s="179"/>
      <c r="R1460" s="217"/>
      <c r="S1460" s="218"/>
      <c r="T1460" s="180"/>
      <c r="U1460" s="181"/>
      <c r="V1460" s="181"/>
      <c r="W1460" s="181"/>
      <c r="X1460" s="181"/>
      <c r="Y1460" s="3"/>
      <c r="Z1460" s="3"/>
    </row>
    <row r="1461" spans="1:26" ht="23.25" customHeight="1">
      <c r="A1461" s="281"/>
      <c r="B1461" s="281"/>
      <c r="C1461" s="281"/>
      <c r="F1461" s="173"/>
      <c r="G1461" s="173"/>
      <c r="H1461" s="173"/>
      <c r="I1461" s="174"/>
      <c r="K1461" s="177"/>
      <c r="L1461" s="177"/>
      <c r="Q1461" s="179"/>
      <c r="R1461" s="217"/>
      <c r="S1461" s="218"/>
      <c r="T1461" s="180"/>
      <c r="U1461" s="181"/>
      <c r="V1461" s="181"/>
      <c r="W1461" s="181"/>
      <c r="X1461" s="181"/>
      <c r="Y1461" s="3"/>
      <c r="Z1461" s="3"/>
    </row>
    <row r="1462" spans="1:26" ht="23.25" customHeight="1">
      <c r="A1462" s="281"/>
      <c r="B1462" s="281"/>
      <c r="C1462" s="281"/>
      <c r="F1462" s="173"/>
      <c r="G1462" s="173"/>
      <c r="H1462" s="173"/>
      <c r="I1462" s="174"/>
      <c r="K1462" s="177"/>
      <c r="L1462" s="177"/>
      <c r="Q1462" s="179"/>
      <c r="R1462" s="217"/>
      <c r="S1462" s="218"/>
      <c r="T1462" s="180"/>
      <c r="U1462" s="181"/>
      <c r="V1462" s="181"/>
      <c r="W1462" s="181"/>
      <c r="X1462" s="181"/>
      <c r="Y1462" s="3"/>
      <c r="Z1462" s="3"/>
    </row>
    <row r="1463" spans="1:26" ht="23.25" customHeight="1">
      <c r="A1463" s="281"/>
      <c r="B1463" s="281"/>
      <c r="C1463" s="281"/>
      <c r="F1463" s="173"/>
      <c r="G1463" s="173"/>
      <c r="H1463" s="173"/>
      <c r="I1463" s="174"/>
      <c r="K1463" s="177"/>
      <c r="L1463" s="177"/>
      <c r="Q1463" s="179"/>
      <c r="R1463" s="217"/>
      <c r="S1463" s="218"/>
      <c r="T1463" s="180"/>
      <c r="U1463" s="181"/>
      <c r="V1463" s="181"/>
      <c r="W1463" s="181"/>
      <c r="X1463" s="181"/>
      <c r="Y1463" s="3"/>
      <c r="Z1463" s="3"/>
    </row>
    <row r="1464" spans="1:26" ht="23.25" customHeight="1">
      <c r="A1464" s="281"/>
      <c r="B1464" s="281"/>
      <c r="C1464" s="281"/>
      <c r="F1464" s="173"/>
      <c r="G1464" s="173"/>
      <c r="H1464" s="173"/>
      <c r="I1464" s="174"/>
      <c r="K1464" s="177"/>
      <c r="L1464" s="177"/>
      <c r="Q1464" s="179"/>
      <c r="R1464" s="217"/>
      <c r="S1464" s="218"/>
      <c r="T1464" s="180"/>
      <c r="U1464" s="181"/>
      <c r="V1464" s="181"/>
      <c r="W1464" s="181"/>
      <c r="X1464" s="181"/>
      <c r="Y1464" s="3"/>
      <c r="Z1464" s="3"/>
    </row>
    <row r="1465" spans="1:26" ht="23.25" customHeight="1">
      <c r="A1465" s="281"/>
      <c r="B1465" s="281"/>
      <c r="C1465" s="281"/>
      <c r="F1465" s="173"/>
      <c r="G1465" s="173"/>
      <c r="H1465" s="173"/>
      <c r="I1465" s="174"/>
      <c r="K1465" s="177"/>
      <c r="L1465" s="177"/>
      <c r="Q1465" s="179"/>
      <c r="R1465" s="217"/>
      <c r="S1465" s="218"/>
      <c r="T1465" s="180"/>
      <c r="U1465" s="181"/>
      <c r="V1465" s="181"/>
      <c r="W1465" s="181"/>
      <c r="X1465" s="181"/>
      <c r="Y1465" s="3"/>
      <c r="Z1465" s="3"/>
    </row>
    <row r="1466" spans="1:26" ht="23.25" customHeight="1">
      <c r="A1466" s="281"/>
      <c r="B1466" s="281"/>
      <c r="C1466" s="281"/>
      <c r="F1466" s="173"/>
      <c r="G1466" s="173"/>
      <c r="H1466" s="173"/>
      <c r="I1466" s="174"/>
      <c r="K1466" s="177"/>
      <c r="L1466" s="177"/>
      <c r="Q1466" s="179"/>
      <c r="R1466" s="217"/>
      <c r="S1466" s="218"/>
      <c r="T1466" s="180"/>
      <c r="U1466" s="181"/>
      <c r="V1466" s="181"/>
      <c r="W1466" s="181"/>
      <c r="X1466" s="181"/>
      <c r="Y1466" s="3"/>
      <c r="Z1466" s="3"/>
    </row>
    <row r="1467" spans="1:26" ht="23.25" customHeight="1">
      <c r="A1467" s="281"/>
      <c r="B1467" s="281"/>
      <c r="C1467" s="281"/>
      <c r="F1467" s="173"/>
      <c r="G1467" s="173"/>
      <c r="H1467" s="173"/>
      <c r="I1467" s="174"/>
      <c r="K1467" s="177"/>
      <c r="L1467" s="177"/>
      <c r="Q1467" s="179"/>
      <c r="R1467" s="217"/>
      <c r="S1467" s="218"/>
      <c r="T1467" s="180"/>
      <c r="U1467" s="181"/>
      <c r="V1467" s="181"/>
      <c r="W1467" s="181"/>
      <c r="X1467" s="181"/>
      <c r="Y1467" s="3"/>
      <c r="Z1467" s="3"/>
    </row>
    <row r="1468" spans="1:26" ht="23.25" customHeight="1">
      <c r="A1468" s="281"/>
      <c r="B1468" s="281"/>
      <c r="C1468" s="281"/>
      <c r="F1468" s="173"/>
      <c r="G1468" s="173"/>
      <c r="H1468" s="173"/>
      <c r="I1468" s="174"/>
      <c r="K1468" s="177"/>
      <c r="L1468" s="177"/>
      <c r="Q1468" s="179"/>
      <c r="R1468" s="217"/>
      <c r="S1468" s="218"/>
      <c r="T1468" s="180"/>
      <c r="U1468" s="181"/>
      <c r="V1468" s="181"/>
      <c r="W1468" s="181"/>
      <c r="X1468" s="181"/>
      <c r="Y1468" s="3"/>
      <c r="Z1468" s="3"/>
    </row>
    <row r="1469" spans="1:26" ht="23.25" customHeight="1">
      <c r="A1469" s="281"/>
      <c r="B1469" s="281"/>
      <c r="C1469" s="281"/>
      <c r="F1469" s="173"/>
      <c r="G1469" s="173"/>
      <c r="H1469" s="173"/>
      <c r="I1469" s="174"/>
      <c r="K1469" s="177"/>
      <c r="L1469" s="177"/>
      <c r="Q1469" s="179"/>
      <c r="R1469" s="217"/>
      <c r="S1469" s="218"/>
      <c r="T1469" s="180"/>
      <c r="U1469" s="181"/>
      <c r="V1469" s="181"/>
      <c r="W1469" s="181"/>
      <c r="X1469" s="181"/>
      <c r="Y1469" s="3"/>
      <c r="Z1469" s="3"/>
    </row>
    <row r="1470" spans="1:26" ht="23.25" customHeight="1">
      <c r="A1470" s="281"/>
      <c r="B1470" s="281"/>
      <c r="C1470" s="281"/>
      <c r="F1470" s="173"/>
      <c r="G1470" s="173"/>
      <c r="H1470" s="173"/>
      <c r="I1470" s="174"/>
      <c r="K1470" s="177"/>
      <c r="L1470" s="177"/>
      <c r="Q1470" s="179"/>
      <c r="R1470" s="217"/>
      <c r="S1470" s="218"/>
      <c r="T1470" s="180"/>
      <c r="U1470" s="181"/>
      <c r="V1470" s="181"/>
      <c r="W1470" s="181"/>
      <c r="X1470" s="181"/>
      <c r="Y1470" s="3"/>
      <c r="Z1470" s="3"/>
    </row>
    <row r="1471" spans="1:26" ht="23.25" customHeight="1">
      <c r="A1471" s="281"/>
      <c r="B1471" s="281"/>
      <c r="C1471" s="281"/>
      <c r="F1471" s="173"/>
      <c r="G1471" s="173"/>
      <c r="H1471" s="173"/>
      <c r="I1471" s="174"/>
      <c r="K1471" s="177"/>
      <c r="L1471" s="177"/>
      <c r="Q1471" s="179"/>
      <c r="R1471" s="217"/>
      <c r="S1471" s="218"/>
      <c r="T1471" s="180"/>
      <c r="U1471" s="181"/>
      <c r="V1471" s="181"/>
      <c r="W1471" s="181"/>
      <c r="X1471" s="181"/>
      <c r="Y1471" s="3"/>
      <c r="Z1471" s="3"/>
    </row>
    <row r="1472" spans="1:26" ht="23.25" customHeight="1">
      <c r="A1472" s="281"/>
      <c r="B1472" s="281"/>
      <c r="C1472" s="281"/>
      <c r="F1472" s="173"/>
      <c r="G1472" s="173"/>
      <c r="H1472" s="173"/>
      <c r="I1472" s="174"/>
      <c r="K1472" s="177"/>
      <c r="L1472" s="177"/>
      <c r="Q1472" s="179"/>
      <c r="R1472" s="217"/>
      <c r="S1472" s="218"/>
      <c r="T1472" s="180"/>
      <c r="U1472" s="181"/>
      <c r="V1472" s="181"/>
      <c r="W1472" s="181"/>
      <c r="X1472" s="181"/>
      <c r="Y1472" s="3"/>
      <c r="Z1472" s="3"/>
    </row>
    <row r="1473" spans="1:26" ht="23.25" customHeight="1">
      <c r="A1473" s="281"/>
      <c r="B1473" s="281"/>
      <c r="C1473" s="281"/>
      <c r="F1473" s="173"/>
      <c r="G1473" s="173"/>
      <c r="H1473" s="173"/>
      <c r="I1473" s="174"/>
      <c r="K1473" s="177"/>
      <c r="L1473" s="177"/>
      <c r="Q1473" s="179"/>
      <c r="R1473" s="217"/>
      <c r="S1473" s="218"/>
      <c r="T1473" s="180"/>
      <c r="U1473" s="181"/>
      <c r="V1473" s="181"/>
      <c r="W1473" s="181"/>
      <c r="X1473" s="181"/>
      <c r="Y1473" s="3"/>
      <c r="Z1473" s="3"/>
    </row>
    <row r="1474" spans="1:26" ht="23.25" customHeight="1">
      <c r="A1474" s="281"/>
      <c r="B1474" s="281"/>
      <c r="C1474" s="281"/>
      <c r="F1474" s="173"/>
      <c r="G1474" s="173"/>
      <c r="H1474" s="173"/>
      <c r="I1474" s="174"/>
      <c r="K1474" s="177"/>
      <c r="L1474" s="177"/>
      <c r="Q1474" s="179"/>
      <c r="R1474" s="217"/>
      <c r="S1474" s="218"/>
      <c r="T1474" s="180"/>
      <c r="U1474" s="181"/>
      <c r="V1474" s="181"/>
      <c r="W1474" s="181"/>
      <c r="X1474" s="181"/>
      <c r="Y1474" s="3"/>
      <c r="Z1474" s="3"/>
    </row>
    <row r="1475" spans="1:26" ht="23.25" customHeight="1">
      <c r="A1475" s="281"/>
      <c r="B1475" s="281"/>
      <c r="C1475" s="281"/>
      <c r="F1475" s="173"/>
      <c r="G1475" s="173"/>
      <c r="H1475" s="173"/>
      <c r="I1475" s="174"/>
      <c r="K1475" s="177"/>
      <c r="L1475" s="177"/>
      <c r="Q1475" s="179"/>
      <c r="R1475" s="217"/>
      <c r="S1475" s="218"/>
      <c r="T1475" s="180"/>
      <c r="U1475" s="181"/>
      <c r="V1475" s="181"/>
      <c r="W1475" s="181"/>
      <c r="X1475" s="181"/>
      <c r="Y1475" s="3"/>
      <c r="Z1475" s="3"/>
    </row>
    <row r="1476" spans="1:26" ht="23.25" customHeight="1">
      <c r="A1476" s="281"/>
      <c r="B1476" s="281"/>
      <c r="C1476" s="281"/>
      <c r="F1476" s="173"/>
      <c r="G1476" s="173"/>
      <c r="H1476" s="173"/>
      <c r="I1476" s="174"/>
      <c r="K1476" s="177"/>
      <c r="L1476" s="177"/>
      <c r="Q1476" s="179"/>
      <c r="R1476" s="217"/>
      <c r="S1476" s="218"/>
      <c r="T1476" s="180"/>
      <c r="U1476" s="181"/>
      <c r="V1476" s="181"/>
      <c r="W1476" s="181"/>
      <c r="X1476" s="181"/>
      <c r="Y1476" s="3"/>
      <c r="Z1476" s="3"/>
    </row>
    <row r="1477" spans="1:26" ht="23.25" customHeight="1">
      <c r="A1477" s="281"/>
      <c r="B1477" s="281"/>
      <c r="C1477" s="281"/>
      <c r="F1477" s="173"/>
      <c r="G1477" s="173"/>
      <c r="H1477" s="173"/>
      <c r="I1477" s="174"/>
      <c r="K1477" s="177"/>
      <c r="L1477" s="177"/>
      <c r="Q1477" s="179"/>
      <c r="R1477" s="217"/>
      <c r="S1477" s="218"/>
      <c r="T1477" s="180"/>
      <c r="U1477" s="181"/>
      <c r="V1477" s="181"/>
      <c r="W1477" s="181"/>
      <c r="X1477" s="181"/>
      <c r="Y1477" s="3"/>
      <c r="Z1477" s="3"/>
    </row>
    <row r="1478" spans="1:26" ht="23.25" customHeight="1">
      <c r="A1478" s="281"/>
      <c r="B1478" s="281"/>
      <c r="C1478" s="281"/>
      <c r="F1478" s="173"/>
      <c r="G1478" s="173"/>
      <c r="H1478" s="173"/>
      <c r="I1478" s="174"/>
      <c r="K1478" s="177"/>
      <c r="L1478" s="177"/>
      <c r="Q1478" s="179"/>
      <c r="R1478" s="217"/>
      <c r="S1478" s="218"/>
      <c r="T1478" s="180"/>
      <c r="U1478" s="181"/>
      <c r="V1478" s="181"/>
      <c r="W1478" s="181"/>
      <c r="X1478" s="181"/>
      <c r="Y1478" s="3"/>
      <c r="Z1478" s="3"/>
    </row>
    <row r="1479" spans="1:26" ht="23.25" customHeight="1">
      <c r="A1479" s="281"/>
      <c r="B1479" s="281"/>
      <c r="C1479" s="281"/>
      <c r="F1479" s="173"/>
      <c r="G1479" s="173"/>
      <c r="H1479" s="173"/>
      <c r="I1479" s="174"/>
      <c r="K1479" s="177"/>
      <c r="L1479" s="177"/>
      <c r="Q1479" s="179"/>
      <c r="R1479" s="217"/>
      <c r="S1479" s="218"/>
      <c r="T1479" s="180"/>
      <c r="U1479" s="181"/>
      <c r="V1479" s="181"/>
      <c r="W1479" s="181"/>
      <c r="X1479" s="181"/>
      <c r="Y1479" s="3"/>
      <c r="Z1479" s="3"/>
    </row>
    <row r="1480" spans="1:26" ht="23.25" customHeight="1">
      <c r="A1480" s="281"/>
      <c r="B1480" s="281"/>
      <c r="C1480" s="281"/>
      <c r="F1480" s="173"/>
      <c r="G1480" s="173"/>
      <c r="H1480" s="173"/>
      <c r="I1480" s="174"/>
      <c r="K1480" s="177"/>
      <c r="L1480" s="177"/>
      <c r="Q1480" s="179"/>
      <c r="R1480" s="217"/>
      <c r="S1480" s="218"/>
      <c r="T1480" s="180"/>
      <c r="U1480" s="181"/>
      <c r="V1480" s="181"/>
      <c r="W1480" s="181"/>
      <c r="X1480" s="181"/>
      <c r="Y1480" s="3"/>
      <c r="Z1480" s="3"/>
    </row>
    <row r="1481" spans="1:26" ht="23.25" customHeight="1">
      <c r="A1481" s="281"/>
      <c r="B1481" s="281"/>
      <c r="C1481" s="281"/>
      <c r="F1481" s="173"/>
      <c r="G1481" s="173"/>
      <c r="H1481" s="173"/>
      <c r="I1481" s="174"/>
      <c r="K1481" s="177"/>
      <c r="L1481" s="177"/>
      <c r="Q1481" s="179"/>
      <c r="R1481" s="217"/>
      <c r="S1481" s="218"/>
      <c r="T1481" s="180"/>
      <c r="U1481" s="181"/>
      <c r="V1481" s="181"/>
      <c r="W1481" s="181"/>
      <c r="X1481" s="181"/>
      <c r="Y1481" s="3"/>
      <c r="Z1481" s="3"/>
    </row>
    <row r="1482" spans="1:26" ht="23.25" customHeight="1">
      <c r="A1482" s="281"/>
      <c r="B1482" s="281"/>
      <c r="C1482" s="281"/>
      <c r="F1482" s="173"/>
      <c r="G1482" s="173"/>
      <c r="H1482" s="173"/>
      <c r="I1482" s="174"/>
      <c r="K1482" s="177"/>
      <c r="L1482" s="177"/>
      <c r="Q1482" s="179"/>
      <c r="R1482" s="217"/>
      <c r="S1482" s="218"/>
      <c r="T1482" s="180"/>
      <c r="U1482" s="181"/>
      <c r="V1482" s="181"/>
      <c r="W1482" s="181"/>
      <c r="X1482" s="181"/>
      <c r="Y1482" s="3"/>
      <c r="Z1482" s="3"/>
    </row>
    <row r="1483" spans="1:26" ht="23.25" customHeight="1">
      <c r="A1483" s="281"/>
      <c r="B1483" s="281"/>
      <c r="C1483" s="281"/>
      <c r="F1483" s="173"/>
      <c r="G1483" s="173"/>
      <c r="H1483" s="173"/>
      <c r="I1483" s="174"/>
      <c r="K1483" s="177"/>
      <c r="L1483" s="177"/>
      <c r="Q1483" s="179"/>
      <c r="R1483" s="217"/>
      <c r="S1483" s="218"/>
      <c r="T1483" s="180"/>
      <c r="U1483" s="181"/>
      <c r="V1483" s="181"/>
      <c r="W1483" s="181"/>
      <c r="X1483" s="181"/>
      <c r="Y1483" s="3"/>
      <c r="Z1483" s="3"/>
    </row>
    <row r="1484" spans="1:26" ht="23.25" customHeight="1">
      <c r="A1484" s="281"/>
      <c r="B1484" s="281"/>
      <c r="C1484" s="281"/>
      <c r="F1484" s="173"/>
      <c r="G1484" s="173"/>
      <c r="H1484" s="173"/>
      <c r="I1484" s="174"/>
      <c r="K1484" s="177"/>
      <c r="L1484" s="177"/>
      <c r="Q1484" s="179"/>
      <c r="R1484" s="217"/>
      <c r="S1484" s="218"/>
      <c r="T1484" s="180"/>
      <c r="U1484" s="181"/>
      <c r="V1484" s="181"/>
      <c r="W1484" s="181"/>
      <c r="X1484" s="181"/>
      <c r="Y1484" s="3"/>
      <c r="Z1484" s="3"/>
    </row>
    <row r="1485" spans="1:26" ht="23.25" customHeight="1">
      <c r="A1485" s="281"/>
      <c r="B1485" s="281"/>
      <c r="C1485" s="281"/>
      <c r="F1485" s="173"/>
      <c r="G1485" s="173"/>
      <c r="H1485" s="173"/>
      <c r="I1485" s="174"/>
      <c r="K1485" s="177"/>
      <c r="L1485" s="177"/>
      <c r="Q1485" s="179"/>
      <c r="R1485" s="217"/>
      <c r="S1485" s="218"/>
      <c r="T1485" s="180"/>
      <c r="U1485" s="181"/>
      <c r="V1485" s="181"/>
      <c r="W1485" s="181"/>
      <c r="X1485" s="181"/>
      <c r="Y1485" s="3"/>
      <c r="Z1485" s="3"/>
    </row>
    <row r="1486" spans="1:26" ht="23.25" customHeight="1">
      <c r="A1486" s="281"/>
      <c r="B1486" s="281"/>
      <c r="C1486" s="281"/>
      <c r="F1486" s="173"/>
      <c r="G1486" s="173"/>
      <c r="H1486" s="173"/>
      <c r="I1486" s="174"/>
      <c r="K1486" s="177"/>
      <c r="L1486" s="177"/>
      <c r="Q1486" s="179"/>
      <c r="R1486" s="217"/>
      <c r="S1486" s="218"/>
      <c r="T1486" s="180"/>
      <c r="U1486" s="181"/>
      <c r="V1486" s="181"/>
      <c r="W1486" s="181"/>
      <c r="X1486" s="181"/>
      <c r="Y1486" s="3"/>
      <c r="Z1486" s="3"/>
    </row>
    <row r="1487" spans="1:26" ht="23.25" customHeight="1">
      <c r="A1487" s="281"/>
      <c r="B1487" s="281"/>
      <c r="C1487" s="281"/>
      <c r="F1487" s="173"/>
      <c r="G1487" s="173"/>
      <c r="H1487" s="173"/>
      <c r="I1487" s="174"/>
      <c r="K1487" s="177"/>
      <c r="L1487" s="177"/>
      <c r="Q1487" s="179"/>
      <c r="R1487" s="217"/>
      <c r="S1487" s="218"/>
      <c r="T1487" s="180"/>
      <c r="U1487" s="181"/>
      <c r="V1487" s="181"/>
      <c r="W1487" s="181"/>
      <c r="X1487" s="181"/>
      <c r="Y1487" s="3"/>
      <c r="Z1487" s="3"/>
    </row>
    <row r="1488" spans="1:26" ht="23.25" customHeight="1">
      <c r="A1488" s="281"/>
      <c r="B1488" s="281"/>
      <c r="C1488" s="281"/>
      <c r="F1488" s="173"/>
      <c r="G1488" s="173"/>
      <c r="H1488" s="173"/>
      <c r="I1488" s="174"/>
      <c r="K1488" s="177"/>
      <c r="L1488" s="177"/>
      <c r="Q1488" s="179"/>
      <c r="R1488" s="217"/>
      <c r="S1488" s="218"/>
      <c r="T1488" s="180"/>
      <c r="U1488" s="181"/>
      <c r="V1488" s="181"/>
      <c r="W1488" s="181"/>
      <c r="X1488" s="181"/>
      <c r="Y1488" s="3"/>
      <c r="Z1488" s="3"/>
    </row>
    <row r="1489" spans="1:26" ht="23.25" customHeight="1">
      <c r="A1489" s="281"/>
      <c r="B1489" s="281"/>
      <c r="C1489" s="281"/>
      <c r="F1489" s="173"/>
      <c r="G1489" s="173"/>
      <c r="H1489" s="173"/>
      <c r="I1489" s="174"/>
      <c r="K1489" s="177"/>
      <c r="L1489" s="177"/>
      <c r="Q1489" s="179"/>
      <c r="R1489" s="217"/>
      <c r="S1489" s="218"/>
      <c r="T1489" s="180"/>
      <c r="U1489" s="181"/>
      <c r="V1489" s="181"/>
      <c r="W1489" s="181"/>
      <c r="X1489" s="181"/>
      <c r="Y1489" s="3"/>
      <c r="Z1489" s="3"/>
    </row>
    <row r="1490" spans="1:26" ht="23.25" customHeight="1">
      <c r="A1490" s="281"/>
      <c r="B1490" s="281"/>
      <c r="C1490" s="281"/>
      <c r="F1490" s="173"/>
      <c r="G1490" s="173"/>
      <c r="H1490" s="173"/>
      <c r="I1490" s="174"/>
      <c r="K1490" s="177"/>
      <c r="L1490" s="177"/>
      <c r="Q1490" s="179"/>
      <c r="R1490" s="217"/>
      <c r="S1490" s="218"/>
      <c r="T1490" s="180"/>
      <c r="U1490" s="181"/>
      <c r="V1490" s="181"/>
      <c r="W1490" s="181"/>
      <c r="X1490" s="181"/>
      <c r="Y1490" s="3"/>
      <c r="Z1490" s="3"/>
    </row>
    <row r="1491" spans="1:26" ht="23.25" customHeight="1">
      <c r="A1491" s="281"/>
      <c r="B1491" s="281"/>
      <c r="C1491" s="281"/>
      <c r="F1491" s="173"/>
      <c r="G1491" s="173"/>
      <c r="H1491" s="173"/>
      <c r="I1491" s="174"/>
      <c r="K1491" s="177"/>
      <c r="L1491" s="177"/>
      <c r="Q1491" s="179"/>
      <c r="R1491" s="217"/>
      <c r="S1491" s="218"/>
      <c r="T1491" s="180"/>
      <c r="U1491" s="181"/>
      <c r="V1491" s="181"/>
      <c r="W1491" s="181"/>
      <c r="X1491" s="181"/>
      <c r="Y1491" s="3"/>
      <c r="Z1491" s="3"/>
    </row>
    <row r="1492" spans="1:26" ht="23.25" customHeight="1">
      <c r="A1492" s="281"/>
      <c r="B1492" s="281"/>
      <c r="C1492" s="281"/>
      <c r="F1492" s="173"/>
      <c r="G1492" s="173"/>
      <c r="H1492" s="173"/>
      <c r="I1492" s="174"/>
      <c r="K1492" s="177"/>
      <c r="L1492" s="177"/>
      <c r="Q1492" s="179"/>
      <c r="R1492" s="217"/>
      <c r="S1492" s="218"/>
      <c r="T1492" s="180"/>
      <c r="U1492" s="181"/>
      <c r="V1492" s="181"/>
      <c r="W1492" s="181"/>
      <c r="X1492" s="181"/>
      <c r="Y1492" s="3"/>
      <c r="Z1492" s="3"/>
    </row>
    <row r="1493" spans="1:26" ht="23.25" customHeight="1">
      <c r="A1493" s="281"/>
      <c r="B1493" s="281"/>
      <c r="C1493" s="281"/>
      <c r="F1493" s="173"/>
      <c r="G1493" s="173"/>
      <c r="H1493" s="173"/>
      <c r="I1493" s="174"/>
      <c r="K1493" s="177"/>
      <c r="L1493" s="177"/>
      <c r="Q1493" s="179"/>
      <c r="R1493" s="217"/>
      <c r="S1493" s="218"/>
      <c r="T1493" s="180"/>
      <c r="U1493" s="181"/>
      <c r="V1493" s="181"/>
      <c r="W1493" s="181"/>
      <c r="X1493" s="181"/>
      <c r="Y1493" s="3"/>
      <c r="Z1493" s="3"/>
    </row>
    <row r="1494" spans="1:26" ht="23.25" customHeight="1">
      <c r="A1494" s="281"/>
      <c r="B1494" s="281"/>
      <c r="C1494" s="281"/>
      <c r="F1494" s="173"/>
      <c r="G1494" s="173"/>
      <c r="H1494" s="173"/>
      <c r="I1494" s="174"/>
      <c r="K1494" s="177"/>
      <c r="L1494" s="177"/>
      <c r="Q1494" s="179"/>
      <c r="R1494" s="217"/>
      <c r="S1494" s="218"/>
      <c r="T1494" s="180"/>
      <c r="U1494" s="181"/>
      <c r="V1494" s="181"/>
      <c r="W1494" s="181"/>
      <c r="X1494" s="181"/>
      <c r="Y1494" s="3"/>
      <c r="Z1494" s="3"/>
    </row>
    <row r="1495" spans="1:26" ht="23.25" customHeight="1">
      <c r="A1495" s="281"/>
      <c r="B1495" s="281"/>
      <c r="C1495" s="281"/>
      <c r="F1495" s="173"/>
      <c r="G1495" s="173"/>
      <c r="H1495" s="173"/>
      <c r="I1495" s="174"/>
      <c r="K1495" s="177"/>
      <c r="L1495" s="177"/>
      <c r="Q1495" s="179"/>
      <c r="R1495" s="217"/>
      <c r="S1495" s="218"/>
      <c r="T1495" s="180"/>
      <c r="U1495" s="181"/>
      <c r="V1495" s="181"/>
      <c r="W1495" s="181"/>
      <c r="X1495" s="181"/>
      <c r="Y1495" s="3"/>
      <c r="Z1495" s="3"/>
    </row>
    <row r="1496" spans="1:26" ht="23.25" customHeight="1">
      <c r="A1496" s="281"/>
      <c r="B1496" s="281"/>
      <c r="C1496" s="281"/>
      <c r="F1496" s="173"/>
      <c r="G1496" s="173"/>
      <c r="H1496" s="173"/>
      <c r="I1496" s="174"/>
      <c r="K1496" s="177"/>
      <c r="L1496" s="177"/>
      <c r="Q1496" s="179"/>
      <c r="R1496" s="217"/>
      <c r="S1496" s="218"/>
      <c r="T1496" s="180"/>
      <c r="U1496" s="181"/>
      <c r="V1496" s="181"/>
      <c r="W1496" s="181"/>
      <c r="X1496" s="181"/>
      <c r="Y1496" s="3"/>
      <c r="Z1496" s="3"/>
    </row>
    <row r="1497" spans="1:26" ht="23.25" customHeight="1">
      <c r="A1497" s="281"/>
      <c r="B1497" s="281"/>
      <c r="C1497" s="281"/>
      <c r="F1497" s="173"/>
      <c r="G1497" s="173"/>
      <c r="H1497" s="173"/>
      <c r="I1497" s="174"/>
      <c r="K1497" s="177"/>
      <c r="L1497" s="177"/>
      <c r="Q1497" s="179"/>
      <c r="R1497" s="217"/>
      <c r="S1497" s="218"/>
      <c r="T1497" s="180"/>
      <c r="U1497" s="181"/>
      <c r="V1497" s="181"/>
      <c r="W1497" s="181"/>
      <c r="X1497" s="181"/>
      <c r="Y1497" s="3"/>
      <c r="Z1497" s="3"/>
    </row>
    <row r="1498" spans="1:26" ht="23.25" customHeight="1">
      <c r="A1498" s="281"/>
      <c r="B1498" s="281"/>
      <c r="C1498" s="281"/>
      <c r="F1498" s="173"/>
      <c r="G1498" s="173"/>
      <c r="H1498" s="173"/>
      <c r="I1498" s="174"/>
      <c r="K1498" s="177"/>
      <c r="L1498" s="177"/>
      <c r="Q1498" s="179"/>
      <c r="R1498" s="217"/>
      <c r="S1498" s="218"/>
      <c r="T1498" s="180"/>
      <c r="U1498" s="181"/>
      <c r="V1498" s="181"/>
      <c r="W1498" s="181"/>
      <c r="X1498" s="181"/>
      <c r="Y1498" s="3"/>
      <c r="Z1498" s="3"/>
    </row>
    <row r="1499" spans="1:26" ht="23.25" customHeight="1">
      <c r="A1499" s="281"/>
      <c r="B1499" s="281"/>
      <c r="C1499" s="281"/>
      <c r="F1499" s="173"/>
      <c r="G1499" s="173"/>
      <c r="H1499" s="173"/>
      <c r="I1499" s="174"/>
      <c r="K1499" s="177"/>
      <c r="L1499" s="177"/>
      <c r="Q1499" s="179"/>
      <c r="R1499" s="217"/>
      <c r="S1499" s="218"/>
      <c r="T1499" s="180"/>
      <c r="U1499" s="181"/>
      <c r="V1499" s="181"/>
      <c r="W1499" s="181"/>
      <c r="X1499" s="181"/>
      <c r="Y1499" s="3"/>
      <c r="Z1499" s="3"/>
    </row>
    <row r="1500" spans="1:26" ht="23.25" customHeight="1">
      <c r="A1500" s="281"/>
      <c r="B1500" s="281"/>
      <c r="C1500" s="281"/>
      <c r="F1500" s="173"/>
      <c r="G1500" s="173"/>
      <c r="H1500" s="173"/>
      <c r="I1500" s="174"/>
      <c r="K1500" s="177"/>
      <c r="L1500" s="177"/>
      <c r="Q1500" s="179"/>
      <c r="R1500" s="217"/>
      <c r="S1500" s="218"/>
      <c r="T1500" s="180"/>
      <c r="U1500" s="181"/>
      <c r="V1500" s="181"/>
      <c r="W1500" s="181"/>
      <c r="X1500" s="181"/>
      <c r="Y1500" s="3"/>
      <c r="Z1500" s="3"/>
    </row>
    <row r="1501" spans="1:26" ht="23.25" customHeight="1">
      <c r="A1501" s="281"/>
      <c r="B1501" s="281"/>
      <c r="C1501" s="281"/>
      <c r="F1501" s="173"/>
      <c r="G1501" s="173"/>
      <c r="H1501" s="173"/>
      <c r="I1501" s="174"/>
      <c r="K1501" s="177"/>
      <c r="L1501" s="177"/>
      <c r="Q1501" s="179"/>
      <c r="R1501" s="217"/>
      <c r="S1501" s="218"/>
      <c r="T1501" s="180"/>
      <c r="U1501" s="181"/>
      <c r="V1501" s="181"/>
      <c r="W1501" s="181"/>
      <c r="X1501" s="181"/>
      <c r="Y1501" s="3"/>
      <c r="Z1501" s="3"/>
    </row>
    <row r="1502" spans="1:26" ht="23.25" customHeight="1">
      <c r="A1502" s="281"/>
      <c r="B1502" s="281"/>
      <c r="C1502" s="281"/>
      <c r="F1502" s="173"/>
      <c r="G1502" s="173"/>
      <c r="H1502" s="173"/>
      <c r="I1502" s="174"/>
      <c r="K1502" s="177"/>
      <c r="L1502" s="177"/>
      <c r="Q1502" s="179"/>
      <c r="R1502" s="217"/>
      <c r="S1502" s="218"/>
      <c r="T1502" s="180"/>
      <c r="U1502" s="181"/>
      <c r="V1502" s="181"/>
      <c r="W1502" s="181"/>
      <c r="X1502" s="181"/>
      <c r="Y1502" s="3"/>
      <c r="Z1502" s="3"/>
    </row>
    <row r="1503" spans="1:26" ht="23.25" customHeight="1">
      <c r="A1503" s="281"/>
      <c r="B1503" s="281"/>
      <c r="C1503" s="281"/>
      <c r="F1503" s="173"/>
      <c r="G1503" s="173"/>
      <c r="H1503" s="173"/>
      <c r="I1503" s="174"/>
      <c r="K1503" s="177"/>
      <c r="L1503" s="177"/>
      <c r="Q1503" s="179"/>
      <c r="R1503" s="217"/>
      <c r="S1503" s="218"/>
      <c r="T1503" s="180"/>
      <c r="U1503" s="181"/>
      <c r="V1503" s="181"/>
      <c r="W1503" s="181"/>
      <c r="X1503" s="181"/>
      <c r="Y1503" s="3"/>
      <c r="Z1503" s="3"/>
    </row>
    <row r="1504" spans="1:26" ht="23.25" customHeight="1">
      <c r="A1504" s="281"/>
      <c r="B1504" s="281"/>
      <c r="C1504" s="281"/>
      <c r="F1504" s="173"/>
      <c r="G1504" s="173"/>
      <c r="H1504" s="173"/>
      <c r="I1504" s="174"/>
      <c r="K1504" s="177"/>
      <c r="L1504" s="177"/>
      <c r="Q1504" s="179"/>
      <c r="R1504" s="217"/>
      <c r="S1504" s="218"/>
      <c r="T1504" s="180"/>
      <c r="U1504" s="181"/>
      <c r="V1504" s="181"/>
      <c r="W1504" s="181"/>
      <c r="X1504" s="181"/>
      <c r="Y1504" s="3"/>
      <c r="Z1504" s="3"/>
    </row>
    <row r="1505" spans="1:26" ht="23.25" customHeight="1">
      <c r="A1505" s="281"/>
      <c r="B1505" s="281"/>
      <c r="C1505" s="281"/>
      <c r="F1505" s="173"/>
      <c r="G1505" s="173"/>
      <c r="H1505" s="173"/>
      <c r="I1505" s="174"/>
      <c r="K1505" s="177"/>
      <c r="L1505" s="177"/>
      <c r="Q1505" s="179"/>
      <c r="R1505" s="217"/>
      <c r="S1505" s="218"/>
      <c r="T1505" s="180"/>
      <c r="U1505" s="181"/>
      <c r="V1505" s="181"/>
      <c r="W1505" s="181"/>
      <c r="X1505" s="181"/>
      <c r="Y1505" s="3"/>
      <c r="Z1505" s="3"/>
    </row>
    <row r="1506" spans="1:26" ht="23.25" customHeight="1">
      <c r="A1506" s="281"/>
      <c r="B1506" s="281"/>
      <c r="C1506" s="281"/>
      <c r="F1506" s="173"/>
      <c r="G1506" s="173"/>
      <c r="H1506" s="173"/>
      <c r="I1506" s="174"/>
      <c r="K1506" s="177"/>
      <c r="L1506" s="177"/>
      <c r="Q1506" s="179"/>
      <c r="R1506" s="217"/>
      <c r="S1506" s="218"/>
      <c r="T1506" s="180"/>
      <c r="U1506" s="181"/>
      <c r="V1506" s="181"/>
      <c r="W1506" s="181"/>
      <c r="X1506" s="181"/>
      <c r="Y1506" s="3"/>
      <c r="Z1506" s="3"/>
    </row>
    <row r="1507" spans="1:26" ht="23.25" customHeight="1">
      <c r="A1507" s="281"/>
      <c r="B1507" s="281"/>
      <c r="C1507" s="281"/>
      <c r="F1507" s="173"/>
      <c r="G1507" s="173"/>
      <c r="H1507" s="173"/>
      <c r="I1507" s="174"/>
      <c r="K1507" s="177"/>
      <c r="L1507" s="177"/>
      <c r="Q1507" s="179"/>
      <c r="R1507" s="217"/>
      <c r="S1507" s="218"/>
      <c r="T1507" s="180"/>
      <c r="U1507" s="181"/>
      <c r="V1507" s="181"/>
      <c r="W1507" s="181"/>
      <c r="X1507" s="181"/>
      <c r="Y1507" s="3"/>
      <c r="Z1507" s="3"/>
    </row>
    <row r="1508" spans="1:26" ht="23.25" customHeight="1">
      <c r="A1508" s="281"/>
      <c r="B1508" s="281"/>
      <c r="C1508" s="281"/>
      <c r="F1508" s="173"/>
      <c r="G1508" s="173"/>
      <c r="H1508" s="173"/>
      <c r="I1508" s="174"/>
      <c r="K1508" s="177"/>
      <c r="L1508" s="177"/>
      <c r="Q1508" s="179"/>
      <c r="R1508" s="217"/>
      <c r="S1508" s="218"/>
      <c r="T1508" s="180"/>
      <c r="U1508" s="181"/>
      <c r="V1508" s="181"/>
      <c r="W1508" s="181"/>
      <c r="X1508" s="181"/>
      <c r="Y1508" s="3"/>
      <c r="Z1508" s="3"/>
    </row>
    <row r="1509" spans="1:26" ht="23.25" customHeight="1">
      <c r="A1509" s="281"/>
      <c r="B1509" s="281"/>
      <c r="C1509" s="281"/>
      <c r="F1509" s="173"/>
      <c r="G1509" s="173"/>
      <c r="H1509" s="173"/>
      <c r="I1509" s="174"/>
      <c r="K1509" s="177"/>
      <c r="L1509" s="177"/>
      <c r="Q1509" s="179"/>
      <c r="R1509" s="217"/>
      <c r="S1509" s="218"/>
      <c r="T1509" s="180"/>
      <c r="U1509" s="181"/>
      <c r="V1509" s="181"/>
      <c r="W1509" s="181"/>
      <c r="X1509" s="181"/>
      <c r="Y1509" s="3"/>
      <c r="Z1509" s="3"/>
    </row>
    <row r="1510" spans="1:26" ht="23.25" customHeight="1">
      <c r="A1510" s="281"/>
      <c r="B1510" s="281"/>
      <c r="C1510" s="281"/>
      <c r="F1510" s="173"/>
      <c r="G1510" s="173"/>
      <c r="H1510" s="173"/>
      <c r="I1510" s="174"/>
      <c r="K1510" s="177"/>
      <c r="L1510" s="177"/>
      <c r="Q1510" s="179"/>
      <c r="R1510" s="217"/>
      <c r="S1510" s="218"/>
      <c r="T1510" s="180"/>
      <c r="U1510" s="181"/>
      <c r="V1510" s="181"/>
      <c r="W1510" s="181"/>
      <c r="X1510" s="181"/>
      <c r="Y1510" s="3"/>
      <c r="Z1510" s="3"/>
    </row>
    <row r="1511" spans="1:26" ht="23.25" customHeight="1">
      <c r="A1511" s="281"/>
      <c r="B1511" s="281"/>
      <c r="C1511" s="281"/>
      <c r="F1511" s="173"/>
      <c r="G1511" s="173"/>
      <c r="H1511" s="173"/>
      <c r="I1511" s="174"/>
      <c r="K1511" s="177"/>
      <c r="L1511" s="177"/>
      <c r="Q1511" s="179"/>
      <c r="R1511" s="217"/>
      <c r="S1511" s="218"/>
      <c r="T1511" s="180"/>
      <c r="U1511" s="181"/>
      <c r="V1511" s="181"/>
      <c r="W1511" s="181"/>
      <c r="X1511" s="181"/>
      <c r="Y1511" s="3"/>
      <c r="Z1511" s="3"/>
    </row>
    <row r="1512" spans="1:26" ht="23.25" customHeight="1">
      <c r="A1512" s="281"/>
      <c r="B1512" s="281"/>
      <c r="C1512" s="281"/>
      <c r="F1512" s="173"/>
      <c r="G1512" s="173"/>
      <c r="H1512" s="173"/>
      <c r="I1512" s="174"/>
      <c r="K1512" s="177"/>
      <c r="L1512" s="177"/>
      <c r="Q1512" s="179"/>
      <c r="R1512" s="217"/>
      <c r="S1512" s="218"/>
      <c r="T1512" s="180"/>
      <c r="U1512" s="181"/>
      <c r="V1512" s="181"/>
      <c r="W1512" s="181"/>
      <c r="X1512" s="181"/>
      <c r="Y1512" s="3"/>
      <c r="Z1512" s="3"/>
    </row>
    <row r="1513" spans="1:26" ht="23.25" customHeight="1">
      <c r="A1513" s="281"/>
      <c r="B1513" s="281"/>
      <c r="C1513" s="281"/>
      <c r="F1513" s="173"/>
      <c r="G1513" s="173"/>
      <c r="H1513" s="173"/>
      <c r="I1513" s="174"/>
      <c r="K1513" s="177"/>
      <c r="L1513" s="177"/>
      <c r="Q1513" s="179"/>
      <c r="R1513" s="217"/>
      <c r="S1513" s="218"/>
      <c r="T1513" s="180"/>
      <c r="U1513" s="181"/>
      <c r="V1513" s="181"/>
      <c r="W1513" s="181"/>
      <c r="X1513" s="181"/>
      <c r="Y1513" s="3"/>
      <c r="Z1513" s="3"/>
    </row>
    <row r="1514" spans="1:26" ht="23.25" customHeight="1">
      <c r="A1514" s="281"/>
      <c r="B1514" s="281"/>
      <c r="C1514" s="281"/>
      <c r="F1514" s="173"/>
      <c r="G1514" s="173"/>
      <c r="H1514" s="173"/>
      <c r="I1514" s="174"/>
      <c r="K1514" s="177"/>
      <c r="L1514" s="177"/>
      <c r="Q1514" s="179"/>
      <c r="R1514" s="217"/>
      <c r="S1514" s="218"/>
      <c r="T1514" s="180"/>
      <c r="U1514" s="181"/>
      <c r="V1514" s="181"/>
      <c r="W1514" s="181"/>
      <c r="X1514" s="181"/>
      <c r="Y1514" s="3"/>
      <c r="Z1514" s="3"/>
    </row>
    <row r="1515" spans="1:26" ht="23.25" customHeight="1">
      <c r="A1515" s="281"/>
      <c r="B1515" s="281"/>
      <c r="C1515" s="281"/>
      <c r="F1515" s="173"/>
      <c r="G1515" s="173"/>
      <c r="H1515" s="173"/>
      <c r="I1515" s="174"/>
      <c r="K1515" s="177"/>
      <c r="L1515" s="177"/>
      <c r="Q1515" s="179"/>
      <c r="R1515" s="217"/>
      <c r="S1515" s="218"/>
      <c r="T1515" s="180"/>
      <c r="U1515" s="181"/>
      <c r="V1515" s="181"/>
      <c r="W1515" s="181"/>
      <c r="X1515" s="181"/>
      <c r="Y1515" s="3"/>
      <c r="Z1515" s="3"/>
    </row>
    <row r="1516" spans="1:26" ht="23.25" customHeight="1">
      <c r="A1516" s="281"/>
      <c r="B1516" s="281"/>
      <c r="C1516" s="281"/>
      <c r="F1516" s="173"/>
      <c r="G1516" s="173"/>
      <c r="H1516" s="173"/>
      <c r="I1516" s="174"/>
      <c r="K1516" s="177"/>
      <c r="L1516" s="177"/>
      <c r="Q1516" s="179"/>
      <c r="R1516" s="217"/>
      <c r="S1516" s="218"/>
      <c r="T1516" s="180"/>
      <c r="U1516" s="181"/>
      <c r="V1516" s="181"/>
      <c r="W1516" s="181"/>
      <c r="X1516" s="181"/>
      <c r="Y1516" s="3"/>
      <c r="Z1516" s="3"/>
    </row>
    <row r="1517" spans="1:26" ht="23.25" customHeight="1">
      <c r="A1517" s="281"/>
      <c r="B1517" s="281"/>
      <c r="C1517" s="281"/>
      <c r="F1517" s="173"/>
      <c r="G1517" s="173"/>
      <c r="H1517" s="173"/>
      <c r="I1517" s="174"/>
      <c r="K1517" s="177"/>
      <c r="L1517" s="177"/>
      <c r="Q1517" s="179"/>
      <c r="R1517" s="217"/>
      <c r="S1517" s="218"/>
      <c r="T1517" s="180"/>
      <c r="U1517" s="181"/>
      <c r="V1517" s="181"/>
      <c r="W1517" s="181"/>
      <c r="X1517" s="181"/>
      <c r="Y1517" s="3"/>
      <c r="Z1517" s="3"/>
    </row>
    <row r="1518" spans="1:26" ht="23.25" customHeight="1">
      <c r="A1518" s="281"/>
      <c r="B1518" s="281"/>
      <c r="C1518" s="281"/>
      <c r="F1518" s="173"/>
      <c r="G1518" s="173"/>
      <c r="H1518" s="173"/>
      <c r="I1518" s="174"/>
      <c r="K1518" s="177"/>
      <c r="L1518" s="177"/>
      <c r="Q1518" s="179"/>
      <c r="R1518" s="217"/>
      <c r="S1518" s="218"/>
      <c r="T1518" s="180"/>
      <c r="U1518" s="181"/>
      <c r="V1518" s="181"/>
      <c r="W1518" s="181"/>
      <c r="X1518" s="181"/>
      <c r="Y1518" s="3"/>
      <c r="Z1518" s="3"/>
    </row>
    <row r="1519" spans="1:26" ht="23.25" customHeight="1">
      <c r="A1519" s="281"/>
      <c r="B1519" s="281"/>
      <c r="C1519" s="281"/>
      <c r="F1519" s="173"/>
      <c r="G1519" s="173"/>
      <c r="H1519" s="173"/>
      <c r="I1519" s="174"/>
      <c r="K1519" s="177"/>
      <c r="L1519" s="177"/>
      <c r="Q1519" s="179"/>
      <c r="R1519" s="217"/>
      <c r="S1519" s="218"/>
      <c r="T1519" s="180"/>
      <c r="U1519" s="181"/>
      <c r="V1519" s="181"/>
      <c r="W1519" s="181"/>
      <c r="X1519" s="181"/>
      <c r="Y1519" s="3"/>
      <c r="Z1519" s="3"/>
    </row>
    <row r="1520" spans="1:26" ht="23.25" customHeight="1">
      <c r="A1520" s="281"/>
      <c r="B1520" s="281"/>
      <c r="C1520" s="281"/>
      <c r="F1520" s="173"/>
      <c r="G1520" s="173"/>
      <c r="H1520" s="173"/>
      <c r="I1520" s="174"/>
      <c r="K1520" s="177"/>
      <c r="L1520" s="177"/>
      <c r="Q1520" s="179"/>
      <c r="R1520" s="217"/>
      <c r="S1520" s="218"/>
      <c r="T1520" s="180"/>
      <c r="U1520" s="181"/>
      <c r="V1520" s="181"/>
      <c r="W1520" s="181"/>
      <c r="X1520" s="181"/>
      <c r="Y1520" s="3"/>
      <c r="Z1520" s="3"/>
    </row>
    <row r="1521" spans="1:26" ht="23.25" customHeight="1">
      <c r="A1521" s="281"/>
      <c r="B1521" s="281"/>
      <c r="C1521" s="281"/>
      <c r="F1521" s="173"/>
      <c r="G1521" s="173"/>
      <c r="H1521" s="173"/>
      <c r="I1521" s="174"/>
      <c r="K1521" s="177"/>
      <c r="L1521" s="177"/>
      <c r="Q1521" s="179"/>
      <c r="R1521" s="217"/>
      <c r="S1521" s="218"/>
      <c r="T1521" s="180"/>
      <c r="U1521" s="181"/>
      <c r="V1521" s="181"/>
      <c r="W1521" s="181"/>
      <c r="X1521" s="181"/>
      <c r="Y1521" s="3"/>
      <c r="Z1521" s="3"/>
    </row>
    <row r="1522" spans="1:26" ht="23.25" customHeight="1">
      <c r="A1522" s="281"/>
      <c r="B1522" s="281"/>
      <c r="C1522" s="281"/>
      <c r="F1522" s="173"/>
      <c r="G1522" s="173"/>
      <c r="H1522" s="173"/>
      <c r="I1522" s="174"/>
      <c r="K1522" s="177"/>
      <c r="L1522" s="177"/>
      <c r="Q1522" s="179"/>
      <c r="R1522" s="217"/>
      <c r="S1522" s="218"/>
      <c r="T1522" s="180"/>
      <c r="U1522" s="181"/>
      <c r="V1522" s="181"/>
      <c r="W1522" s="181"/>
      <c r="X1522" s="181"/>
      <c r="Y1522" s="3"/>
      <c r="Z1522" s="3"/>
    </row>
    <row r="1523" spans="1:26" ht="23.25" customHeight="1">
      <c r="A1523" s="281"/>
      <c r="B1523" s="281"/>
      <c r="C1523" s="281"/>
      <c r="F1523" s="173"/>
      <c r="G1523" s="173"/>
      <c r="H1523" s="173"/>
      <c r="I1523" s="174"/>
      <c r="K1523" s="177"/>
      <c r="L1523" s="177"/>
      <c r="Q1523" s="179"/>
      <c r="R1523" s="217"/>
      <c r="S1523" s="218"/>
      <c r="T1523" s="180"/>
      <c r="U1523" s="181"/>
      <c r="V1523" s="181"/>
      <c r="W1523" s="181"/>
      <c r="X1523" s="181"/>
      <c r="Y1523" s="3"/>
      <c r="Z1523" s="3"/>
    </row>
    <row r="1524" spans="1:26" ht="23.25" customHeight="1">
      <c r="A1524" s="281"/>
      <c r="B1524" s="281"/>
      <c r="C1524" s="281"/>
      <c r="F1524" s="173"/>
      <c r="G1524" s="173"/>
      <c r="H1524" s="173"/>
      <c r="I1524" s="174"/>
      <c r="K1524" s="177"/>
      <c r="L1524" s="177"/>
      <c r="Q1524" s="179"/>
      <c r="R1524" s="217"/>
      <c r="S1524" s="218"/>
      <c r="T1524" s="180"/>
      <c r="U1524" s="181"/>
      <c r="V1524" s="181"/>
      <c r="W1524" s="181"/>
      <c r="X1524" s="181"/>
      <c r="Y1524" s="3"/>
      <c r="Z1524" s="3"/>
    </row>
    <row r="1525" spans="1:26" ht="23.25" customHeight="1">
      <c r="A1525" s="281"/>
      <c r="B1525" s="281"/>
      <c r="C1525" s="281"/>
      <c r="F1525" s="173"/>
      <c r="G1525" s="173"/>
      <c r="H1525" s="173"/>
      <c r="I1525" s="174"/>
      <c r="K1525" s="177"/>
      <c r="L1525" s="177"/>
      <c r="Q1525" s="179"/>
      <c r="R1525" s="217"/>
      <c r="S1525" s="218"/>
      <c r="T1525" s="180"/>
      <c r="U1525" s="181"/>
      <c r="V1525" s="181"/>
      <c r="W1525" s="181"/>
      <c r="X1525" s="181"/>
      <c r="Y1525" s="3"/>
      <c r="Z1525" s="3"/>
    </row>
    <row r="1526" spans="1:26" ht="23.25" customHeight="1">
      <c r="A1526" s="281"/>
      <c r="B1526" s="281"/>
      <c r="C1526" s="281"/>
      <c r="F1526" s="173"/>
      <c r="G1526" s="173"/>
      <c r="H1526" s="173"/>
      <c r="I1526" s="174"/>
      <c r="K1526" s="177"/>
      <c r="L1526" s="177"/>
      <c r="Q1526" s="179"/>
      <c r="R1526" s="217"/>
      <c r="S1526" s="218"/>
      <c r="T1526" s="180"/>
      <c r="U1526" s="181"/>
      <c r="V1526" s="181"/>
      <c r="W1526" s="181"/>
      <c r="X1526" s="181"/>
      <c r="Y1526" s="3"/>
      <c r="Z1526" s="3"/>
    </row>
    <row r="1527" spans="1:26" ht="23.25" customHeight="1">
      <c r="A1527" s="281"/>
      <c r="B1527" s="281"/>
      <c r="C1527" s="281"/>
      <c r="F1527" s="173"/>
      <c r="G1527" s="173"/>
      <c r="H1527" s="173"/>
      <c r="I1527" s="174"/>
      <c r="K1527" s="177"/>
      <c r="L1527" s="177"/>
      <c r="Q1527" s="179"/>
      <c r="R1527" s="217"/>
      <c r="S1527" s="218"/>
      <c r="T1527" s="180"/>
      <c r="U1527" s="181"/>
      <c r="V1527" s="181"/>
      <c r="W1527" s="181"/>
      <c r="X1527" s="181"/>
      <c r="Y1527" s="3"/>
      <c r="Z1527" s="3"/>
    </row>
    <row r="1528" spans="1:26" ht="23.25" customHeight="1">
      <c r="A1528" s="281"/>
      <c r="B1528" s="281"/>
      <c r="C1528" s="281"/>
      <c r="F1528" s="173"/>
      <c r="G1528" s="173"/>
      <c r="H1528" s="173"/>
      <c r="I1528" s="174"/>
      <c r="K1528" s="177"/>
      <c r="L1528" s="177"/>
      <c r="Q1528" s="179"/>
      <c r="R1528" s="217"/>
      <c r="S1528" s="218"/>
      <c r="T1528" s="180"/>
      <c r="U1528" s="181"/>
      <c r="V1528" s="181"/>
      <c r="W1528" s="181"/>
      <c r="X1528" s="181"/>
      <c r="Y1528" s="3"/>
      <c r="Z1528" s="3"/>
    </row>
    <row r="1529" spans="1:26" ht="23.25" customHeight="1">
      <c r="A1529" s="281"/>
      <c r="B1529" s="281"/>
      <c r="C1529" s="281"/>
      <c r="F1529" s="173"/>
      <c r="G1529" s="173"/>
      <c r="H1529" s="173"/>
      <c r="I1529" s="174"/>
      <c r="K1529" s="177"/>
      <c r="L1529" s="177"/>
      <c r="Q1529" s="179"/>
      <c r="R1529" s="217"/>
      <c r="S1529" s="218"/>
      <c r="T1529" s="180"/>
      <c r="U1529" s="181"/>
      <c r="V1529" s="181"/>
      <c r="W1529" s="181"/>
      <c r="X1529" s="181"/>
      <c r="Y1529" s="3"/>
      <c r="Z1529" s="3"/>
    </row>
    <row r="1530" spans="1:26" ht="23.25" customHeight="1">
      <c r="A1530" s="281"/>
      <c r="B1530" s="281"/>
      <c r="C1530" s="281"/>
      <c r="F1530" s="173"/>
      <c r="G1530" s="173"/>
      <c r="H1530" s="173"/>
      <c r="I1530" s="174"/>
      <c r="K1530" s="177"/>
      <c r="L1530" s="177"/>
      <c r="Q1530" s="179"/>
      <c r="R1530" s="217"/>
      <c r="S1530" s="218"/>
      <c r="T1530" s="180"/>
      <c r="U1530" s="181"/>
      <c r="V1530" s="181"/>
      <c r="W1530" s="181"/>
      <c r="X1530" s="181"/>
      <c r="Y1530" s="3"/>
      <c r="Z1530" s="3"/>
    </row>
    <row r="1531" spans="1:26" ht="23.25" customHeight="1">
      <c r="A1531" s="281"/>
      <c r="B1531" s="281"/>
      <c r="C1531" s="281"/>
      <c r="F1531" s="173"/>
      <c r="G1531" s="173"/>
      <c r="H1531" s="173"/>
      <c r="I1531" s="174"/>
      <c r="K1531" s="177"/>
      <c r="L1531" s="177"/>
      <c r="Q1531" s="179"/>
      <c r="R1531" s="217"/>
      <c r="S1531" s="218"/>
      <c r="T1531" s="180"/>
      <c r="U1531" s="181"/>
      <c r="V1531" s="181"/>
      <c r="W1531" s="181"/>
      <c r="X1531" s="181"/>
      <c r="Y1531" s="3"/>
      <c r="Z1531" s="3"/>
    </row>
    <row r="1532" spans="1:26" ht="23.25" customHeight="1">
      <c r="A1532" s="281"/>
      <c r="B1532" s="281"/>
      <c r="C1532" s="281"/>
      <c r="F1532" s="173"/>
      <c r="G1532" s="173"/>
      <c r="H1532" s="173"/>
      <c r="I1532" s="174"/>
      <c r="K1532" s="177"/>
      <c r="L1532" s="177"/>
      <c r="Q1532" s="179"/>
      <c r="R1532" s="217"/>
      <c r="S1532" s="218"/>
      <c r="T1532" s="180"/>
      <c r="U1532" s="181"/>
      <c r="V1532" s="181"/>
      <c r="W1532" s="181"/>
      <c r="X1532" s="181"/>
      <c r="Y1532" s="3"/>
      <c r="Z1532" s="3"/>
    </row>
    <row r="1533" spans="1:26" ht="23.25" customHeight="1">
      <c r="A1533" s="281"/>
      <c r="B1533" s="281"/>
      <c r="C1533" s="281"/>
      <c r="F1533" s="173"/>
      <c r="G1533" s="173"/>
      <c r="H1533" s="173"/>
      <c r="I1533" s="174"/>
      <c r="K1533" s="177"/>
      <c r="L1533" s="177"/>
      <c r="Q1533" s="179"/>
      <c r="R1533" s="217"/>
      <c r="S1533" s="218"/>
      <c r="T1533" s="180"/>
      <c r="U1533" s="181"/>
      <c r="V1533" s="181"/>
      <c r="W1533" s="181"/>
      <c r="X1533" s="181"/>
      <c r="Y1533" s="3"/>
      <c r="Z1533" s="3"/>
    </row>
    <row r="1534" spans="1:26" ht="23.25" customHeight="1">
      <c r="A1534" s="281"/>
      <c r="B1534" s="281"/>
      <c r="C1534" s="281"/>
      <c r="F1534" s="173"/>
      <c r="G1534" s="173"/>
      <c r="H1534" s="173"/>
      <c r="I1534" s="174"/>
      <c r="K1534" s="177"/>
      <c r="L1534" s="177"/>
      <c r="Q1534" s="179"/>
      <c r="R1534" s="217"/>
      <c r="S1534" s="218"/>
      <c r="T1534" s="180"/>
      <c r="U1534" s="181"/>
      <c r="V1534" s="181"/>
      <c r="W1534" s="181"/>
      <c r="X1534" s="181"/>
      <c r="Y1534" s="3"/>
      <c r="Z1534" s="3"/>
    </row>
    <row r="1535" spans="1:26" ht="23.25" customHeight="1">
      <c r="A1535" s="281"/>
      <c r="B1535" s="281"/>
      <c r="C1535" s="281"/>
      <c r="F1535" s="173"/>
      <c r="G1535" s="173"/>
      <c r="H1535" s="173"/>
      <c r="I1535" s="174"/>
      <c r="K1535" s="177"/>
      <c r="L1535" s="177"/>
      <c r="Q1535" s="179"/>
      <c r="R1535" s="217"/>
      <c r="S1535" s="218"/>
      <c r="T1535" s="180"/>
      <c r="U1535" s="181"/>
      <c r="V1535" s="181"/>
      <c r="W1535" s="181"/>
      <c r="X1535" s="181"/>
      <c r="Y1535" s="3"/>
      <c r="Z1535" s="3"/>
    </row>
    <row r="1536" spans="1:26" ht="23.25" customHeight="1">
      <c r="A1536" s="281"/>
      <c r="B1536" s="281"/>
      <c r="C1536" s="281"/>
      <c r="F1536" s="173"/>
      <c r="G1536" s="173"/>
      <c r="H1536" s="173"/>
      <c r="I1536" s="174"/>
      <c r="K1536" s="177"/>
      <c r="L1536" s="177"/>
      <c r="Q1536" s="179"/>
      <c r="R1536" s="217"/>
      <c r="S1536" s="218"/>
      <c r="T1536" s="180"/>
      <c r="U1536" s="181"/>
      <c r="V1536" s="181"/>
      <c r="W1536" s="181"/>
      <c r="X1536" s="181"/>
      <c r="Y1536" s="3"/>
      <c r="Z1536" s="3"/>
    </row>
    <row r="1537" spans="1:26" ht="23.25" customHeight="1">
      <c r="A1537" s="281"/>
      <c r="B1537" s="281"/>
      <c r="C1537" s="281"/>
      <c r="F1537" s="173"/>
      <c r="G1537" s="173"/>
      <c r="H1537" s="173"/>
      <c r="I1537" s="174"/>
      <c r="K1537" s="177"/>
      <c r="L1537" s="177"/>
      <c r="Q1537" s="179"/>
      <c r="R1537" s="217"/>
      <c r="S1537" s="218"/>
      <c r="T1537" s="180"/>
      <c r="U1537" s="181"/>
      <c r="V1537" s="181"/>
      <c r="W1537" s="181"/>
      <c r="X1537" s="181"/>
      <c r="Y1537" s="3"/>
      <c r="Z1537" s="3"/>
    </row>
    <row r="1538" spans="1:26" ht="23.25" customHeight="1">
      <c r="A1538" s="281"/>
      <c r="B1538" s="281"/>
      <c r="C1538" s="281"/>
      <c r="F1538" s="173"/>
      <c r="G1538" s="173"/>
      <c r="H1538" s="173"/>
      <c r="I1538" s="174"/>
      <c r="K1538" s="177"/>
      <c r="L1538" s="177"/>
      <c r="Q1538" s="179"/>
      <c r="R1538" s="217"/>
      <c r="S1538" s="218"/>
      <c r="T1538" s="180"/>
      <c r="U1538" s="181"/>
      <c r="V1538" s="181"/>
      <c r="W1538" s="181"/>
      <c r="X1538" s="181"/>
      <c r="Y1538" s="3"/>
      <c r="Z1538" s="3"/>
    </row>
    <row r="1539" spans="1:26" ht="23.25" customHeight="1">
      <c r="A1539" s="281"/>
      <c r="B1539" s="281"/>
      <c r="C1539" s="281"/>
      <c r="F1539" s="173"/>
      <c r="G1539" s="173"/>
      <c r="H1539" s="173"/>
      <c r="I1539" s="174"/>
      <c r="K1539" s="177"/>
      <c r="L1539" s="177"/>
      <c r="Q1539" s="179"/>
      <c r="R1539" s="217"/>
      <c r="S1539" s="218"/>
      <c r="T1539" s="180"/>
      <c r="U1539" s="181"/>
      <c r="V1539" s="181"/>
      <c r="W1539" s="181"/>
      <c r="X1539" s="181"/>
      <c r="Y1539" s="3"/>
      <c r="Z1539" s="3"/>
    </row>
    <row r="1540" spans="1:26" ht="23.25" customHeight="1">
      <c r="A1540" s="281"/>
      <c r="B1540" s="281"/>
      <c r="C1540" s="281"/>
      <c r="F1540" s="173"/>
      <c r="G1540" s="173"/>
      <c r="H1540" s="173"/>
      <c r="I1540" s="174"/>
      <c r="K1540" s="177"/>
      <c r="L1540" s="177"/>
      <c r="Q1540" s="179"/>
      <c r="R1540" s="217"/>
      <c r="S1540" s="218"/>
      <c r="T1540" s="180"/>
      <c r="U1540" s="181"/>
      <c r="V1540" s="181"/>
      <c r="W1540" s="181"/>
      <c r="X1540" s="181"/>
      <c r="Y1540" s="3"/>
      <c r="Z1540" s="3"/>
    </row>
    <row r="1541" spans="1:26" ht="23.25" customHeight="1">
      <c r="A1541" s="281"/>
      <c r="B1541" s="281"/>
      <c r="C1541" s="281"/>
      <c r="F1541" s="173"/>
      <c r="G1541" s="173"/>
      <c r="H1541" s="173"/>
      <c r="I1541" s="174"/>
      <c r="K1541" s="177"/>
      <c r="L1541" s="177"/>
      <c r="Q1541" s="179"/>
      <c r="R1541" s="217"/>
      <c r="S1541" s="218"/>
      <c r="T1541" s="180"/>
      <c r="U1541" s="181"/>
      <c r="V1541" s="181"/>
      <c r="W1541" s="181"/>
      <c r="X1541" s="181"/>
      <c r="Y1541" s="3"/>
      <c r="Z1541" s="3"/>
    </row>
    <row r="1542" spans="1:26" ht="23.25" customHeight="1">
      <c r="A1542" s="281"/>
      <c r="B1542" s="281"/>
      <c r="C1542" s="281"/>
      <c r="F1542" s="173"/>
      <c r="G1542" s="173"/>
      <c r="H1542" s="173"/>
      <c r="I1542" s="174"/>
      <c r="K1542" s="177"/>
      <c r="L1542" s="177"/>
      <c r="Q1542" s="179"/>
      <c r="R1542" s="217"/>
      <c r="S1542" s="218"/>
      <c r="T1542" s="180"/>
      <c r="U1542" s="181"/>
      <c r="V1542" s="181"/>
      <c r="W1542" s="181"/>
      <c r="X1542" s="181"/>
      <c r="Y1542" s="3"/>
      <c r="Z1542" s="3"/>
    </row>
    <row r="1543" spans="1:26" ht="23.25" customHeight="1">
      <c r="A1543" s="281"/>
      <c r="B1543" s="281"/>
      <c r="C1543" s="281"/>
      <c r="F1543" s="173"/>
      <c r="G1543" s="173"/>
      <c r="H1543" s="173"/>
      <c r="I1543" s="174"/>
      <c r="K1543" s="177"/>
      <c r="L1543" s="177"/>
      <c r="Q1543" s="179"/>
      <c r="R1543" s="217"/>
      <c r="S1543" s="218"/>
      <c r="T1543" s="180"/>
      <c r="U1543" s="181"/>
      <c r="V1543" s="181"/>
      <c r="W1543" s="181"/>
      <c r="X1543" s="181"/>
      <c r="Y1543" s="3"/>
      <c r="Z1543" s="3"/>
    </row>
    <row r="1544" spans="1:26" ht="23.25" customHeight="1">
      <c r="A1544" s="281"/>
      <c r="B1544" s="281"/>
      <c r="C1544" s="281"/>
      <c r="F1544" s="173"/>
      <c r="G1544" s="173"/>
      <c r="H1544" s="173"/>
      <c r="I1544" s="174"/>
      <c r="K1544" s="177"/>
      <c r="L1544" s="177"/>
      <c r="Q1544" s="179"/>
      <c r="R1544" s="217"/>
      <c r="S1544" s="218"/>
      <c r="T1544" s="180"/>
      <c r="U1544" s="181"/>
      <c r="V1544" s="181"/>
      <c r="W1544" s="181"/>
      <c r="X1544" s="181"/>
      <c r="Y1544" s="3"/>
      <c r="Z1544" s="3"/>
    </row>
    <row r="1545" spans="1:26" ht="23.25" customHeight="1">
      <c r="A1545" s="281"/>
      <c r="B1545" s="281"/>
      <c r="C1545" s="281"/>
      <c r="F1545" s="173"/>
      <c r="G1545" s="173"/>
      <c r="H1545" s="173"/>
      <c r="I1545" s="174"/>
      <c r="K1545" s="177"/>
      <c r="L1545" s="177"/>
      <c r="Q1545" s="179"/>
      <c r="R1545" s="217"/>
      <c r="S1545" s="218"/>
      <c r="T1545" s="180"/>
      <c r="U1545" s="181"/>
      <c r="V1545" s="181"/>
      <c r="W1545" s="181"/>
      <c r="X1545" s="181"/>
      <c r="Y1545" s="3"/>
      <c r="Z1545" s="3"/>
    </row>
    <row r="1546" spans="1:26" ht="23.25" customHeight="1">
      <c r="A1546" s="281"/>
      <c r="B1546" s="281"/>
      <c r="C1546" s="281"/>
      <c r="F1546" s="173"/>
      <c r="G1546" s="173"/>
      <c r="H1546" s="173"/>
      <c r="I1546" s="174"/>
      <c r="K1546" s="177"/>
      <c r="L1546" s="177"/>
      <c r="Q1546" s="179"/>
      <c r="R1546" s="217"/>
      <c r="S1546" s="218"/>
      <c r="T1546" s="180"/>
      <c r="U1546" s="181"/>
      <c r="V1546" s="181"/>
      <c r="W1546" s="181"/>
      <c r="X1546" s="181"/>
      <c r="Y1546" s="3"/>
      <c r="Z1546" s="3"/>
    </row>
    <row r="1547" spans="1:26" ht="23.25" customHeight="1">
      <c r="A1547" s="281"/>
      <c r="B1547" s="281"/>
      <c r="C1547" s="281"/>
      <c r="F1547" s="173"/>
      <c r="G1547" s="173"/>
      <c r="H1547" s="173"/>
      <c r="I1547" s="174"/>
      <c r="K1547" s="177"/>
      <c r="L1547" s="177"/>
      <c r="Q1547" s="179"/>
      <c r="R1547" s="217"/>
      <c r="S1547" s="218"/>
      <c r="T1547" s="180"/>
      <c r="U1547" s="181"/>
      <c r="V1547" s="181"/>
      <c r="W1547" s="181"/>
      <c r="X1547" s="181"/>
      <c r="Y1547" s="3"/>
      <c r="Z1547" s="3"/>
    </row>
    <row r="1548" spans="1:26" ht="23.25" customHeight="1">
      <c r="A1548" s="281"/>
      <c r="B1548" s="281"/>
      <c r="C1548" s="281"/>
      <c r="F1548" s="173"/>
      <c r="G1548" s="173"/>
      <c r="H1548" s="173"/>
      <c r="I1548" s="174"/>
      <c r="K1548" s="177"/>
      <c r="L1548" s="177"/>
      <c r="Q1548" s="179"/>
      <c r="R1548" s="217"/>
      <c r="S1548" s="218"/>
      <c r="T1548" s="180"/>
      <c r="U1548" s="181"/>
      <c r="V1548" s="181"/>
      <c r="W1548" s="181"/>
      <c r="X1548" s="181"/>
      <c r="Y1548" s="3"/>
      <c r="Z1548" s="3"/>
    </row>
    <row r="1549" spans="1:26" ht="23.25" customHeight="1">
      <c r="A1549" s="281"/>
      <c r="B1549" s="281"/>
      <c r="C1549" s="281"/>
      <c r="F1549" s="173"/>
      <c r="G1549" s="173"/>
      <c r="H1549" s="173"/>
      <c r="I1549" s="174"/>
      <c r="K1549" s="177"/>
      <c r="L1549" s="177"/>
      <c r="Q1549" s="179"/>
      <c r="R1549" s="217"/>
      <c r="S1549" s="218"/>
      <c r="T1549" s="180"/>
      <c r="U1549" s="181"/>
      <c r="V1549" s="181"/>
      <c r="W1549" s="181"/>
      <c r="X1549" s="181"/>
      <c r="Y1549" s="3"/>
      <c r="Z1549" s="3"/>
    </row>
    <row r="1550" spans="1:26" ht="23.25" customHeight="1">
      <c r="A1550" s="281"/>
      <c r="B1550" s="281"/>
      <c r="C1550" s="281"/>
      <c r="F1550" s="173"/>
      <c r="G1550" s="173"/>
      <c r="H1550" s="173"/>
      <c r="I1550" s="174"/>
      <c r="K1550" s="177"/>
      <c r="L1550" s="177"/>
      <c r="Q1550" s="179"/>
      <c r="R1550" s="217"/>
      <c r="S1550" s="218"/>
      <c r="T1550" s="180"/>
      <c r="U1550" s="181"/>
      <c r="V1550" s="181"/>
      <c r="W1550" s="181"/>
      <c r="X1550" s="181"/>
      <c r="Y1550" s="3"/>
      <c r="Z1550" s="3"/>
    </row>
    <row r="1551" spans="1:26" ht="23.25" customHeight="1">
      <c r="A1551" s="281"/>
      <c r="B1551" s="281"/>
      <c r="C1551" s="281"/>
      <c r="F1551" s="173"/>
      <c r="G1551" s="173"/>
      <c r="H1551" s="173"/>
      <c r="I1551" s="174"/>
      <c r="K1551" s="177"/>
      <c r="L1551" s="177"/>
      <c r="Q1551" s="179"/>
      <c r="R1551" s="217"/>
      <c r="S1551" s="218"/>
      <c r="T1551" s="180"/>
      <c r="U1551" s="181"/>
      <c r="V1551" s="181"/>
      <c r="W1551" s="181"/>
      <c r="X1551" s="181"/>
      <c r="Y1551" s="3"/>
      <c r="Z1551" s="3"/>
    </row>
    <row r="1552" spans="1:26" ht="23.25" customHeight="1">
      <c r="A1552" s="281"/>
      <c r="B1552" s="281"/>
      <c r="C1552" s="281"/>
      <c r="F1552" s="173"/>
      <c r="G1552" s="173"/>
      <c r="H1552" s="173"/>
      <c r="I1552" s="174"/>
      <c r="K1552" s="177"/>
      <c r="L1552" s="177"/>
      <c r="Q1552" s="179"/>
      <c r="R1552" s="217"/>
      <c r="S1552" s="218"/>
      <c r="T1552" s="180"/>
      <c r="U1552" s="181"/>
      <c r="V1552" s="181"/>
      <c r="W1552" s="181"/>
      <c r="X1552" s="181"/>
      <c r="Y1552" s="3"/>
      <c r="Z1552" s="3"/>
    </row>
    <row r="1553" spans="1:26" ht="23.25" customHeight="1">
      <c r="A1553" s="281"/>
      <c r="B1553" s="281"/>
      <c r="C1553" s="281"/>
      <c r="F1553" s="173"/>
      <c r="G1553" s="173"/>
      <c r="H1553" s="173"/>
      <c r="I1553" s="174"/>
      <c r="K1553" s="177"/>
      <c r="L1553" s="177"/>
      <c r="Q1553" s="179"/>
      <c r="R1553" s="217"/>
      <c r="S1553" s="218"/>
      <c r="T1553" s="180"/>
      <c r="U1553" s="181"/>
      <c r="V1553" s="181"/>
      <c r="W1553" s="181"/>
      <c r="X1553" s="181"/>
      <c r="Y1553" s="3"/>
      <c r="Z1553" s="3"/>
    </row>
    <row r="1554" spans="1:26" ht="23.25" customHeight="1">
      <c r="A1554" s="281"/>
      <c r="B1554" s="281"/>
      <c r="C1554" s="281"/>
      <c r="F1554" s="173"/>
      <c r="G1554" s="173"/>
      <c r="H1554" s="173"/>
      <c r="I1554" s="174"/>
      <c r="K1554" s="177"/>
      <c r="L1554" s="177"/>
      <c r="Q1554" s="179"/>
      <c r="R1554" s="217"/>
      <c r="S1554" s="218"/>
      <c r="T1554" s="180"/>
      <c r="U1554" s="181"/>
      <c r="V1554" s="181"/>
      <c r="W1554" s="181"/>
      <c r="X1554" s="181"/>
      <c r="Y1554" s="3"/>
      <c r="Z1554" s="3"/>
    </row>
    <row r="1555" spans="1:26" ht="23.25" customHeight="1">
      <c r="A1555" s="281"/>
      <c r="B1555" s="281"/>
      <c r="C1555" s="281"/>
      <c r="F1555" s="173"/>
      <c r="G1555" s="173"/>
      <c r="H1555" s="173"/>
      <c r="I1555" s="174"/>
      <c r="K1555" s="177"/>
      <c r="L1555" s="177"/>
      <c r="Q1555" s="179"/>
      <c r="R1555" s="217"/>
      <c r="S1555" s="218"/>
      <c r="T1555" s="180"/>
      <c r="U1555" s="181"/>
      <c r="V1555" s="181"/>
      <c r="W1555" s="181"/>
      <c r="X1555" s="181"/>
      <c r="Y1555" s="3"/>
      <c r="Z1555" s="3"/>
    </row>
    <row r="1556" spans="1:26" ht="23.25" customHeight="1">
      <c r="A1556" s="281"/>
      <c r="B1556" s="281"/>
      <c r="C1556" s="281"/>
      <c r="F1556" s="173"/>
      <c r="G1556" s="173"/>
      <c r="H1556" s="173"/>
      <c r="I1556" s="174"/>
      <c r="K1556" s="177"/>
      <c r="L1556" s="177"/>
      <c r="Q1556" s="179"/>
      <c r="R1556" s="217"/>
      <c r="S1556" s="218"/>
      <c r="T1556" s="180"/>
      <c r="U1556" s="181"/>
      <c r="V1556" s="181"/>
      <c r="W1556" s="181"/>
      <c r="X1556" s="181"/>
      <c r="Y1556" s="3"/>
      <c r="Z1556" s="3"/>
    </row>
    <row r="1557" spans="1:26" ht="23.25" customHeight="1">
      <c r="A1557" s="281"/>
      <c r="B1557" s="281"/>
      <c r="C1557" s="281"/>
      <c r="F1557" s="173"/>
      <c r="G1557" s="173"/>
      <c r="H1557" s="173"/>
      <c r="I1557" s="174"/>
      <c r="K1557" s="177"/>
      <c r="L1557" s="177"/>
      <c r="Q1557" s="179"/>
      <c r="R1557" s="217"/>
      <c r="S1557" s="218"/>
      <c r="T1557" s="180"/>
      <c r="U1557" s="181"/>
      <c r="V1557" s="181"/>
      <c r="W1557" s="181"/>
      <c r="X1557" s="181"/>
      <c r="Y1557" s="3"/>
      <c r="Z1557" s="3"/>
    </row>
    <row r="1558" spans="1:26" ht="23.25" customHeight="1">
      <c r="A1558" s="281"/>
      <c r="B1558" s="281"/>
      <c r="C1558" s="281"/>
      <c r="F1558" s="173"/>
      <c r="G1558" s="173"/>
      <c r="H1558" s="173"/>
      <c r="I1558" s="174"/>
      <c r="K1558" s="177"/>
      <c r="L1558" s="177"/>
      <c r="Q1558" s="179"/>
      <c r="R1558" s="217"/>
      <c r="S1558" s="218"/>
      <c r="T1558" s="180"/>
      <c r="U1558" s="181"/>
      <c r="V1558" s="181"/>
      <c r="W1558" s="181"/>
      <c r="X1558" s="181"/>
      <c r="Y1558" s="3"/>
      <c r="Z1558" s="3"/>
    </row>
    <row r="1559" spans="1:26" ht="23.25" customHeight="1">
      <c r="A1559" s="281"/>
      <c r="B1559" s="281"/>
      <c r="C1559" s="281"/>
      <c r="F1559" s="173"/>
      <c r="G1559" s="173"/>
      <c r="H1559" s="173"/>
      <c r="I1559" s="174"/>
      <c r="K1559" s="177"/>
      <c r="L1559" s="177"/>
      <c r="Q1559" s="179"/>
      <c r="R1559" s="217"/>
      <c r="S1559" s="218"/>
      <c r="T1559" s="180"/>
      <c r="U1559" s="181"/>
      <c r="V1559" s="181"/>
      <c r="W1559" s="181"/>
      <c r="X1559" s="181"/>
      <c r="Y1559" s="3"/>
      <c r="Z1559" s="3"/>
    </row>
    <row r="1560" spans="1:26" ht="23.25" customHeight="1">
      <c r="A1560" s="281"/>
      <c r="B1560" s="281"/>
      <c r="C1560" s="281"/>
      <c r="F1560" s="173"/>
      <c r="G1560" s="173"/>
      <c r="H1560" s="173"/>
      <c r="I1560" s="174"/>
      <c r="K1560" s="177"/>
      <c r="L1560" s="177"/>
      <c r="Q1560" s="179"/>
      <c r="R1560" s="217"/>
      <c r="S1560" s="218"/>
      <c r="T1560" s="180"/>
      <c r="U1560" s="181"/>
      <c r="V1560" s="181"/>
      <c r="W1560" s="181"/>
      <c r="X1560" s="181"/>
      <c r="Y1560" s="3"/>
      <c r="Z1560" s="3"/>
    </row>
    <row r="1561" spans="1:26" ht="23.25" customHeight="1">
      <c r="A1561" s="281"/>
      <c r="B1561" s="281"/>
      <c r="C1561" s="281"/>
      <c r="F1561" s="173"/>
      <c r="G1561" s="173"/>
      <c r="H1561" s="173"/>
      <c r="I1561" s="174"/>
      <c r="K1561" s="177"/>
      <c r="L1561" s="177"/>
      <c r="Q1561" s="179"/>
      <c r="R1561" s="217"/>
      <c r="S1561" s="218"/>
      <c r="T1561" s="180"/>
      <c r="U1561" s="181"/>
      <c r="V1561" s="181"/>
      <c r="W1561" s="181"/>
      <c r="X1561" s="181"/>
      <c r="Y1561" s="3"/>
      <c r="Z1561" s="3"/>
    </row>
    <row r="1562" spans="1:26" ht="23.25" customHeight="1">
      <c r="A1562" s="281"/>
      <c r="B1562" s="281"/>
      <c r="C1562" s="281"/>
      <c r="F1562" s="173"/>
      <c r="G1562" s="173"/>
      <c r="H1562" s="173"/>
      <c r="I1562" s="174"/>
      <c r="K1562" s="177"/>
      <c r="L1562" s="177"/>
      <c r="Q1562" s="179"/>
      <c r="R1562" s="217"/>
      <c r="S1562" s="218"/>
      <c r="T1562" s="180"/>
      <c r="U1562" s="181"/>
      <c r="V1562" s="181"/>
      <c r="W1562" s="181"/>
      <c r="X1562" s="181"/>
      <c r="Y1562" s="3"/>
      <c r="Z1562" s="3"/>
    </row>
    <row r="1563" spans="1:26" ht="23.25" customHeight="1">
      <c r="A1563" s="281"/>
      <c r="B1563" s="281"/>
      <c r="C1563" s="281"/>
      <c r="F1563" s="173"/>
      <c r="G1563" s="173"/>
      <c r="H1563" s="173"/>
      <c r="I1563" s="174"/>
      <c r="K1563" s="177"/>
      <c r="L1563" s="177"/>
      <c r="Q1563" s="179"/>
      <c r="R1563" s="217"/>
      <c r="S1563" s="218"/>
      <c r="T1563" s="180"/>
      <c r="U1563" s="181"/>
      <c r="V1563" s="181"/>
      <c r="W1563" s="181"/>
      <c r="X1563" s="181"/>
      <c r="Y1563" s="3"/>
      <c r="Z1563" s="3"/>
    </row>
    <row r="1564" spans="1:26" ht="23.25" customHeight="1">
      <c r="A1564" s="281"/>
      <c r="B1564" s="281"/>
      <c r="C1564" s="281"/>
      <c r="F1564" s="173"/>
      <c r="G1564" s="173"/>
      <c r="H1564" s="173"/>
      <c r="I1564" s="174"/>
      <c r="K1564" s="177"/>
      <c r="L1564" s="177"/>
      <c r="Q1564" s="179"/>
      <c r="R1564" s="217"/>
      <c r="S1564" s="218"/>
      <c r="T1564" s="180"/>
      <c r="U1564" s="181"/>
      <c r="V1564" s="181"/>
      <c r="W1564" s="181"/>
      <c r="X1564" s="181"/>
      <c r="Y1564" s="3"/>
      <c r="Z1564" s="3"/>
    </row>
    <row r="1565" spans="1:26" ht="23.25" customHeight="1">
      <c r="A1565" s="281"/>
      <c r="B1565" s="281"/>
      <c r="C1565" s="281"/>
      <c r="F1565" s="173"/>
      <c r="G1565" s="173"/>
      <c r="H1565" s="173"/>
      <c r="I1565" s="174"/>
      <c r="K1565" s="177"/>
      <c r="L1565" s="177"/>
      <c r="Q1565" s="179"/>
      <c r="R1565" s="217"/>
      <c r="S1565" s="218"/>
      <c r="T1565" s="180"/>
      <c r="U1565" s="181"/>
      <c r="V1565" s="181"/>
      <c r="W1565" s="181"/>
      <c r="X1565" s="181"/>
      <c r="Y1565" s="3"/>
      <c r="Z1565" s="3"/>
    </row>
    <row r="1566" spans="1:26" ht="23.25" customHeight="1">
      <c r="A1566" s="281"/>
      <c r="B1566" s="281"/>
      <c r="C1566" s="281"/>
      <c r="F1566" s="173"/>
      <c r="G1566" s="173"/>
      <c r="H1566" s="173"/>
      <c r="I1566" s="174"/>
      <c r="K1566" s="177"/>
      <c r="L1566" s="177"/>
      <c r="Q1566" s="179"/>
      <c r="R1566" s="217"/>
      <c r="S1566" s="218"/>
      <c r="T1566" s="180"/>
      <c r="U1566" s="181"/>
      <c r="V1566" s="181"/>
      <c r="W1566" s="181"/>
      <c r="X1566" s="181"/>
      <c r="Y1566" s="3"/>
      <c r="Z1566" s="3"/>
    </row>
    <row r="1567" spans="1:26" ht="23.25" customHeight="1">
      <c r="A1567" s="281"/>
      <c r="B1567" s="281"/>
      <c r="C1567" s="281"/>
      <c r="F1567" s="173"/>
      <c r="G1567" s="173"/>
      <c r="H1567" s="173"/>
      <c r="I1567" s="174"/>
      <c r="K1567" s="177"/>
      <c r="L1567" s="177"/>
      <c r="Q1567" s="179"/>
      <c r="R1567" s="217"/>
      <c r="S1567" s="218"/>
      <c r="T1567" s="180"/>
      <c r="U1567" s="181"/>
      <c r="V1567" s="181"/>
      <c r="W1567" s="181"/>
      <c r="X1567" s="181"/>
      <c r="Y1567" s="3"/>
      <c r="Z1567" s="3"/>
    </row>
    <row r="1568" spans="1:26" ht="23.25" customHeight="1">
      <c r="A1568" s="281"/>
      <c r="B1568" s="281"/>
      <c r="C1568" s="281"/>
      <c r="F1568" s="173"/>
      <c r="G1568" s="173"/>
      <c r="H1568" s="173"/>
      <c r="I1568" s="174"/>
      <c r="K1568" s="177"/>
      <c r="L1568" s="177"/>
      <c r="Q1568" s="179"/>
      <c r="R1568" s="217"/>
      <c r="S1568" s="218"/>
      <c r="T1568" s="180"/>
      <c r="U1568" s="181"/>
      <c r="V1568" s="181"/>
      <c r="W1568" s="181"/>
      <c r="X1568" s="181"/>
      <c r="Y1568" s="3"/>
      <c r="Z1568" s="3"/>
    </row>
    <row r="1569" spans="1:26" ht="23.25" customHeight="1">
      <c r="A1569" s="281"/>
      <c r="B1569" s="281"/>
      <c r="C1569" s="281"/>
      <c r="F1569" s="173"/>
      <c r="G1569" s="173"/>
      <c r="H1569" s="173"/>
      <c r="I1569" s="174"/>
      <c r="K1569" s="177"/>
      <c r="L1569" s="177"/>
      <c r="Q1569" s="179"/>
      <c r="R1569" s="217"/>
      <c r="S1569" s="218"/>
      <c r="T1569" s="180"/>
      <c r="U1569" s="181"/>
      <c r="V1569" s="181"/>
      <c r="W1569" s="181"/>
      <c r="X1569" s="181"/>
      <c r="Y1569" s="3"/>
      <c r="Z1569" s="3"/>
    </row>
    <row r="1570" spans="1:26" ht="23.25" customHeight="1">
      <c r="A1570" s="281"/>
      <c r="B1570" s="281"/>
      <c r="C1570" s="281"/>
      <c r="F1570" s="173"/>
      <c r="G1570" s="173"/>
      <c r="H1570" s="173"/>
      <c r="I1570" s="174"/>
      <c r="K1570" s="177"/>
      <c r="L1570" s="177"/>
      <c r="Q1570" s="179"/>
      <c r="R1570" s="217"/>
      <c r="S1570" s="218"/>
      <c r="T1570" s="180"/>
      <c r="U1570" s="181"/>
      <c r="V1570" s="181"/>
      <c r="W1570" s="181"/>
      <c r="X1570" s="181"/>
      <c r="Y1570" s="3"/>
      <c r="Z1570" s="3"/>
    </row>
    <row r="1571" spans="1:26" ht="23.25" customHeight="1">
      <c r="A1571" s="281"/>
      <c r="B1571" s="281"/>
      <c r="C1571" s="281"/>
      <c r="F1571" s="173"/>
      <c r="G1571" s="173"/>
      <c r="H1571" s="173"/>
      <c r="I1571" s="174"/>
      <c r="K1571" s="177"/>
      <c r="L1571" s="177"/>
      <c r="Q1571" s="179"/>
      <c r="R1571" s="217"/>
      <c r="S1571" s="218"/>
      <c r="T1571" s="180"/>
      <c r="U1571" s="181"/>
      <c r="V1571" s="181"/>
      <c r="W1571" s="181"/>
      <c r="X1571" s="181"/>
      <c r="Y1571" s="3"/>
      <c r="Z1571" s="3"/>
    </row>
    <row r="1572" spans="1:26" ht="23.25" customHeight="1">
      <c r="A1572" s="281"/>
      <c r="B1572" s="281"/>
      <c r="C1572" s="281"/>
      <c r="F1572" s="173"/>
      <c r="G1572" s="173"/>
      <c r="H1572" s="173"/>
      <c r="I1572" s="174"/>
      <c r="K1572" s="177"/>
      <c r="L1572" s="177"/>
      <c r="Q1572" s="179"/>
      <c r="R1572" s="217"/>
      <c r="S1572" s="218"/>
      <c r="T1572" s="180"/>
      <c r="U1572" s="181"/>
      <c r="V1572" s="181"/>
      <c r="W1572" s="181"/>
      <c r="X1572" s="181"/>
      <c r="Y1572" s="3"/>
      <c r="Z1572" s="3"/>
    </row>
    <row r="1573" spans="1:26" ht="23.25" customHeight="1">
      <c r="A1573" s="281"/>
      <c r="B1573" s="281"/>
      <c r="C1573" s="281"/>
      <c r="F1573" s="173"/>
      <c r="G1573" s="173"/>
      <c r="H1573" s="173"/>
      <c r="I1573" s="174"/>
      <c r="K1573" s="177"/>
      <c r="L1573" s="177"/>
      <c r="Q1573" s="179"/>
      <c r="R1573" s="217"/>
      <c r="S1573" s="218"/>
      <c r="T1573" s="180"/>
      <c r="U1573" s="181"/>
      <c r="V1573" s="181"/>
      <c r="W1573" s="181"/>
      <c r="X1573" s="181"/>
      <c r="Y1573" s="3"/>
      <c r="Z1573" s="3"/>
    </row>
    <row r="1574" spans="1:26" ht="23.25" customHeight="1">
      <c r="A1574" s="281"/>
      <c r="B1574" s="281"/>
      <c r="C1574" s="281"/>
      <c r="F1574" s="173"/>
      <c r="G1574" s="173"/>
      <c r="H1574" s="173"/>
      <c r="I1574" s="174"/>
      <c r="K1574" s="177"/>
      <c r="L1574" s="177"/>
      <c r="Q1574" s="179"/>
      <c r="R1574" s="217"/>
      <c r="S1574" s="218"/>
      <c r="T1574" s="180"/>
      <c r="U1574" s="181"/>
      <c r="V1574" s="181"/>
      <c r="W1574" s="181"/>
      <c r="X1574" s="181"/>
      <c r="Y1574" s="3"/>
      <c r="Z1574" s="3"/>
    </row>
    <row r="1575" spans="1:26" ht="23.25" customHeight="1">
      <c r="A1575" s="281"/>
      <c r="B1575" s="281"/>
      <c r="C1575" s="281"/>
      <c r="F1575" s="173"/>
      <c r="G1575" s="173"/>
      <c r="H1575" s="173"/>
      <c r="I1575" s="174"/>
      <c r="K1575" s="177"/>
      <c r="L1575" s="177"/>
      <c r="Q1575" s="179"/>
      <c r="R1575" s="217"/>
      <c r="S1575" s="218"/>
      <c r="T1575" s="180"/>
      <c r="U1575" s="181"/>
      <c r="V1575" s="181"/>
      <c r="W1575" s="181"/>
      <c r="X1575" s="181"/>
      <c r="Y1575" s="3"/>
      <c r="Z1575" s="3"/>
    </row>
    <row r="1576" spans="1:26" ht="23.25" customHeight="1">
      <c r="A1576" s="281"/>
      <c r="B1576" s="281"/>
      <c r="C1576" s="281"/>
      <c r="F1576" s="173"/>
      <c r="G1576" s="173"/>
      <c r="H1576" s="173"/>
      <c r="I1576" s="174"/>
      <c r="K1576" s="177"/>
      <c r="L1576" s="177"/>
      <c r="Q1576" s="179"/>
      <c r="R1576" s="217"/>
      <c r="S1576" s="218"/>
      <c r="T1576" s="180"/>
      <c r="U1576" s="181"/>
      <c r="V1576" s="181"/>
      <c r="W1576" s="181"/>
      <c r="X1576" s="181"/>
      <c r="Y1576" s="3"/>
      <c r="Z1576" s="3"/>
    </row>
    <row r="1577" spans="1:26" ht="23.25" customHeight="1">
      <c r="A1577" s="281"/>
      <c r="B1577" s="281"/>
      <c r="C1577" s="281"/>
      <c r="F1577" s="173"/>
      <c r="G1577" s="173"/>
      <c r="H1577" s="173"/>
      <c r="I1577" s="174"/>
      <c r="K1577" s="177"/>
      <c r="L1577" s="177"/>
      <c r="Q1577" s="179"/>
      <c r="R1577" s="217"/>
      <c r="S1577" s="218"/>
      <c r="T1577" s="180"/>
      <c r="U1577" s="181"/>
      <c r="V1577" s="181"/>
      <c r="W1577" s="181"/>
      <c r="X1577" s="181"/>
      <c r="Y1577" s="3"/>
      <c r="Z1577" s="3"/>
    </row>
    <row r="1578" spans="1:26" ht="23.25" customHeight="1">
      <c r="A1578" s="281"/>
      <c r="B1578" s="281"/>
      <c r="C1578" s="281"/>
      <c r="F1578" s="173"/>
      <c r="G1578" s="173"/>
      <c r="H1578" s="173"/>
      <c r="I1578" s="174"/>
      <c r="K1578" s="177"/>
      <c r="L1578" s="177"/>
      <c r="Q1578" s="179"/>
      <c r="R1578" s="217"/>
      <c r="S1578" s="218"/>
      <c r="T1578" s="180"/>
      <c r="U1578" s="181"/>
      <c r="V1578" s="181"/>
      <c r="W1578" s="181"/>
      <c r="X1578" s="181"/>
      <c r="Y1578" s="3"/>
      <c r="Z1578" s="3"/>
    </row>
    <row r="1579" spans="1:26" ht="23.25" customHeight="1">
      <c r="A1579" s="281"/>
      <c r="B1579" s="281"/>
      <c r="C1579" s="281"/>
      <c r="F1579" s="173"/>
      <c r="G1579" s="173"/>
      <c r="H1579" s="173"/>
      <c r="I1579" s="174"/>
      <c r="K1579" s="177"/>
      <c r="L1579" s="177"/>
      <c r="Q1579" s="179"/>
      <c r="R1579" s="217"/>
      <c r="S1579" s="218"/>
      <c r="T1579" s="180"/>
      <c r="U1579" s="181"/>
      <c r="V1579" s="181"/>
      <c r="W1579" s="181"/>
      <c r="X1579" s="181"/>
      <c r="Y1579" s="3"/>
      <c r="Z1579" s="3"/>
    </row>
    <row r="1580" spans="1:26" ht="23.25" customHeight="1">
      <c r="A1580" s="281"/>
      <c r="B1580" s="281"/>
      <c r="C1580" s="281"/>
      <c r="F1580" s="173"/>
      <c r="G1580" s="173"/>
      <c r="H1580" s="173"/>
      <c r="I1580" s="174"/>
      <c r="K1580" s="177"/>
      <c r="L1580" s="177"/>
      <c r="Q1580" s="179"/>
      <c r="R1580" s="217"/>
      <c r="S1580" s="218"/>
      <c r="T1580" s="180"/>
      <c r="U1580" s="181"/>
      <c r="V1580" s="181"/>
      <c r="W1580" s="181"/>
      <c r="X1580" s="181"/>
      <c r="Y1580" s="3"/>
      <c r="Z1580" s="3"/>
    </row>
    <row r="1581" spans="1:26" ht="23.25" customHeight="1">
      <c r="A1581" s="281"/>
      <c r="B1581" s="281"/>
      <c r="C1581" s="281"/>
      <c r="F1581" s="173"/>
      <c r="G1581" s="173"/>
      <c r="H1581" s="173"/>
      <c r="I1581" s="174"/>
      <c r="K1581" s="177"/>
      <c r="L1581" s="177"/>
      <c r="Q1581" s="179"/>
      <c r="R1581" s="217"/>
      <c r="S1581" s="218"/>
      <c r="T1581" s="180"/>
      <c r="U1581" s="181"/>
      <c r="V1581" s="181"/>
      <c r="W1581" s="181"/>
      <c r="X1581" s="181"/>
      <c r="Y1581" s="3"/>
      <c r="Z1581" s="3"/>
    </row>
    <row r="1582" spans="1:26" ht="23.25" customHeight="1">
      <c r="A1582" s="281"/>
      <c r="B1582" s="281"/>
      <c r="C1582" s="281"/>
      <c r="F1582" s="173"/>
      <c r="G1582" s="173"/>
      <c r="H1582" s="173"/>
      <c r="I1582" s="174"/>
      <c r="K1582" s="177"/>
      <c r="L1582" s="177"/>
      <c r="Q1582" s="179"/>
      <c r="R1582" s="217"/>
      <c r="S1582" s="218"/>
      <c r="T1582" s="180"/>
      <c r="U1582" s="181"/>
      <c r="V1582" s="181"/>
      <c r="W1582" s="181"/>
      <c r="X1582" s="181"/>
      <c r="Y1582" s="3"/>
      <c r="Z1582" s="3"/>
    </row>
    <row r="1583" spans="1:26" ht="23.25" customHeight="1">
      <c r="A1583" s="281"/>
      <c r="B1583" s="281"/>
      <c r="C1583" s="281"/>
      <c r="F1583" s="173"/>
      <c r="G1583" s="173"/>
      <c r="H1583" s="173"/>
      <c r="I1583" s="174"/>
      <c r="K1583" s="177"/>
      <c r="L1583" s="177"/>
      <c r="Q1583" s="179"/>
      <c r="R1583" s="217"/>
      <c r="S1583" s="218"/>
      <c r="T1583" s="180"/>
      <c r="U1583" s="181"/>
      <c r="V1583" s="181"/>
      <c r="W1583" s="181"/>
      <c r="X1583" s="181"/>
      <c r="Y1583" s="3"/>
      <c r="Z1583" s="3"/>
    </row>
    <row r="1584" spans="1:26" ht="23.25" customHeight="1">
      <c r="A1584" s="281"/>
      <c r="B1584" s="281"/>
      <c r="C1584" s="281"/>
      <c r="F1584" s="173"/>
      <c r="G1584" s="173"/>
      <c r="H1584" s="173"/>
      <c r="I1584" s="174"/>
      <c r="K1584" s="177"/>
      <c r="L1584" s="177"/>
      <c r="Q1584" s="179"/>
      <c r="R1584" s="217"/>
      <c r="S1584" s="218"/>
      <c r="T1584" s="180"/>
      <c r="U1584" s="181"/>
      <c r="V1584" s="181"/>
      <c r="W1584" s="181"/>
      <c r="X1584" s="181"/>
      <c r="Y1584" s="3"/>
      <c r="Z1584" s="3"/>
    </row>
    <row r="1585" spans="1:26" ht="23.25" customHeight="1">
      <c r="A1585" s="281"/>
      <c r="B1585" s="281"/>
      <c r="C1585" s="281"/>
      <c r="F1585" s="173"/>
      <c r="G1585" s="173"/>
      <c r="H1585" s="173"/>
      <c r="I1585" s="174"/>
      <c r="K1585" s="177"/>
      <c r="L1585" s="177"/>
      <c r="Q1585" s="179"/>
      <c r="R1585" s="217"/>
      <c r="S1585" s="218"/>
      <c r="T1585" s="180"/>
      <c r="U1585" s="181"/>
      <c r="V1585" s="181"/>
      <c r="W1585" s="181"/>
      <c r="X1585" s="181"/>
      <c r="Y1585" s="3"/>
      <c r="Z1585" s="3"/>
    </row>
    <row r="1586" spans="1:26" ht="23.25" customHeight="1">
      <c r="A1586" s="281"/>
      <c r="B1586" s="281"/>
      <c r="C1586" s="281"/>
      <c r="F1586" s="173"/>
      <c r="G1586" s="173"/>
      <c r="H1586" s="173"/>
      <c r="I1586" s="174"/>
      <c r="K1586" s="177"/>
      <c r="L1586" s="177"/>
      <c r="Q1586" s="179"/>
      <c r="R1586" s="217"/>
      <c r="S1586" s="218"/>
      <c r="T1586" s="180"/>
      <c r="U1586" s="181"/>
      <c r="V1586" s="181"/>
      <c r="W1586" s="181"/>
      <c r="X1586" s="181"/>
      <c r="Y1586" s="3"/>
      <c r="Z1586" s="3"/>
    </row>
    <row r="1587" spans="1:26" ht="23.25" customHeight="1">
      <c r="A1587" s="281"/>
      <c r="B1587" s="281"/>
      <c r="C1587" s="281"/>
      <c r="F1587" s="173"/>
      <c r="G1587" s="173"/>
      <c r="H1587" s="173"/>
      <c r="I1587" s="174"/>
      <c r="K1587" s="177"/>
      <c r="L1587" s="177"/>
      <c r="Q1587" s="179"/>
      <c r="R1587" s="217"/>
      <c r="S1587" s="218"/>
      <c r="T1587" s="180"/>
      <c r="U1587" s="181"/>
      <c r="V1587" s="181"/>
      <c r="W1587" s="181"/>
      <c r="X1587" s="181"/>
      <c r="Y1587" s="3"/>
      <c r="Z1587" s="3"/>
    </row>
    <row r="1588" spans="1:26" ht="23.25" customHeight="1">
      <c r="A1588" s="281"/>
      <c r="B1588" s="281"/>
      <c r="C1588" s="281"/>
      <c r="F1588" s="173"/>
      <c r="G1588" s="173"/>
      <c r="H1588" s="173"/>
      <c r="I1588" s="174"/>
      <c r="K1588" s="177"/>
      <c r="L1588" s="177"/>
      <c r="Q1588" s="179"/>
      <c r="R1588" s="217"/>
      <c r="S1588" s="218"/>
      <c r="T1588" s="180"/>
      <c r="U1588" s="181"/>
      <c r="V1588" s="181"/>
      <c r="W1588" s="181"/>
      <c r="X1588" s="181"/>
      <c r="Y1588" s="3"/>
      <c r="Z1588" s="3"/>
    </row>
    <row r="1589" spans="1:26" ht="23.25" customHeight="1">
      <c r="A1589" s="281"/>
      <c r="B1589" s="281"/>
      <c r="C1589" s="281"/>
      <c r="F1589" s="173"/>
      <c r="G1589" s="173"/>
      <c r="H1589" s="173"/>
      <c r="I1589" s="174"/>
      <c r="K1589" s="177"/>
      <c r="L1589" s="177"/>
      <c r="Q1589" s="179"/>
      <c r="R1589" s="217"/>
      <c r="S1589" s="218"/>
      <c r="T1589" s="180"/>
      <c r="U1589" s="181"/>
      <c r="V1589" s="181"/>
      <c r="W1589" s="181"/>
      <c r="X1589" s="181"/>
      <c r="Y1589" s="3"/>
      <c r="Z1589" s="3"/>
    </row>
    <row r="1590" spans="1:26" ht="23.25" customHeight="1">
      <c r="A1590" s="281"/>
      <c r="B1590" s="281"/>
      <c r="C1590" s="281"/>
      <c r="F1590" s="173"/>
      <c r="G1590" s="173"/>
      <c r="H1590" s="173"/>
      <c r="I1590" s="174"/>
      <c r="K1590" s="177"/>
      <c r="L1590" s="177"/>
      <c r="Q1590" s="179"/>
      <c r="R1590" s="217"/>
      <c r="S1590" s="218"/>
      <c r="T1590" s="180"/>
      <c r="U1590" s="181"/>
      <c r="V1590" s="181"/>
      <c r="W1590" s="181"/>
      <c r="X1590" s="181"/>
      <c r="Y1590" s="3"/>
      <c r="Z1590" s="3"/>
    </row>
    <row r="1591" spans="1:26" ht="23.25" customHeight="1">
      <c r="A1591" s="281"/>
      <c r="B1591" s="281"/>
      <c r="C1591" s="281"/>
      <c r="F1591" s="173"/>
      <c r="G1591" s="173"/>
      <c r="H1591" s="173"/>
      <c r="I1591" s="174"/>
      <c r="K1591" s="177"/>
      <c r="L1591" s="177"/>
      <c r="Q1591" s="179"/>
      <c r="R1591" s="217"/>
      <c r="S1591" s="218"/>
      <c r="T1591" s="180"/>
      <c r="U1591" s="181"/>
      <c r="V1591" s="181"/>
      <c r="W1591" s="181"/>
      <c r="X1591" s="181"/>
      <c r="Y1591" s="3"/>
      <c r="Z1591" s="3"/>
    </row>
    <row r="1592" spans="1:26" ht="23.25" customHeight="1">
      <c r="A1592" s="281"/>
      <c r="B1592" s="281"/>
      <c r="C1592" s="281"/>
      <c r="F1592" s="173"/>
      <c r="G1592" s="173"/>
      <c r="H1592" s="173"/>
      <c r="I1592" s="174"/>
      <c r="K1592" s="177"/>
      <c r="L1592" s="177"/>
      <c r="Q1592" s="179"/>
      <c r="R1592" s="217"/>
      <c r="S1592" s="218"/>
      <c r="T1592" s="180"/>
      <c r="U1592" s="181"/>
      <c r="V1592" s="181"/>
      <c r="W1592" s="181"/>
      <c r="X1592" s="181"/>
      <c r="Y1592" s="3"/>
      <c r="Z1592" s="3"/>
    </row>
    <row r="1593" spans="1:26" ht="23.25" customHeight="1">
      <c r="A1593" s="281"/>
      <c r="B1593" s="281"/>
      <c r="C1593" s="281"/>
      <c r="F1593" s="173"/>
      <c r="G1593" s="173"/>
      <c r="H1593" s="173"/>
      <c r="I1593" s="174"/>
      <c r="K1593" s="177"/>
      <c r="L1593" s="177"/>
      <c r="Q1593" s="179"/>
      <c r="R1593" s="217"/>
      <c r="S1593" s="218"/>
      <c r="T1593" s="180"/>
      <c r="U1593" s="181"/>
      <c r="V1593" s="181"/>
      <c r="W1593" s="181"/>
      <c r="X1593" s="181"/>
      <c r="Y1593" s="3"/>
      <c r="Z1593" s="3"/>
    </row>
    <row r="1594" spans="1:26" ht="23.25" customHeight="1">
      <c r="A1594" s="281"/>
      <c r="B1594" s="281"/>
      <c r="C1594" s="281"/>
      <c r="F1594" s="173"/>
      <c r="G1594" s="173"/>
      <c r="H1594" s="173"/>
      <c r="I1594" s="174"/>
      <c r="K1594" s="177"/>
      <c r="L1594" s="177"/>
      <c r="Q1594" s="179"/>
      <c r="R1594" s="217"/>
      <c r="S1594" s="218"/>
      <c r="T1594" s="180"/>
      <c r="U1594" s="181"/>
      <c r="V1594" s="181"/>
      <c r="W1594" s="181"/>
      <c r="X1594" s="181"/>
      <c r="Y1594" s="3"/>
      <c r="Z1594" s="3"/>
    </row>
    <row r="1595" spans="1:26" ht="23.25" customHeight="1">
      <c r="A1595" s="281"/>
      <c r="B1595" s="281"/>
      <c r="C1595" s="281"/>
      <c r="F1595" s="173"/>
      <c r="G1595" s="173"/>
      <c r="H1595" s="173"/>
      <c r="I1595" s="174"/>
      <c r="K1595" s="177"/>
      <c r="L1595" s="177"/>
      <c r="Q1595" s="179"/>
      <c r="R1595" s="217"/>
      <c r="S1595" s="218"/>
      <c r="T1595" s="180"/>
      <c r="U1595" s="181"/>
      <c r="V1595" s="181"/>
      <c r="W1595" s="181"/>
      <c r="X1595" s="181"/>
      <c r="Y1595" s="3"/>
      <c r="Z1595" s="3"/>
    </row>
    <row r="1596" spans="1:26" ht="23.25" customHeight="1">
      <c r="A1596" s="281"/>
      <c r="B1596" s="281"/>
      <c r="C1596" s="281"/>
      <c r="F1596" s="173"/>
      <c r="G1596" s="173"/>
      <c r="H1596" s="173"/>
      <c r="I1596" s="174"/>
      <c r="K1596" s="177"/>
      <c r="L1596" s="177"/>
      <c r="Q1596" s="179"/>
      <c r="R1596" s="217"/>
      <c r="S1596" s="218"/>
      <c r="T1596" s="180"/>
      <c r="U1596" s="181"/>
      <c r="V1596" s="181"/>
      <c r="W1596" s="181"/>
      <c r="X1596" s="181"/>
      <c r="Y1596" s="3"/>
      <c r="Z1596" s="3"/>
    </row>
    <row r="1597" spans="1:26" ht="23.25" customHeight="1">
      <c r="A1597" s="281"/>
      <c r="B1597" s="281"/>
      <c r="C1597" s="281"/>
      <c r="F1597" s="173"/>
      <c r="G1597" s="173"/>
      <c r="H1597" s="173"/>
      <c r="I1597" s="174"/>
      <c r="K1597" s="177"/>
      <c r="L1597" s="177"/>
      <c r="Q1597" s="179"/>
      <c r="R1597" s="217"/>
      <c r="S1597" s="218"/>
      <c r="T1597" s="180"/>
      <c r="U1597" s="181"/>
      <c r="V1597" s="181"/>
      <c r="W1597" s="181"/>
      <c r="X1597" s="181"/>
      <c r="Y1597" s="3"/>
      <c r="Z1597" s="3"/>
    </row>
    <row r="1598" spans="1:26" ht="23.25" customHeight="1">
      <c r="A1598" s="281"/>
      <c r="B1598" s="281"/>
      <c r="C1598" s="281"/>
      <c r="F1598" s="173"/>
      <c r="G1598" s="173"/>
      <c r="H1598" s="173"/>
      <c r="I1598" s="174"/>
      <c r="K1598" s="177"/>
      <c r="L1598" s="177"/>
      <c r="Q1598" s="179"/>
      <c r="R1598" s="217"/>
      <c r="S1598" s="218"/>
      <c r="T1598" s="180"/>
      <c r="U1598" s="181"/>
      <c r="V1598" s="181"/>
      <c r="W1598" s="181"/>
      <c r="X1598" s="181"/>
      <c r="Y1598" s="3"/>
      <c r="Z1598" s="3"/>
    </row>
    <row r="1599" spans="1:26" ht="23.25" customHeight="1">
      <c r="A1599" s="281"/>
      <c r="B1599" s="281"/>
      <c r="C1599" s="281"/>
      <c r="F1599" s="173"/>
      <c r="G1599" s="173"/>
      <c r="H1599" s="173"/>
      <c r="I1599" s="174"/>
      <c r="K1599" s="177"/>
      <c r="L1599" s="177"/>
      <c r="Q1599" s="179"/>
      <c r="R1599" s="217"/>
      <c r="S1599" s="218"/>
      <c r="T1599" s="180"/>
      <c r="U1599" s="181"/>
      <c r="V1599" s="181"/>
      <c r="W1599" s="181"/>
      <c r="X1599" s="181"/>
      <c r="Y1599" s="3"/>
      <c r="Z1599" s="3"/>
    </row>
    <row r="1600" spans="1:26" ht="23.25" customHeight="1">
      <c r="A1600" s="281"/>
      <c r="B1600" s="281"/>
      <c r="C1600" s="281"/>
      <c r="F1600" s="173"/>
      <c r="G1600" s="173"/>
      <c r="H1600" s="173"/>
      <c r="I1600" s="174"/>
      <c r="K1600" s="177"/>
      <c r="L1600" s="177"/>
      <c r="Q1600" s="179"/>
      <c r="R1600" s="217"/>
      <c r="S1600" s="218"/>
      <c r="T1600" s="180"/>
      <c r="U1600" s="181"/>
      <c r="V1600" s="181"/>
      <c r="W1600" s="181"/>
      <c r="X1600" s="181"/>
      <c r="Y1600" s="3"/>
      <c r="Z1600" s="3"/>
    </row>
    <row r="1601" spans="1:26" ht="23.25" customHeight="1">
      <c r="A1601" s="281"/>
      <c r="B1601" s="281"/>
      <c r="C1601" s="281"/>
      <c r="F1601" s="173"/>
      <c r="G1601" s="173"/>
      <c r="H1601" s="173"/>
      <c r="I1601" s="174"/>
      <c r="K1601" s="177"/>
      <c r="L1601" s="177"/>
      <c r="Q1601" s="179"/>
      <c r="R1601" s="217"/>
      <c r="S1601" s="218"/>
      <c r="T1601" s="180"/>
      <c r="U1601" s="181"/>
      <c r="V1601" s="181"/>
      <c r="W1601" s="181"/>
      <c r="X1601" s="181"/>
      <c r="Y1601" s="3"/>
      <c r="Z1601" s="3"/>
    </row>
    <row r="1602" spans="1:26" ht="23.25" customHeight="1">
      <c r="A1602" s="281"/>
      <c r="B1602" s="281"/>
      <c r="C1602" s="281"/>
      <c r="F1602" s="173"/>
      <c r="G1602" s="173"/>
      <c r="H1602" s="173"/>
      <c r="I1602" s="174"/>
      <c r="K1602" s="177"/>
      <c r="L1602" s="177"/>
      <c r="Q1602" s="179"/>
      <c r="R1602" s="217"/>
      <c r="S1602" s="218"/>
      <c r="T1602" s="180"/>
      <c r="U1602" s="181"/>
      <c r="V1602" s="181"/>
      <c r="W1602" s="181"/>
      <c r="X1602" s="181"/>
      <c r="Y1602" s="3"/>
      <c r="Z1602" s="3"/>
    </row>
    <row r="1603" spans="1:26" ht="23.25" customHeight="1">
      <c r="A1603" s="281"/>
      <c r="B1603" s="281"/>
      <c r="C1603" s="281"/>
      <c r="F1603" s="173"/>
      <c r="G1603" s="173"/>
      <c r="H1603" s="173"/>
      <c r="I1603" s="174"/>
      <c r="K1603" s="177"/>
      <c r="L1603" s="177"/>
      <c r="Q1603" s="179"/>
      <c r="R1603" s="217"/>
      <c r="S1603" s="218"/>
      <c r="T1603" s="180"/>
      <c r="U1603" s="181"/>
      <c r="V1603" s="181"/>
      <c r="W1603" s="181"/>
      <c r="X1603" s="181"/>
      <c r="Y1603" s="3"/>
      <c r="Z1603" s="3"/>
    </row>
    <row r="1604" spans="1:26" ht="23.25" customHeight="1">
      <c r="A1604" s="281"/>
      <c r="B1604" s="281"/>
      <c r="C1604" s="281"/>
      <c r="F1604" s="173"/>
      <c r="G1604" s="173"/>
      <c r="H1604" s="173"/>
      <c r="I1604" s="174"/>
      <c r="K1604" s="177"/>
      <c r="L1604" s="177"/>
      <c r="Q1604" s="179"/>
      <c r="R1604" s="217"/>
      <c r="S1604" s="218"/>
      <c r="T1604" s="180"/>
      <c r="U1604" s="181"/>
      <c r="V1604" s="181"/>
      <c r="W1604" s="181"/>
      <c r="X1604" s="181"/>
      <c r="Y1604" s="3"/>
      <c r="Z1604" s="3"/>
    </row>
    <row r="1605" spans="1:26" ht="23.25" customHeight="1">
      <c r="A1605" s="281"/>
      <c r="B1605" s="281"/>
      <c r="C1605" s="281"/>
      <c r="F1605" s="173"/>
      <c r="G1605" s="173"/>
      <c r="H1605" s="173"/>
      <c r="I1605" s="174"/>
      <c r="K1605" s="177"/>
      <c r="L1605" s="177"/>
      <c r="Q1605" s="179"/>
      <c r="R1605" s="217"/>
      <c r="S1605" s="218"/>
      <c r="T1605" s="180"/>
      <c r="U1605" s="181"/>
      <c r="V1605" s="181"/>
      <c r="W1605" s="181"/>
      <c r="X1605" s="181"/>
      <c r="Y1605" s="3"/>
      <c r="Z1605" s="3"/>
    </row>
    <row r="1606" spans="1:26" ht="23.25" customHeight="1">
      <c r="A1606" s="281"/>
      <c r="B1606" s="281"/>
      <c r="C1606" s="281"/>
      <c r="F1606" s="173"/>
      <c r="G1606" s="173"/>
      <c r="H1606" s="173"/>
      <c r="I1606" s="174"/>
      <c r="K1606" s="177"/>
      <c r="L1606" s="177"/>
      <c r="Q1606" s="179"/>
      <c r="R1606" s="217"/>
      <c r="S1606" s="218"/>
      <c r="T1606" s="180"/>
      <c r="U1606" s="181"/>
      <c r="V1606" s="181"/>
      <c r="W1606" s="181"/>
      <c r="X1606" s="181"/>
      <c r="Y1606" s="3"/>
      <c r="Z1606" s="3"/>
    </row>
    <row r="1607" spans="1:26" ht="23.25" customHeight="1">
      <c r="A1607" s="281"/>
      <c r="B1607" s="281"/>
      <c r="C1607" s="281"/>
      <c r="F1607" s="173"/>
      <c r="G1607" s="173"/>
      <c r="H1607" s="173"/>
      <c r="I1607" s="174"/>
      <c r="K1607" s="177"/>
      <c r="L1607" s="177"/>
      <c r="Q1607" s="179"/>
      <c r="R1607" s="217"/>
      <c r="S1607" s="218"/>
      <c r="T1607" s="180"/>
      <c r="U1607" s="181"/>
      <c r="V1607" s="181"/>
      <c r="W1607" s="181"/>
      <c r="X1607" s="181"/>
      <c r="Y1607" s="3"/>
      <c r="Z1607" s="3"/>
    </row>
    <row r="1608" spans="1:26" ht="23.25" customHeight="1">
      <c r="A1608" s="281"/>
      <c r="B1608" s="281"/>
      <c r="C1608" s="281"/>
      <c r="F1608" s="173"/>
      <c r="G1608" s="173"/>
      <c r="H1608" s="173"/>
      <c r="I1608" s="174"/>
      <c r="K1608" s="177"/>
      <c r="L1608" s="177"/>
      <c r="Q1608" s="179"/>
      <c r="R1608" s="217"/>
      <c r="S1608" s="218"/>
      <c r="T1608" s="180"/>
      <c r="U1608" s="181"/>
      <c r="V1608" s="181"/>
      <c r="W1608" s="181"/>
      <c r="X1608" s="181"/>
      <c r="Y1608" s="3"/>
      <c r="Z1608" s="3"/>
    </row>
    <row r="1609" spans="1:26" ht="23.25" customHeight="1">
      <c r="A1609" s="281"/>
      <c r="B1609" s="281"/>
      <c r="C1609" s="281"/>
      <c r="F1609" s="173"/>
      <c r="G1609" s="173"/>
      <c r="H1609" s="173"/>
      <c r="I1609" s="174"/>
      <c r="K1609" s="177"/>
      <c r="L1609" s="177"/>
      <c r="Q1609" s="179"/>
      <c r="R1609" s="217"/>
      <c r="S1609" s="218"/>
      <c r="T1609" s="180"/>
      <c r="U1609" s="181"/>
      <c r="V1609" s="181"/>
      <c r="W1609" s="181"/>
      <c r="X1609" s="181"/>
      <c r="Y1609" s="3"/>
      <c r="Z1609" s="3"/>
    </row>
    <row r="1610" spans="1:26" ht="23.25" customHeight="1">
      <c r="A1610" s="281"/>
      <c r="B1610" s="281"/>
      <c r="C1610" s="281"/>
      <c r="F1610" s="173"/>
      <c r="G1610" s="173"/>
      <c r="H1610" s="173"/>
      <c r="I1610" s="174"/>
      <c r="K1610" s="177"/>
      <c r="L1610" s="177"/>
      <c r="Q1610" s="179"/>
      <c r="R1610" s="217"/>
      <c r="S1610" s="218"/>
      <c r="T1610" s="180"/>
      <c r="U1610" s="181"/>
      <c r="V1610" s="181"/>
      <c r="W1610" s="181"/>
      <c r="X1610" s="181"/>
      <c r="Y1610" s="3"/>
      <c r="Z1610" s="3"/>
    </row>
    <row r="1611" spans="1:26" ht="23.25" customHeight="1">
      <c r="A1611" s="281"/>
      <c r="B1611" s="281"/>
      <c r="C1611" s="281"/>
      <c r="F1611" s="173"/>
      <c r="G1611" s="173"/>
      <c r="H1611" s="173"/>
      <c r="I1611" s="174"/>
      <c r="K1611" s="177"/>
      <c r="L1611" s="177"/>
      <c r="Q1611" s="179"/>
      <c r="R1611" s="217"/>
      <c r="S1611" s="218"/>
      <c r="T1611" s="180"/>
      <c r="U1611" s="181"/>
      <c r="V1611" s="181"/>
      <c r="W1611" s="181"/>
      <c r="X1611" s="181"/>
      <c r="Y1611" s="3"/>
      <c r="Z1611" s="3"/>
    </row>
    <row r="1612" spans="1:26" ht="23.25" customHeight="1">
      <c r="A1612" s="281"/>
      <c r="B1612" s="281"/>
      <c r="C1612" s="281"/>
      <c r="F1612" s="173"/>
      <c r="G1612" s="173"/>
      <c r="H1612" s="173"/>
      <c r="I1612" s="174"/>
      <c r="K1612" s="177"/>
      <c r="L1612" s="177"/>
      <c r="Q1612" s="179"/>
      <c r="R1612" s="217"/>
      <c r="S1612" s="218"/>
      <c r="T1612" s="180"/>
      <c r="U1612" s="181"/>
      <c r="V1612" s="181"/>
      <c r="W1612" s="181"/>
      <c r="X1612" s="181"/>
      <c r="Y1612" s="3"/>
      <c r="Z1612" s="3"/>
    </row>
    <row r="1613" spans="1:26" ht="23.25" customHeight="1">
      <c r="A1613" s="281"/>
      <c r="B1613" s="281"/>
      <c r="C1613" s="281"/>
      <c r="F1613" s="173"/>
      <c r="G1613" s="173"/>
      <c r="H1613" s="173"/>
      <c r="I1613" s="174"/>
      <c r="K1613" s="177"/>
      <c r="L1613" s="177"/>
      <c r="Q1613" s="179"/>
      <c r="R1613" s="217"/>
      <c r="S1613" s="218"/>
      <c r="T1613" s="180"/>
      <c r="U1613" s="181"/>
      <c r="V1613" s="181"/>
      <c r="W1613" s="181"/>
      <c r="X1613" s="181"/>
      <c r="Y1613" s="3"/>
      <c r="Z1613" s="3"/>
    </row>
    <row r="1614" spans="1:26" ht="23.25" customHeight="1">
      <c r="A1614" s="281"/>
      <c r="B1614" s="281"/>
      <c r="C1614" s="281"/>
      <c r="F1614" s="173"/>
      <c r="G1614" s="173"/>
      <c r="H1614" s="173"/>
      <c r="I1614" s="174"/>
      <c r="K1614" s="177"/>
      <c r="L1614" s="177"/>
      <c r="Q1614" s="179"/>
      <c r="R1614" s="217"/>
      <c r="S1614" s="218"/>
      <c r="T1614" s="180"/>
      <c r="U1614" s="181"/>
      <c r="V1614" s="181"/>
      <c r="W1614" s="181"/>
      <c r="X1614" s="181"/>
      <c r="Y1614" s="3"/>
      <c r="Z1614" s="3"/>
    </row>
    <row r="1615" spans="1:26" ht="23.25" customHeight="1">
      <c r="A1615" s="281"/>
      <c r="B1615" s="281"/>
      <c r="C1615" s="281"/>
      <c r="F1615" s="173"/>
      <c r="G1615" s="173"/>
      <c r="H1615" s="173"/>
      <c r="I1615" s="174"/>
      <c r="K1615" s="177"/>
      <c r="L1615" s="177"/>
      <c r="Q1615" s="179"/>
      <c r="R1615" s="217"/>
      <c r="S1615" s="218"/>
      <c r="T1615" s="180"/>
      <c r="U1615" s="181"/>
      <c r="V1615" s="181"/>
      <c r="W1615" s="181"/>
      <c r="X1615" s="181"/>
      <c r="Y1615" s="3"/>
      <c r="Z1615" s="3"/>
    </row>
    <row r="1616" spans="1:26" ht="23.25" customHeight="1">
      <c r="A1616" s="281"/>
      <c r="B1616" s="281"/>
      <c r="C1616" s="281"/>
      <c r="F1616" s="173"/>
      <c r="G1616" s="173"/>
      <c r="H1616" s="173"/>
      <c r="I1616" s="174"/>
      <c r="K1616" s="177"/>
      <c r="L1616" s="177"/>
      <c r="Q1616" s="179"/>
      <c r="R1616" s="217"/>
      <c r="S1616" s="218"/>
      <c r="T1616" s="180"/>
      <c r="U1616" s="181"/>
      <c r="V1616" s="181"/>
      <c r="W1616" s="181"/>
      <c r="X1616" s="181"/>
      <c r="Y1616" s="3"/>
      <c r="Z1616" s="3"/>
    </row>
    <row r="1617" spans="1:26" ht="23.25" customHeight="1">
      <c r="A1617" s="281"/>
      <c r="B1617" s="281"/>
      <c r="C1617" s="281"/>
      <c r="F1617" s="173"/>
      <c r="G1617" s="173"/>
      <c r="H1617" s="173"/>
      <c r="I1617" s="174"/>
      <c r="K1617" s="177"/>
      <c r="L1617" s="177"/>
      <c r="Q1617" s="179"/>
      <c r="R1617" s="217"/>
      <c r="S1617" s="218"/>
      <c r="T1617" s="180"/>
      <c r="U1617" s="181"/>
      <c r="V1617" s="181"/>
      <c r="W1617" s="181"/>
      <c r="X1617" s="181"/>
      <c r="Y1617" s="3"/>
      <c r="Z1617" s="3"/>
    </row>
    <row r="1618" spans="1:26" ht="23.25" customHeight="1">
      <c r="A1618" s="281"/>
      <c r="B1618" s="281"/>
      <c r="C1618" s="281"/>
      <c r="F1618" s="173"/>
      <c r="G1618" s="173"/>
      <c r="H1618" s="173"/>
      <c r="I1618" s="174"/>
      <c r="K1618" s="177"/>
      <c r="L1618" s="177"/>
      <c r="Q1618" s="179"/>
      <c r="R1618" s="217"/>
      <c r="S1618" s="218"/>
      <c r="T1618" s="180"/>
      <c r="U1618" s="181"/>
      <c r="V1618" s="181"/>
      <c r="W1618" s="181"/>
      <c r="X1618" s="181"/>
      <c r="Y1618" s="3"/>
      <c r="Z1618" s="3"/>
    </row>
    <row r="1619" spans="1:26" ht="23.25" customHeight="1">
      <c r="A1619" s="281"/>
      <c r="B1619" s="281"/>
      <c r="C1619" s="281"/>
      <c r="F1619" s="173"/>
      <c r="G1619" s="173"/>
      <c r="H1619" s="173"/>
      <c r="I1619" s="174"/>
      <c r="K1619" s="177"/>
      <c r="L1619" s="177"/>
      <c r="Q1619" s="179"/>
      <c r="R1619" s="217"/>
      <c r="S1619" s="218"/>
      <c r="T1619" s="180"/>
      <c r="U1619" s="181"/>
      <c r="V1619" s="181"/>
      <c r="W1619" s="181"/>
      <c r="X1619" s="181"/>
      <c r="Y1619" s="3"/>
      <c r="Z1619" s="3"/>
    </row>
    <row r="1620" spans="1:26" ht="23.25" customHeight="1">
      <c r="A1620" s="281"/>
      <c r="B1620" s="281"/>
      <c r="C1620" s="281"/>
      <c r="F1620" s="173"/>
      <c r="G1620" s="173"/>
      <c r="H1620" s="173"/>
      <c r="I1620" s="174"/>
      <c r="K1620" s="177"/>
      <c r="L1620" s="177"/>
      <c r="Q1620" s="179"/>
      <c r="R1620" s="217"/>
      <c r="S1620" s="218"/>
      <c r="T1620" s="180"/>
      <c r="U1620" s="181"/>
      <c r="V1620" s="181"/>
      <c r="W1620" s="181"/>
      <c r="X1620" s="181"/>
      <c r="Y1620" s="3"/>
      <c r="Z1620" s="3"/>
    </row>
    <row r="1621" spans="1:26" ht="23.25" customHeight="1">
      <c r="A1621" s="281"/>
      <c r="B1621" s="281"/>
      <c r="C1621" s="281"/>
      <c r="F1621" s="173"/>
      <c r="G1621" s="173"/>
      <c r="H1621" s="173"/>
      <c r="I1621" s="174"/>
      <c r="K1621" s="177"/>
      <c r="L1621" s="177"/>
      <c r="Q1621" s="179"/>
      <c r="R1621" s="217"/>
      <c r="S1621" s="218"/>
      <c r="T1621" s="180"/>
      <c r="U1621" s="181"/>
      <c r="V1621" s="181"/>
      <c r="W1621" s="181"/>
      <c r="X1621" s="181"/>
      <c r="Y1621" s="3"/>
      <c r="Z1621" s="3"/>
    </row>
    <row r="1622" spans="1:26" ht="23.25" customHeight="1">
      <c r="A1622" s="281"/>
      <c r="B1622" s="281"/>
      <c r="C1622" s="281"/>
      <c r="F1622" s="173"/>
      <c r="G1622" s="173"/>
      <c r="H1622" s="173"/>
      <c r="I1622" s="174"/>
      <c r="K1622" s="177"/>
      <c r="L1622" s="177"/>
      <c r="Q1622" s="179"/>
      <c r="R1622" s="217"/>
      <c r="S1622" s="218"/>
      <c r="T1622" s="180"/>
      <c r="U1622" s="181"/>
      <c r="V1622" s="181"/>
      <c r="W1622" s="181"/>
      <c r="X1622" s="181"/>
      <c r="Y1622" s="3"/>
      <c r="Z1622" s="3"/>
    </row>
    <row r="1623" spans="1:26" ht="23.25" customHeight="1">
      <c r="A1623" s="281"/>
      <c r="B1623" s="281"/>
      <c r="C1623" s="281"/>
      <c r="F1623" s="173"/>
      <c r="G1623" s="173"/>
      <c r="H1623" s="173"/>
      <c r="I1623" s="174"/>
      <c r="K1623" s="177"/>
      <c r="L1623" s="177"/>
      <c r="Q1623" s="179"/>
      <c r="R1623" s="217"/>
      <c r="S1623" s="218"/>
      <c r="T1623" s="180"/>
      <c r="U1623" s="181"/>
      <c r="V1623" s="181"/>
      <c r="W1623" s="181"/>
      <c r="X1623" s="181"/>
      <c r="Y1623" s="3"/>
      <c r="Z1623" s="3"/>
    </row>
    <row r="1624" spans="1:26" ht="23.25" customHeight="1">
      <c r="A1624" s="281"/>
      <c r="B1624" s="281"/>
      <c r="C1624" s="281"/>
      <c r="F1624" s="173"/>
      <c r="G1624" s="173"/>
      <c r="H1624" s="173"/>
      <c r="I1624" s="174"/>
      <c r="K1624" s="177"/>
      <c r="L1624" s="177"/>
      <c r="Q1624" s="179"/>
      <c r="R1624" s="217"/>
      <c r="S1624" s="218"/>
      <c r="T1624" s="180"/>
      <c r="U1624" s="181"/>
      <c r="V1624" s="181"/>
      <c r="W1624" s="181"/>
      <c r="X1624" s="181"/>
      <c r="Y1624" s="3"/>
      <c r="Z1624" s="3"/>
    </row>
    <row r="1625" spans="1:26" ht="23.25" customHeight="1">
      <c r="A1625" s="281"/>
      <c r="B1625" s="281"/>
      <c r="C1625" s="281"/>
      <c r="F1625" s="173"/>
      <c r="G1625" s="173"/>
      <c r="H1625" s="173"/>
      <c r="I1625" s="174"/>
      <c r="K1625" s="177"/>
      <c r="L1625" s="177"/>
      <c r="Q1625" s="179"/>
      <c r="R1625" s="217"/>
      <c r="S1625" s="218"/>
      <c r="T1625" s="180"/>
      <c r="U1625" s="181"/>
      <c r="V1625" s="181"/>
      <c r="W1625" s="181"/>
      <c r="X1625" s="181"/>
      <c r="Y1625" s="3"/>
      <c r="Z1625" s="3"/>
    </row>
    <row r="1626" spans="1:26" ht="23.25" customHeight="1">
      <c r="A1626" s="281"/>
      <c r="B1626" s="281"/>
      <c r="C1626" s="281"/>
      <c r="F1626" s="173"/>
      <c r="G1626" s="173"/>
      <c r="H1626" s="173"/>
      <c r="I1626" s="174"/>
      <c r="K1626" s="177"/>
      <c r="L1626" s="177"/>
      <c r="Q1626" s="179"/>
      <c r="R1626" s="217"/>
      <c r="S1626" s="218"/>
      <c r="T1626" s="180"/>
      <c r="U1626" s="181"/>
      <c r="V1626" s="181"/>
      <c r="W1626" s="181"/>
      <c r="X1626" s="181"/>
      <c r="Y1626" s="3"/>
      <c r="Z1626" s="3"/>
    </row>
    <row r="1627" spans="1:26" ht="23.25" customHeight="1">
      <c r="A1627" s="281"/>
      <c r="B1627" s="281"/>
      <c r="C1627" s="281"/>
      <c r="F1627" s="173"/>
      <c r="G1627" s="173"/>
      <c r="H1627" s="173"/>
      <c r="I1627" s="174"/>
      <c r="K1627" s="177"/>
      <c r="L1627" s="177"/>
      <c r="Q1627" s="179"/>
      <c r="R1627" s="217"/>
      <c r="S1627" s="218"/>
      <c r="T1627" s="180"/>
      <c r="U1627" s="181"/>
      <c r="V1627" s="181"/>
      <c r="W1627" s="181"/>
      <c r="X1627" s="181"/>
      <c r="Y1627" s="3"/>
      <c r="Z1627" s="3"/>
    </row>
    <row r="1628" spans="1:26" ht="23.25" customHeight="1">
      <c r="A1628" s="281"/>
      <c r="B1628" s="281"/>
      <c r="C1628" s="281"/>
      <c r="F1628" s="173"/>
      <c r="G1628" s="173"/>
      <c r="H1628" s="173"/>
      <c r="I1628" s="174"/>
      <c r="K1628" s="177"/>
      <c r="L1628" s="177"/>
      <c r="Q1628" s="179"/>
      <c r="R1628" s="217"/>
      <c r="S1628" s="218"/>
      <c r="T1628" s="180"/>
      <c r="U1628" s="181"/>
      <c r="V1628" s="181"/>
      <c r="W1628" s="181"/>
      <c r="X1628" s="181"/>
      <c r="Y1628" s="3"/>
      <c r="Z1628" s="3"/>
    </row>
    <row r="1629" spans="1:26" ht="23.25" customHeight="1">
      <c r="A1629" s="281"/>
      <c r="B1629" s="281"/>
      <c r="C1629" s="281"/>
      <c r="F1629" s="173"/>
      <c r="G1629" s="173"/>
      <c r="H1629" s="173"/>
      <c r="I1629" s="174"/>
      <c r="K1629" s="177"/>
      <c r="L1629" s="177"/>
      <c r="Q1629" s="179"/>
      <c r="R1629" s="217"/>
      <c r="S1629" s="218"/>
      <c r="T1629" s="180"/>
      <c r="U1629" s="181"/>
      <c r="V1629" s="181"/>
      <c r="W1629" s="181"/>
      <c r="X1629" s="181"/>
      <c r="Y1629" s="3"/>
      <c r="Z1629" s="3"/>
    </row>
    <row r="1630" spans="1:26" ht="23.25" customHeight="1">
      <c r="A1630" s="281"/>
      <c r="B1630" s="281"/>
      <c r="C1630" s="281"/>
      <c r="F1630" s="173"/>
      <c r="G1630" s="173"/>
      <c r="H1630" s="173"/>
      <c r="I1630" s="174"/>
      <c r="K1630" s="177"/>
      <c r="L1630" s="177"/>
      <c r="Q1630" s="179"/>
      <c r="R1630" s="217"/>
      <c r="S1630" s="218"/>
      <c r="T1630" s="180"/>
      <c r="U1630" s="181"/>
      <c r="V1630" s="181"/>
      <c r="W1630" s="181"/>
      <c r="X1630" s="181"/>
      <c r="Y1630" s="3"/>
      <c r="Z1630" s="3"/>
    </row>
    <row r="1631" spans="1:26" ht="23.25" customHeight="1">
      <c r="A1631" s="281"/>
      <c r="B1631" s="281"/>
      <c r="C1631" s="281"/>
      <c r="F1631" s="173"/>
      <c r="G1631" s="173"/>
      <c r="H1631" s="173"/>
      <c r="I1631" s="174"/>
      <c r="K1631" s="177"/>
      <c r="L1631" s="177"/>
      <c r="Q1631" s="179"/>
      <c r="R1631" s="217"/>
      <c r="S1631" s="218"/>
      <c r="T1631" s="180"/>
      <c r="U1631" s="181"/>
      <c r="V1631" s="181"/>
      <c r="W1631" s="181"/>
      <c r="X1631" s="181"/>
      <c r="Y1631" s="3"/>
      <c r="Z1631" s="3"/>
    </row>
    <row r="1632" spans="1:26" ht="23.25" customHeight="1">
      <c r="A1632" s="281"/>
      <c r="B1632" s="281"/>
      <c r="C1632" s="281"/>
      <c r="F1632" s="173"/>
      <c r="G1632" s="173"/>
      <c r="H1632" s="173"/>
      <c r="I1632" s="174"/>
      <c r="K1632" s="177"/>
      <c r="L1632" s="177"/>
      <c r="Q1632" s="179"/>
      <c r="R1632" s="217"/>
      <c r="S1632" s="218"/>
      <c r="T1632" s="180"/>
      <c r="U1632" s="181"/>
      <c r="V1632" s="181"/>
      <c r="W1632" s="181"/>
      <c r="X1632" s="181"/>
      <c r="Y1632" s="3"/>
      <c r="Z1632" s="3"/>
    </row>
    <row r="1633" spans="1:26" ht="23.25" customHeight="1">
      <c r="A1633" s="281"/>
      <c r="B1633" s="281"/>
      <c r="C1633" s="281"/>
      <c r="F1633" s="173"/>
      <c r="G1633" s="173"/>
      <c r="H1633" s="173"/>
      <c r="I1633" s="174"/>
      <c r="K1633" s="177"/>
      <c r="L1633" s="177"/>
      <c r="Q1633" s="179"/>
      <c r="R1633" s="217"/>
      <c r="S1633" s="218"/>
      <c r="T1633" s="180"/>
      <c r="U1633" s="181"/>
      <c r="V1633" s="181"/>
      <c r="W1633" s="181"/>
      <c r="X1633" s="181"/>
      <c r="Y1633" s="3"/>
      <c r="Z1633" s="3"/>
    </row>
    <row r="1634" spans="1:26" ht="23.25" customHeight="1">
      <c r="A1634" s="281"/>
      <c r="B1634" s="281"/>
      <c r="C1634" s="281"/>
      <c r="F1634" s="173"/>
      <c r="G1634" s="173"/>
      <c r="H1634" s="173"/>
      <c r="I1634" s="174"/>
      <c r="K1634" s="177"/>
      <c r="L1634" s="177"/>
      <c r="Q1634" s="179"/>
      <c r="R1634" s="217"/>
      <c r="S1634" s="218"/>
      <c r="T1634" s="180"/>
      <c r="U1634" s="181"/>
      <c r="V1634" s="181"/>
      <c r="W1634" s="181"/>
      <c r="X1634" s="181"/>
      <c r="Y1634" s="3"/>
      <c r="Z1634" s="3"/>
    </row>
    <row r="1635" spans="1:26" ht="23.25" customHeight="1">
      <c r="A1635" s="281"/>
      <c r="B1635" s="281"/>
      <c r="C1635" s="281"/>
      <c r="F1635" s="173"/>
      <c r="G1635" s="173"/>
      <c r="H1635" s="173"/>
      <c r="I1635" s="174"/>
      <c r="K1635" s="177"/>
      <c r="L1635" s="177"/>
      <c r="Q1635" s="179"/>
      <c r="R1635" s="217"/>
      <c r="S1635" s="218"/>
      <c r="T1635" s="180"/>
      <c r="U1635" s="181"/>
      <c r="V1635" s="181"/>
      <c r="W1635" s="181"/>
      <c r="X1635" s="181"/>
      <c r="Y1635" s="3"/>
      <c r="Z1635" s="3"/>
    </row>
    <row r="1636" spans="1:26" ht="23.25" customHeight="1">
      <c r="A1636" s="281"/>
      <c r="B1636" s="281"/>
      <c r="C1636" s="281"/>
      <c r="F1636" s="173"/>
      <c r="G1636" s="173"/>
      <c r="H1636" s="173"/>
      <c r="I1636" s="174"/>
      <c r="K1636" s="177"/>
      <c r="L1636" s="177"/>
      <c r="Q1636" s="179"/>
      <c r="R1636" s="217"/>
      <c r="S1636" s="218"/>
      <c r="T1636" s="180"/>
      <c r="U1636" s="181"/>
      <c r="V1636" s="181"/>
      <c r="W1636" s="181"/>
      <c r="X1636" s="181"/>
      <c r="Y1636" s="3"/>
      <c r="Z1636" s="3"/>
    </row>
    <row r="1637" spans="1:26" ht="23.25" customHeight="1">
      <c r="A1637" s="281"/>
      <c r="B1637" s="281"/>
      <c r="C1637" s="281"/>
      <c r="F1637" s="173"/>
      <c r="G1637" s="173"/>
      <c r="H1637" s="173"/>
      <c r="I1637" s="174"/>
      <c r="K1637" s="177"/>
      <c r="L1637" s="177"/>
      <c r="Q1637" s="179"/>
      <c r="R1637" s="217"/>
      <c r="S1637" s="218"/>
      <c r="T1637" s="180"/>
      <c r="U1637" s="181"/>
      <c r="V1637" s="181"/>
      <c r="W1637" s="181"/>
      <c r="X1637" s="181"/>
      <c r="Y1637" s="3"/>
      <c r="Z1637" s="3"/>
    </row>
    <row r="1638" spans="1:26" ht="23.25" customHeight="1">
      <c r="A1638" s="281"/>
      <c r="B1638" s="281"/>
      <c r="C1638" s="281"/>
      <c r="F1638" s="173"/>
      <c r="G1638" s="173"/>
      <c r="H1638" s="173"/>
      <c r="I1638" s="174"/>
      <c r="K1638" s="177"/>
      <c r="L1638" s="177"/>
      <c r="Q1638" s="179"/>
      <c r="R1638" s="217"/>
      <c r="S1638" s="218"/>
      <c r="T1638" s="180"/>
      <c r="U1638" s="181"/>
      <c r="V1638" s="181"/>
      <c r="W1638" s="181"/>
      <c r="X1638" s="181"/>
      <c r="Y1638" s="3"/>
      <c r="Z1638" s="3"/>
    </row>
    <row r="1639" spans="1:26" ht="23.25" customHeight="1">
      <c r="A1639" s="281"/>
      <c r="B1639" s="281"/>
      <c r="C1639" s="281"/>
      <c r="F1639" s="173"/>
      <c r="G1639" s="173"/>
      <c r="H1639" s="173"/>
      <c r="I1639" s="174"/>
      <c r="K1639" s="177"/>
      <c r="L1639" s="177"/>
      <c r="Q1639" s="179"/>
      <c r="R1639" s="217"/>
      <c r="S1639" s="218"/>
      <c r="T1639" s="180"/>
      <c r="U1639" s="181"/>
      <c r="V1639" s="181"/>
      <c r="W1639" s="181"/>
      <c r="X1639" s="181"/>
      <c r="Y1639" s="3"/>
      <c r="Z1639" s="3"/>
    </row>
    <row r="1640" spans="1:26" ht="23.25" customHeight="1">
      <c r="A1640" s="281"/>
      <c r="B1640" s="281"/>
      <c r="C1640" s="281"/>
      <c r="F1640" s="173"/>
      <c r="G1640" s="173"/>
      <c r="H1640" s="173"/>
      <c r="I1640" s="174"/>
      <c r="K1640" s="177"/>
      <c r="L1640" s="177"/>
      <c r="Q1640" s="179"/>
      <c r="R1640" s="217"/>
      <c r="S1640" s="218"/>
      <c r="T1640" s="180"/>
      <c r="U1640" s="181"/>
      <c r="V1640" s="181"/>
      <c r="W1640" s="181"/>
      <c r="X1640" s="181"/>
      <c r="Y1640" s="3"/>
      <c r="Z1640" s="3"/>
    </row>
    <row r="1641" spans="1:26" ht="23.25" customHeight="1">
      <c r="A1641" s="281"/>
      <c r="B1641" s="281"/>
      <c r="C1641" s="281"/>
      <c r="F1641" s="173"/>
      <c r="G1641" s="173"/>
      <c r="H1641" s="173"/>
      <c r="I1641" s="174"/>
      <c r="K1641" s="177"/>
      <c r="L1641" s="177"/>
      <c r="Q1641" s="179"/>
      <c r="R1641" s="217"/>
      <c r="S1641" s="218"/>
      <c r="T1641" s="180"/>
      <c r="U1641" s="181"/>
      <c r="V1641" s="181"/>
      <c r="W1641" s="181"/>
      <c r="X1641" s="181"/>
      <c r="Y1641" s="3"/>
      <c r="Z1641" s="3"/>
    </row>
    <row r="1642" spans="1:26" ht="23.25" customHeight="1">
      <c r="A1642" s="281"/>
      <c r="B1642" s="281"/>
      <c r="C1642" s="281"/>
      <c r="F1642" s="173"/>
      <c r="G1642" s="173"/>
      <c r="H1642" s="173"/>
      <c r="I1642" s="174"/>
      <c r="K1642" s="177"/>
      <c r="L1642" s="177"/>
      <c r="Q1642" s="179"/>
      <c r="R1642" s="217"/>
      <c r="S1642" s="218"/>
      <c r="T1642" s="180"/>
      <c r="U1642" s="181"/>
      <c r="V1642" s="181"/>
      <c r="W1642" s="181"/>
      <c r="X1642" s="181"/>
      <c r="Y1642" s="3"/>
      <c r="Z1642" s="3"/>
    </row>
    <row r="1643" spans="1:26" ht="23.25" customHeight="1">
      <c r="A1643" s="281"/>
      <c r="B1643" s="281"/>
      <c r="C1643" s="281"/>
      <c r="F1643" s="173"/>
      <c r="G1643" s="173"/>
      <c r="H1643" s="173"/>
      <c r="I1643" s="174"/>
      <c r="K1643" s="177"/>
      <c r="L1643" s="177"/>
      <c r="Q1643" s="179"/>
      <c r="R1643" s="217"/>
      <c r="S1643" s="218"/>
      <c r="T1643" s="180"/>
      <c r="U1643" s="181"/>
      <c r="V1643" s="181"/>
      <c r="W1643" s="181"/>
      <c r="X1643" s="181"/>
      <c r="Y1643" s="3"/>
      <c r="Z1643" s="3"/>
    </row>
    <row r="1644" spans="1:26" ht="23.25" customHeight="1">
      <c r="A1644" s="281"/>
      <c r="B1644" s="281"/>
      <c r="C1644" s="281"/>
      <c r="F1644" s="173"/>
      <c r="G1644" s="173"/>
      <c r="H1644" s="173"/>
      <c r="I1644" s="174"/>
      <c r="K1644" s="177"/>
      <c r="L1644" s="177"/>
      <c r="Q1644" s="179"/>
      <c r="R1644" s="217"/>
      <c r="S1644" s="218"/>
      <c r="T1644" s="180"/>
      <c r="U1644" s="181"/>
      <c r="V1644" s="181"/>
      <c r="W1644" s="181"/>
      <c r="X1644" s="181"/>
      <c r="Y1644" s="3"/>
      <c r="Z1644" s="3"/>
    </row>
    <row r="1645" spans="1:26" ht="23.25" customHeight="1">
      <c r="A1645" s="281"/>
      <c r="B1645" s="281"/>
      <c r="C1645" s="281"/>
      <c r="F1645" s="173"/>
      <c r="G1645" s="173"/>
      <c r="H1645" s="173"/>
      <c r="I1645" s="174"/>
      <c r="K1645" s="177"/>
      <c r="L1645" s="177"/>
      <c r="Q1645" s="179"/>
      <c r="R1645" s="217"/>
      <c r="S1645" s="218"/>
      <c r="T1645" s="180"/>
      <c r="U1645" s="181"/>
      <c r="V1645" s="181"/>
      <c r="W1645" s="181"/>
      <c r="X1645" s="181"/>
      <c r="Y1645" s="3"/>
      <c r="Z1645" s="3"/>
    </row>
    <row r="1646" spans="1:26" ht="23.25" customHeight="1">
      <c r="A1646" s="281"/>
      <c r="B1646" s="281"/>
      <c r="C1646" s="281"/>
      <c r="F1646" s="173"/>
      <c r="G1646" s="173"/>
      <c r="H1646" s="173"/>
      <c r="I1646" s="174"/>
      <c r="K1646" s="177"/>
      <c r="L1646" s="177"/>
      <c r="Q1646" s="179"/>
      <c r="R1646" s="217"/>
      <c r="S1646" s="218"/>
      <c r="T1646" s="180"/>
      <c r="U1646" s="181"/>
      <c r="V1646" s="181"/>
      <c r="W1646" s="181"/>
      <c r="X1646" s="181"/>
      <c r="Y1646" s="3"/>
      <c r="Z1646" s="3"/>
    </row>
    <row r="1647" spans="1:26" ht="23.25" customHeight="1">
      <c r="A1647" s="281"/>
      <c r="B1647" s="281"/>
      <c r="C1647" s="281"/>
      <c r="F1647" s="173"/>
      <c r="G1647" s="173"/>
      <c r="H1647" s="173"/>
      <c r="I1647" s="174"/>
      <c r="K1647" s="177"/>
      <c r="L1647" s="177"/>
      <c r="Q1647" s="179"/>
      <c r="R1647" s="217"/>
      <c r="S1647" s="218"/>
      <c r="T1647" s="180"/>
      <c r="U1647" s="181"/>
      <c r="V1647" s="181"/>
      <c r="W1647" s="181"/>
      <c r="X1647" s="181"/>
      <c r="Y1647" s="3"/>
      <c r="Z1647" s="3"/>
    </row>
    <row r="1648" spans="1:26" ht="23.25" customHeight="1">
      <c r="A1648" s="281"/>
      <c r="B1648" s="281"/>
      <c r="C1648" s="281"/>
      <c r="F1648" s="173"/>
      <c r="G1648" s="173"/>
      <c r="H1648" s="173"/>
      <c r="I1648" s="174"/>
      <c r="K1648" s="177"/>
      <c r="L1648" s="177"/>
      <c r="Q1648" s="179"/>
      <c r="R1648" s="217"/>
      <c r="S1648" s="218"/>
      <c r="T1648" s="180"/>
      <c r="U1648" s="181"/>
      <c r="V1648" s="181"/>
      <c r="W1648" s="181"/>
      <c r="X1648" s="181"/>
      <c r="Y1648" s="3"/>
      <c r="Z1648" s="3"/>
    </row>
    <row r="1649" spans="1:26" ht="23.25" customHeight="1">
      <c r="A1649" s="281"/>
      <c r="B1649" s="281"/>
      <c r="C1649" s="281"/>
      <c r="F1649" s="173"/>
      <c r="G1649" s="173"/>
      <c r="H1649" s="173"/>
      <c r="I1649" s="174"/>
      <c r="K1649" s="177"/>
      <c r="L1649" s="177"/>
      <c r="Q1649" s="179"/>
      <c r="R1649" s="217"/>
      <c r="S1649" s="218"/>
      <c r="T1649" s="180"/>
      <c r="U1649" s="181"/>
      <c r="V1649" s="181"/>
      <c r="W1649" s="181"/>
      <c r="X1649" s="181"/>
      <c r="Y1649" s="3"/>
      <c r="Z1649" s="3"/>
    </row>
    <row r="1650" spans="1:26" ht="23.25" customHeight="1">
      <c r="A1650" s="281"/>
      <c r="B1650" s="281"/>
      <c r="C1650" s="281"/>
      <c r="F1650" s="173"/>
      <c r="G1650" s="173"/>
      <c r="H1650" s="173"/>
      <c r="I1650" s="174"/>
      <c r="K1650" s="177"/>
      <c r="L1650" s="177"/>
      <c r="Q1650" s="179"/>
      <c r="R1650" s="217"/>
      <c r="S1650" s="218"/>
      <c r="T1650" s="180"/>
      <c r="U1650" s="181"/>
      <c r="V1650" s="181"/>
      <c r="W1650" s="181"/>
      <c r="X1650" s="181"/>
      <c r="Y1650" s="3"/>
      <c r="Z1650" s="3"/>
    </row>
    <row r="1651" spans="1:26" ht="23.25" customHeight="1">
      <c r="A1651" s="281"/>
      <c r="B1651" s="281"/>
      <c r="C1651" s="281"/>
      <c r="F1651" s="173"/>
      <c r="G1651" s="173"/>
      <c r="H1651" s="173"/>
      <c r="I1651" s="174"/>
      <c r="K1651" s="177"/>
      <c r="L1651" s="177"/>
      <c r="Q1651" s="179"/>
      <c r="R1651" s="217"/>
      <c r="S1651" s="218"/>
      <c r="T1651" s="180"/>
      <c r="U1651" s="181"/>
      <c r="V1651" s="181"/>
      <c r="W1651" s="181"/>
      <c r="X1651" s="181"/>
      <c r="Y1651" s="3"/>
      <c r="Z1651" s="3"/>
    </row>
    <row r="1652" spans="1:26" ht="23.25" customHeight="1">
      <c r="A1652" s="281"/>
      <c r="B1652" s="281"/>
      <c r="C1652" s="281"/>
      <c r="F1652" s="173"/>
      <c r="G1652" s="173"/>
      <c r="H1652" s="173"/>
      <c r="I1652" s="174"/>
      <c r="K1652" s="177"/>
      <c r="L1652" s="177"/>
      <c r="Q1652" s="179"/>
      <c r="R1652" s="217"/>
      <c r="S1652" s="218"/>
      <c r="T1652" s="180"/>
      <c r="U1652" s="181"/>
      <c r="V1652" s="181"/>
      <c r="W1652" s="181"/>
      <c r="X1652" s="181"/>
      <c r="Y1652" s="3"/>
      <c r="Z1652" s="3"/>
    </row>
    <row r="1653" spans="1:26" ht="23.25" customHeight="1">
      <c r="A1653" s="281"/>
      <c r="B1653" s="281"/>
      <c r="C1653" s="281"/>
      <c r="F1653" s="173"/>
      <c r="G1653" s="173"/>
      <c r="H1653" s="173"/>
      <c r="I1653" s="174"/>
      <c r="K1653" s="177"/>
      <c r="L1653" s="177"/>
      <c r="Q1653" s="179"/>
      <c r="R1653" s="217"/>
      <c r="S1653" s="218"/>
      <c r="T1653" s="180"/>
      <c r="U1653" s="181"/>
      <c r="V1653" s="181"/>
      <c r="W1653" s="181"/>
      <c r="X1653" s="181"/>
      <c r="Y1653" s="3"/>
      <c r="Z1653" s="3"/>
    </row>
    <row r="1654" spans="1:26" ht="23.25" customHeight="1">
      <c r="A1654" s="281"/>
      <c r="B1654" s="281"/>
      <c r="C1654" s="281"/>
      <c r="F1654" s="173"/>
      <c r="G1654" s="173"/>
      <c r="H1654" s="173"/>
      <c r="I1654" s="174"/>
      <c r="K1654" s="177"/>
      <c r="L1654" s="177"/>
      <c r="Q1654" s="179"/>
      <c r="R1654" s="217"/>
      <c r="S1654" s="218"/>
      <c r="T1654" s="180"/>
      <c r="U1654" s="181"/>
      <c r="V1654" s="181"/>
      <c r="W1654" s="181"/>
      <c r="X1654" s="181"/>
      <c r="Y1654" s="3"/>
      <c r="Z1654" s="3"/>
    </row>
    <row r="1655" spans="1:26" ht="23.25" customHeight="1">
      <c r="A1655" s="281"/>
      <c r="B1655" s="281"/>
      <c r="C1655" s="281"/>
      <c r="F1655" s="173"/>
      <c r="G1655" s="173"/>
      <c r="H1655" s="173"/>
      <c r="I1655" s="174"/>
      <c r="K1655" s="177"/>
      <c r="L1655" s="177"/>
      <c r="Q1655" s="179"/>
      <c r="R1655" s="217"/>
      <c r="S1655" s="218"/>
      <c r="T1655" s="180"/>
      <c r="U1655" s="181"/>
      <c r="V1655" s="181"/>
      <c r="W1655" s="181"/>
      <c r="X1655" s="181"/>
      <c r="Y1655" s="3"/>
      <c r="Z1655" s="3"/>
    </row>
    <row r="1656" spans="1:26" ht="23.25" customHeight="1">
      <c r="A1656" s="281"/>
      <c r="B1656" s="281"/>
      <c r="C1656" s="281"/>
      <c r="F1656" s="173"/>
      <c r="G1656" s="173"/>
      <c r="H1656" s="173"/>
      <c r="I1656" s="174"/>
      <c r="K1656" s="177"/>
      <c r="L1656" s="177"/>
      <c r="Q1656" s="179"/>
      <c r="R1656" s="217"/>
      <c r="S1656" s="218"/>
      <c r="T1656" s="180"/>
      <c r="U1656" s="181"/>
      <c r="V1656" s="181"/>
      <c r="W1656" s="181"/>
      <c r="X1656" s="181"/>
      <c r="Y1656" s="3"/>
      <c r="Z1656" s="3"/>
    </row>
    <row r="1657" spans="1:26" ht="23.25" customHeight="1">
      <c r="A1657" s="281"/>
      <c r="B1657" s="281"/>
      <c r="C1657" s="281"/>
      <c r="F1657" s="173"/>
      <c r="G1657" s="173"/>
      <c r="H1657" s="173"/>
      <c r="I1657" s="174"/>
      <c r="K1657" s="177"/>
      <c r="L1657" s="177"/>
      <c r="Q1657" s="179"/>
      <c r="R1657" s="217"/>
      <c r="S1657" s="218"/>
      <c r="T1657" s="180"/>
      <c r="U1657" s="181"/>
      <c r="V1657" s="181"/>
      <c r="W1657" s="181"/>
      <c r="X1657" s="181"/>
      <c r="Y1657" s="3"/>
      <c r="Z1657" s="3"/>
    </row>
    <row r="1658" spans="1:26" ht="23.25" customHeight="1">
      <c r="A1658" s="281"/>
      <c r="B1658" s="281"/>
      <c r="C1658" s="281"/>
      <c r="F1658" s="173"/>
      <c r="G1658" s="173"/>
      <c r="H1658" s="173"/>
      <c r="I1658" s="174"/>
      <c r="K1658" s="177"/>
      <c r="L1658" s="177"/>
      <c r="Q1658" s="179"/>
      <c r="R1658" s="217"/>
      <c r="S1658" s="218"/>
      <c r="T1658" s="180"/>
      <c r="U1658" s="181"/>
      <c r="V1658" s="181"/>
      <c r="W1658" s="181"/>
      <c r="X1658" s="181"/>
      <c r="Y1658" s="3"/>
      <c r="Z1658" s="3"/>
    </row>
    <row r="1659" spans="1:26" ht="23.25" customHeight="1">
      <c r="A1659" s="281"/>
      <c r="B1659" s="281"/>
      <c r="C1659" s="281"/>
      <c r="F1659" s="173"/>
      <c r="G1659" s="173"/>
      <c r="H1659" s="173"/>
      <c r="I1659" s="174"/>
      <c r="K1659" s="177"/>
      <c r="L1659" s="177"/>
      <c r="Q1659" s="179"/>
      <c r="R1659" s="217"/>
      <c r="S1659" s="218"/>
      <c r="T1659" s="180"/>
      <c r="U1659" s="181"/>
      <c r="V1659" s="181"/>
      <c r="W1659" s="181"/>
      <c r="X1659" s="181"/>
      <c r="Y1659" s="3"/>
      <c r="Z1659" s="3"/>
    </row>
    <row r="1660" spans="1:26" ht="23.25" customHeight="1">
      <c r="A1660" s="281"/>
      <c r="B1660" s="281"/>
      <c r="C1660" s="281"/>
      <c r="F1660" s="173"/>
      <c r="G1660" s="173"/>
      <c r="H1660" s="173"/>
      <c r="I1660" s="174"/>
      <c r="K1660" s="177"/>
      <c r="L1660" s="177"/>
      <c r="Q1660" s="179"/>
      <c r="R1660" s="217"/>
      <c r="S1660" s="218"/>
      <c r="T1660" s="180"/>
      <c r="U1660" s="181"/>
      <c r="V1660" s="181"/>
      <c r="W1660" s="181"/>
      <c r="X1660" s="181"/>
      <c r="Y1660" s="3"/>
      <c r="Z1660" s="3"/>
    </row>
    <row r="1661" spans="1:26" ht="23.25" customHeight="1">
      <c r="A1661" s="281"/>
      <c r="B1661" s="281"/>
      <c r="C1661" s="281"/>
      <c r="F1661" s="173"/>
      <c r="G1661" s="173"/>
      <c r="H1661" s="173"/>
      <c r="I1661" s="174"/>
      <c r="K1661" s="177"/>
      <c r="L1661" s="177"/>
      <c r="Q1661" s="179"/>
      <c r="R1661" s="217"/>
      <c r="S1661" s="218"/>
      <c r="T1661" s="180"/>
      <c r="U1661" s="181"/>
      <c r="V1661" s="181"/>
      <c r="W1661" s="181"/>
      <c r="X1661" s="181"/>
      <c r="Y1661" s="3"/>
      <c r="Z1661" s="3"/>
    </row>
    <row r="1662" spans="1:26" ht="23.25" customHeight="1">
      <c r="A1662" s="281"/>
      <c r="B1662" s="281"/>
      <c r="C1662" s="281"/>
      <c r="F1662" s="173"/>
      <c r="G1662" s="173"/>
      <c r="H1662" s="173"/>
      <c r="I1662" s="174"/>
      <c r="K1662" s="177"/>
      <c r="L1662" s="177"/>
      <c r="Q1662" s="179"/>
      <c r="R1662" s="217"/>
      <c r="S1662" s="218"/>
      <c r="T1662" s="180"/>
      <c r="U1662" s="181"/>
      <c r="V1662" s="181"/>
      <c r="W1662" s="181"/>
      <c r="X1662" s="181"/>
      <c r="Y1662" s="3"/>
      <c r="Z1662" s="3"/>
    </row>
    <row r="1663" spans="1:26" ht="23.25" customHeight="1">
      <c r="A1663" s="281"/>
      <c r="B1663" s="281"/>
      <c r="C1663" s="281"/>
      <c r="F1663" s="173"/>
      <c r="G1663" s="173"/>
      <c r="H1663" s="173"/>
      <c r="I1663" s="174"/>
      <c r="K1663" s="177"/>
      <c r="L1663" s="177"/>
      <c r="Q1663" s="179"/>
      <c r="R1663" s="217"/>
      <c r="S1663" s="218"/>
      <c r="T1663" s="180"/>
      <c r="U1663" s="181"/>
      <c r="V1663" s="181"/>
      <c r="W1663" s="181"/>
      <c r="X1663" s="181"/>
      <c r="Y1663" s="3"/>
      <c r="Z1663" s="3"/>
    </row>
    <row r="1664" spans="1:26" ht="23.25" customHeight="1">
      <c r="A1664" s="281"/>
      <c r="B1664" s="281"/>
      <c r="C1664" s="281"/>
      <c r="F1664" s="173"/>
      <c r="G1664" s="173"/>
      <c r="H1664" s="173"/>
      <c r="I1664" s="174"/>
      <c r="K1664" s="177"/>
      <c r="L1664" s="177"/>
      <c r="Q1664" s="179"/>
      <c r="R1664" s="217"/>
      <c r="S1664" s="218"/>
      <c r="T1664" s="180"/>
      <c r="U1664" s="181"/>
      <c r="V1664" s="181"/>
      <c r="W1664" s="181"/>
      <c r="X1664" s="181"/>
      <c r="Y1664" s="3"/>
      <c r="Z1664" s="3"/>
    </row>
    <row r="1665" spans="1:26" ht="23.25" customHeight="1">
      <c r="A1665" s="281"/>
      <c r="B1665" s="281"/>
      <c r="C1665" s="281"/>
      <c r="F1665" s="173"/>
      <c r="G1665" s="173"/>
      <c r="H1665" s="173"/>
      <c r="I1665" s="174"/>
      <c r="K1665" s="177"/>
      <c r="L1665" s="177"/>
      <c r="Q1665" s="179"/>
      <c r="R1665" s="217"/>
      <c r="S1665" s="218"/>
      <c r="T1665" s="180"/>
      <c r="U1665" s="181"/>
      <c r="V1665" s="181"/>
      <c r="W1665" s="181"/>
      <c r="X1665" s="181"/>
      <c r="Y1665" s="3"/>
      <c r="Z1665" s="3"/>
    </row>
    <row r="1666" spans="1:26" ht="23.25" customHeight="1">
      <c r="A1666" s="281"/>
      <c r="B1666" s="281"/>
      <c r="C1666" s="281"/>
      <c r="F1666" s="173"/>
      <c r="G1666" s="173"/>
      <c r="H1666" s="173"/>
      <c r="I1666" s="174"/>
      <c r="K1666" s="177"/>
      <c r="L1666" s="177"/>
      <c r="Q1666" s="179"/>
      <c r="R1666" s="217"/>
      <c r="S1666" s="218"/>
      <c r="T1666" s="180"/>
      <c r="U1666" s="181"/>
      <c r="V1666" s="181"/>
      <c r="W1666" s="181"/>
      <c r="X1666" s="181"/>
      <c r="Y1666" s="3"/>
      <c r="Z1666" s="3"/>
    </row>
    <row r="1667" spans="1:26" ht="23.25" customHeight="1">
      <c r="A1667" s="281"/>
      <c r="B1667" s="281"/>
      <c r="C1667" s="281"/>
      <c r="F1667" s="173"/>
      <c r="G1667" s="173"/>
      <c r="H1667" s="173"/>
      <c r="I1667" s="174"/>
      <c r="K1667" s="177"/>
      <c r="L1667" s="177"/>
      <c r="Q1667" s="179"/>
      <c r="R1667" s="217"/>
      <c r="S1667" s="218"/>
      <c r="T1667" s="180"/>
      <c r="U1667" s="181"/>
      <c r="V1667" s="181"/>
      <c r="W1667" s="181"/>
      <c r="X1667" s="181"/>
      <c r="Y1667" s="3"/>
      <c r="Z1667" s="3"/>
    </row>
    <row r="1668" spans="1:26" ht="23.25" customHeight="1">
      <c r="A1668" s="281"/>
      <c r="B1668" s="281"/>
      <c r="C1668" s="281"/>
      <c r="F1668" s="173"/>
      <c r="G1668" s="173"/>
      <c r="H1668" s="173"/>
      <c r="I1668" s="174"/>
      <c r="K1668" s="177"/>
      <c r="L1668" s="177"/>
      <c r="Q1668" s="179"/>
      <c r="R1668" s="217"/>
      <c r="S1668" s="218"/>
      <c r="T1668" s="180"/>
      <c r="U1668" s="181"/>
      <c r="V1668" s="181"/>
      <c r="W1668" s="181"/>
      <c r="X1668" s="181"/>
      <c r="Y1668" s="3"/>
      <c r="Z1668" s="3"/>
    </row>
    <row r="1669" spans="1:26" ht="23.25" customHeight="1">
      <c r="A1669" s="281"/>
      <c r="B1669" s="281"/>
      <c r="C1669" s="281"/>
      <c r="F1669" s="173"/>
      <c r="G1669" s="173"/>
      <c r="H1669" s="173"/>
      <c r="I1669" s="174"/>
      <c r="K1669" s="177"/>
      <c r="L1669" s="177"/>
      <c r="Q1669" s="179"/>
      <c r="R1669" s="217"/>
      <c r="S1669" s="218"/>
      <c r="T1669" s="180"/>
      <c r="U1669" s="181"/>
      <c r="V1669" s="181"/>
      <c r="W1669" s="181"/>
      <c r="X1669" s="181"/>
      <c r="Y1669" s="3"/>
      <c r="Z1669" s="3"/>
    </row>
    <row r="1670" spans="1:26" ht="23.25" customHeight="1">
      <c r="A1670" s="281"/>
      <c r="B1670" s="281"/>
      <c r="C1670" s="281"/>
      <c r="F1670" s="173"/>
      <c r="G1670" s="173"/>
      <c r="H1670" s="173"/>
      <c r="I1670" s="174"/>
      <c r="K1670" s="177"/>
      <c r="L1670" s="177"/>
      <c r="Q1670" s="179"/>
      <c r="R1670" s="217"/>
      <c r="S1670" s="218"/>
      <c r="T1670" s="180"/>
      <c r="U1670" s="181"/>
      <c r="V1670" s="181"/>
      <c r="W1670" s="181"/>
      <c r="X1670" s="181"/>
      <c r="Y1670" s="3"/>
      <c r="Z1670" s="3"/>
    </row>
    <row r="1671" spans="1:26" ht="23.25" customHeight="1">
      <c r="A1671" s="281"/>
      <c r="B1671" s="281"/>
      <c r="C1671" s="281"/>
      <c r="F1671" s="173"/>
      <c r="G1671" s="173"/>
      <c r="H1671" s="173"/>
      <c r="I1671" s="174"/>
      <c r="K1671" s="177"/>
      <c r="L1671" s="177"/>
      <c r="Q1671" s="179"/>
      <c r="R1671" s="217"/>
      <c r="S1671" s="218"/>
      <c r="T1671" s="180"/>
      <c r="U1671" s="181"/>
      <c r="V1671" s="181"/>
      <c r="W1671" s="181"/>
      <c r="X1671" s="181"/>
      <c r="Y1671" s="3"/>
      <c r="Z1671" s="3"/>
    </row>
    <row r="1672" spans="1:26" ht="23.25" customHeight="1">
      <c r="A1672" s="281"/>
      <c r="B1672" s="281"/>
      <c r="C1672" s="281"/>
      <c r="F1672" s="173"/>
      <c r="G1672" s="173"/>
      <c r="H1672" s="173"/>
      <c r="I1672" s="174"/>
      <c r="K1672" s="177"/>
      <c r="L1672" s="177"/>
      <c r="Q1672" s="179"/>
      <c r="R1672" s="217"/>
      <c r="S1672" s="218"/>
      <c r="T1672" s="180"/>
      <c r="U1672" s="181"/>
      <c r="V1672" s="181"/>
      <c r="W1672" s="181"/>
      <c r="X1672" s="181"/>
      <c r="Y1672" s="3"/>
      <c r="Z1672" s="3"/>
    </row>
    <row r="1673" spans="1:26" ht="23.25" customHeight="1">
      <c r="A1673" s="281"/>
      <c r="B1673" s="281"/>
      <c r="C1673" s="281"/>
      <c r="F1673" s="173"/>
      <c r="G1673" s="173"/>
      <c r="H1673" s="173"/>
      <c r="I1673" s="174"/>
      <c r="K1673" s="177"/>
      <c r="L1673" s="177"/>
      <c r="Q1673" s="179"/>
      <c r="R1673" s="217"/>
      <c r="S1673" s="218"/>
      <c r="T1673" s="180"/>
      <c r="U1673" s="181"/>
      <c r="V1673" s="181"/>
      <c r="W1673" s="181"/>
      <c r="X1673" s="181"/>
      <c r="Y1673" s="3"/>
      <c r="Z1673" s="3"/>
    </row>
    <row r="1674" spans="1:26" ht="23.25" customHeight="1">
      <c r="A1674" s="281"/>
      <c r="B1674" s="281"/>
      <c r="C1674" s="281"/>
      <c r="F1674" s="173"/>
      <c r="G1674" s="173"/>
      <c r="H1674" s="173"/>
      <c r="I1674" s="174"/>
      <c r="K1674" s="177"/>
      <c r="L1674" s="177"/>
      <c r="Q1674" s="179"/>
      <c r="R1674" s="217"/>
      <c r="S1674" s="218"/>
      <c r="T1674" s="180"/>
      <c r="U1674" s="181"/>
      <c r="V1674" s="181"/>
      <c r="W1674" s="181"/>
      <c r="X1674" s="181"/>
      <c r="Y1674" s="3"/>
      <c r="Z1674" s="3"/>
    </row>
    <row r="1675" spans="1:26" ht="23.25" customHeight="1">
      <c r="A1675" s="281"/>
      <c r="B1675" s="281"/>
      <c r="C1675" s="281"/>
      <c r="F1675" s="173"/>
      <c r="G1675" s="173"/>
      <c r="H1675" s="173"/>
      <c r="I1675" s="174"/>
      <c r="K1675" s="177"/>
      <c r="L1675" s="177"/>
      <c r="Q1675" s="179"/>
      <c r="R1675" s="217"/>
      <c r="S1675" s="218"/>
      <c r="T1675" s="180"/>
      <c r="U1675" s="181"/>
      <c r="V1675" s="181"/>
      <c r="W1675" s="181"/>
      <c r="X1675" s="181"/>
      <c r="Y1675" s="3"/>
      <c r="Z1675" s="3"/>
    </row>
    <row r="1676" spans="1:26" ht="23.25" customHeight="1">
      <c r="A1676" s="281"/>
      <c r="B1676" s="281"/>
      <c r="C1676" s="281"/>
      <c r="F1676" s="173"/>
      <c r="G1676" s="173"/>
      <c r="H1676" s="173"/>
      <c r="I1676" s="174"/>
      <c r="K1676" s="177"/>
      <c r="L1676" s="177"/>
      <c r="Q1676" s="179"/>
      <c r="R1676" s="217"/>
      <c r="S1676" s="218"/>
      <c r="T1676" s="180"/>
      <c r="U1676" s="181"/>
      <c r="V1676" s="181"/>
      <c r="W1676" s="181"/>
      <c r="X1676" s="181"/>
      <c r="Y1676" s="3"/>
      <c r="Z1676" s="3"/>
    </row>
    <row r="1677" spans="1:26" ht="23.25" customHeight="1">
      <c r="A1677" s="281"/>
      <c r="B1677" s="281"/>
      <c r="C1677" s="281"/>
      <c r="F1677" s="173"/>
      <c r="G1677" s="173"/>
      <c r="H1677" s="173"/>
      <c r="I1677" s="174"/>
      <c r="K1677" s="177"/>
      <c r="L1677" s="177"/>
      <c r="Q1677" s="179"/>
      <c r="R1677" s="217"/>
      <c r="S1677" s="218"/>
      <c r="T1677" s="180"/>
      <c r="U1677" s="181"/>
      <c r="V1677" s="181"/>
      <c r="W1677" s="181"/>
      <c r="X1677" s="181"/>
      <c r="Y1677" s="3"/>
      <c r="Z1677" s="3"/>
    </row>
    <row r="1678" spans="1:26" ht="23.25" customHeight="1">
      <c r="A1678" s="281"/>
      <c r="B1678" s="281"/>
      <c r="C1678" s="281"/>
      <c r="F1678" s="173"/>
      <c r="G1678" s="173"/>
      <c r="H1678" s="173"/>
      <c r="I1678" s="174"/>
      <c r="K1678" s="177"/>
      <c r="L1678" s="177"/>
      <c r="Q1678" s="179"/>
      <c r="R1678" s="217"/>
      <c r="S1678" s="218"/>
      <c r="T1678" s="180"/>
      <c r="U1678" s="181"/>
      <c r="V1678" s="181"/>
      <c r="W1678" s="181"/>
      <c r="X1678" s="181"/>
      <c r="Y1678" s="3"/>
      <c r="Z1678" s="3"/>
    </row>
    <row r="1679" spans="1:26" ht="23.25" customHeight="1">
      <c r="A1679" s="281"/>
      <c r="B1679" s="281"/>
      <c r="C1679" s="281"/>
      <c r="F1679" s="173"/>
      <c r="G1679" s="173"/>
      <c r="H1679" s="173"/>
      <c r="I1679" s="174"/>
      <c r="K1679" s="177"/>
      <c r="L1679" s="177"/>
      <c r="Q1679" s="179"/>
      <c r="R1679" s="217"/>
      <c r="S1679" s="218"/>
      <c r="T1679" s="180"/>
      <c r="U1679" s="181"/>
      <c r="V1679" s="181"/>
      <c r="W1679" s="181"/>
      <c r="X1679" s="181"/>
      <c r="Y1679" s="3"/>
      <c r="Z1679" s="3"/>
    </row>
    <row r="1680" spans="1:26" ht="23.25" customHeight="1">
      <c r="A1680" s="281"/>
      <c r="B1680" s="281"/>
      <c r="C1680" s="281"/>
      <c r="F1680" s="173"/>
      <c r="G1680" s="173"/>
      <c r="H1680" s="173"/>
      <c r="I1680" s="174"/>
      <c r="K1680" s="177"/>
      <c r="L1680" s="177"/>
      <c r="Q1680" s="179"/>
      <c r="R1680" s="217"/>
      <c r="S1680" s="218"/>
      <c r="T1680" s="180"/>
      <c r="U1680" s="181"/>
      <c r="V1680" s="181"/>
      <c r="W1680" s="181"/>
      <c r="X1680" s="181"/>
      <c r="Y1680" s="3"/>
      <c r="Z1680" s="3"/>
    </row>
    <row r="1681" spans="1:26" ht="23.25" customHeight="1">
      <c r="A1681" s="281"/>
      <c r="B1681" s="281"/>
      <c r="C1681" s="281"/>
      <c r="F1681" s="173"/>
      <c r="G1681" s="173"/>
      <c r="H1681" s="173"/>
      <c r="I1681" s="174"/>
      <c r="K1681" s="177"/>
      <c r="L1681" s="177"/>
      <c r="Q1681" s="179"/>
      <c r="R1681" s="217"/>
      <c r="S1681" s="218"/>
      <c r="T1681" s="180"/>
      <c r="U1681" s="181"/>
      <c r="V1681" s="181"/>
      <c r="W1681" s="181"/>
      <c r="X1681" s="181"/>
      <c r="Y1681" s="3"/>
      <c r="Z1681" s="3"/>
    </row>
    <row r="1682" spans="1:26" ht="23.25" customHeight="1">
      <c r="A1682" s="281"/>
      <c r="B1682" s="281"/>
      <c r="C1682" s="281"/>
      <c r="F1682" s="173"/>
      <c r="G1682" s="173"/>
      <c r="H1682" s="173"/>
      <c r="I1682" s="174"/>
      <c r="K1682" s="177"/>
      <c r="L1682" s="177"/>
      <c r="Q1682" s="179"/>
      <c r="R1682" s="217"/>
      <c r="S1682" s="218"/>
      <c r="T1682" s="180"/>
      <c r="U1682" s="181"/>
      <c r="V1682" s="181"/>
      <c r="W1682" s="181"/>
      <c r="X1682" s="181"/>
      <c r="Y1682" s="3"/>
      <c r="Z1682" s="3"/>
    </row>
    <row r="1683" spans="1:26" ht="23.25" customHeight="1">
      <c r="A1683" s="281"/>
      <c r="B1683" s="281"/>
      <c r="C1683" s="281"/>
      <c r="F1683" s="173"/>
      <c r="G1683" s="173"/>
      <c r="H1683" s="173"/>
      <c r="I1683" s="174"/>
      <c r="K1683" s="177"/>
      <c r="L1683" s="177"/>
      <c r="Q1683" s="179"/>
      <c r="R1683" s="217"/>
      <c r="S1683" s="218"/>
      <c r="T1683" s="180"/>
      <c r="U1683" s="181"/>
      <c r="V1683" s="181"/>
      <c r="W1683" s="181"/>
      <c r="X1683" s="181"/>
      <c r="Y1683" s="3"/>
      <c r="Z1683" s="3"/>
    </row>
    <row r="1684" spans="1:26" ht="23.25" customHeight="1">
      <c r="A1684" s="281"/>
      <c r="B1684" s="281"/>
      <c r="C1684" s="281"/>
      <c r="F1684" s="173"/>
      <c r="G1684" s="173"/>
      <c r="H1684" s="173"/>
      <c r="I1684" s="174"/>
      <c r="K1684" s="177"/>
      <c r="L1684" s="177"/>
      <c r="Q1684" s="179"/>
      <c r="R1684" s="217"/>
      <c r="S1684" s="218"/>
      <c r="T1684" s="180"/>
      <c r="U1684" s="181"/>
      <c r="V1684" s="181"/>
      <c r="W1684" s="181"/>
      <c r="X1684" s="181"/>
      <c r="Y1684" s="3"/>
      <c r="Z1684" s="3"/>
    </row>
    <row r="1685" spans="1:26" ht="23.25" customHeight="1">
      <c r="A1685" s="281"/>
      <c r="B1685" s="281"/>
      <c r="C1685" s="281"/>
      <c r="F1685" s="173"/>
      <c r="G1685" s="173"/>
      <c r="H1685" s="173"/>
      <c r="I1685" s="174"/>
      <c r="K1685" s="177"/>
      <c r="L1685" s="177"/>
      <c r="Q1685" s="179"/>
      <c r="R1685" s="217"/>
      <c r="S1685" s="218"/>
      <c r="T1685" s="180"/>
      <c r="U1685" s="181"/>
      <c r="V1685" s="181"/>
      <c r="W1685" s="181"/>
      <c r="X1685" s="181"/>
      <c r="Y1685" s="3"/>
      <c r="Z1685" s="3"/>
    </row>
    <row r="1686" spans="1:26" ht="23.25" customHeight="1">
      <c r="A1686" s="281"/>
      <c r="B1686" s="281"/>
      <c r="C1686" s="281"/>
      <c r="F1686" s="173"/>
      <c r="G1686" s="173"/>
      <c r="H1686" s="173"/>
      <c r="I1686" s="174"/>
      <c r="K1686" s="177"/>
      <c r="L1686" s="177"/>
      <c r="Q1686" s="179"/>
      <c r="R1686" s="217"/>
      <c r="S1686" s="218"/>
      <c r="T1686" s="180"/>
      <c r="U1686" s="181"/>
      <c r="V1686" s="181"/>
      <c r="W1686" s="181"/>
      <c r="X1686" s="181"/>
      <c r="Y1686" s="3"/>
      <c r="Z1686" s="3"/>
    </row>
    <row r="1687" spans="1:26" ht="23.25" customHeight="1">
      <c r="A1687" s="281"/>
      <c r="B1687" s="281"/>
      <c r="C1687" s="281"/>
      <c r="F1687" s="173"/>
      <c r="G1687" s="173"/>
      <c r="H1687" s="173"/>
      <c r="I1687" s="174"/>
      <c r="K1687" s="177"/>
      <c r="L1687" s="177"/>
      <c r="Q1687" s="179"/>
      <c r="R1687" s="217"/>
      <c r="S1687" s="218"/>
      <c r="T1687" s="180"/>
      <c r="U1687" s="181"/>
      <c r="V1687" s="181"/>
      <c r="W1687" s="181"/>
      <c r="X1687" s="181"/>
      <c r="Y1687" s="3"/>
      <c r="Z1687" s="3"/>
    </row>
    <row r="1688" spans="1:26" ht="23.25" customHeight="1">
      <c r="A1688" s="281"/>
      <c r="B1688" s="281"/>
      <c r="C1688" s="281"/>
      <c r="F1688" s="173"/>
      <c r="G1688" s="173"/>
      <c r="H1688" s="173"/>
      <c r="I1688" s="174"/>
      <c r="K1688" s="177"/>
      <c r="L1688" s="177"/>
      <c r="Q1688" s="179"/>
      <c r="R1688" s="217"/>
      <c r="S1688" s="218"/>
      <c r="T1688" s="180"/>
      <c r="U1688" s="181"/>
      <c r="V1688" s="181"/>
      <c r="W1688" s="181"/>
      <c r="X1688" s="181"/>
      <c r="Y1688" s="3"/>
      <c r="Z1688" s="3"/>
    </row>
    <row r="1689" spans="1:26" ht="23.25" customHeight="1">
      <c r="A1689" s="281"/>
      <c r="B1689" s="281"/>
      <c r="C1689" s="281"/>
      <c r="F1689" s="173"/>
      <c r="G1689" s="173"/>
      <c r="H1689" s="173"/>
      <c r="I1689" s="174"/>
      <c r="K1689" s="177"/>
      <c r="L1689" s="177"/>
      <c r="Q1689" s="179"/>
      <c r="R1689" s="217"/>
      <c r="S1689" s="218"/>
      <c r="T1689" s="180"/>
      <c r="U1689" s="181"/>
      <c r="V1689" s="181"/>
      <c r="W1689" s="181"/>
      <c r="X1689" s="181"/>
      <c r="Y1689" s="3"/>
      <c r="Z1689" s="3"/>
    </row>
    <row r="1690" spans="1:26" ht="23.25" customHeight="1">
      <c r="A1690" s="281"/>
      <c r="B1690" s="281"/>
      <c r="C1690" s="281"/>
      <c r="F1690" s="173"/>
      <c r="G1690" s="173"/>
      <c r="H1690" s="173"/>
      <c r="I1690" s="174"/>
      <c r="K1690" s="177"/>
      <c r="L1690" s="177"/>
      <c r="Q1690" s="179"/>
      <c r="R1690" s="217"/>
      <c r="S1690" s="218"/>
      <c r="T1690" s="180"/>
      <c r="U1690" s="181"/>
      <c r="V1690" s="181"/>
      <c r="W1690" s="181"/>
      <c r="X1690" s="181"/>
      <c r="Y1690" s="3"/>
      <c r="Z1690" s="3"/>
    </row>
    <row r="1691" spans="1:26" ht="23.25" customHeight="1">
      <c r="A1691" s="281"/>
      <c r="B1691" s="281"/>
      <c r="C1691" s="281"/>
      <c r="F1691" s="173"/>
      <c r="G1691" s="173"/>
      <c r="H1691" s="173"/>
      <c r="I1691" s="174"/>
      <c r="K1691" s="177"/>
      <c r="L1691" s="177"/>
      <c r="Q1691" s="179"/>
      <c r="R1691" s="217"/>
      <c r="S1691" s="218"/>
      <c r="T1691" s="180"/>
      <c r="U1691" s="181"/>
      <c r="V1691" s="181"/>
      <c r="W1691" s="181"/>
      <c r="X1691" s="181"/>
      <c r="Y1691" s="3"/>
      <c r="Z1691" s="3"/>
    </row>
    <row r="1692" spans="1:26" ht="23.25" customHeight="1">
      <c r="A1692" s="281"/>
      <c r="B1692" s="281"/>
      <c r="C1692" s="281"/>
      <c r="F1692" s="173"/>
      <c r="G1692" s="173"/>
      <c r="H1692" s="173"/>
      <c r="I1692" s="174"/>
      <c r="K1692" s="177"/>
      <c r="L1692" s="177"/>
      <c r="Q1692" s="179"/>
      <c r="R1692" s="217"/>
      <c r="S1692" s="218"/>
      <c r="T1692" s="180"/>
      <c r="U1692" s="181"/>
      <c r="V1692" s="181"/>
      <c r="W1692" s="181"/>
      <c r="X1692" s="181"/>
      <c r="Y1692" s="3"/>
      <c r="Z1692" s="3"/>
    </row>
    <row r="1693" spans="1:26" ht="23.25" customHeight="1">
      <c r="A1693" s="281"/>
      <c r="B1693" s="281"/>
      <c r="C1693" s="281"/>
      <c r="F1693" s="173"/>
      <c r="G1693" s="173"/>
      <c r="H1693" s="173"/>
      <c r="I1693" s="174"/>
      <c r="K1693" s="177"/>
      <c r="L1693" s="177"/>
      <c r="Q1693" s="179"/>
      <c r="R1693" s="217"/>
      <c r="S1693" s="218"/>
      <c r="T1693" s="180"/>
      <c r="U1693" s="181"/>
      <c r="V1693" s="181"/>
      <c r="W1693" s="181"/>
      <c r="X1693" s="181"/>
      <c r="Y1693" s="3"/>
      <c r="Z1693" s="3"/>
    </row>
    <row r="1694" spans="1:26" ht="23.25" customHeight="1">
      <c r="A1694" s="281"/>
      <c r="B1694" s="281"/>
      <c r="C1694" s="281"/>
      <c r="F1694" s="173"/>
      <c r="G1694" s="173"/>
      <c r="H1694" s="173"/>
      <c r="I1694" s="174"/>
      <c r="K1694" s="177"/>
      <c r="L1694" s="177"/>
      <c r="Q1694" s="179"/>
      <c r="R1694" s="217"/>
      <c r="S1694" s="218"/>
      <c r="T1694" s="180"/>
      <c r="U1694" s="181"/>
      <c r="V1694" s="181"/>
      <c r="W1694" s="181"/>
      <c r="X1694" s="181"/>
      <c r="Y1694" s="3"/>
      <c r="Z1694" s="3"/>
    </row>
    <row r="1695" spans="1:26" ht="23.25" customHeight="1">
      <c r="A1695" s="281"/>
      <c r="B1695" s="281"/>
      <c r="C1695" s="281"/>
      <c r="F1695" s="173"/>
      <c r="G1695" s="173"/>
      <c r="H1695" s="173"/>
      <c r="I1695" s="174"/>
      <c r="K1695" s="177"/>
      <c r="L1695" s="177"/>
      <c r="Q1695" s="179"/>
      <c r="R1695" s="217"/>
      <c r="S1695" s="218"/>
      <c r="T1695" s="180"/>
      <c r="U1695" s="181"/>
      <c r="V1695" s="181"/>
      <c r="W1695" s="181"/>
      <c r="X1695" s="181"/>
      <c r="Y1695" s="3"/>
      <c r="Z1695" s="3"/>
    </row>
    <row r="1696" spans="1:26" ht="23.25" customHeight="1">
      <c r="A1696" s="281"/>
      <c r="B1696" s="281"/>
      <c r="C1696" s="281"/>
      <c r="F1696" s="173"/>
      <c r="G1696" s="173"/>
      <c r="H1696" s="173"/>
      <c r="I1696" s="174"/>
      <c r="K1696" s="177"/>
      <c r="L1696" s="177"/>
      <c r="Q1696" s="179"/>
      <c r="R1696" s="217"/>
      <c r="S1696" s="218"/>
      <c r="T1696" s="180"/>
      <c r="U1696" s="181"/>
      <c r="V1696" s="181"/>
      <c r="W1696" s="181"/>
      <c r="X1696" s="181"/>
      <c r="Y1696" s="3"/>
      <c r="Z1696" s="3"/>
    </row>
    <row r="1697" spans="1:26" ht="23.25" customHeight="1">
      <c r="A1697" s="281"/>
      <c r="B1697" s="281"/>
      <c r="C1697" s="281"/>
      <c r="F1697" s="173"/>
      <c r="G1697" s="173"/>
      <c r="H1697" s="173"/>
      <c r="I1697" s="174"/>
      <c r="K1697" s="177"/>
      <c r="L1697" s="177"/>
      <c r="Q1697" s="179"/>
      <c r="R1697" s="217"/>
      <c r="S1697" s="218"/>
      <c r="T1697" s="180"/>
      <c r="U1697" s="181"/>
      <c r="V1697" s="181"/>
      <c r="W1697" s="181"/>
      <c r="X1697" s="181"/>
      <c r="Y1697" s="3"/>
      <c r="Z1697" s="3"/>
    </row>
    <row r="1698" spans="1:26" ht="23.25" customHeight="1">
      <c r="A1698" s="281"/>
      <c r="B1698" s="281"/>
      <c r="C1698" s="281"/>
      <c r="F1698" s="173"/>
      <c r="G1698" s="173"/>
      <c r="H1698" s="173"/>
      <c r="I1698" s="174"/>
      <c r="K1698" s="177"/>
      <c r="L1698" s="177"/>
      <c r="Q1698" s="179"/>
      <c r="R1698" s="217"/>
      <c r="S1698" s="218"/>
      <c r="T1698" s="180"/>
      <c r="U1698" s="181"/>
      <c r="V1698" s="181"/>
      <c r="W1698" s="181"/>
      <c r="X1698" s="181"/>
      <c r="Y1698" s="3"/>
      <c r="Z1698" s="3"/>
    </row>
    <row r="1699" spans="1:26" ht="23.25" customHeight="1">
      <c r="A1699" s="281"/>
      <c r="B1699" s="281"/>
      <c r="C1699" s="281"/>
      <c r="F1699" s="173"/>
      <c r="G1699" s="173"/>
      <c r="H1699" s="173"/>
      <c r="I1699" s="174"/>
      <c r="K1699" s="177"/>
      <c r="L1699" s="177"/>
      <c r="Q1699" s="179"/>
      <c r="R1699" s="217"/>
      <c r="S1699" s="218"/>
      <c r="T1699" s="180"/>
      <c r="U1699" s="181"/>
      <c r="V1699" s="181"/>
      <c r="W1699" s="181"/>
      <c r="X1699" s="181"/>
      <c r="Y1699" s="3"/>
      <c r="Z1699" s="3"/>
    </row>
    <row r="1700" spans="1:26" ht="23.25" customHeight="1">
      <c r="A1700" s="281"/>
      <c r="B1700" s="281"/>
      <c r="C1700" s="281"/>
      <c r="F1700" s="173"/>
      <c r="G1700" s="173"/>
      <c r="H1700" s="173"/>
      <c r="I1700" s="174"/>
      <c r="K1700" s="177"/>
      <c r="L1700" s="177"/>
      <c r="Q1700" s="179"/>
      <c r="R1700" s="217"/>
      <c r="S1700" s="218"/>
      <c r="T1700" s="180"/>
      <c r="U1700" s="181"/>
      <c r="V1700" s="181"/>
      <c r="W1700" s="181"/>
      <c r="X1700" s="181"/>
      <c r="Y1700" s="3"/>
      <c r="Z1700" s="3"/>
    </row>
    <row r="1701" spans="1:26" ht="23.25" customHeight="1">
      <c r="A1701" s="281"/>
      <c r="B1701" s="281"/>
      <c r="C1701" s="281"/>
      <c r="F1701" s="173"/>
      <c r="G1701" s="173"/>
      <c r="H1701" s="173"/>
      <c r="I1701" s="174"/>
      <c r="K1701" s="177"/>
      <c r="L1701" s="177"/>
      <c r="Q1701" s="179"/>
      <c r="R1701" s="217"/>
      <c r="S1701" s="218"/>
      <c r="T1701" s="180"/>
      <c r="U1701" s="181"/>
      <c r="V1701" s="181"/>
      <c r="W1701" s="181"/>
      <c r="X1701" s="181"/>
      <c r="Y1701" s="3"/>
      <c r="Z1701" s="3"/>
    </row>
    <row r="1702" spans="1:26" ht="23.25" customHeight="1">
      <c r="A1702" s="281"/>
      <c r="B1702" s="281"/>
      <c r="C1702" s="281"/>
      <c r="F1702" s="173"/>
      <c r="G1702" s="173"/>
      <c r="H1702" s="173"/>
      <c r="I1702" s="174"/>
      <c r="K1702" s="177"/>
      <c r="L1702" s="177"/>
      <c r="Q1702" s="179"/>
      <c r="R1702" s="217"/>
      <c r="S1702" s="218"/>
      <c r="T1702" s="180"/>
      <c r="U1702" s="181"/>
      <c r="V1702" s="181"/>
      <c r="W1702" s="181"/>
      <c r="X1702" s="181"/>
      <c r="Y1702" s="3"/>
      <c r="Z1702" s="3"/>
    </row>
    <row r="1703" spans="1:26" ht="23.25" customHeight="1">
      <c r="A1703" s="281"/>
      <c r="B1703" s="281"/>
      <c r="C1703" s="281"/>
      <c r="F1703" s="173"/>
      <c r="G1703" s="173"/>
      <c r="H1703" s="173"/>
      <c r="I1703" s="174"/>
      <c r="K1703" s="177"/>
      <c r="L1703" s="177"/>
      <c r="Q1703" s="179"/>
      <c r="R1703" s="217"/>
      <c r="S1703" s="218"/>
      <c r="T1703" s="180"/>
      <c r="U1703" s="181"/>
      <c r="V1703" s="181"/>
      <c r="W1703" s="181"/>
      <c r="X1703" s="181"/>
      <c r="Y1703" s="3"/>
      <c r="Z1703" s="3"/>
    </row>
    <row r="1704" spans="1:26" ht="23.25" customHeight="1">
      <c r="A1704" s="281"/>
      <c r="B1704" s="281"/>
      <c r="C1704" s="281"/>
      <c r="F1704" s="173"/>
      <c r="G1704" s="173"/>
      <c r="H1704" s="173"/>
      <c r="I1704" s="174"/>
      <c r="K1704" s="177"/>
      <c r="L1704" s="177"/>
      <c r="Q1704" s="179"/>
      <c r="R1704" s="217"/>
      <c r="S1704" s="218"/>
      <c r="T1704" s="180"/>
      <c r="U1704" s="181"/>
      <c r="V1704" s="181"/>
      <c r="W1704" s="181"/>
      <c r="X1704" s="181"/>
      <c r="Y1704" s="3"/>
      <c r="Z1704" s="3"/>
    </row>
    <row r="1705" spans="1:26" ht="23.25" customHeight="1">
      <c r="A1705" s="281"/>
      <c r="B1705" s="281"/>
      <c r="C1705" s="281"/>
      <c r="F1705" s="173"/>
      <c r="G1705" s="173"/>
      <c r="H1705" s="173"/>
      <c r="I1705" s="174"/>
      <c r="K1705" s="177"/>
      <c r="L1705" s="177"/>
      <c r="Q1705" s="179"/>
      <c r="R1705" s="217"/>
      <c r="S1705" s="218"/>
      <c r="T1705" s="180"/>
      <c r="U1705" s="181"/>
      <c r="V1705" s="181"/>
      <c r="W1705" s="181"/>
      <c r="X1705" s="181"/>
      <c r="Y1705" s="3"/>
      <c r="Z1705" s="3"/>
    </row>
    <row r="1706" spans="1:26" ht="23.25" customHeight="1">
      <c r="A1706" s="281"/>
      <c r="B1706" s="281"/>
      <c r="C1706" s="281"/>
      <c r="F1706" s="173"/>
      <c r="G1706" s="173"/>
      <c r="H1706" s="173"/>
      <c r="I1706" s="174"/>
      <c r="K1706" s="177"/>
      <c r="L1706" s="177"/>
      <c r="Q1706" s="179"/>
      <c r="R1706" s="217"/>
      <c r="S1706" s="218"/>
      <c r="T1706" s="180"/>
      <c r="U1706" s="181"/>
      <c r="V1706" s="181"/>
      <c r="W1706" s="181"/>
      <c r="X1706" s="181"/>
      <c r="Y1706" s="3"/>
      <c r="Z1706" s="3"/>
    </row>
    <row r="1707" spans="1:26" ht="23.25" customHeight="1">
      <c r="A1707" s="281"/>
      <c r="B1707" s="281"/>
      <c r="C1707" s="281"/>
      <c r="F1707" s="173"/>
      <c r="G1707" s="173"/>
      <c r="H1707" s="173"/>
      <c r="I1707" s="174"/>
      <c r="K1707" s="177"/>
      <c r="L1707" s="177"/>
      <c r="Q1707" s="179"/>
      <c r="R1707" s="217"/>
      <c r="S1707" s="218"/>
      <c r="T1707" s="180"/>
      <c r="U1707" s="181"/>
      <c r="V1707" s="181"/>
      <c r="W1707" s="181"/>
      <c r="X1707" s="181"/>
      <c r="Y1707" s="3"/>
      <c r="Z1707" s="3"/>
    </row>
    <row r="1708" spans="1:26" ht="23.25" customHeight="1">
      <c r="A1708" s="281"/>
      <c r="B1708" s="281"/>
      <c r="C1708" s="281"/>
      <c r="F1708" s="173"/>
      <c r="G1708" s="173"/>
      <c r="H1708" s="173"/>
      <c r="I1708" s="174"/>
      <c r="K1708" s="177"/>
      <c r="L1708" s="177"/>
      <c r="Q1708" s="179"/>
      <c r="R1708" s="217"/>
      <c r="S1708" s="218"/>
      <c r="T1708" s="180"/>
      <c r="U1708" s="181"/>
      <c r="V1708" s="181"/>
      <c r="W1708" s="181"/>
      <c r="X1708" s="181"/>
      <c r="Y1708" s="3"/>
      <c r="Z1708" s="3"/>
    </row>
    <row r="1709" spans="1:26" ht="23.25" customHeight="1">
      <c r="A1709" s="281"/>
      <c r="B1709" s="281"/>
      <c r="C1709" s="281"/>
      <c r="F1709" s="173"/>
      <c r="G1709" s="173"/>
      <c r="H1709" s="173"/>
      <c r="I1709" s="174"/>
      <c r="K1709" s="177"/>
      <c r="L1709" s="177"/>
      <c r="Q1709" s="179"/>
      <c r="R1709" s="217"/>
      <c r="S1709" s="218"/>
      <c r="T1709" s="180"/>
      <c r="U1709" s="181"/>
      <c r="V1709" s="181"/>
      <c r="W1709" s="181"/>
      <c r="X1709" s="181"/>
      <c r="Y1709" s="3"/>
      <c r="Z1709" s="3"/>
    </row>
    <row r="1710" spans="1:26" ht="23.25" customHeight="1">
      <c r="A1710" s="281"/>
      <c r="B1710" s="281"/>
      <c r="C1710" s="281"/>
      <c r="F1710" s="173"/>
      <c r="G1710" s="173"/>
      <c r="H1710" s="173"/>
      <c r="I1710" s="174"/>
      <c r="K1710" s="177"/>
      <c r="L1710" s="177"/>
      <c r="Q1710" s="179"/>
      <c r="R1710" s="217"/>
      <c r="S1710" s="218"/>
      <c r="T1710" s="180"/>
      <c r="U1710" s="181"/>
      <c r="V1710" s="181"/>
      <c r="W1710" s="181"/>
      <c r="X1710" s="181"/>
      <c r="Y1710" s="3"/>
      <c r="Z1710" s="3"/>
    </row>
    <row r="1711" spans="1:26" ht="23.25" customHeight="1">
      <c r="A1711" s="281"/>
      <c r="B1711" s="281"/>
      <c r="C1711" s="281"/>
      <c r="F1711" s="173"/>
      <c r="G1711" s="173"/>
      <c r="H1711" s="173"/>
      <c r="I1711" s="174"/>
      <c r="K1711" s="177"/>
      <c r="L1711" s="177"/>
      <c r="Q1711" s="179"/>
      <c r="R1711" s="217"/>
      <c r="S1711" s="218"/>
      <c r="T1711" s="180"/>
      <c r="U1711" s="181"/>
      <c r="V1711" s="181"/>
      <c r="W1711" s="181"/>
      <c r="X1711" s="181"/>
      <c r="Y1711" s="3"/>
      <c r="Z1711" s="3"/>
    </row>
    <row r="1712" spans="1:26" ht="23.25" customHeight="1">
      <c r="A1712" s="281"/>
      <c r="B1712" s="281"/>
      <c r="C1712" s="281"/>
      <c r="F1712" s="173"/>
      <c r="G1712" s="173"/>
      <c r="H1712" s="173"/>
      <c r="I1712" s="174"/>
      <c r="K1712" s="177"/>
      <c r="L1712" s="177"/>
      <c r="Q1712" s="179"/>
      <c r="R1712" s="217"/>
      <c r="S1712" s="218"/>
      <c r="T1712" s="180"/>
      <c r="U1712" s="181"/>
      <c r="V1712" s="181"/>
      <c r="W1712" s="181"/>
      <c r="X1712" s="181"/>
      <c r="Y1712" s="3"/>
      <c r="Z1712" s="3"/>
    </row>
    <row r="1713" spans="1:26" ht="23.25" customHeight="1">
      <c r="A1713" s="281"/>
      <c r="B1713" s="281"/>
      <c r="C1713" s="281"/>
      <c r="F1713" s="173"/>
      <c r="G1713" s="173"/>
      <c r="H1713" s="173"/>
      <c r="I1713" s="174"/>
      <c r="K1713" s="177"/>
      <c r="L1713" s="177"/>
      <c r="Q1713" s="179"/>
      <c r="R1713" s="217"/>
      <c r="S1713" s="218"/>
      <c r="T1713" s="180"/>
      <c r="U1713" s="181"/>
      <c r="V1713" s="181"/>
      <c r="W1713" s="181"/>
      <c r="X1713" s="181"/>
      <c r="Y1713" s="3"/>
      <c r="Z1713" s="3"/>
    </row>
    <row r="1714" spans="1:26" ht="23.25" customHeight="1">
      <c r="A1714" s="281"/>
      <c r="B1714" s="281"/>
      <c r="C1714" s="281"/>
      <c r="F1714" s="173"/>
      <c r="G1714" s="173"/>
      <c r="H1714" s="173"/>
      <c r="I1714" s="174"/>
      <c r="K1714" s="177"/>
      <c r="L1714" s="177"/>
      <c r="Q1714" s="179"/>
      <c r="R1714" s="217"/>
      <c r="S1714" s="218"/>
      <c r="T1714" s="180"/>
      <c r="U1714" s="181"/>
      <c r="V1714" s="181"/>
      <c r="W1714" s="181"/>
      <c r="X1714" s="181"/>
      <c r="Y1714" s="3"/>
      <c r="Z1714" s="3"/>
    </row>
    <row r="1715" spans="1:26" ht="23.25" customHeight="1">
      <c r="A1715" s="281"/>
      <c r="B1715" s="281"/>
      <c r="C1715" s="281"/>
      <c r="F1715" s="173"/>
      <c r="G1715" s="173"/>
      <c r="H1715" s="173"/>
      <c r="I1715" s="174"/>
      <c r="K1715" s="177"/>
      <c r="L1715" s="177"/>
      <c r="Q1715" s="179"/>
      <c r="R1715" s="217"/>
      <c r="S1715" s="218"/>
      <c r="T1715" s="180"/>
      <c r="U1715" s="181"/>
      <c r="V1715" s="181"/>
      <c r="W1715" s="181"/>
      <c r="X1715" s="181"/>
      <c r="Y1715" s="3"/>
      <c r="Z1715" s="3"/>
    </row>
    <row r="1716" spans="1:26" ht="23.25" customHeight="1">
      <c r="A1716" s="281"/>
      <c r="B1716" s="281"/>
      <c r="C1716" s="281"/>
      <c r="F1716" s="173"/>
      <c r="G1716" s="173"/>
      <c r="H1716" s="173"/>
      <c r="I1716" s="174"/>
      <c r="K1716" s="177"/>
      <c r="L1716" s="177"/>
      <c r="Q1716" s="179"/>
      <c r="R1716" s="217"/>
      <c r="S1716" s="218"/>
      <c r="T1716" s="180"/>
      <c r="U1716" s="181"/>
      <c r="V1716" s="181"/>
      <c r="W1716" s="181"/>
      <c r="X1716" s="181"/>
      <c r="Y1716" s="3"/>
      <c r="Z1716" s="3"/>
    </row>
    <row r="1717" spans="1:26" ht="23.25" customHeight="1">
      <c r="A1717" s="281"/>
      <c r="B1717" s="281"/>
      <c r="C1717" s="281"/>
      <c r="F1717" s="173"/>
      <c r="G1717" s="173"/>
      <c r="H1717" s="173"/>
      <c r="I1717" s="174"/>
      <c r="K1717" s="177"/>
      <c r="L1717" s="177"/>
      <c r="Q1717" s="179"/>
      <c r="R1717" s="217"/>
      <c r="S1717" s="218"/>
      <c r="T1717" s="180"/>
      <c r="U1717" s="181"/>
      <c r="V1717" s="181"/>
      <c r="W1717" s="181"/>
      <c r="X1717" s="181"/>
      <c r="Y1717" s="3"/>
      <c r="Z1717" s="3"/>
    </row>
    <row r="1718" spans="1:26" ht="23.25" customHeight="1">
      <c r="A1718" s="281"/>
      <c r="B1718" s="281"/>
      <c r="C1718" s="281"/>
      <c r="F1718" s="173"/>
      <c r="G1718" s="173"/>
      <c r="H1718" s="173"/>
      <c r="I1718" s="174"/>
      <c r="K1718" s="177"/>
      <c r="L1718" s="177"/>
      <c r="Q1718" s="179"/>
      <c r="R1718" s="217"/>
      <c r="S1718" s="218"/>
      <c r="T1718" s="180"/>
      <c r="U1718" s="181"/>
      <c r="V1718" s="181"/>
      <c r="W1718" s="181"/>
      <c r="X1718" s="181"/>
      <c r="Y1718" s="3"/>
      <c r="Z1718" s="3"/>
    </row>
    <row r="1719" spans="1:26" ht="23.25" customHeight="1">
      <c r="A1719" s="281"/>
      <c r="B1719" s="281"/>
      <c r="C1719" s="281"/>
      <c r="F1719" s="173"/>
      <c r="G1719" s="173"/>
      <c r="H1719" s="173"/>
      <c r="I1719" s="174"/>
      <c r="K1719" s="177"/>
      <c r="L1719" s="177"/>
      <c r="Q1719" s="179"/>
      <c r="R1719" s="217"/>
      <c r="S1719" s="218"/>
      <c r="T1719" s="180"/>
      <c r="U1719" s="181"/>
      <c r="V1719" s="181"/>
      <c r="W1719" s="181"/>
      <c r="X1719" s="181"/>
      <c r="Y1719" s="3"/>
      <c r="Z1719" s="3"/>
    </row>
    <row r="1720" spans="1:26" ht="23.25" customHeight="1">
      <c r="A1720" s="281"/>
      <c r="B1720" s="281"/>
      <c r="C1720" s="281"/>
      <c r="F1720" s="173"/>
      <c r="G1720" s="173"/>
      <c r="H1720" s="173"/>
      <c r="I1720" s="174"/>
      <c r="K1720" s="177"/>
      <c r="L1720" s="177"/>
      <c r="Q1720" s="179"/>
      <c r="R1720" s="217"/>
      <c r="S1720" s="218"/>
      <c r="T1720" s="180"/>
      <c r="U1720" s="181"/>
      <c r="V1720" s="181"/>
      <c r="W1720" s="181"/>
      <c r="X1720" s="181"/>
      <c r="Y1720" s="3"/>
      <c r="Z1720" s="3"/>
    </row>
    <row r="1721" spans="1:26" ht="23.25" customHeight="1">
      <c r="A1721" s="281"/>
      <c r="B1721" s="281"/>
      <c r="C1721" s="281"/>
      <c r="F1721" s="173"/>
      <c r="G1721" s="173"/>
      <c r="H1721" s="173"/>
      <c r="I1721" s="174"/>
      <c r="K1721" s="177"/>
      <c r="L1721" s="177"/>
      <c r="Q1721" s="179"/>
      <c r="R1721" s="217"/>
      <c r="S1721" s="218"/>
      <c r="T1721" s="180"/>
      <c r="U1721" s="181"/>
      <c r="V1721" s="181"/>
      <c r="W1721" s="181"/>
      <c r="X1721" s="181"/>
      <c r="Y1721" s="3"/>
      <c r="Z1721" s="3"/>
    </row>
    <row r="1722" spans="1:26" ht="23.25" customHeight="1">
      <c r="A1722" s="281"/>
      <c r="B1722" s="281"/>
      <c r="C1722" s="281"/>
      <c r="F1722" s="173"/>
      <c r="G1722" s="173"/>
      <c r="H1722" s="173"/>
      <c r="I1722" s="174"/>
      <c r="K1722" s="177"/>
      <c r="L1722" s="177"/>
      <c r="Q1722" s="179"/>
      <c r="R1722" s="217"/>
      <c r="S1722" s="218"/>
      <c r="T1722" s="180"/>
      <c r="U1722" s="181"/>
      <c r="V1722" s="181"/>
      <c r="W1722" s="181"/>
      <c r="X1722" s="181"/>
      <c r="Y1722" s="3"/>
      <c r="Z1722" s="3"/>
    </row>
    <row r="1723" spans="1:26" ht="23.25" customHeight="1">
      <c r="A1723" s="281"/>
      <c r="B1723" s="281"/>
      <c r="C1723" s="281"/>
      <c r="F1723" s="173"/>
      <c r="G1723" s="173"/>
      <c r="H1723" s="173"/>
      <c r="I1723" s="174"/>
      <c r="K1723" s="177"/>
      <c r="L1723" s="177"/>
      <c r="Q1723" s="179"/>
      <c r="R1723" s="217"/>
      <c r="S1723" s="218"/>
      <c r="T1723" s="180"/>
      <c r="U1723" s="181"/>
      <c r="V1723" s="181"/>
      <c r="W1723" s="181"/>
      <c r="X1723" s="181"/>
      <c r="Y1723" s="3"/>
      <c r="Z1723" s="3"/>
    </row>
    <row r="1724" spans="1:26" ht="23.25" customHeight="1">
      <c r="A1724" s="281"/>
      <c r="B1724" s="281"/>
      <c r="C1724" s="281"/>
      <c r="F1724" s="173"/>
      <c r="G1724" s="173"/>
      <c r="H1724" s="173"/>
      <c r="I1724" s="174"/>
      <c r="K1724" s="177"/>
      <c r="L1724" s="177"/>
      <c r="Q1724" s="179"/>
      <c r="R1724" s="217"/>
      <c r="S1724" s="218"/>
      <c r="T1724" s="180"/>
      <c r="U1724" s="181"/>
      <c r="V1724" s="181"/>
      <c r="W1724" s="181"/>
      <c r="X1724" s="181"/>
      <c r="Y1724" s="3"/>
      <c r="Z1724" s="3"/>
    </row>
    <row r="1725" spans="1:26" ht="23.25" customHeight="1">
      <c r="A1725" s="281"/>
      <c r="B1725" s="281"/>
      <c r="C1725" s="281"/>
      <c r="F1725" s="173"/>
      <c r="G1725" s="173"/>
      <c r="H1725" s="173"/>
      <c r="I1725" s="174"/>
      <c r="K1725" s="177"/>
      <c r="L1725" s="177"/>
      <c r="Q1725" s="179"/>
      <c r="R1725" s="217"/>
      <c r="S1725" s="218"/>
      <c r="T1725" s="180"/>
      <c r="U1725" s="181"/>
      <c r="V1725" s="181"/>
      <c r="W1725" s="181"/>
      <c r="X1725" s="181"/>
      <c r="Y1725" s="3"/>
      <c r="Z1725" s="3"/>
    </row>
    <row r="1726" spans="1:26" ht="23.25" customHeight="1">
      <c r="A1726" s="281"/>
      <c r="B1726" s="281"/>
      <c r="C1726" s="281"/>
      <c r="F1726" s="173"/>
      <c r="G1726" s="173"/>
      <c r="H1726" s="173"/>
      <c r="I1726" s="174"/>
      <c r="K1726" s="177"/>
      <c r="L1726" s="177"/>
      <c r="Q1726" s="179"/>
      <c r="R1726" s="217"/>
      <c r="S1726" s="218"/>
      <c r="T1726" s="180"/>
      <c r="U1726" s="181"/>
      <c r="V1726" s="181"/>
      <c r="W1726" s="181"/>
      <c r="X1726" s="181"/>
      <c r="Y1726" s="3"/>
      <c r="Z1726" s="3"/>
    </row>
    <row r="1727" spans="1:26" ht="23.25" customHeight="1">
      <c r="A1727" s="281"/>
      <c r="B1727" s="281"/>
      <c r="C1727" s="281"/>
      <c r="F1727" s="173"/>
      <c r="G1727" s="173"/>
      <c r="H1727" s="173"/>
      <c r="I1727" s="174"/>
      <c r="K1727" s="177"/>
      <c r="L1727" s="177"/>
      <c r="Q1727" s="179"/>
      <c r="R1727" s="217"/>
      <c r="S1727" s="218"/>
      <c r="T1727" s="180"/>
      <c r="U1727" s="181"/>
      <c r="V1727" s="181"/>
      <c r="W1727" s="181"/>
      <c r="X1727" s="181"/>
      <c r="Y1727" s="3"/>
      <c r="Z1727" s="3"/>
    </row>
    <row r="1728" spans="1:26" ht="23.25" customHeight="1">
      <c r="A1728" s="281"/>
      <c r="B1728" s="281"/>
      <c r="C1728" s="281"/>
      <c r="F1728" s="173"/>
      <c r="G1728" s="173"/>
      <c r="H1728" s="173"/>
      <c r="I1728" s="174"/>
      <c r="K1728" s="177"/>
      <c r="L1728" s="177"/>
      <c r="Q1728" s="179"/>
      <c r="R1728" s="217"/>
      <c r="S1728" s="218"/>
      <c r="T1728" s="180"/>
      <c r="U1728" s="181"/>
      <c r="V1728" s="181"/>
      <c r="W1728" s="181"/>
      <c r="X1728" s="181"/>
      <c r="Y1728" s="3"/>
      <c r="Z1728" s="3"/>
    </row>
    <row r="1729" spans="1:26" ht="23.25" customHeight="1">
      <c r="A1729" s="281"/>
      <c r="B1729" s="281"/>
      <c r="C1729" s="281"/>
      <c r="F1729" s="173"/>
      <c r="G1729" s="173"/>
      <c r="H1729" s="173"/>
      <c r="I1729" s="174"/>
      <c r="K1729" s="177"/>
      <c r="L1729" s="177"/>
      <c r="Q1729" s="179"/>
      <c r="R1729" s="217"/>
      <c r="S1729" s="218"/>
      <c r="T1729" s="180"/>
      <c r="U1729" s="181"/>
      <c r="V1729" s="181"/>
      <c r="W1729" s="181"/>
      <c r="X1729" s="181"/>
      <c r="Y1729" s="3"/>
      <c r="Z1729" s="3"/>
    </row>
    <row r="1730" spans="1:26" ht="23.25" customHeight="1">
      <c r="A1730" s="281"/>
      <c r="B1730" s="281"/>
      <c r="C1730" s="281"/>
      <c r="F1730" s="173"/>
      <c r="G1730" s="173"/>
      <c r="H1730" s="173"/>
      <c r="I1730" s="174"/>
      <c r="K1730" s="177"/>
      <c r="L1730" s="177"/>
      <c r="Q1730" s="179"/>
      <c r="R1730" s="217"/>
      <c r="S1730" s="218"/>
      <c r="T1730" s="180"/>
      <c r="U1730" s="181"/>
      <c r="V1730" s="181"/>
      <c r="W1730" s="181"/>
      <c r="X1730" s="181"/>
      <c r="Y1730" s="3"/>
      <c r="Z1730" s="3"/>
    </row>
    <row r="1731" spans="1:26" ht="23.25" customHeight="1">
      <c r="A1731" s="281"/>
      <c r="B1731" s="281"/>
      <c r="C1731" s="281"/>
      <c r="F1731" s="173"/>
      <c r="G1731" s="173"/>
      <c r="H1731" s="173"/>
      <c r="I1731" s="174"/>
      <c r="K1731" s="177"/>
      <c r="L1731" s="177"/>
      <c r="Q1731" s="179"/>
      <c r="R1731" s="217"/>
      <c r="S1731" s="218"/>
      <c r="T1731" s="180"/>
      <c r="U1731" s="181"/>
      <c r="V1731" s="181"/>
      <c r="W1731" s="181"/>
      <c r="X1731" s="181"/>
      <c r="Y1731" s="3"/>
      <c r="Z1731" s="3"/>
    </row>
    <row r="1732" spans="1:26" ht="23.25" customHeight="1">
      <c r="A1732" s="281"/>
      <c r="B1732" s="281"/>
      <c r="C1732" s="281"/>
      <c r="F1732" s="173"/>
      <c r="G1732" s="173"/>
      <c r="H1732" s="173"/>
      <c r="I1732" s="174"/>
      <c r="K1732" s="177"/>
      <c r="L1732" s="177"/>
      <c r="Q1732" s="179"/>
      <c r="R1732" s="217"/>
      <c r="S1732" s="218"/>
      <c r="T1732" s="180"/>
      <c r="U1732" s="181"/>
      <c r="V1732" s="181"/>
      <c r="W1732" s="181"/>
      <c r="X1732" s="181"/>
      <c r="Y1732" s="3"/>
      <c r="Z1732" s="3"/>
    </row>
    <row r="1733" spans="1:26" ht="23.25" customHeight="1">
      <c r="A1733" s="281"/>
      <c r="B1733" s="281"/>
      <c r="C1733" s="281"/>
      <c r="F1733" s="173"/>
      <c r="G1733" s="173"/>
      <c r="H1733" s="173"/>
      <c r="I1733" s="174"/>
      <c r="K1733" s="177"/>
      <c r="L1733" s="177"/>
      <c r="Q1733" s="179"/>
      <c r="R1733" s="217"/>
      <c r="S1733" s="218"/>
      <c r="T1733" s="180"/>
      <c r="U1733" s="181"/>
      <c r="V1733" s="181"/>
      <c r="W1733" s="181"/>
      <c r="X1733" s="181"/>
      <c r="Y1733" s="3"/>
      <c r="Z1733" s="3"/>
    </row>
    <row r="1734" spans="1:26" ht="23.25" customHeight="1">
      <c r="A1734" s="281"/>
      <c r="B1734" s="281"/>
      <c r="C1734" s="281"/>
      <c r="F1734" s="173"/>
      <c r="G1734" s="173"/>
      <c r="H1734" s="173"/>
      <c r="I1734" s="174"/>
      <c r="K1734" s="177"/>
      <c r="L1734" s="177"/>
      <c r="Q1734" s="179"/>
      <c r="R1734" s="217"/>
      <c r="S1734" s="218"/>
      <c r="T1734" s="180"/>
      <c r="U1734" s="181"/>
      <c r="V1734" s="181"/>
      <c r="W1734" s="181"/>
      <c r="X1734" s="181"/>
      <c r="Y1734" s="3"/>
      <c r="Z1734" s="3"/>
    </row>
    <row r="1735" spans="1:26" ht="23.25" customHeight="1">
      <c r="A1735" s="281"/>
      <c r="B1735" s="281"/>
      <c r="C1735" s="281"/>
      <c r="F1735" s="173"/>
      <c r="G1735" s="173"/>
      <c r="H1735" s="173"/>
      <c r="I1735" s="174"/>
      <c r="K1735" s="177"/>
      <c r="L1735" s="177"/>
      <c r="Q1735" s="179"/>
      <c r="R1735" s="217"/>
      <c r="S1735" s="218"/>
      <c r="T1735" s="180"/>
      <c r="U1735" s="181"/>
      <c r="V1735" s="181"/>
      <c r="W1735" s="181"/>
      <c r="X1735" s="181"/>
      <c r="Y1735" s="3"/>
      <c r="Z1735" s="3"/>
    </row>
    <row r="1736" spans="1:26" ht="23.25" customHeight="1">
      <c r="A1736" s="281"/>
      <c r="B1736" s="281"/>
      <c r="C1736" s="281"/>
      <c r="F1736" s="173"/>
      <c r="G1736" s="173"/>
      <c r="H1736" s="173"/>
      <c r="I1736" s="174"/>
      <c r="K1736" s="177"/>
      <c r="L1736" s="177"/>
      <c r="Q1736" s="179"/>
      <c r="R1736" s="217"/>
      <c r="S1736" s="218"/>
      <c r="T1736" s="180"/>
      <c r="U1736" s="181"/>
      <c r="V1736" s="181"/>
      <c r="W1736" s="181"/>
      <c r="X1736" s="181"/>
      <c r="Y1736" s="3"/>
      <c r="Z1736" s="3"/>
    </row>
    <row r="1737" spans="1:26" ht="23.25" customHeight="1">
      <c r="A1737" s="281"/>
      <c r="B1737" s="281"/>
      <c r="C1737" s="281"/>
      <c r="F1737" s="173"/>
      <c r="G1737" s="173"/>
      <c r="H1737" s="173"/>
      <c r="I1737" s="174"/>
      <c r="K1737" s="177"/>
      <c r="L1737" s="177"/>
      <c r="Q1737" s="179"/>
      <c r="R1737" s="217"/>
      <c r="S1737" s="218"/>
      <c r="T1737" s="180"/>
      <c r="U1737" s="181"/>
      <c r="V1737" s="181"/>
      <c r="W1737" s="181"/>
      <c r="X1737" s="181"/>
      <c r="Y1737" s="3"/>
      <c r="Z1737" s="3"/>
    </row>
    <row r="1738" spans="1:26" ht="23.25" customHeight="1">
      <c r="A1738" s="281"/>
      <c r="B1738" s="281"/>
      <c r="C1738" s="281"/>
      <c r="F1738" s="173"/>
      <c r="G1738" s="173"/>
      <c r="H1738" s="173"/>
      <c r="I1738" s="174"/>
      <c r="K1738" s="177"/>
      <c r="L1738" s="177"/>
      <c r="Q1738" s="179"/>
      <c r="R1738" s="217"/>
      <c r="S1738" s="218"/>
      <c r="T1738" s="180"/>
      <c r="U1738" s="181"/>
      <c r="V1738" s="181"/>
      <c r="W1738" s="181"/>
      <c r="X1738" s="181"/>
      <c r="Y1738" s="3"/>
      <c r="Z1738" s="3"/>
    </row>
    <row r="1739" spans="1:26" ht="23.25" customHeight="1">
      <c r="A1739" s="281"/>
      <c r="B1739" s="281"/>
      <c r="C1739" s="281"/>
      <c r="F1739" s="173"/>
      <c r="G1739" s="173"/>
      <c r="H1739" s="173"/>
      <c r="I1739" s="174"/>
      <c r="K1739" s="177"/>
      <c r="L1739" s="177"/>
      <c r="Q1739" s="179"/>
      <c r="R1739" s="217"/>
      <c r="S1739" s="218"/>
      <c r="T1739" s="180"/>
      <c r="U1739" s="181"/>
      <c r="V1739" s="181"/>
      <c r="W1739" s="181"/>
      <c r="X1739" s="181"/>
      <c r="Y1739" s="3"/>
      <c r="Z1739" s="3"/>
    </row>
    <row r="1740" spans="1:26" ht="23.25" customHeight="1">
      <c r="A1740" s="281"/>
      <c r="B1740" s="281"/>
      <c r="C1740" s="281"/>
      <c r="F1740" s="173"/>
      <c r="G1740" s="173"/>
      <c r="H1740" s="173"/>
      <c r="I1740" s="174"/>
      <c r="K1740" s="177"/>
      <c r="L1740" s="177"/>
      <c r="Q1740" s="179"/>
      <c r="R1740" s="217"/>
      <c r="S1740" s="218"/>
      <c r="T1740" s="180"/>
      <c r="U1740" s="181"/>
      <c r="V1740" s="181"/>
      <c r="W1740" s="181"/>
      <c r="X1740" s="181"/>
      <c r="Y1740" s="3"/>
      <c r="Z1740" s="3"/>
    </row>
    <row r="1741" spans="1:26" ht="23.25" customHeight="1">
      <c r="A1741" s="281"/>
      <c r="B1741" s="281"/>
      <c r="C1741" s="281"/>
      <c r="F1741" s="173"/>
      <c r="G1741" s="173"/>
      <c r="H1741" s="173"/>
      <c r="I1741" s="174"/>
      <c r="K1741" s="177"/>
      <c r="L1741" s="177"/>
      <c r="Q1741" s="179"/>
      <c r="R1741" s="217"/>
      <c r="S1741" s="218"/>
      <c r="T1741" s="180"/>
      <c r="U1741" s="181"/>
      <c r="V1741" s="181"/>
      <c r="W1741" s="181"/>
      <c r="X1741" s="181"/>
      <c r="Y1741" s="3"/>
      <c r="Z1741" s="3"/>
    </row>
    <row r="1742" spans="1:26" ht="23.25" customHeight="1">
      <c r="A1742" s="281"/>
      <c r="B1742" s="281"/>
      <c r="C1742" s="281"/>
      <c r="F1742" s="173"/>
      <c r="G1742" s="173"/>
      <c r="H1742" s="173"/>
      <c r="I1742" s="174"/>
      <c r="K1742" s="177"/>
      <c r="L1742" s="177"/>
      <c r="Q1742" s="179"/>
      <c r="R1742" s="217"/>
      <c r="S1742" s="218"/>
      <c r="T1742" s="180"/>
      <c r="U1742" s="181"/>
      <c r="V1742" s="181"/>
      <c r="W1742" s="181"/>
      <c r="X1742" s="181"/>
      <c r="Y1742" s="3"/>
      <c r="Z1742" s="3"/>
    </row>
    <row r="1743" spans="1:26" ht="23.25" customHeight="1">
      <c r="A1743" s="281"/>
      <c r="B1743" s="281"/>
      <c r="C1743" s="281"/>
      <c r="F1743" s="173"/>
      <c r="G1743" s="173"/>
      <c r="H1743" s="173"/>
      <c r="I1743" s="174"/>
      <c r="K1743" s="177"/>
      <c r="L1743" s="177"/>
      <c r="Q1743" s="179"/>
      <c r="R1743" s="217"/>
      <c r="S1743" s="218"/>
      <c r="T1743" s="180"/>
      <c r="U1743" s="181"/>
      <c r="V1743" s="181"/>
      <c r="W1743" s="181"/>
      <c r="X1743" s="181"/>
      <c r="Y1743" s="3"/>
      <c r="Z1743" s="3"/>
    </row>
    <row r="1744" spans="1:26" ht="23.25" customHeight="1">
      <c r="A1744" s="281"/>
      <c r="B1744" s="281"/>
      <c r="C1744" s="281"/>
      <c r="F1744" s="173"/>
      <c r="G1744" s="173"/>
      <c r="H1744" s="173"/>
      <c r="I1744" s="174"/>
      <c r="K1744" s="177"/>
      <c r="L1744" s="177"/>
      <c r="Q1744" s="179"/>
      <c r="R1744" s="217"/>
      <c r="S1744" s="218"/>
      <c r="T1744" s="180"/>
      <c r="U1744" s="181"/>
      <c r="V1744" s="181"/>
      <c r="W1744" s="181"/>
      <c r="X1744" s="181"/>
      <c r="Y1744" s="3"/>
      <c r="Z1744" s="3"/>
    </row>
    <row r="1745" spans="1:26" ht="23.25" customHeight="1">
      <c r="A1745" s="281"/>
      <c r="B1745" s="281"/>
      <c r="C1745" s="281"/>
      <c r="F1745" s="173"/>
      <c r="G1745" s="173"/>
      <c r="H1745" s="173"/>
      <c r="I1745" s="174"/>
      <c r="K1745" s="177"/>
      <c r="L1745" s="177"/>
      <c r="Q1745" s="179"/>
      <c r="R1745" s="217"/>
      <c r="S1745" s="218"/>
      <c r="T1745" s="180"/>
      <c r="U1745" s="181"/>
      <c r="V1745" s="181"/>
      <c r="W1745" s="181"/>
      <c r="X1745" s="181"/>
      <c r="Y1745" s="3"/>
      <c r="Z1745" s="3"/>
    </row>
    <row r="1746" spans="1:26" ht="23.25" customHeight="1">
      <c r="A1746" s="281"/>
      <c r="B1746" s="281"/>
      <c r="C1746" s="281"/>
      <c r="F1746" s="173"/>
      <c r="G1746" s="173"/>
      <c r="H1746" s="173"/>
      <c r="I1746" s="174"/>
      <c r="K1746" s="177"/>
      <c r="L1746" s="177"/>
      <c r="Q1746" s="179"/>
      <c r="R1746" s="217"/>
      <c r="S1746" s="218"/>
      <c r="T1746" s="180"/>
      <c r="U1746" s="181"/>
      <c r="V1746" s="181"/>
      <c r="W1746" s="181"/>
      <c r="X1746" s="181"/>
      <c r="Y1746" s="3"/>
      <c r="Z1746" s="3"/>
    </row>
    <row r="1747" spans="1:26" ht="23.25" customHeight="1">
      <c r="A1747" s="281"/>
      <c r="B1747" s="281"/>
      <c r="C1747" s="281"/>
      <c r="F1747" s="173"/>
      <c r="G1747" s="173"/>
      <c r="H1747" s="173"/>
      <c r="I1747" s="174"/>
      <c r="K1747" s="177"/>
      <c r="L1747" s="177"/>
      <c r="Q1747" s="179"/>
      <c r="R1747" s="217"/>
      <c r="S1747" s="218"/>
      <c r="T1747" s="180"/>
      <c r="U1747" s="181"/>
      <c r="V1747" s="181"/>
      <c r="W1747" s="181"/>
      <c r="X1747" s="181"/>
      <c r="Y1747" s="3"/>
      <c r="Z1747" s="3"/>
    </row>
    <row r="1748" spans="1:26" ht="23.25" customHeight="1">
      <c r="A1748" s="281"/>
      <c r="B1748" s="281"/>
      <c r="C1748" s="281"/>
      <c r="F1748" s="173"/>
      <c r="G1748" s="173"/>
      <c r="H1748" s="173"/>
      <c r="I1748" s="174"/>
      <c r="K1748" s="177"/>
      <c r="L1748" s="177"/>
      <c r="Q1748" s="179"/>
      <c r="R1748" s="217"/>
      <c r="S1748" s="218"/>
      <c r="T1748" s="180"/>
      <c r="U1748" s="181"/>
      <c r="V1748" s="181"/>
      <c r="W1748" s="181"/>
      <c r="X1748" s="181"/>
      <c r="Y1748" s="3"/>
      <c r="Z1748" s="3"/>
    </row>
    <row r="1749" spans="1:26" ht="23.25" customHeight="1">
      <c r="A1749" s="281"/>
      <c r="B1749" s="281"/>
      <c r="C1749" s="281"/>
      <c r="F1749" s="173"/>
      <c r="G1749" s="173"/>
      <c r="H1749" s="173"/>
      <c r="I1749" s="174"/>
      <c r="K1749" s="177"/>
      <c r="L1749" s="177"/>
      <c r="Q1749" s="179"/>
      <c r="R1749" s="217"/>
      <c r="S1749" s="218"/>
      <c r="T1749" s="180"/>
      <c r="U1749" s="181"/>
      <c r="V1749" s="181"/>
      <c r="W1749" s="181"/>
      <c r="X1749" s="181"/>
      <c r="Y1749" s="3"/>
      <c r="Z1749" s="3"/>
    </row>
    <row r="1750" spans="1:26" ht="23.25" customHeight="1">
      <c r="A1750" s="281"/>
      <c r="B1750" s="281"/>
      <c r="C1750" s="281"/>
      <c r="F1750" s="173"/>
      <c r="G1750" s="173"/>
      <c r="H1750" s="173"/>
      <c r="I1750" s="174"/>
      <c r="K1750" s="177"/>
      <c r="L1750" s="177"/>
      <c r="Q1750" s="179"/>
      <c r="R1750" s="217"/>
      <c r="S1750" s="218"/>
      <c r="T1750" s="180"/>
      <c r="U1750" s="181"/>
      <c r="V1750" s="181"/>
      <c r="W1750" s="181"/>
      <c r="X1750" s="181"/>
      <c r="Y1750" s="3"/>
      <c r="Z1750" s="3"/>
    </row>
    <row r="1751" spans="1:26" ht="23.25" customHeight="1">
      <c r="A1751" s="281"/>
      <c r="B1751" s="281"/>
      <c r="C1751" s="281"/>
      <c r="F1751" s="173"/>
      <c r="G1751" s="173"/>
      <c r="H1751" s="173"/>
      <c r="I1751" s="174"/>
      <c r="K1751" s="177"/>
      <c r="L1751" s="177"/>
      <c r="Q1751" s="179"/>
      <c r="R1751" s="217"/>
      <c r="S1751" s="218"/>
      <c r="T1751" s="180"/>
      <c r="U1751" s="181"/>
      <c r="V1751" s="181"/>
      <c r="W1751" s="181"/>
      <c r="X1751" s="181"/>
      <c r="Y1751" s="3"/>
      <c r="Z1751" s="3"/>
    </row>
    <row r="1752" spans="1:26" ht="23.25" customHeight="1">
      <c r="A1752" s="281"/>
      <c r="B1752" s="281"/>
      <c r="C1752" s="281"/>
      <c r="F1752" s="173"/>
      <c r="G1752" s="173"/>
      <c r="H1752" s="173"/>
      <c r="I1752" s="174"/>
      <c r="K1752" s="177"/>
      <c r="L1752" s="177"/>
      <c r="Q1752" s="179"/>
      <c r="R1752" s="217"/>
      <c r="S1752" s="218"/>
      <c r="T1752" s="180"/>
      <c r="U1752" s="181"/>
      <c r="V1752" s="181"/>
      <c r="W1752" s="181"/>
      <c r="X1752" s="181"/>
      <c r="Y1752" s="3"/>
      <c r="Z1752" s="3"/>
    </row>
    <row r="1753" spans="1:26" ht="23.25" customHeight="1">
      <c r="A1753" s="281"/>
      <c r="B1753" s="281"/>
      <c r="C1753" s="281"/>
      <c r="F1753" s="173"/>
      <c r="G1753" s="173"/>
      <c r="H1753" s="173"/>
      <c r="I1753" s="174"/>
      <c r="K1753" s="177"/>
      <c r="L1753" s="177"/>
      <c r="Q1753" s="179"/>
      <c r="R1753" s="217"/>
      <c r="S1753" s="218"/>
      <c r="T1753" s="180"/>
      <c r="U1753" s="181"/>
      <c r="V1753" s="181"/>
      <c r="W1753" s="181"/>
      <c r="X1753" s="181"/>
      <c r="Y1753" s="3"/>
      <c r="Z1753" s="3"/>
    </row>
    <row r="1754" spans="1:26" ht="23.25" customHeight="1">
      <c r="A1754" s="281"/>
      <c r="B1754" s="281"/>
      <c r="C1754" s="281"/>
      <c r="F1754" s="173"/>
      <c r="G1754" s="173"/>
      <c r="H1754" s="173"/>
      <c r="I1754" s="174"/>
      <c r="K1754" s="177"/>
      <c r="L1754" s="177"/>
      <c r="Q1754" s="179"/>
      <c r="R1754" s="217"/>
      <c r="S1754" s="218"/>
      <c r="T1754" s="180"/>
      <c r="U1754" s="181"/>
      <c r="V1754" s="181"/>
      <c r="W1754" s="181"/>
      <c r="X1754" s="181"/>
      <c r="Y1754" s="3"/>
      <c r="Z1754" s="3"/>
    </row>
    <row r="1755" spans="1:26" ht="23.25" customHeight="1">
      <c r="A1755" s="281"/>
      <c r="B1755" s="281"/>
      <c r="C1755" s="281"/>
      <c r="F1755" s="173"/>
      <c r="G1755" s="173"/>
      <c r="H1755" s="173"/>
      <c r="I1755" s="174"/>
      <c r="K1755" s="177"/>
      <c r="L1755" s="177"/>
      <c r="Q1755" s="179"/>
      <c r="R1755" s="217"/>
      <c r="S1755" s="218"/>
      <c r="T1755" s="180"/>
      <c r="U1755" s="181"/>
      <c r="V1755" s="181"/>
      <c r="W1755" s="181"/>
      <c r="X1755" s="181"/>
      <c r="Y1755" s="3"/>
      <c r="Z1755" s="3"/>
    </row>
    <row r="1756" spans="1:26" ht="23.25" customHeight="1">
      <c r="A1756" s="281"/>
      <c r="B1756" s="281"/>
      <c r="C1756" s="281"/>
      <c r="F1756" s="173"/>
      <c r="G1756" s="173"/>
      <c r="H1756" s="173"/>
      <c r="I1756" s="174"/>
      <c r="K1756" s="177"/>
      <c r="L1756" s="177"/>
      <c r="Q1756" s="179"/>
      <c r="R1756" s="217"/>
      <c r="S1756" s="218"/>
      <c r="T1756" s="180"/>
      <c r="U1756" s="181"/>
      <c r="V1756" s="181"/>
      <c r="W1756" s="181"/>
      <c r="X1756" s="181"/>
      <c r="Y1756" s="3"/>
      <c r="Z1756" s="3"/>
    </row>
    <row r="1757" spans="1:26" ht="23.25" customHeight="1">
      <c r="A1757" s="281"/>
      <c r="B1757" s="281"/>
      <c r="C1757" s="281"/>
      <c r="F1757" s="173"/>
      <c r="G1757" s="173"/>
      <c r="H1757" s="173"/>
      <c r="I1757" s="174"/>
      <c r="K1757" s="177"/>
      <c r="L1757" s="177"/>
      <c r="Q1757" s="179"/>
      <c r="R1757" s="217"/>
      <c r="S1757" s="218"/>
      <c r="T1757" s="180"/>
      <c r="U1757" s="181"/>
      <c r="V1757" s="181"/>
      <c r="W1757" s="181"/>
      <c r="X1757" s="181"/>
      <c r="Y1757" s="3"/>
      <c r="Z1757" s="3"/>
    </row>
    <row r="1758" spans="1:26" ht="23.25" customHeight="1">
      <c r="A1758" s="281"/>
      <c r="B1758" s="281"/>
      <c r="C1758" s="281"/>
      <c r="F1758" s="173"/>
      <c r="G1758" s="173"/>
      <c r="H1758" s="173"/>
      <c r="I1758" s="174"/>
      <c r="K1758" s="177"/>
      <c r="L1758" s="177"/>
      <c r="Q1758" s="179"/>
      <c r="R1758" s="217"/>
      <c r="S1758" s="218"/>
      <c r="T1758" s="180"/>
      <c r="U1758" s="181"/>
      <c r="V1758" s="181"/>
      <c r="W1758" s="181"/>
      <c r="X1758" s="181"/>
      <c r="Y1758" s="3"/>
      <c r="Z1758" s="3"/>
    </row>
    <row r="1759" spans="1:26" ht="23.25" customHeight="1">
      <c r="A1759" s="281"/>
      <c r="B1759" s="281"/>
      <c r="C1759" s="281"/>
      <c r="F1759" s="173"/>
      <c r="G1759" s="173"/>
      <c r="H1759" s="173"/>
      <c r="I1759" s="174"/>
      <c r="K1759" s="177"/>
      <c r="L1759" s="177"/>
      <c r="Q1759" s="179"/>
      <c r="R1759" s="217"/>
      <c r="S1759" s="218"/>
      <c r="T1759" s="180"/>
      <c r="U1759" s="181"/>
      <c r="V1759" s="181"/>
      <c r="W1759" s="181"/>
      <c r="X1759" s="181"/>
      <c r="Y1759" s="3"/>
      <c r="Z1759" s="3"/>
    </row>
    <row r="1760" spans="1:26" ht="23.25" customHeight="1">
      <c r="A1760" s="281"/>
      <c r="B1760" s="281"/>
      <c r="C1760" s="281"/>
      <c r="F1760" s="173"/>
      <c r="G1760" s="173"/>
      <c r="H1760" s="173"/>
      <c r="I1760" s="174"/>
      <c r="K1760" s="177"/>
      <c r="L1760" s="177"/>
      <c r="Q1760" s="179"/>
      <c r="R1760" s="217"/>
      <c r="S1760" s="218"/>
      <c r="T1760" s="180"/>
      <c r="U1760" s="181"/>
      <c r="V1760" s="181"/>
      <c r="W1760" s="181"/>
      <c r="X1760" s="181"/>
      <c r="Y1760" s="3"/>
      <c r="Z1760" s="3"/>
    </row>
    <row r="1761" spans="1:26" ht="23.25" customHeight="1">
      <c r="A1761" s="281"/>
      <c r="B1761" s="281"/>
      <c r="C1761" s="281"/>
      <c r="F1761" s="173"/>
      <c r="G1761" s="173"/>
      <c r="H1761" s="173"/>
      <c r="I1761" s="174"/>
      <c r="K1761" s="177"/>
      <c r="L1761" s="177"/>
      <c r="Q1761" s="179"/>
      <c r="R1761" s="217"/>
      <c r="S1761" s="218"/>
      <c r="T1761" s="180"/>
      <c r="U1761" s="181"/>
      <c r="V1761" s="181"/>
      <c r="W1761" s="181"/>
      <c r="X1761" s="181"/>
      <c r="Y1761" s="3"/>
      <c r="Z1761" s="3"/>
    </row>
    <row r="1762" spans="1:26" ht="23.25" customHeight="1">
      <c r="A1762" s="281"/>
      <c r="B1762" s="281"/>
      <c r="C1762" s="281"/>
      <c r="F1762" s="173"/>
      <c r="G1762" s="173"/>
      <c r="H1762" s="173"/>
      <c r="I1762" s="174"/>
      <c r="K1762" s="177"/>
      <c r="L1762" s="177"/>
      <c r="Q1762" s="179"/>
      <c r="R1762" s="217"/>
      <c r="S1762" s="218"/>
      <c r="T1762" s="180"/>
      <c r="U1762" s="181"/>
      <c r="V1762" s="181"/>
      <c r="W1762" s="181"/>
      <c r="X1762" s="181"/>
      <c r="Y1762" s="3"/>
      <c r="Z1762" s="3"/>
    </row>
    <row r="1763" spans="1:26" ht="23.25" customHeight="1">
      <c r="A1763" s="281"/>
      <c r="B1763" s="281"/>
      <c r="C1763" s="281"/>
      <c r="F1763" s="173"/>
      <c r="G1763" s="173"/>
      <c r="H1763" s="173"/>
      <c r="I1763" s="174"/>
      <c r="K1763" s="177"/>
      <c r="L1763" s="177"/>
      <c r="Q1763" s="179"/>
      <c r="R1763" s="217"/>
      <c r="S1763" s="218"/>
      <c r="T1763" s="180"/>
      <c r="U1763" s="181"/>
      <c r="V1763" s="181"/>
      <c r="W1763" s="181"/>
      <c r="X1763" s="181"/>
      <c r="Y1763" s="3"/>
      <c r="Z1763" s="3"/>
    </row>
    <row r="1764" spans="1:26" ht="23.25" customHeight="1">
      <c r="A1764" s="281"/>
      <c r="B1764" s="281"/>
      <c r="C1764" s="281"/>
      <c r="F1764" s="173"/>
      <c r="G1764" s="173"/>
      <c r="H1764" s="173"/>
      <c r="I1764" s="174"/>
      <c r="K1764" s="177"/>
      <c r="L1764" s="177"/>
      <c r="Q1764" s="179"/>
      <c r="R1764" s="217"/>
      <c r="S1764" s="218"/>
      <c r="T1764" s="180"/>
      <c r="U1764" s="181"/>
      <c r="V1764" s="181"/>
      <c r="W1764" s="181"/>
      <c r="X1764" s="181"/>
      <c r="Y1764" s="3"/>
      <c r="Z1764" s="3"/>
    </row>
    <row r="1765" spans="1:26" ht="23.25" customHeight="1">
      <c r="A1765" s="281"/>
      <c r="B1765" s="281"/>
      <c r="C1765" s="281"/>
      <c r="F1765" s="173"/>
      <c r="G1765" s="173"/>
      <c r="H1765" s="173"/>
      <c r="I1765" s="174"/>
      <c r="K1765" s="177"/>
      <c r="L1765" s="177"/>
      <c r="Q1765" s="179"/>
      <c r="R1765" s="217"/>
      <c r="S1765" s="218"/>
      <c r="T1765" s="180"/>
      <c r="U1765" s="181"/>
      <c r="V1765" s="181"/>
      <c r="W1765" s="181"/>
      <c r="X1765" s="181"/>
      <c r="Y1765" s="3"/>
      <c r="Z1765" s="3"/>
    </row>
    <row r="1766" spans="1:26" ht="23.25" customHeight="1">
      <c r="A1766" s="281"/>
      <c r="B1766" s="281"/>
      <c r="C1766" s="281"/>
      <c r="F1766" s="173"/>
      <c r="G1766" s="173"/>
      <c r="H1766" s="173"/>
      <c r="I1766" s="174"/>
      <c r="K1766" s="177"/>
      <c r="L1766" s="177"/>
      <c r="Q1766" s="179"/>
      <c r="R1766" s="217"/>
      <c r="S1766" s="218"/>
      <c r="T1766" s="180"/>
      <c r="U1766" s="181"/>
      <c r="V1766" s="181"/>
      <c r="W1766" s="181"/>
      <c r="X1766" s="181"/>
      <c r="Y1766" s="3"/>
      <c r="Z1766" s="3"/>
    </row>
    <row r="1767" spans="1:26" ht="23.25" customHeight="1">
      <c r="A1767" s="281"/>
      <c r="B1767" s="281"/>
      <c r="C1767" s="281"/>
      <c r="F1767" s="173"/>
      <c r="G1767" s="173"/>
      <c r="H1767" s="173"/>
      <c r="I1767" s="174"/>
      <c r="K1767" s="177"/>
      <c r="L1767" s="177"/>
      <c r="Q1767" s="179"/>
      <c r="R1767" s="217"/>
      <c r="S1767" s="218"/>
      <c r="T1767" s="180"/>
      <c r="U1767" s="181"/>
      <c r="V1767" s="181"/>
      <c r="W1767" s="181"/>
      <c r="X1767" s="181"/>
      <c r="Y1767" s="3"/>
      <c r="Z1767" s="3"/>
    </row>
    <row r="1768" spans="1:26" ht="23.25" customHeight="1">
      <c r="A1768" s="281"/>
      <c r="B1768" s="281"/>
      <c r="C1768" s="281"/>
      <c r="F1768" s="173"/>
      <c r="G1768" s="173"/>
      <c r="H1768" s="173"/>
      <c r="I1768" s="174"/>
      <c r="K1768" s="177"/>
      <c r="L1768" s="177"/>
      <c r="Q1768" s="179"/>
      <c r="R1768" s="217"/>
      <c r="S1768" s="218"/>
      <c r="T1768" s="180"/>
      <c r="U1768" s="181"/>
      <c r="V1768" s="181"/>
      <c r="W1768" s="181"/>
      <c r="X1768" s="181"/>
      <c r="Y1768" s="3"/>
      <c r="Z1768" s="3"/>
    </row>
    <row r="1769" spans="1:26" ht="23.25" customHeight="1">
      <c r="A1769" s="281"/>
      <c r="B1769" s="281"/>
      <c r="C1769" s="281"/>
      <c r="F1769" s="173"/>
      <c r="G1769" s="173"/>
      <c r="H1769" s="173"/>
      <c r="I1769" s="174"/>
      <c r="K1769" s="177"/>
      <c r="L1769" s="177"/>
      <c r="Q1769" s="179"/>
      <c r="R1769" s="217"/>
      <c r="S1769" s="218"/>
      <c r="T1769" s="180"/>
      <c r="U1769" s="181"/>
      <c r="V1769" s="181"/>
      <c r="W1769" s="181"/>
      <c r="X1769" s="181"/>
      <c r="Y1769" s="3"/>
      <c r="Z1769" s="3"/>
    </row>
    <row r="1770" spans="1:26" ht="23.25" customHeight="1">
      <c r="A1770" s="281"/>
      <c r="B1770" s="281"/>
      <c r="C1770" s="281"/>
      <c r="F1770" s="173"/>
      <c r="G1770" s="173"/>
      <c r="H1770" s="173"/>
      <c r="I1770" s="174"/>
      <c r="K1770" s="177"/>
      <c r="L1770" s="177"/>
      <c r="Q1770" s="179"/>
      <c r="R1770" s="217"/>
      <c r="S1770" s="218"/>
      <c r="T1770" s="180"/>
      <c r="U1770" s="181"/>
      <c r="V1770" s="181"/>
      <c r="W1770" s="181"/>
      <c r="X1770" s="181"/>
      <c r="Y1770" s="3"/>
      <c r="Z1770" s="3"/>
    </row>
    <row r="1771" spans="1:26" ht="23.25" customHeight="1">
      <c r="A1771" s="281"/>
      <c r="B1771" s="281"/>
      <c r="C1771" s="281"/>
      <c r="F1771" s="173"/>
      <c r="G1771" s="173"/>
      <c r="H1771" s="173"/>
      <c r="I1771" s="174"/>
      <c r="K1771" s="177"/>
      <c r="L1771" s="177"/>
      <c r="Q1771" s="179"/>
      <c r="R1771" s="217"/>
      <c r="S1771" s="218"/>
      <c r="T1771" s="180"/>
      <c r="U1771" s="181"/>
      <c r="V1771" s="181"/>
      <c r="W1771" s="181"/>
      <c r="X1771" s="181"/>
      <c r="Y1771" s="3"/>
      <c r="Z1771" s="3"/>
    </row>
    <row r="1772" spans="1:26" ht="23.25" customHeight="1">
      <c r="A1772" s="281"/>
      <c r="B1772" s="281"/>
      <c r="C1772" s="281"/>
      <c r="F1772" s="173"/>
      <c r="G1772" s="173"/>
      <c r="H1772" s="173"/>
      <c r="I1772" s="174"/>
      <c r="K1772" s="177"/>
      <c r="L1772" s="177"/>
      <c r="Q1772" s="179"/>
      <c r="R1772" s="217"/>
      <c r="S1772" s="218"/>
      <c r="T1772" s="180"/>
      <c r="U1772" s="181"/>
      <c r="V1772" s="181"/>
      <c r="W1772" s="181"/>
      <c r="X1772" s="181"/>
      <c r="Y1772" s="3"/>
      <c r="Z1772" s="3"/>
    </row>
    <row r="1773" spans="1:26" ht="23.25" customHeight="1">
      <c r="A1773" s="281"/>
      <c r="B1773" s="281"/>
      <c r="C1773" s="281"/>
      <c r="F1773" s="173"/>
      <c r="G1773" s="173"/>
      <c r="H1773" s="173"/>
      <c r="I1773" s="174"/>
      <c r="K1773" s="177"/>
      <c r="L1773" s="177"/>
      <c r="Q1773" s="179"/>
      <c r="R1773" s="217"/>
      <c r="S1773" s="218"/>
      <c r="T1773" s="180"/>
      <c r="U1773" s="181"/>
      <c r="V1773" s="181"/>
      <c r="W1773" s="181"/>
      <c r="X1773" s="181"/>
      <c r="Y1773" s="3"/>
      <c r="Z1773" s="3"/>
    </row>
    <row r="1774" spans="1:26" ht="23.25" customHeight="1">
      <c r="A1774" s="281"/>
      <c r="B1774" s="281"/>
      <c r="C1774" s="281"/>
      <c r="F1774" s="173"/>
      <c r="G1774" s="173"/>
      <c r="H1774" s="173"/>
      <c r="I1774" s="174"/>
      <c r="K1774" s="177"/>
      <c r="L1774" s="177"/>
      <c r="Q1774" s="179"/>
      <c r="R1774" s="217"/>
      <c r="S1774" s="218"/>
      <c r="T1774" s="180"/>
      <c r="U1774" s="181"/>
      <c r="V1774" s="181"/>
      <c r="W1774" s="181"/>
      <c r="X1774" s="181"/>
      <c r="Y1774" s="3"/>
      <c r="Z1774" s="3"/>
    </row>
    <row r="1775" spans="1:26" ht="23.25" customHeight="1">
      <c r="A1775" s="281"/>
      <c r="B1775" s="281"/>
      <c r="C1775" s="281"/>
      <c r="F1775" s="173"/>
      <c r="G1775" s="173"/>
      <c r="H1775" s="173"/>
      <c r="I1775" s="174"/>
      <c r="K1775" s="177"/>
      <c r="L1775" s="177"/>
      <c r="Q1775" s="179"/>
      <c r="R1775" s="217"/>
      <c r="S1775" s="218"/>
      <c r="T1775" s="180"/>
      <c r="U1775" s="181"/>
      <c r="V1775" s="181"/>
      <c r="W1775" s="181"/>
      <c r="X1775" s="181"/>
      <c r="Y1775" s="3"/>
      <c r="Z1775" s="3"/>
    </row>
    <row r="1776" spans="1:26" ht="23.25" customHeight="1">
      <c r="A1776" s="281"/>
      <c r="B1776" s="281"/>
      <c r="C1776" s="281"/>
      <c r="F1776" s="173"/>
      <c r="G1776" s="173"/>
      <c r="H1776" s="173"/>
      <c r="I1776" s="174"/>
      <c r="K1776" s="177"/>
      <c r="L1776" s="177"/>
      <c r="Q1776" s="179"/>
      <c r="R1776" s="217"/>
      <c r="S1776" s="218"/>
      <c r="T1776" s="180"/>
      <c r="U1776" s="181"/>
      <c r="V1776" s="181"/>
      <c r="W1776" s="181"/>
      <c r="X1776" s="181"/>
      <c r="Y1776" s="3"/>
      <c r="Z1776" s="3"/>
    </row>
    <row r="1777" spans="1:26" ht="23.25" customHeight="1">
      <c r="A1777" s="281"/>
      <c r="B1777" s="281"/>
      <c r="C1777" s="281"/>
      <c r="F1777" s="173"/>
      <c r="G1777" s="173"/>
      <c r="H1777" s="173"/>
      <c r="I1777" s="174"/>
      <c r="K1777" s="177"/>
      <c r="L1777" s="177"/>
      <c r="Q1777" s="179"/>
      <c r="R1777" s="217"/>
      <c r="S1777" s="218"/>
      <c r="T1777" s="180"/>
      <c r="U1777" s="181"/>
      <c r="V1777" s="181"/>
      <c r="W1777" s="181"/>
      <c r="X1777" s="181"/>
      <c r="Y1777" s="3"/>
      <c r="Z1777" s="3"/>
    </row>
    <row r="1778" spans="1:26" ht="23.25" customHeight="1">
      <c r="A1778" s="281"/>
      <c r="B1778" s="281"/>
      <c r="C1778" s="281"/>
      <c r="F1778" s="173"/>
      <c r="G1778" s="173"/>
      <c r="H1778" s="173"/>
      <c r="I1778" s="174"/>
      <c r="K1778" s="177"/>
      <c r="L1778" s="177"/>
      <c r="Q1778" s="179"/>
      <c r="R1778" s="217"/>
      <c r="S1778" s="218"/>
      <c r="T1778" s="180"/>
      <c r="U1778" s="181"/>
      <c r="V1778" s="181"/>
      <c r="W1778" s="181"/>
      <c r="X1778" s="181"/>
      <c r="Y1778" s="3"/>
      <c r="Z1778" s="3"/>
    </row>
    <row r="1779" spans="1:26" ht="23.25" customHeight="1">
      <c r="A1779" s="281"/>
      <c r="B1779" s="281"/>
      <c r="C1779" s="281"/>
      <c r="F1779" s="173"/>
      <c r="G1779" s="173"/>
      <c r="H1779" s="173"/>
      <c r="I1779" s="174"/>
      <c r="K1779" s="177"/>
      <c r="L1779" s="177"/>
      <c r="Q1779" s="179"/>
      <c r="R1779" s="217"/>
      <c r="S1779" s="218"/>
      <c r="T1779" s="180"/>
      <c r="U1779" s="181"/>
      <c r="V1779" s="181"/>
      <c r="W1779" s="181"/>
      <c r="X1779" s="181"/>
      <c r="Y1779" s="3"/>
      <c r="Z1779" s="3"/>
    </row>
    <row r="1780" spans="1:26" ht="23.25" customHeight="1">
      <c r="A1780" s="281"/>
      <c r="B1780" s="281"/>
      <c r="C1780" s="281"/>
      <c r="F1780" s="173"/>
      <c r="G1780" s="173"/>
      <c r="H1780" s="173"/>
      <c r="I1780" s="174"/>
      <c r="K1780" s="177"/>
      <c r="L1780" s="177"/>
      <c r="Q1780" s="179"/>
      <c r="R1780" s="217"/>
      <c r="S1780" s="218"/>
      <c r="T1780" s="180"/>
      <c r="U1780" s="181"/>
      <c r="V1780" s="181"/>
      <c r="W1780" s="181"/>
      <c r="X1780" s="181"/>
      <c r="Y1780" s="3"/>
      <c r="Z1780" s="3"/>
    </row>
    <row r="1781" spans="1:26" ht="23.25" customHeight="1">
      <c r="A1781" s="281"/>
      <c r="B1781" s="281"/>
      <c r="C1781" s="281"/>
      <c r="F1781" s="173"/>
      <c r="G1781" s="173"/>
      <c r="H1781" s="173"/>
      <c r="I1781" s="174"/>
      <c r="K1781" s="177"/>
      <c r="L1781" s="177"/>
      <c r="Q1781" s="179"/>
      <c r="R1781" s="217"/>
      <c r="S1781" s="218"/>
      <c r="T1781" s="180"/>
      <c r="U1781" s="181"/>
      <c r="V1781" s="181"/>
      <c r="W1781" s="181"/>
      <c r="X1781" s="181"/>
      <c r="Y1781" s="3"/>
      <c r="Z1781" s="3"/>
    </row>
    <row r="1782" spans="1:26" ht="23.25" customHeight="1">
      <c r="A1782" s="281"/>
      <c r="B1782" s="281"/>
      <c r="C1782" s="281"/>
      <c r="F1782" s="173"/>
      <c r="G1782" s="173"/>
      <c r="H1782" s="173"/>
      <c r="I1782" s="174"/>
      <c r="K1782" s="177"/>
      <c r="L1782" s="177"/>
      <c r="Q1782" s="179"/>
      <c r="R1782" s="217"/>
      <c r="S1782" s="218"/>
      <c r="T1782" s="180"/>
      <c r="U1782" s="181"/>
      <c r="V1782" s="181"/>
      <c r="W1782" s="181"/>
      <c r="X1782" s="181"/>
      <c r="Y1782" s="3"/>
      <c r="Z1782" s="3"/>
    </row>
    <row r="1783" spans="1:26" ht="23.25" customHeight="1">
      <c r="A1783" s="281"/>
      <c r="B1783" s="281"/>
      <c r="C1783" s="281"/>
      <c r="F1783" s="173"/>
      <c r="G1783" s="173"/>
      <c r="H1783" s="173"/>
      <c r="I1783" s="174"/>
      <c r="K1783" s="177"/>
      <c r="L1783" s="177"/>
      <c r="Q1783" s="179"/>
      <c r="R1783" s="217"/>
      <c r="S1783" s="218"/>
      <c r="T1783" s="180"/>
      <c r="U1783" s="181"/>
      <c r="V1783" s="181"/>
      <c r="W1783" s="181"/>
      <c r="X1783" s="181"/>
      <c r="Y1783" s="3"/>
      <c r="Z1783" s="3"/>
    </row>
    <row r="1784" spans="1:26" ht="23.25" customHeight="1">
      <c r="A1784" s="281"/>
      <c r="B1784" s="281"/>
      <c r="C1784" s="281"/>
      <c r="F1784" s="173"/>
      <c r="G1784" s="173"/>
      <c r="H1784" s="173"/>
      <c r="I1784" s="174"/>
      <c r="K1784" s="177"/>
      <c r="L1784" s="177"/>
      <c r="Q1784" s="179"/>
      <c r="R1784" s="217"/>
      <c r="S1784" s="218"/>
      <c r="T1784" s="180"/>
      <c r="U1784" s="181"/>
      <c r="V1784" s="181"/>
      <c r="W1784" s="181"/>
      <c r="X1784" s="181"/>
      <c r="Y1784" s="3"/>
      <c r="Z1784" s="3"/>
    </row>
    <row r="1785" spans="1:26" ht="23.25" customHeight="1">
      <c r="A1785" s="281"/>
      <c r="B1785" s="281"/>
      <c r="C1785" s="281"/>
      <c r="F1785" s="173"/>
      <c r="G1785" s="173"/>
      <c r="H1785" s="173"/>
      <c r="I1785" s="174"/>
      <c r="K1785" s="177"/>
      <c r="L1785" s="177"/>
      <c r="Q1785" s="179"/>
      <c r="R1785" s="217"/>
      <c r="S1785" s="218"/>
      <c r="T1785" s="180"/>
      <c r="U1785" s="181"/>
      <c r="V1785" s="181"/>
      <c r="W1785" s="181"/>
      <c r="X1785" s="181"/>
      <c r="Y1785" s="3"/>
      <c r="Z1785" s="3"/>
    </row>
    <row r="1786" spans="1:26" ht="23.25" customHeight="1">
      <c r="A1786" s="281"/>
      <c r="B1786" s="281"/>
      <c r="C1786" s="281"/>
      <c r="F1786" s="173"/>
      <c r="G1786" s="173"/>
      <c r="H1786" s="173"/>
      <c r="I1786" s="174"/>
      <c r="K1786" s="177"/>
      <c r="L1786" s="177"/>
      <c r="Q1786" s="179"/>
      <c r="R1786" s="217"/>
      <c r="S1786" s="218"/>
      <c r="T1786" s="180"/>
      <c r="U1786" s="181"/>
      <c r="V1786" s="181"/>
      <c r="W1786" s="181"/>
      <c r="X1786" s="181"/>
      <c r="Y1786" s="3"/>
      <c r="Z1786" s="3"/>
    </row>
    <row r="1787" spans="1:26" ht="23.25" customHeight="1">
      <c r="A1787" s="281"/>
      <c r="B1787" s="281"/>
      <c r="C1787" s="281"/>
      <c r="F1787" s="173"/>
      <c r="G1787" s="173"/>
      <c r="H1787" s="173"/>
      <c r="I1787" s="174"/>
      <c r="K1787" s="177"/>
      <c r="L1787" s="177"/>
      <c r="Q1787" s="179"/>
      <c r="R1787" s="217"/>
      <c r="S1787" s="218"/>
      <c r="T1787" s="180"/>
      <c r="U1787" s="181"/>
      <c r="V1787" s="181"/>
      <c r="W1787" s="181"/>
      <c r="X1787" s="181"/>
      <c r="Y1787" s="3"/>
      <c r="Z1787" s="3"/>
    </row>
    <row r="1788" spans="1:26" ht="23.25" customHeight="1">
      <c r="A1788" s="281"/>
      <c r="B1788" s="281"/>
      <c r="C1788" s="281"/>
      <c r="F1788" s="173"/>
      <c r="G1788" s="173"/>
      <c r="H1788" s="173"/>
      <c r="I1788" s="174"/>
      <c r="K1788" s="177"/>
      <c r="L1788" s="177"/>
      <c r="Q1788" s="179"/>
      <c r="R1788" s="217"/>
      <c r="S1788" s="218"/>
      <c r="T1788" s="180"/>
      <c r="U1788" s="181"/>
      <c r="V1788" s="181"/>
      <c r="W1788" s="181"/>
      <c r="X1788" s="181"/>
      <c r="Y1788" s="3"/>
      <c r="Z1788" s="3"/>
    </row>
    <row r="1789" spans="1:26" ht="23.25" customHeight="1">
      <c r="A1789" s="281"/>
      <c r="B1789" s="281"/>
      <c r="C1789" s="281"/>
      <c r="F1789" s="173"/>
      <c r="G1789" s="173"/>
      <c r="H1789" s="173"/>
      <c r="I1789" s="174"/>
      <c r="K1789" s="177"/>
      <c r="L1789" s="177"/>
      <c r="Q1789" s="179"/>
      <c r="R1789" s="217"/>
      <c r="S1789" s="218"/>
      <c r="T1789" s="180"/>
      <c r="U1789" s="181"/>
      <c r="V1789" s="181"/>
      <c r="W1789" s="181"/>
      <c r="X1789" s="181"/>
      <c r="Y1789" s="3"/>
      <c r="Z1789" s="3"/>
    </row>
    <row r="1790" spans="1:26" ht="23.25" customHeight="1">
      <c r="A1790" s="281"/>
      <c r="B1790" s="281"/>
      <c r="C1790" s="281"/>
      <c r="F1790" s="173"/>
      <c r="G1790" s="173"/>
      <c r="H1790" s="173"/>
      <c r="I1790" s="174"/>
      <c r="K1790" s="177"/>
      <c r="L1790" s="177"/>
      <c r="Q1790" s="179"/>
      <c r="R1790" s="217"/>
      <c r="S1790" s="218"/>
      <c r="T1790" s="180"/>
      <c r="U1790" s="181"/>
      <c r="V1790" s="181"/>
      <c r="W1790" s="181"/>
      <c r="X1790" s="181"/>
      <c r="Y1790" s="3"/>
      <c r="Z1790" s="3"/>
    </row>
    <row r="1791" spans="1:26" ht="23.25" customHeight="1">
      <c r="A1791" s="281"/>
      <c r="B1791" s="281"/>
      <c r="C1791" s="281"/>
      <c r="F1791" s="173"/>
      <c r="G1791" s="173"/>
      <c r="H1791" s="173"/>
      <c r="I1791" s="174"/>
      <c r="K1791" s="177"/>
      <c r="L1791" s="177"/>
      <c r="Q1791" s="179"/>
      <c r="R1791" s="217"/>
      <c r="S1791" s="218"/>
      <c r="T1791" s="180"/>
      <c r="U1791" s="181"/>
      <c r="V1791" s="181"/>
      <c r="W1791" s="181"/>
      <c r="X1791" s="181"/>
      <c r="Y1791" s="3"/>
      <c r="Z1791" s="3"/>
    </row>
    <row r="1792" spans="1:26" ht="23.25" customHeight="1">
      <c r="A1792" s="281"/>
      <c r="B1792" s="281"/>
      <c r="C1792" s="281"/>
      <c r="F1792" s="173"/>
      <c r="G1792" s="173"/>
      <c r="H1792" s="173"/>
      <c r="I1792" s="174"/>
      <c r="K1792" s="177"/>
      <c r="L1792" s="177"/>
      <c r="Q1792" s="179"/>
      <c r="R1792" s="217"/>
      <c r="S1792" s="218"/>
      <c r="T1792" s="180"/>
      <c r="U1792" s="181"/>
      <c r="V1792" s="181"/>
      <c r="W1792" s="181"/>
      <c r="X1792" s="181"/>
      <c r="Y1792" s="3"/>
      <c r="Z1792" s="3"/>
    </row>
    <row r="1793" spans="1:26" ht="23.25" customHeight="1">
      <c r="A1793" s="281"/>
      <c r="B1793" s="281"/>
      <c r="C1793" s="281"/>
      <c r="F1793" s="173"/>
      <c r="G1793" s="173"/>
      <c r="H1793" s="173"/>
      <c r="I1793" s="174"/>
      <c r="K1793" s="177"/>
      <c r="L1793" s="177"/>
      <c r="Q1793" s="179"/>
      <c r="R1793" s="217"/>
      <c r="S1793" s="218"/>
      <c r="T1793" s="180"/>
      <c r="U1793" s="181"/>
      <c r="V1793" s="181"/>
      <c r="W1793" s="181"/>
      <c r="X1793" s="181"/>
      <c r="Y1793" s="3"/>
      <c r="Z1793" s="3"/>
    </row>
    <row r="1794" spans="1:26" ht="23.25" customHeight="1">
      <c r="A1794" s="281"/>
      <c r="B1794" s="281"/>
      <c r="C1794" s="281"/>
      <c r="F1794" s="173"/>
      <c r="G1794" s="173"/>
      <c r="H1794" s="173"/>
      <c r="I1794" s="174"/>
      <c r="K1794" s="177"/>
      <c r="L1794" s="177"/>
      <c r="Q1794" s="179"/>
      <c r="R1794" s="217"/>
      <c r="S1794" s="218"/>
      <c r="T1794" s="180"/>
      <c r="U1794" s="181"/>
      <c r="V1794" s="181"/>
      <c r="W1794" s="181"/>
      <c r="X1794" s="181"/>
      <c r="Y1794" s="3"/>
      <c r="Z1794" s="3"/>
    </row>
    <row r="1795" spans="1:26" ht="23.25" customHeight="1">
      <c r="A1795" s="281"/>
      <c r="B1795" s="281"/>
      <c r="C1795" s="281"/>
      <c r="F1795" s="173"/>
      <c r="G1795" s="173"/>
      <c r="H1795" s="173"/>
      <c r="I1795" s="174"/>
      <c r="K1795" s="177"/>
      <c r="L1795" s="177"/>
      <c r="Q1795" s="179"/>
      <c r="R1795" s="217"/>
      <c r="S1795" s="218"/>
      <c r="T1795" s="180"/>
      <c r="U1795" s="181"/>
      <c r="V1795" s="181"/>
      <c r="W1795" s="181"/>
      <c r="X1795" s="181"/>
      <c r="Y1795" s="3"/>
      <c r="Z1795" s="3"/>
    </row>
    <row r="1796" spans="1:26" ht="23.25" customHeight="1">
      <c r="A1796" s="281"/>
      <c r="B1796" s="281"/>
      <c r="C1796" s="281"/>
      <c r="F1796" s="173"/>
      <c r="G1796" s="173"/>
      <c r="H1796" s="173"/>
      <c r="I1796" s="174"/>
      <c r="K1796" s="177"/>
      <c r="L1796" s="177"/>
      <c r="Q1796" s="179"/>
      <c r="R1796" s="217"/>
      <c r="S1796" s="218"/>
      <c r="T1796" s="180"/>
      <c r="U1796" s="181"/>
      <c r="V1796" s="181"/>
      <c r="W1796" s="181"/>
      <c r="X1796" s="181"/>
      <c r="Y1796" s="3"/>
      <c r="Z1796" s="3"/>
    </row>
    <row r="1797" spans="1:26" ht="23.25" customHeight="1">
      <c r="A1797" s="281"/>
      <c r="B1797" s="281"/>
      <c r="C1797" s="281"/>
      <c r="F1797" s="173"/>
      <c r="G1797" s="173"/>
      <c r="H1797" s="173"/>
      <c r="I1797" s="174"/>
      <c r="K1797" s="177"/>
      <c r="L1797" s="177"/>
      <c r="Q1797" s="179"/>
      <c r="R1797" s="217"/>
      <c r="S1797" s="218"/>
      <c r="T1797" s="180"/>
      <c r="U1797" s="181"/>
      <c r="V1797" s="181"/>
      <c r="W1797" s="181"/>
      <c r="X1797" s="181"/>
      <c r="Y1797" s="3"/>
      <c r="Z1797" s="3"/>
    </row>
    <row r="1798" spans="1:26" ht="23.25" customHeight="1">
      <c r="A1798" s="281"/>
      <c r="B1798" s="281"/>
      <c r="C1798" s="281"/>
      <c r="F1798" s="173"/>
      <c r="G1798" s="173"/>
      <c r="H1798" s="173"/>
      <c r="I1798" s="174"/>
      <c r="K1798" s="177"/>
      <c r="L1798" s="177"/>
      <c r="Q1798" s="179"/>
      <c r="R1798" s="217"/>
      <c r="S1798" s="218"/>
      <c r="T1798" s="180"/>
      <c r="U1798" s="181"/>
      <c r="V1798" s="181"/>
      <c r="W1798" s="181"/>
      <c r="X1798" s="181"/>
      <c r="Y1798" s="3"/>
      <c r="Z1798" s="3"/>
    </row>
    <row r="1799" spans="1:26" ht="23.25" customHeight="1">
      <c r="A1799" s="281"/>
      <c r="B1799" s="281"/>
      <c r="C1799" s="281"/>
      <c r="F1799" s="173"/>
      <c r="G1799" s="173"/>
      <c r="H1799" s="173"/>
      <c r="I1799" s="174"/>
      <c r="K1799" s="177"/>
      <c r="L1799" s="177"/>
      <c r="Q1799" s="179"/>
      <c r="R1799" s="217"/>
      <c r="S1799" s="218"/>
      <c r="T1799" s="180"/>
      <c r="U1799" s="181"/>
      <c r="V1799" s="181"/>
      <c r="W1799" s="181"/>
      <c r="X1799" s="181"/>
      <c r="Y1799" s="3"/>
      <c r="Z1799" s="3"/>
    </row>
    <row r="1800" spans="1:26" ht="23.25" customHeight="1">
      <c r="A1800" s="281"/>
      <c r="B1800" s="281"/>
      <c r="C1800" s="281"/>
      <c r="F1800" s="173"/>
      <c r="G1800" s="173"/>
      <c r="H1800" s="173"/>
      <c r="I1800" s="174"/>
      <c r="K1800" s="177"/>
      <c r="L1800" s="177"/>
      <c r="Q1800" s="179"/>
      <c r="R1800" s="217"/>
      <c r="S1800" s="218"/>
      <c r="T1800" s="180"/>
      <c r="U1800" s="181"/>
      <c r="V1800" s="181"/>
      <c r="W1800" s="181"/>
      <c r="X1800" s="181"/>
      <c r="Y1800" s="3"/>
      <c r="Z1800" s="3"/>
    </row>
    <row r="1801" spans="1:26" ht="23.25" customHeight="1">
      <c r="A1801" s="281"/>
      <c r="B1801" s="281"/>
      <c r="C1801" s="281"/>
      <c r="F1801" s="173"/>
      <c r="G1801" s="173"/>
      <c r="H1801" s="173"/>
      <c r="I1801" s="174"/>
      <c r="K1801" s="177"/>
      <c r="L1801" s="177"/>
      <c r="Q1801" s="179"/>
      <c r="R1801" s="217"/>
      <c r="S1801" s="218"/>
      <c r="T1801" s="180"/>
      <c r="U1801" s="181"/>
      <c r="V1801" s="181"/>
      <c r="W1801" s="181"/>
      <c r="X1801" s="181"/>
      <c r="Y1801" s="3"/>
      <c r="Z1801" s="3"/>
    </row>
    <row r="1802" spans="1:26" ht="23.25" customHeight="1">
      <c r="A1802" s="281"/>
      <c r="B1802" s="281"/>
      <c r="C1802" s="281"/>
      <c r="F1802" s="173"/>
      <c r="G1802" s="173"/>
      <c r="H1802" s="173"/>
      <c r="I1802" s="174"/>
      <c r="K1802" s="177"/>
      <c r="L1802" s="177"/>
      <c r="Q1802" s="179"/>
      <c r="R1802" s="217"/>
      <c r="S1802" s="218"/>
      <c r="T1802" s="180"/>
      <c r="U1802" s="181"/>
      <c r="V1802" s="181"/>
      <c r="W1802" s="181"/>
      <c r="X1802" s="181"/>
      <c r="Y1802" s="3"/>
      <c r="Z1802" s="3"/>
    </row>
    <row r="1803" spans="1:26" ht="23.25" customHeight="1">
      <c r="A1803" s="281"/>
      <c r="B1803" s="281"/>
      <c r="C1803" s="281"/>
      <c r="F1803" s="173"/>
      <c r="G1803" s="173"/>
      <c r="H1803" s="173"/>
      <c r="I1803" s="174"/>
      <c r="K1803" s="177"/>
      <c r="L1803" s="177"/>
      <c r="Q1803" s="179"/>
      <c r="R1803" s="217"/>
      <c r="S1803" s="218"/>
      <c r="T1803" s="180"/>
      <c r="U1803" s="181"/>
      <c r="V1803" s="181"/>
      <c r="W1803" s="181"/>
      <c r="X1803" s="181"/>
      <c r="Y1803" s="3"/>
      <c r="Z1803" s="3"/>
    </row>
    <row r="1804" spans="1:26" ht="23.25" customHeight="1">
      <c r="A1804" s="281"/>
      <c r="B1804" s="281"/>
      <c r="C1804" s="281"/>
      <c r="F1804" s="173"/>
      <c r="G1804" s="173"/>
      <c r="H1804" s="173"/>
      <c r="I1804" s="174"/>
      <c r="K1804" s="177"/>
      <c r="L1804" s="177"/>
      <c r="Q1804" s="179"/>
      <c r="R1804" s="217"/>
      <c r="S1804" s="218"/>
      <c r="T1804" s="180"/>
      <c r="U1804" s="181"/>
      <c r="V1804" s="181"/>
      <c r="W1804" s="181"/>
      <c r="X1804" s="181"/>
      <c r="Y1804" s="3"/>
      <c r="Z1804" s="3"/>
    </row>
    <row r="1805" spans="1:26" ht="23.25" customHeight="1">
      <c r="A1805" s="281"/>
      <c r="B1805" s="281"/>
      <c r="C1805" s="281"/>
      <c r="F1805" s="173"/>
      <c r="G1805" s="173"/>
      <c r="H1805" s="173"/>
      <c r="I1805" s="174"/>
      <c r="K1805" s="177"/>
      <c r="L1805" s="177"/>
      <c r="Q1805" s="179"/>
      <c r="R1805" s="217"/>
      <c r="S1805" s="218"/>
      <c r="T1805" s="180"/>
      <c r="U1805" s="181"/>
      <c r="V1805" s="181"/>
      <c r="W1805" s="181"/>
      <c r="X1805" s="181"/>
      <c r="Y1805" s="3"/>
      <c r="Z1805" s="3"/>
    </row>
    <row r="1806" spans="1:26" ht="23.25" customHeight="1">
      <c r="A1806" s="281"/>
      <c r="B1806" s="281"/>
      <c r="C1806" s="281"/>
      <c r="F1806" s="173"/>
      <c r="G1806" s="173"/>
      <c r="H1806" s="173"/>
      <c r="I1806" s="174"/>
      <c r="K1806" s="177"/>
      <c r="L1806" s="177"/>
      <c r="Q1806" s="179"/>
      <c r="R1806" s="217"/>
      <c r="S1806" s="218"/>
      <c r="T1806" s="180"/>
      <c r="U1806" s="181"/>
      <c r="V1806" s="181"/>
      <c r="W1806" s="181"/>
      <c r="X1806" s="181"/>
      <c r="Y1806" s="3"/>
      <c r="Z1806" s="3"/>
    </row>
    <row r="1807" spans="1:26" ht="23.25" customHeight="1">
      <c r="A1807" s="281"/>
      <c r="B1807" s="281"/>
      <c r="C1807" s="281"/>
      <c r="F1807" s="173"/>
      <c r="G1807" s="173"/>
      <c r="H1807" s="173"/>
      <c r="I1807" s="174"/>
      <c r="K1807" s="177"/>
      <c r="L1807" s="177"/>
      <c r="Q1807" s="179"/>
      <c r="R1807" s="217"/>
      <c r="S1807" s="218"/>
      <c r="T1807" s="180"/>
      <c r="U1807" s="181"/>
      <c r="V1807" s="181"/>
      <c r="W1807" s="181"/>
      <c r="X1807" s="181"/>
      <c r="Y1807" s="3"/>
      <c r="Z1807" s="3"/>
    </row>
    <row r="1808" spans="1:26" ht="23.25" customHeight="1">
      <c r="A1808" s="281"/>
      <c r="B1808" s="281"/>
      <c r="C1808" s="281"/>
      <c r="F1808" s="173"/>
      <c r="G1808" s="173"/>
      <c r="H1808" s="173"/>
      <c r="I1808" s="174"/>
      <c r="K1808" s="177"/>
      <c r="L1808" s="177"/>
      <c r="Q1808" s="179"/>
      <c r="R1808" s="217"/>
      <c r="S1808" s="218"/>
      <c r="T1808" s="180"/>
      <c r="U1808" s="181"/>
      <c r="V1808" s="181"/>
      <c r="W1808" s="181"/>
      <c r="X1808" s="181"/>
      <c r="Y1808" s="3"/>
      <c r="Z1808" s="3"/>
    </row>
    <row r="1809" spans="1:26" ht="23.25" customHeight="1">
      <c r="A1809" s="281"/>
      <c r="B1809" s="281"/>
      <c r="C1809" s="281"/>
      <c r="F1809" s="173"/>
      <c r="G1809" s="173"/>
      <c r="H1809" s="173"/>
      <c r="I1809" s="174"/>
      <c r="K1809" s="177"/>
      <c r="L1809" s="177"/>
      <c r="Q1809" s="179"/>
      <c r="R1809" s="217"/>
      <c r="S1809" s="218"/>
      <c r="T1809" s="180"/>
      <c r="U1809" s="181"/>
      <c r="V1809" s="181"/>
      <c r="W1809" s="181"/>
      <c r="X1809" s="181"/>
      <c r="Y1809" s="3"/>
      <c r="Z1809" s="3"/>
    </row>
    <row r="1810" spans="1:26" ht="23.25" customHeight="1">
      <c r="A1810" s="281"/>
      <c r="B1810" s="281"/>
      <c r="C1810" s="281"/>
      <c r="F1810" s="173"/>
      <c r="G1810" s="173"/>
      <c r="H1810" s="173"/>
      <c r="I1810" s="174"/>
      <c r="K1810" s="177"/>
      <c r="L1810" s="177"/>
      <c r="Q1810" s="179"/>
      <c r="R1810" s="217"/>
      <c r="S1810" s="218"/>
      <c r="T1810" s="180"/>
      <c r="U1810" s="181"/>
      <c r="V1810" s="181"/>
      <c r="W1810" s="181"/>
      <c r="X1810" s="181"/>
      <c r="Y1810" s="3"/>
      <c r="Z1810" s="3"/>
    </row>
    <row r="1811" spans="1:26" ht="23.25" customHeight="1">
      <c r="A1811" s="281"/>
      <c r="B1811" s="281"/>
      <c r="C1811" s="281"/>
      <c r="F1811" s="173"/>
      <c r="G1811" s="173"/>
      <c r="H1811" s="173"/>
      <c r="I1811" s="174"/>
      <c r="K1811" s="177"/>
      <c r="L1811" s="177"/>
      <c r="Q1811" s="179"/>
      <c r="R1811" s="217"/>
      <c r="S1811" s="218"/>
      <c r="T1811" s="180"/>
      <c r="U1811" s="181"/>
      <c r="V1811" s="181"/>
      <c r="W1811" s="181"/>
      <c r="X1811" s="181"/>
      <c r="Y1811" s="3"/>
      <c r="Z1811" s="3"/>
    </row>
    <row r="1812" spans="1:26" ht="23.25" customHeight="1">
      <c r="A1812" s="281"/>
      <c r="B1812" s="281"/>
      <c r="C1812" s="281"/>
      <c r="F1812" s="173"/>
      <c r="G1812" s="173"/>
      <c r="H1812" s="173"/>
      <c r="I1812" s="174"/>
      <c r="K1812" s="177"/>
      <c r="L1812" s="177"/>
      <c r="Q1812" s="179"/>
      <c r="R1812" s="217"/>
      <c r="S1812" s="218"/>
      <c r="T1812" s="180"/>
      <c r="U1812" s="181"/>
      <c r="V1812" s="181"/>
      <c r="W1812" s="181"/>
      <c r="X1812" s="181"/>
      <c r="Y1812" s="3"/>
      <c r="Z1812" s="3"/>
    </row>
    <row r="1813" spans="1:26" ht="23.25" customHeight="1">
      <c r="A1813" s="281"/>
      <c r="B1813" s="281"/>
      <c r="C1813" s="281"/>
      <c r="F1813" s="173"/>
      <c r="G1813" s="173"/>
      <c r="H1813" s="173"/>
      <c r="I1813" s="174"/>
      <c r="K1813" s="177"/>
      <c r="L1813" s="177"/>
      <c r="Q1813" s="179"/>
      <c r="R1813" s="217"/>
      <c r="S1813" s="218"/>
      <c r="T1813" s="180"/>
      <c r="U1813" s="181"/>
      <c r="V1813" s="181"/>
      <c r="W1813" s="181"/>
      <c r="X1813" s="181"/>
      <c r="Y1813" s="3"/>
      <c r="Z1813" s="3"/>
    </row>
    <row r="1814" spans="1:26" ht="23.25" customHeight="1">
      <c r="A1814" s="281"/>
      <c r="B1814" s="281"/>
      <c r="C1814" s="281"/>
      <c r="F1814" s="173"/>
      <c r="G1814" s="173"/>
      <c r="H1814" s="173"/>
      <c r="I1814" s="174"/>
      <c r="K1814" s="177"/>
      <c r="L1814" s="177"/>
      <c r="Q1814" s="179"/>
      <c r="R1814" s="217"/>
      <c r="S1814" s="218"/>
      <c r="T1814" s="180"/>
      <c r="U1814" s="181"/>
      <c r="V1814" s="181"/>
      <c r="W1814" s="181"/>
      <c r="X1814" s="181"/>
      <c r="Y1814" s="3"/>
      <c r="Z1814" s="3"/>
    </row>
    <row r="1815" spans="1:26" ht="23.25" customHeight="1">
      <c r="A1815" s="281"/>
      <c r="B1815" s="281"/>
      <c r="C1815" s="281"/>
      <c r="F1815" s="173"/>
      <c r="G1815" s="173"/>
      <c r="H1815" s="173"/>
      <c r="I1815" s="174"/>
      <c r="K1815" s="177"/>
      <c r="L1815" s="177"/>
      <c r="Q1815" s="179"/>
      <c r="R1815" s="217"/>
      <c r="S1815" s="218"/>
      <c r="T1815" s="180"/>
      <c r="U1815" s="181"/>
      <c r="V1815" s="181"/>
      <c r="W1815" s="181"/>
      <c r="X1815" s="181"/>
      <c r="Y1815" s="3"/>
      <c r="Z1815" s="3"/>
    </row>
    <row r="1816" spans="1:26" ht="23.25" customHeight="1">
      <c r="A1816" s="281"/>
      <c r="B1816" s="281"/>
      <c r="C1816" s="281"/>
      <c r="F1816" s="173"/>
      <c r="G1816" s="173"/>
      <c r="H1816" s="173"/>
      <c r="I1816" s="174"/>
      <c r="K1816" s="177"/>
      <c r="L1816" s="177"/>
      <c r="Q1816" s="179"/>
      <c r="R1816" s="217"/>
      <c r="S1816" s="218"/>
      <c r="T1816" s="180"/>
      <c r="U1816" s="181"/>
      <c r="V1816" s="181"/>
      <c r="W1816" s="181"/>
      <c r="X1816" s="181"/>
      <c r="Y1816" s="3"/>
      <c r="Z1816" s="3"/>
    </row>
    <row r="1817" spans="1:26" ht="23.25" customHeight="1">
      <c r="A1817" s="281"/>
      <c r="B1817" s="281"/>
      <c r="C1817" s="281"/>
      <c r="F1817" s="173"/>
      <c r="G1817" s="173"/>
      <c r="H1817" s="173"/>
      <c r="I1817" s="174"/>
      <c r="K1817" s="177"/>
      <c r="L1817" s="177"/>
      <c r="Q1817" s="179"/>
      <c r="R1817" s="217"/>
      <c r="S1817" s="218"/>
      <c r="T1817" s="180"/>
      <c r="U1817" s="181"/>
      <c r="V1817" s="181"/>
      <c r="W1817" s="181"/>
      <c r="X1817" s="181"/>
      <c r="Y1817" s="3"/>
      <c r="Z1817" s="3"/>
    </row>
    <row r="1818" spans="1:26" ht="23.25" customHeight="1">
      <c r="A1818" s="281"/>
      <c r="B1818" s="281"/>
      <c r="C1818" s="281"/>
      <c r="F1818" s="173"/>
      <c r="G1818" s="173"/>
      <c r="H1818" s="173"/>
      <c r="I1818" s="174"/>
      <c r="K1818" s="177"/>
      <c r="L1818" s="177"/>
      <c r="Q1818" s="179"/>
      <c r="R1818" s="217"/>
      <c r="S1818" s="218"/>
      <c r="T1818" s="180"/>
      <c r="U1818" s="181"/>
      <c r="V1818" s="181"/>
      <c r="W1818" s="181"/>
      <c r="X1818" s="181"/>
      <c r="Y1818" s="3"/>
      <c r="Z1818" s="3"/>
    </row>
    <row r="1819" spans="1:26" ht="23.25" customHeight="1">
      <c r="A1819" s="281"/>
      <c r="B1819" s="281"/>
      <c r="C1819" s="281"/>
      <c r="F1819" s="173"/>
      <c r="G1819" s="173"/>
      <c r="H1819" s="173"/>
      <c r="I1819" s="174"/>
      <c r="K1819" s="177"/>
      <c r="L1819" s="177"/>
      <c r="Q1819" s="179"/>
      <c r="R1819" s="217"/>
      <c r="S1819" s="218"/>
      <c r="T1819" s="180"/>
      <c r="U1819" s="181"/>
      <c r="V1819" s="181"/>
      <c r="W1819" s="181"/>
      <c r="X1819" s="181"/>
      <c r="Y1819" s="3"/>
      <c r="Z1819" s="3"/>
    </row>
    <row r="1820" spans="1:26" ht="23.25" customHeight="1">
      <c r="A1820" s="281"/>
      <c r="B1820" s="281"/>
      <c r="C1820" s="281"/>
      <c r="F1820" s="173"/>
      <c r="G1820" s="173"/>
      <c r="H1820" s="173"/>
      <c r="I1820" s="174"/>
      <c r="K1820" s="177"/>
      <c r="L1820" s="177"/>
      <c r="Q1820" s="179"/>
      <c r="R1820" s="217"/>
      <c r="S1820" s="218"/>
      <c r="T1820" s="180"/>
      <c r="U1820" s="181"/>
      <c r="V1820" s="181"/>
      <c r="W1820" s="181"/>
      <c r="X1820" s="181"/>
      <c r="Y1820" s="3"/>
      <c r="Z1820" s="3"/>
    </row>
    <row r="1821" spans="1:26" ht="23.25" customHeight="1">
      <c r="A1821" s="281"/>
      <c r="B1821" s="281"/>
      <c r="C1821" s="281"/>
      <c r="F1821" s="173"/>
      <c r="G1821" s="173"/>
      <c r="H1821" s="173"/>
      <c r="I1821" s="174"/>
      <c r="K1821" s="177"/>
      <c r="L1821" s="177"/>
      <c r="Q1821" s="179"/>
      <c r="R1821" s="217"/>
      <c r="S1821" s="218"/>
      <c r="T1821" s="180"/>
      <c r="U1821" s="181"/>
      <c r="V1821" s="181"/>
      <c r="W1821" s="181"/>
      <c r="X1821" s="181"/>
      <c r="Y1821" s="3"/>
      <c r="Z1821" s="3"/>
    </row>
    <row r="1822" spans="1:26" ht="23.25" customHeight="1">
      <c r="A1822" s="281"/>
      <c r="B1822" s="281"/>
      <c r="C1822" s="281"/>
      <c r="F1822" s="173"/>
      <c r="G1822" s="173"/>
      <c r="H1822" s="173"/>
      <c r="I1822" s="174"/>
      <c r="K1822" s="177"/>
      <c r="L1822" s="177"/>
      <c r="Q1822" s="179"/>
      <c r="R1822" s="217"/>
      <c r="S1822" s="218"/>
      <c r="T1822" s="180"/>
      <c r="U1822" s="181"/>
      <c r="V1822" s="181"/>
      <c r="W1822" s="181"/>
      <c r="X1822" s="181"/>
      <c r="Y1822" s="3"/>
      <c r="Z1822" s="3"/>
    </row>
    <row r="1823" spans="1:26" ht="23.25" customHeight="1">
      <c r="A1823" s="281"/>
      <c r="B1823" s="281"/>
      <c r="C1823" s="281"/>
      <c r="F1823" s="173"/>
      <c r="G1823" s="173"/>
      <c r="H1823" s="173"/>
      <c r="I1823" s="174"/>
      <c r="K1823" s="177"/>
      <c r="L1823" s="177"/>
      <c r="Q1823" s="179"/>
      <c r="R1823" s="217"/>
      <c r="S1823" s="218"/>
      <c r="T1823" s="180"/>
      <c r="U1823" s="181"/>
      <c r="V1823" s="181"/>
      <c r="W1823" s="181"/>
      <c r="X1823" s="181"/>
      <c r="Y1823" s="3"/>
      <c r="Z1823" s="3"/>
    </row>
    <row r="1824" spans="1:26" ht="23.25" customHeight="1">
      <c r="A1824" s="281"/>
      <c r="B1824" s="281"/>
      <c r="C1824" s="281"/>
      <c r="F1824" s="173"/>
      <c r="G1824" s="173"/>
      <c r="H1824" s="173"/>
      <c r="I1824" s="174"/>
      <c r="K1824" s="177"/>
      <c r="L1824" s="177"/>
      <c r="Q1824" s="179"/>
      <c r="R1824" s="217"/>
      <c r="S1824" s="218"/>
      <c r="T1824" s="180"/>
      <c r="U1824" s="181"/>
      <c r="V1824" s="181"/>
      <c r="W1824" s="181"/>
      <c r="X1824" s="181"/>
      <c r="Y1824" s="3"/>
      <c r="Z1824" s="3"/>
    </row>
    <row r="1825" spans="1:26" ht="23.25" customHeight="1">
      <c r="A1825" s="281"/>
      <c r="B1825" s="281"/>
      <c r="C1825" s="281"/>
      <c r="F1825" s="173"/>
      <c r="G1825" s="173"/>
      <c r="H1825" s="173"/>
      <c r="I1825" s="174"/>
      <c r="K1825" s="177"/>
      <c r="L1825" s="177"/>
      <c r="Q1825" s="179"/>
      <c r="R1825" s="217"/>
      <c r="S1825" s="218"/>
      <c r="T1825" s="180"/>
      <c r="U1825" s="181"/>
      <c r="V1825" s="181"/>
      <c r="W1825" s="181"/>
      <c r="X1825" s="181"/>
      <c r="Y1825" s="3"/>
      <c r="Z1825" s="3"/>
    </row>
    <row r="1826" spans="1:26" ht="23.25" customHeight="1">
      <c r="A1826" s="281"/>
      <c r="B1826" s="281"/>
      <c r="C1826" s="281"/>
      <c r="F1826" s="173"/>
      <c r="G1826" s="173"/>
      <c r="H1826" s="173"/>
      <c r="I1826" s="174"/>
      <c r="K1826" s="177"/>
      <c r="L1826" s="177"/>
      <c r="Q1826" s="179"/>
      <c r="R1826" s="217"/>
      <c r="S1826" s="218"/>
      <c r="T1826" s="180"/>
      <c r="U1826" s="181"/>
      <c r="V1826" s="181"/>
      <c r="W1826" s="181"/>
      <c r="X1826" s="181"/>
      <c r="Y1826" s="3"/>
      <c r="Z1826" s="3"/>
    </row>
    <row r="1827" spans="1:26" ht="23.25" customHeight="1">
      <c r="A1827" s="281"/>
      <c r="B1827" s="281"/>
      <c r="C1827" s="281"/>
      <c r="F1827" s="173"/>
      <c r="G1827" s="173"/>
      <c r="H1827" s="173"/>
      <c r="I1827" s="174"/>
      <c r="K1827" s="177"/>
      <c r="L1827" s="177"/>
      <c r="Q1827" s="179"/>
      <c r="R1827" s="217"/>
      <c r="S1827" s="218"/>
      <c r="T1827" s="180"/>
      <c r="U1827" s="181"/>
      <c r="V1827" s="181"/>
      <c r="W1827" s="181"/>
      <c r="X1827" s="181"/>
      <c r="Y1827" s="3"/>
      <c r="Z1827" s="3"/>
    </row>
    <row r="1828" spans="1:26" ht="23.25" customHeight="1">
      <c r="A1828" s="281"/>
      <c r="B1828" s="281"/>
      <c r="C1828" s="281"/>
      <c r="F1828" s="173"/>
      <c r="G1828" s="173"/>
      <c r="H1828" s="173"/>
      <c r="I1828" s="174"/>
      <c r="K1828" s="177"/>
      <c r="L1828" s="177"/>
      <c r="Q1828" s="179"/>
      <c r="R1828" s="217"/>
      <c r="S1828" s="218"/>
      <c r="T1828" s="180"/>
      <c r="U1828" s="181"/>
      <c r="V1828" s="181"/>
      <c r="W1828" s="181"/>
      <c r="X1828" s="181"/>
      <c r="Y1828" s="3"/>
      <c r="Z1828" s="3"/>
    </row>
    <row r="1829" spans="1:26" ht="23.25" customHeight="1">
      <c r="A1829" s="281"/>
      <c r="B1829" s="281"/>
      <c r="C1829" s="281"/>
      <c r="F1829" s="173"/>
      <c r="G1829" s="173"/>
      <c r="H1829" s="173"/>
      <c r="I1829" s="174"/>
      <c r="K1829" s="177"/>
      <c r="L1829" s="177"/>
      <c r="Q1829" s="179"/>
      <c r="R1829" s="217"/>
      <c r="S1829" s="218"/>
      <c r="T1829" s="180"/>
      <c r="U1829" s="181"/>
      <c r="V1829" s="181"/>
      <c r="W1829" s="181"/>
      <c r="X1829" s="181"/>
      <c r="Y1829" s="3"/>
      <c r="Z1829" s="3"/>
    </row>
    <row r="1830" spans="1:26" ht="23.25" customHeight="1">
      <c r="A1830" s="281"/>
      <c r="B1830" s="281"/>
      <c r="C1830" s="281"/>
      <c r="F1830" s="173"/>
      <c r="G1830" s="173"/>
      <c r="H1830" s="173"/>
      <c r="I1830" s="174"/>
      <c r="K1830" s="177"/>
      <c r="L1830" s="177"/>
      <c r="Q1830" s="179"/>
      <c r="R1830" s="217"/>
      <c r="S1830" s="218"/>
      <c r="T1830" s="180"/>
      <c r="U1830" s="181"/>
      <c r="V1830" s="181"/>
      <c r="W1830" s="181"/>
      <c r="X1830" s="181"/>
      <c r="Y1830" s="3"/>
      <c r="Z1830" s="3"/>
    </row>
    <row r="1831" spans="1:26" ht="23.25" customHeight="1">
      <c r="A1831" s="281"/>
      <c r="B1831" s="281"/>
      <c r="C1831" s="281"/>
      <c r="F1831" s="173"/>
      <c r="G1831" s="173"/>
      <c r="H1831" s="173"/>
      <c r="I1831" s="174"/>
      <c r="K1831" s="177"/>
      <c r="L1831" s="177"/>
      <c r="Q1831" s="179"/>
      <c r="R1831" s="217"/>
      <c r="S1831" s="218"/>
      <c r="T1831" s="180"/>
      <c r="U1831" s="181"/>
      <c r="V1831" s="181"/>
      <c r="W1831" s="181"/>
      <c r="X1831" s="181"/>
      <c r="Y1831" s="3"/>
      <c r="Z1831" s="3"/>
    </row>
    <row r="1832" spans="1:26" ht="23.25" customHeight="1">
      <c r="A1832" s="281"/>
      <c r="B1832" s="281"/>
      <c r="C1832" s="281"/>
      <c r="F1832" s="173"/>
      <c r="G1832" s="173"/>
      <c r="H1832" s="173"/>
      <c r="I1832" s="174"/>
      <c r="K1832" s="177"/>
      <c r="L1832" s="177"/>
      <c r="Q1832" s="179"/>
      <c r="R1832" s="217"/>
      <c r="S1832" s="218"/>
      <c r="T1832" s="180"/>
      <c r="U1832" s="181"/>
      <c r="V1832" s="181"/>
      <c r="W1832" s="181"/>
      <c r="X1832" s="181"/>
      <c r="Y1832" s="3"/>
      <c r="Z1832" s="3"/>
    </row>
    <row r="1833" spans="1:26" ht="23.25" customHeight="1">
      <c r="A1833" s="281"/>
      <c r="B1833" s="281"/>
      <c r="C1833" s="281"/>
      <c r="F1833" s="173"/>
      <c r="G1833" s="173"/>
      <c r="H1833" s="173"/>
      <c r="I1833" s="174"/>
      <c r="K1833" s="177"/>
      <c r="L1833" s="177"/>
      <c r="Q1833" s="179"/>
      <c r="R1833" s="217"/>
      <c r="S1833" s="218"/>
      <c r="T1833" s="180"/>
      <c r="U1833" s="181"/>
      <c r="V1833" s="181"/>
      <c r="W1833" s="181"/>
      <c r="X1833" s="181"/>
      <c r="Y1833" s="3"/>
      <c r="Z1833" s="3"/>
    </row>
    <row r="1834" spans="1:26" ht="23.25" customHeight="1">
      <c r="A1834" s="281"/>
      <c r="B1834" s="281"/>
      <c r="C1834" s="281"/>
      <c r="F1834" s="173"/>
      <c r="G1834" s="173"/>
      <c r="H1834" s="173"/>
      <c r="I1834" s="174"/>
      <c r="K1834" s="177"/>
      <c r="L1834" s="177"/>
      <c r="Q1834" s="179"/>
      <c r="R1834" s="217"/>
      <c r="S1834" s="218"/>
      <c r="T1834" s="180"/>
      <c r="U1834" s="181"/>
      <c r="V1834" s="181"/>
      <c r="W1834" s="181"/>
      <c r="X1834" s="181"/>
      <c r="Y1834" s="3"/>
      <c r="Z1834" s="3"/>
    </row>
    <row r="1835" spans="1:26" ht="23.25" customHeight="1">
      <c r="A1835" s="281"/>
      <c r="B1835" s="281"/>
      <c r="C1835" s="281"/>
      <c r="F1835" s="173"/>
      <c r="G1835" s="173"/>
      <c r="H1835" s="173"/>
      <c r="I1835" s="174"/>
      <c r="K1835" s="177"/>
      <c r="L1835" s="177"/>
      <c r="Q1835" s="179"/>
      <c r="R1835" s="217"/>
      <c r="S1835" s="218"/>
      <c r="T1835" s="180"/>
      <c r="U1835" s="181"/>
      <c r="V1835" s="181"/>
      <c r="W1835" s="181"/>
      <c r="X1835" s="181"/>
      <c r="Y1835" s="3"/>
      <c r="Z1835" s="3"/>
    </row>
    <row r="1836" spans="1:26" ht="23.25" customHeight="1">
      <c r="A1836" s="281"/>
      <c r="B1836" s="281"/>
      <c r="C1836" s="281"/>
      <c r="F1836" s="173"/>
      <c r="G1836" s="173"/>
      <c r="H1836" s="173"/>
      <c r="I1836" s="174"/>
      <c r="K1836" s="177"/>
      <c r="L1836" s="177"/>
      <c r="Q1836" s="179"/>
      <c r="R1836" s="217"/>
      <c r="S1836" s="218"/>
      <c r="T1836" s="180"/>
      <c r="U1836" s="181"/>
      <c r="V1836" s="181"/>
      <c r="W1836" s="181"/>
      <c r="X1836" s="181"/>
      <c r="Y1836" s="3"/>
      <c r="Z1836" s="3"/>
    </row>
    <row r="1837" spans="1:26" ht="23.25" customHeight="1">
      <c r="A1837" s="281"/>
      <c r="B1837" s="281"/>
      <c r="C1837" s="281"/>
      <c r="F1837" s="173"/>
      <c r="G1837" s="173"/>
      <c r="H1837" s="173"/>
      <c r="I1837" s="174"/>
      <c r="K1837" s="177"/>
      <c r="L1837" s="177"/>
      <c r="Q1837" s="179"/>
      <c r="R1837" s="217"/>
      <c r="S1837" s="218"/>
      <c r="T1837" s="180"/>
      <c r="U1837" s="181"/>
      <c r="V1837" s="181"/>
      <c r="W1837" s="181"/>
      <c r="X1837" s="181"/>
      <c r="Y1837" s="3"/>
      <c r="Z1837" s="3"/>
    </row>
    <row r="1838" spans="1:26" ht="23.25" customHeight="1">
      <c r="A1838" s="281"/>
      <c r="B1838" s="281"/>
      <c r="C1838" s="281"/>
      <c r="F1838" s="173"/>
      <c r="G1838" s="173"/>
      <c r="H1838" s="173"/>
      <c r="I1838" s="174"/>
      <c r="K1838" s="177"/>
      <c r="L1838" s="177"/>
      <c r="Q1838" s="179"/>
      <c r="R1838" s="217"/>
      <c r="S1838" s="218"/>
      <c r="T1838" s="180"/>
      <c r="U1838" s="181"/>
      <c r="V1838" s="181"/>
      <c r="W1838" s="181"/>
      <c r="X1838" s="181"/>
      <c r="Y1838" s="3"/>
      <c r="Z1838" s="3"/>
    </row>
    <row r="1839" spans="1:26" ht="23.25" customHeight="1">
      <c r="A1839" s="281"/>
      <c r="B1839" s="281"/>
      <c r="C1839" s="281"/>
      <c r="F1839" s="173"/>
      <c r="G1839" s="173"/>
      <c r="H1839" s="173"/>
      <c r="I1839" s="174"/>
      <c r="K1839" s="177"/>
      <c r="L1839" s="177"/>
      <c r="Q1839" s="179"/>
      <c r="R1839" s="217"/>
      <c r="S1839" s="218"/>
      <c r="T1839" s="180"/>
      <c r="U1839" s="181"/>
      <c r="V1839" s="181"/>
      <c r="W1839" s="181"/>
      <c r="X1839" s="181"/>
      <c r="Y1839" s="3"/>
      <c r="Z1839" s="3"/>
    </row>
    <row r="1840" spans="1:26" ht="23.25" customHeight="1">
      <c r="A1840" s="281"/>
      <c r="B1840" s="281"/>
      <c r="C1840" s="281"/>
      <c r="F1840" s="173"/>
      <c r="G1840" s="173"/>
      <c r="H1840" s="173"/>
      <c r="I1840" s="174"/>
      <c r="K1840" s="177"/>
      <c r="L1840" s="177"/>
      <c r="Q1840" s="179"/>
      <c r="R1840" s="217"/>
      <c r="S1840" s="218"/>
      <c r="T1840" s="180"/>
      <c r="U1840" s="181"/>
      <c r="V1840" s="181"/>
      <c r="W1840" s="181"/>
      <c r="X1840" s="181"/>
      <c r="Y1840" s="3"/>
      <c r="Z1840" s="3"/>
    </row>
    <row r="1841" spans="1:28" ht="23.25" customHeight="1">
      <c r="A1841" s="281"/>
      <c r="B1841" s="281"/>
      <c r="C1841" s="281"/>
      <c r="F1841" s="173"/>
      <c r="G1841" s="173"/>
      <c r="H1841" s="173"/>
      <c r="I1841" s="174"/>
      <c r="K1841" s="177"/>
      <c r="L1841" s="177"/>
      <c r="Q1841" s="179"/>
      <c r="R1841" s="217"/>
      <c r="S1841" s="218"/>
      <c r="T1841" s="180"/>
      <c r="U1841" s="181"/>
      <c r="V1841" s="181"/>
      <c r="W1841" s="181"/>
      <c r="X1841" s="181"/>
      <c r="Y1841" s="3"/>
      <c r="Z1841" s="3"/>
    </row>
    <row r="1842" spans="1:28" ht="23.25" customHeight="1">
      <c r="A1842" s="281"/>
      <c r="B1842" s="281"/>
      <c r="C1842" s="281"/>
      <c r="F1842" s="173"/>
      <c r="G1842" s="173"/>
      <c r="H1842" s="173"/>
      <c r="I1842" s="174"/>
      <c r="K1842" s="177"/>
      <c r="L1842" s="177"/>
      <c r="Q1842" s="179"/>
      <c r="R1842" s="217"/>
      <c r="S1842" s="218"/>
      <c r="T1842" s="180"/>
      <c r="U1842" s="181"/>
      <c r="V1842" s="181"/>
      <c r="W1842" s="181"/>
      <c r="X1842" s="181"/>
      <c r="Y1842" s="3"/>
      <c r="Z1842" s="3"/>
    </row>
    <row r="1843" spans="1:28" ht="23.25" customHeight="1">
      <c r="A1843" s="281"/>
      <c r="B1843" s="281"/>
      <c r="C1843" s="281"/>
      <c r="F1843" s="173"/>
      <c r="G1843" s="173"/>
      <c r="H1843" s="173"/>
      <c r="I1843" s="174"/>
      <c r="K1843" s="177"/>
      <c r="L1843" s="177"/>
      <c r="Q1843" s="179"/>
      <c r="R1843" s="217"/>
      <c r="S1843" s="218"/>
      <c r="T1843" s="180"/>
      <c r="U1843" s="181"/>
      <c r="V1843" s="181"/>
      <c r="W1843" s="181"/>
      <c r="X1843" s="181"/>
      <c r="Y1843" s="3"/>
      <c r="Z1843" s="3"/>
    </row>
    <row r="1844" spans="1:28" ht="23.25" customHeight="1">
      <c r="A1844" s="281"/>
      <c r="B1844" s="281"/>
      <c r="C1844" s="281"/>
      <c r="F1844" s="173"/>
      <c r="G1844" s="173"/>
      <c r="H1844" s="173"/>
      <c r="I1844" s="174"/>
      <c r="K1844" s="177"/>
      <c r="L1844" s="177"/>
      <c r="Q1844" s="179"/>
      <c r="R1844" s="217"/>
      <c r="S1844" s="218"/>
      <c r="T1844" s="180"/>
      <c r="U1844" s="181"/>
      <c r="V1844" s="181"/>
      <c r="W1844" s="181"/>
      <c r="X1844" s="181"/>
      <c r="Y1844" s="3"/>
      <c r="Z1844" s="3"/>
    </row>
    <row r="1845" spans="1:28" ht="23.25" customHeight="1">
      <c r="A1845" s="281"/>
      <c r="B1845" s="281"/>
      <c r="C1845" s="281"/>
      <c r="F1845" s="173"/>
      <c r="G1845" s="173"/>
      <c r="H1845" s="173"/>
      <c r="I1845" s="174"/>
      <c r="K1845" s="177"/>
      <c r="L1845" s="177"/>
      <c r="Q1845" s="179"/>
      <c r="R1845" s="217"/>
      <c r="S1845" s="218"/>
      <c r="T1845" s="180"/>
      <c r="U1845" s="181"/>
      <c r="V1845" s="181"/>
      <c r="W1845" s="181"/>
      <c r="X1845" s="181"/>
      <c r="Y1845" s="3"/>
      <c r="Z1845" s="3"/>
    </row>
    <row r="1846" spans="1:28" ht="23.25" customHeight="1">
      <c r="A1846" s="281"/>
      <c r="B1846" s="281"/>
      <c r="C1846" s="281"/>
      <c r="F1846" s="173"/>
      <c r="G1846" s="173"/>
      <c r="H1846" s="173"/>
      <c r="I1846" s="174"/>
      <c r="K1846" s="177"/>
      <c r="L1846" s="177"/>
      <c r="Q1846" s="179"/>
      <c r="R1846" s="217"/>
      <c r="S1846" s="218"/>
      <c r="T1846" s="180"/>
      <c r="U1846" s="181"/>
      <c r="V1846" s="181"/>
      <c r="W1846" s="181"/>
      <c r="X1846" s="181"/>
      <c r="Y1846" s="3"/>
      <c r="Z1846" s="3"/>
    </row>
    <row r="1847" spans="1:28" ht="23.25" customHeight="1">
      <c r="A1847" s="377"/>
      <c r="B1847" s="281"/>
      <c r="C1847" s="342"/>
      <c r="D1847" s="287"/>
      <c r="E1847" s="287"/>
      <c r="F1847" s="296"/>
      <c r="G1847" s="296"/>
      <c r="H1847" s="296"/>
      <c r="I1847" s="174"/>
      <c r="K1847" s="299"/>
      <c r="L1847" s="299"/>
      <c r="M1847" s="300"/>
      <c r="N1847" s="300"/>
      <c r="O1847" s="287"/>
      <c r="P1847" s="301"/>
      <c r="Q1847" s="302"/>
      <c r="R1847" s="303"/>
      <c r="S1847" s="312"/>
      <c r="T1847" s="304"/>
      <c r="U1847" s="305"/>
      <c r="V1847" s="305"/>
      <c r="W1847" s="305"/>
      <c r="X1847" s="305"/>
      <c r="Y1847" s="287"/>
      <c r="Z1847" s="287"/>
      <c r="AA1847" s="298"/>
      <c r="AB1847" s="306"/>
    </row>
    <row r="1848" spans="1:28" ht="23.25" customHeight="1">
      <c r="A1848" s="377"/>
      <c r="B1848" s="378"/>
      <c r="C1848" s="378"/>
      <c r="D1848" s="287"/>
      <c r="E1848" s="287"/>
      <c r="F1848" s="296"/>
      <c r="G1848" s="296"/>
      <c r="H1848" s="296"/>
      <c r="I1848" s="310"/>
      <c r="K1848" s="177"/>
      <c r="L1848" s="299"/>
      <c r="M1848" s="300"/>
      <c r="N1848" s="300"/>
      <c r="O1848" s="287"/>
      <c r="P1848" s="301"/>
      <c r="Q1848" s="302"/>
      <c r="R1848" s="303"/>
      <c r="S1848" s="312"/>
      <c r="T1848" s="304"/>
      <c r="U1848" s="305"/>
      <c r="V1848" s="305"/>
      <c r="W1848" s="305"/>
      <c r="X1848" s="305"/>
      <c r="Y1848" s="287"/>
      <c r="Z1848" s="287"/>
      <c r="AA1848" s="298"/>
      <c r="AB1848" s="306"/>
    </row>
    <row r="1849" spans="1:28" ht="23.25" customHeight="1">
      <c r="A1849" s="377"/>
      <c r="B1849" s="281"/>
      <c r="C1849" s="342"/>
      <c r="D1849" s="287"/>
      <c r="E1849" s="287"/>
      <c r="F1849" s="296"/>
      <c r="G1849" s="296"/>
      <c r="H1849" s="296"/>
      <c r="I1849" s="310"/>
      <c r="K1849" s="177"/>
      <c r="L1849" s="299"/>
      <c r="M1849" s="300"/>
      <c r="N1849" s="300"/>
      <c r="O1849" s="287"/>
      <c r="P1849" s="301"/>
      <c r="Q1849" s="302"/>
      <c r="R1849" s="217"/>
      <c r="S1849" s="218"/>
      <c r="T1849" s="304"/>
      <c r="U1849" s="305"/>
      <c r="V1849" s="305"/>
      <c r="W1849" s="305"/>
      <c r="X1849" s="181"/>
      <c r="Y1849" s="287"/>
      <c r="Z1849" s="287"/>
      <c r="AA1849" s="298"/>
      <c r="AB1849" s="306"/>
    </row>
    <row r="1850" spans="1:28" ht="23.25" customHeight="1">
      <c r="A1850" s="377"/>
      <c r="B1850" s="342"/>
      <c r="C1850" s="342"/>
      <c r="D1850" s="287"/>
      <c r="E1850" s="287"/>
      <c r="F1850" s="296"/>
      <c r="G1850" s="296"/>
      <c r="H1850" s="296"/>
      <c r="I1850" s="310"/>
      <c r="J1850" s="298"/>
      <c r="K1850" s="177"/>
      <c r="L1850" s="299"/>
      <c r="M1850" s="300"/>
      <c r="N1850" s="300"/>
      <c r="O1850" s="287"/>
      <c r="P1850" s="301"/>
      <c r="Q1850" s="302"/>
      <c r="R1850" s="303"/>
      <c r="S1850" s="312"/>
      <c r="T1850" s="304"/>
      <c r="U1850" s="305"/>
      <c r="V1850" s="305"/>
      <c r="W1850" s="305"/>
      <c r="X1850" s="305"/>
      <c r="Y1850" s="287"/>
      <c r="Z1850" s="287"/>
      <c r="AA1850" s="298"/>
      <c r="AB1850" s="306"/>
    </row>
    <row r="1851" spans="1:28" ht="23.25" customHeight="1">
      <c r="A1851" s="377"/>
      <c r="B1851" s="342"/>
      <c r="C1851" s="342"/>
      <c r="D1851" s="287"/>
      <c r="E1851" s="287"/>
      <c r="F1851" s="296"/>
      <c r="G1851" s="296"/>
      <c r="H1851" s="296"/>
      <c r="I1851" s="174"/>
      <c r="K1851" s="177"/>
      <c r="L1851" s="299"/>
      <c r="M1851" s="300"/>
      <c r="N1851" s="300"/>
      <c r="O1851" s="287"/>
      <c r="P1851" s="301"/>
      <c r="Q1851" s="302"/>
      <c r="R1851" s="303"/>
      <c r="S1851" s="218"/>
      <c r="T1851" s="304"/>
      <c r="U1851" s="305"/>
      <c r="V1851" s="305"/>
      <c r="W1851" s="305"/>
      <c r="X1851" s="181"/>
      <c r="Y1851" s="287"/>
      <c r="Z1851" s="287"/>
      <c r="AA1851" s="12"/>
      <c r="AB1851" s="306"/>
    </row>
    <row r="1852" spans="1:28" ht="23.25" customHeight="1">
      <c r="A1852" s="377"/>
      <c r="B1852" s="342"/>
      <c r="C1852" s="342"/>
      <c r="D1852" s="287"/>
      <c r="E1852" s="287"/>
      <c r="F1852" s="296"/>
      <c r="G1852" s="296"/>
      <c r="H1852" s="296"/>
      <c r="I1852" s="174"/>
      <c r="K1852" s="177"/>
      <c r="L1852" s="299"/>
      <c r="M1852" s="300"/>
      <c r="N1852" s="300"/>
      <c r="O1852" s="287"/>
      <c r="P1852" s="301"/>
      <c r="Q1852" s="302"/>
      <c r="R1852" s="303"/>
      <c r="S1852" s="218"/>
      <c r="T1852" s="304"/>
      <c r="U1852" s="305"/>
      <c r="V1852" s="305"/>
      <c r="W1852" s="305"/>
      <c r="X1852" s="181"/>
      <c r="Y1852" s="287"/>
      <c r="Z1852" s="287"/>
      <c r="AA1852" s="298"/>
      <c r="AB1852" s="306"/>
    </row>
    <row r="1853" spans="1:28" ht="23.25" customHeight="1">
      <c r="A1853" s="377"/>
      <c r="B1853" s="342"/>
      <c r="C1853" s="342"/>
      <c r="D1853" s="287"/>
      <c r="E1853" s="287"/>
      <c r="F1853" s="296"/>
      <c r="G1853" s="296"/>
      <c r="H1853" s="296"/>
      <c r="I1853" s="310"/>
      <c r="J1853" s="298"/>
      <c r="K1853" s="177"/>
      <c r="L1853" s="299"/>
      <c r="M1853" s="300"/>
      <c r="N1853" s="300"/>
      <c r="O1853" s="287"/>
      <c r="P1853" s="301"/>
      <c r="Q1853" s="302"/>
      <c r="R1853" s="303"/>
      <c r="S1853" s="218"/>
      <c r="T1853" s="304"/>
      <c r="U1853" s="305"/>
      <c r="V1853" s="305"/>
      <c r="W1853" s="305"/>
      <c r="X1853" s="181"/>
      <c r="Y1853" s="287"/>
      <c r="Z1853" s="287"/>
      <c r="AA1853" s="298"/>
      <c r="AB1853" s="306"/>
    </row>
    <row r="1854" spans="1:28" ht="23.25" customHeight="1">
      <c r="A1854" s="377"/>
      <c r="B1854" s="342"/>
      <c r="C1854" s="342"/>
      <c r="D1854" s="287"/>
      <c r="E1854" s="287"/>
      <c r="F1854" s="296"/>
      <c r="G1854" s="296"/>
      <c r="H1854" s="296"/>
      <c r="I1854" s="310"/>
      <c r="J1854" s="298"/>
      <c r="K1854" s="177"/>
      <c r="L1854" s="299"/>
      <c r="M1854" s="300"/>
      <c r="N1854" s="300"/>
      <c r="O1854" s="287"/>
      <c r="P1854" s="301"/>
      <c r="Q1854" s="302"/>
      <c r="R1854" s="303"/>
      <c r="S1854" s="312"/>
      <c r="T1854" s="304"/>
      <c r="U1854" s="305"/>
      <c r="V1854" s="305"/>
      <c r="W1854" s="305"/>
      <c r="X1854" s="305"/>
      <c r="Y1854" s="287"/>
      <c r="Z1854" s="287"/>
      <c r="AA1854" s="298"/>
      <c r="AB1854" s="306"/>
    </row>
    <row r="1855" spans="1:28" ht="23.25" customHeight="1">
      <c r="A1855" s="377"/>
      <c r="B1855" s="342"/>
      <c r="C1855" s="342"/>
      <c r="D1855" s="287"/>
      <c r="E1855" s="287"/>
      <c r="F1855" s="296"/>
      <c r="G1855" s="296"/>
      <c r="H1855" s="296"/>
      <c r="I1855" s="310"/>
      <c r="J1855" s="298"/>
      <c r="K1855" s="177"/>
      <c r="L1855" s="299"/>
      <c r="M1855" s="300"/>
      <c r="N1855" s="300"/>
      <c r="O1855" s="287"/>
      <c r="P1855" s="301"/>
      <c r="Q1855" s="302"/>
      <c r="R1855" s="303"/>
      <c r="S1855" s="218"/>
      <c r="T1855" s="304"/>
      <c r="U1855" s="305"/>
      <c r="V1855" s="305"/>
      <c r="W1855" s="305"/>
      <c r="X1855" s="181"/>
      <c r="Y1855" s="287"/>
      <c r="Z1855" s="287"/>
      <c r="AA1855" s="298"/>
      <c r="AB1855" s="306"/>
    </row>
    <row r="1856" spans="1:28" ht="23.25" customHeight="1">
      <c r="A1856" s="377"/>
      <c r="B1856" s="281"/>
      <c r="C1856" s="342"/>
      <c r="D1856" s="287"/>
      <c r="E1856" s="287"/>
      <c r="F1856" s="296"/>
      <c r="G1856" s="173"/>
      <c r="H1856" s="173"/>
      <c r="I1856" s="174"/>
      <c r="K1856" s="177"/>
      <c r="L1856" s="290"/>
      <c r="M1856" s="300"/>
      <c r="N1856" s="300"/>
      <c r="O1856" s="287"/>
      <c r="P1856" s="301"/>
      <c r="Q1856" s="302"/>
      <c r="R1856" s="303"/>
      <c r="S1856" s="312"/>
      <c r="T1856" s="304"/>
      <c r="U1856" s="305"/>
      <c r="V1856" s="305"/>
      <c r="W1856" s="305"/>
      <c r="X1856" s="305"/>
      <c r="Y1856" s="287"/>
      <c r="Z1856" s="287"/>
      <c r="AA1856" s="298"/>
      <c r="AB1856" s="306"/>
    </row>
    <row r="1857" spans="1:28" ht="23.25" customHeight="1">
      <c r="A1857" s="377"/>
      <c r="B1857" s="342"/>
      <c r="C1857" s="342"/>
      <c r="D1857" s="287"/>
      <c r="E1857" s="21"/>
      <c r="F1857" s="296"/>
      <c r="G1857" s="296"/>
      <c r="H1857" s="296"/>
      <c r="I1857" s="310"/>
      <c r="J1857" s="298"/>
      <c r="K1857" s="177"/>
      <c r="L1857" s="290"/>
      <c r="M1857" s="300"/>
      <c r="N1857" s="300"/>
      <c r="O1857" s="287"/>
      <c r="P1857" s="301"/>
      <c r="Q1857" s="302"/>
      <c r="R1857" s="303"/>
      <c r="S1857" s="312"/>
      <c r="T1857" s="304"/>
      <c r="U1857" s="305"/>
      <c r="V1857" s="305"/>
      <c r="W1857" s="305"/>
      <c r="X1857" s="305"/>
      <c r="Y1857" s="287"/>
      <c r="Z1857" s="287"/>
      <c r="AA1857" s="298"/>
      <c r="AB1857" s="306"/>
    </row>
    <row r="1858" spans="1:28" ht="23.25" customHeight="1">
      <c r="A1858" s="377"/>
      <c r="B1858" s="342"/>
      <c r="C1858" s="342"/>
      <c r="D1858" s="287"/>
      <c r="E1858" s="21"/>
      <c r="F1858" s="296"/>
      <c r="G1858" s="296"/>
      <c r="H1858" s="296"/>
      <c r="I1858" s="310"/>
      <c r="J1858" s="298"/>
      <c r="K1858" s="177"/>
      <c r="L1858" s="290"/>
      <c r="M1858" s="300"/>
      <c r="N1858" s="300"/>
      <c r="O1858" s="287"/>
      <c r="P1858" s="301"/>
      <c r="Q1858" s="302"/>
      <c r="R1858" s="303"/>
      <c r="S1858" s="312"/>
      <c r="T1858" s="304"/>
      <c r="U1858" s="305"/>
      <c r="V1858" s="305"/>
      <c r="W1858" s="305"/>
      <c r="X1858" s="305"/>
      <c r="Y1858" s="287"/>
      <c r="Z1858" s="287"/>
      <c r="AA1858" s="298"/>
      <c r="AB1858" s="306"/>
    </row>
    <row r="1859" spans="1:28" ht="23.25" customHeight="1">
      <c r="A1859" s="377"/>
      <c r="B1859" s="342"/>
      <c r="C1859" s="342"/>
      <c r="D1859" s="287"/>
      <c r="E1859" s="287"/>
      <c r="F1859" s="296"/>
      <c r="G1859" s="296"/>
      <c r="H1859" s="296"/>
      <c r="I1859" s="310"/>
      <c r="J1859" s="298"/>
      <c r="K1859" s="177"/>
      <c r="L1859" s="290"/>
      <c r="M1859" s="300"/>
      <c r="N1859" s="300"/>
      <c r="O1859" s="287"/>
      <c r="P1859" s="301"/>
      <c r="Q1859" s="302"/>
      <c r="R1859" s="303"/>
      <c r="S1859" s="312"/>
      <c r="T1859" s="304"/>
      <c r="U1859" s="305"/>
      <c r="V1859" s="305"/>
      <c r="W1859" s="305"/>
      <c r="X1859" s="305"/>
      <c r="Y1859" s="287"/>
      <c r="Z1859" s="287"/>
      <c r="AA1859" s="298"/>
      <c r="AB1859" s="306"/>
    </row>
    <row r="1860" spans="1:28" ht="23.25" customHeight="1">
      <c r="A1860" s="377"/>
      <c r="B1860" s="342"/>
      <c r="C1860" s="342"/>
      <c r="D1860" s="287"/>
      <c r="E1860" s="287"/>
      <c r="F1860" s="296"/>
      <c r="G1860" s="296"/>
      <c r="H1860" s="296"/>
      <c r="I1860" s="310"/>
      <c r="J1860" s="298"/>
      <c r="K1860" s="177"/>
      <c r="L1860" s="299"/>
      <c r="M1860" s="300"/>
      <c r="N1860" s="300"/>
      <c r="O1860" s="287"/>
      <c r="P1860" s="301"/>
      <c r="Q1860" s="302"/>
      <c r="R1860" s="303"/>
      <c r="S1860" s="312"/>
      <c r="T1860" s="304"/>
      <c r="U1860" s="305"/>
      <c r="V1860" s="305"/>
      <c r="W1860" s="305"/>
      <c r="X1860" s="305"/>
      <c r="Y1860" s="287"/>
      <c r="Z1860" s="287"/>
      <c r="AA1860" s="298"/>
      <c r="AB1860" s="306"/>
    </row>
    <row r="1861" spans="1:28" ht="23.25" customHeight="1">
      <c r="A1861" s="377"/>
      <c r="B1861" s="342"/>
      <c r="C1861" s="342"/>
      <c r="D1861" s="287"/>
      <c r="E1861" s="287"/>
      <c r="F1861" s="296"/>
      <c r="G1861" s="296"/>
      <c r="H1861" s="296"/>
      <c r="I1861" s="310"/>
      <c r="J1861" s="298"/>
      <c r="K1861" s="177"/>
      <c r="L1861" s="299"/>
      <c r="M1861" s="300"/>
      <c r="N1861" s="300"/>
      <c r="O1861" s="287"/>
      <c r="P1861" s="301"/>
      <c r="Q1861" s="302"/>
      <c r="R1861" s="303"/>
      <c r="S1861" s="312"/>
      <c r="T1861" s="304"/>
      <c r="U1861" s="305"/>
      <c r="V1861" s="305"/>
      <c r="W1861" s="305"/>
      <c r="X1861" s="305"/>
      <c r="Y1861" s="287"/>
      <c r="Z1861" s="287"/>
      <c r="AA1861" s="298"/>
      <c r="AB1861" s="306"/>
    </row>
    <row r="1862" spans="1:28" ht="23.25" customHeight="1">
      <c r="A1862" s="377"/>
      <c r="B1862" s="342"/>
      <c r="C1862" s="342"/>
      <c r="D1862" s="287"/>
      <c r="E1862" s="287"/>
      <c r="F1862" s="296"/>
      <c r="G1862" s="296"/>
      <c r="H1862" s="296"/>
      <c r="I1862" s="310"/>
      <c r="J1862" s="298"/>
      <c r="K1862" s="177"/>
      <c r="L1862" s="299"/>
      <c r="M1862" s="300"/>
      <c r="N1862" s="300"/>
      <c r="O1862" s="287"/>
      <c r="P1862" s="301"/>
      <c r="Q1862" s="302"/>
      <c r="R1862" s="303"/>
      <c r="S1862" s="312"/>
      <c r="T1862" s="304"/>
      <c r="U1862" s="305"/>
      <c r="V1862" s="305"/>
      <c r="W1862" s="305"/>
      <c r="X1862" s="305"/>
      <c r="Y1862" s="287"/>
      <c r="Z1862" s="287"/>
      <c r="AA1862" s="298"/>
      <c r="AB1862" s="306"/>
    </row>
    <row r="1863" spans="1:28" ht="23.25" customHeight="1">
      <c r="A1863" s="377"/>
      <c r="B1863" s="342"/>
      <c r="C1863" s="342"/>
      <c r="D1863" s="287"/>
      <c r="E1863" s="287"/>
      <c r="F1863" s="296"/>
      <c r="G1863" s="296"/>
      <c r="H1863" s="296"/>
      <c r="I1863" s="310"/>
      <c r="J1863" s="298"/>
      <c r="K1863" s="177"/>
      <c r="L1863" s="290"/>
      <c r="M1863" s="300"/>
      <c r="N1863" s="300"/>
      <c r="O1863" s="287"/>
      <c r="P1863" s="301"/>
      <c r="Q1863" s="302"/>
      <c r="R1863" s="303"/>
      <c r="S1863" s="312"/>
      <c r="T1863" s="304"/>
      <c r="U1863" s="305"/>
      <c r="V1863" s="305"/>
      <c r="W1863" s="305"/>
      <c r="X1863" s="305"/>
      <c r="Y1863" s="287"/>
      <c r="Z1863" s="287"/>
      <c r="AA1863" s="298"/>
      <c r="AB1863" s="306"/>
    </row>
    <row r="1864" spans="1:28" ht="23.25" customHeight="1">
      <c r="A1864" s="377"/>
      <c r="B1864" s="342"/>
      <c r="C1864" s="342"/>
      <c r="D1864" s="287"/>
      <c r="E1864" s="21"/>
      <c r="F1864" s="296"/>
      <c r="G1864" s="296"/>
      <c r="H1864" s="296"/>
      <c r="I1864" s="310"/>
      <c r="J1864" s="298"/>
      <c r="K1864" s="177"/>
      <c r="L1864" s="290"/>
      <c r="M1864" s="300"/>
      <c r="N1864" s="300"/>
      <c r="O1864" s="287"/>
      <c r="P1864" s="301"/>
      <c r="Q1864" s="302"/>
      <c r="R1864" s="303"/>
      <c r="S1864" s="312"/>
      <c r="T1864" s="304"/>
      <c r="U1864" s="305"/>
      <c r="V1864" s="305"/>
      <c r="W1864" s="305"/>
      <c r="X1864" s="305"/>
      <c r="Y1864" s="287"/>
      <c r="Z1864" s="287"/>
      <c r="AA1864" s="298"/>
      <c r="AB1864" s="306"/>
    </row>
    <row r="1865" spans="1:28" ht="23.25" customHeight="1">
      <c r="A1865" s="377"/>
      <c r="B1865" s="342"/>
      <c r="C1865" s="342"/>
      <c r="D1865" s="21"/>
      <c r="E1865" s="287"/>
      <c r="F1865" s="296"/>
      <c r="G1865" s="296"/>
      <c r="H1865" s="296"/>
      <c r="I1865" s="310"/>
      <c r="J1865" s="298"/>
      <c r="K1865" s="177"/>
      <c r="L1865" s="290"/>
      <c r="M1865" s="300"/>
      <c r="N1865" s="300"/>
      <c r="O1865" s="287"/>
      <c r="P1865" s="301"/>
      <c r="Q1865" s="302"/>
      <c r="R1865" s="303"/>
      <c r="S1865" s="312"/>
      <c r="T1865" s="304"/>
      <c r="U1865" s="305"/>
      <c r="V1865" s="305"/>
      <c r="W1865" s="305"/>
      <c r="X1865" s="305"/>
      <c r="Y1865" s="287"/>
      <c r="Z1865" s="287"/>
      <c r="AA1865" s="298"/>
      <c r="AB1865" s="306"/>
    </row>
    <row r="1866" spans="1:28" ht="23.25" customHeight="1">
      <c r="A1866" s="377"/>
      <c r="B1866" s="342"/>
      <c r="C1866" s="342"/>
      <c r="D1866" s="287"/>
      <c r="E1866" s="21"/>
      <c r="F1866" s="296"/>
      <c r="G1866" s="296"/>
      <c r="H1866" s="296"/>
      <c r="I1866" s="310"/>
      <c r="J1866" s="298"/>
      <c r="K1866" s="177"/>
      <c r="L1866" s="299"/>
      <c r="M1866" s="300"/>
      <c r="N1866" s="300"/>
      <c r="O1866" s="287"/>
      <c r="P1866" s="301"/>
      <c r="Q1866" s="302"/>
      <c r="R1866" s="303"/>
      <c r="S1866" s="312"/>
      <c r="T1866" s="304"/>
      <c r="U1866" s="305"/>
      <c r="V1866" s="305"/>
      <c r="W1866" s="305"/>
      <c r="X1866" s="305"/>
      <c r="Y1866" s="287"/>
      <c r="Z1866" s="287"/>
      <c r="AA1866" s="298"/>
      <c r="AB1866" s="306"/>
    </row>
    <row r="1867" spans="1:28" ht="23.25" customHeight="1">
      <c r="A1867" s="377"/>
      <c r="B1867" s="342"/>
      <c r="C1867" s="342"/>
      <c r="D1867" s="287"/>
      <c r="E1867" s="287"/>
      <c r="F1867" s="296"/>
      <c r="G1867" s="296"/>
      <c r="H1867" s="296"/>
      <c r="I1867" s="310"/>
      <c r="J1867" s="298"/>
      <c r="K1867" s="177"/>
      <c r="L1867" s="299"/>
      <c r="M1867" s="300"/>
      <c r="N1867" s="300"/>
      <c r="O1867" s="287"/>
      <c r="P1867" s="301"/>
      <c r="Q1867" s="302"/>
      <c r="R1867" s="303"/>
      <c r="S1867" s="312"/>
      <c r="T1867" s="304"/>
      <c r="U1867" s="305"/>
      <c r="V1867" s="305"/>
      <c r="W1867" s="305"/>
      <c r="X1867" s="305"/>
      <c r="Y1867" s="287"/>
      <c r="Z1867" s="287"/>
      <c r="AA1867" s="298"/>
      <c r="AB1867" s="306"/>
    </row>
    <row r="1868" spans="1:28" ht="23.25" customHeight="1">
      <c r="A1868" s="377"/>
      <c r="B1868" s="342"/>
      <c r="C1868" s="342"/>
      <c r="D1868" s="287"/>
      <c r="E1868" s="287"/>
      <c r="F1868" s="296"/>
      <c r="G1868" s="296"/>
      <c r="H1868" s="296"/>
      <c r="I1868" s="310"/>
      <c r="J1868" s="298"/>
      <c r="K1868" s="177"/>
      <c r="L1868" s="299"/>
      <c r="M1868" s="300"/>
      <c r="N1868" s="300"/>
      <c r="O1868" s="287"/>
      <c r="P1868" s="301"/>
      <c r="Q1868" s="302"/>
      <c r="R1868" s="303"/>
      <c r="S1868" s="312"/>
      <c r="T1868" s="304"/>
      <c r="U1868" s="305"/>
      <c r="V1868" s="305"/>
      <c r="W1868" s="305"/>
      <c r="X1868" s="305"/>
      <c r="Y1868" s="287"/>
      <c r="Z1868" s="287"/>
      <c r="AA1868" s="298"/>
      <c r="AB1868" s="306"/>
    </row>
    <row r="1869" spans="1:28" ht="23.25" customHeight="1">
      <c r="A1869" s="377"/>
      <c r="B1869" s="342"/>
      <c r="C1869" s="342"/>
      <c r="D1869" s="287"/>
      <c r="E1869" s="287"/>
      <c r="F1869" s="296"/>
      <c r="G1869" s="296"/>
      <c r="H1869" s="296"/>
      <c r="I1869" s="310"/>
      <c r="J1869" s="298"/>
      <c r="K1869" s="177"/>
      <c r="L1869" s="299"/>
      <c r="M1869" s="300"/>
      <c r="N1869" s="300"/>
      <c r="O1869" s="287"/>
      <c r="P1869" s="301"/>
      <c r="Q1869" s="302"/>
      <c r="R1869" s="303"/>
      <c r="S1869" s="312"/>
      <c r="T1869" s="304"/>
      <c r="U1869" s="305"/>
      <c r="V1869" s="305"/>
      <c r="W1869" s="305"/>
      <c r="X1869" s="305"/>
      <c r="Y1869" s="287"/>
      <c r="Z1869" s="287"/>
      <c r="AA1869" s="298"/>
      <c r="AB1869" s="306"/>
    </row>
    <row r="1870" spans="1:28" ht="23.25" customHeight="1">
      <c r="A1870" s="377"/>
      <c r="B1870" s="342"/>
      <c r="C1870" s="342"/>
      <c r="D1870" s="287"/>
      <c r="E1870" s="287"/>
      <c r="F1870" s="296"/>
      <c r="G1870" s="296"/>
      <c r="H1870" s="296"/>
      <c r="I1870" s="310"/>
      <c r="J1870" s="298"/>
      <c r="K1870" s="177"/>
      <c r="L1870" s="299"/>
      <c r="M1870" s="300"/>
      <c r="N1870" s="300"/>
      <c r="O1870" s="287"/>
      <c r="P1870" s="301"/>
      <c r="Q1870" s="302"/>
      <c r="R1870" s="303"/>
      <c r="S1870" s="312"/>
      <c r="T1870" s="304"/>
      <c r="U1870" s="305"/>
      <c r="V1870" s="305"/>
      <c r="W1870" s="305"/>
      <c r="X1870" s="305"/>
      <c r="Y1870" s="287"/>
      <c r="Z1870" s="287"/>
      <c r="AA1870" s="298"/>
      <c r="AB1870" s="306"/>
    </row>
    <row r="1871" spans="1:28" ht="23.25" customHeight="1">
      <c r="A1871" s="377"/>
      <c r="B1871" s="342"/>
      <c r="C1871" s="342"/>
      <c r="D1871" s="287"/>
      <c r="E1871" s="287"/>
      <c r="F1871" s="296"/>
      <c r="G1871" s="296"/>
      <c r="H1871" s="296"/>
      <c r="I1871" s="310"/>
      <c r="J1871" s="298"/>
      <c r="K1871" s="299"/>
      <c r="L1871" s="299"/>
      <c r="M1871" s="300"/>
      <c r="N1871" s="300"/>
      <c r="O1871" s="287"/>
      <c r="P1871" s="301"/>
      <c r="Q1871" s="302"/>
      <c r="R1871" s="303"/>
      <c r="S1871" s="218"/>
      <c r="T1871" s="304"/>
      <c r="U1871" s="305"/>
      <c r="V1871" s="305"/>
      <c r="W1871" s="305"/>
      <c r="X1871" s="181"/>
      <c r="Y1871" s="287"/>
      <c r="Z1871" s="287"/>
      <c r="AA1871" s="298"/>
      <c r="AB1871" s="306"/>
    </row>
    <row r="1872" spans="1:28" ht="23.25" customHeight="1">
      <c r="A1872" s="377"/>
      <c r="B1872" s="342"/>
      <c r="C1872" s="342"/>
      <c r="D1872" s="287"/>
      <c r="E1872" s="287"/>
      <c r="F1872" s="296"/>
      <c r="G1872" s="296"/>
      <c r="H1872" s="296"/>
      <c r="I1872" s="310"/>
      <c r="J1872" s="298"/>
      <c r="K1872" s="177"/>
      <c r="L1872" s="299"/>
      <c r="M1872" s="300"/>
      <c r="N1872" s="300"/>
      <c r="O1872" s="287"/>
      <c r="P1872" s="301"/>
      <c r="Q1872" s="302"/>
      <c r="R1872" s="303"/>
      <c r="S1872" s="312"/>
      <c r="T1872" s="304"/>
      <c r="U1872" s="305"/>
      <c r="V1872" s="305"/>
      <c r="W1872" s="305"/>
      <c r="X1872" s="305"/>
      <c r="Y1872" s="287"/>
      <c r="Z1872" s="287"/>
      <c r="AA1872" s="298"/>
      <c r="AB1872" s="306"/>
    </row>
    <row r="1873" spans="1:30" ht="23.25" customHeight="1">
      <c r="A1873" s="377"/>
      <c r="B1873" s="342"/>
      <c r="C1873" s="342"/>
      <c r="D1873" s="287"/>
      <c r="E1873" s="287"/>
      <c r="F1873" s="296"/>
      <c r="G1873" s="296"/>
      <c r="H1873" s="296"/>
      <c r="I1873" s="310"/>
      <c r="J1873" s="298"/>
      <c r="K1873" s="299"/>
      <c r="L1873" s="299"/>
      <c r="M1873" s="300"/>
      <c r="N1873" s="300"/>
      <c r="O1873" s="287"/>
      <c r="P1873" s="301"/>
      <c r="Q1873" s="302"/>
      <c r="R1873" s="303"/>
      <c r="S1873" s="312"/>
      <c r="T1873" s="304"/>
      <c r="U1873" s="305"/>
      <c r="V1873" s="305"/>
      <c r="W1873" s="305"/>
      <c r="X1873" s="305"/>
      <c r="Y1873" s="287"/>
      <c r="Z1873" s="287"/>
      <c r="AA1873" s="298"/>
      <c r="AB1873" s="306"/>
    </row>
    <row r="1874" spans="1:30" ht="23.25" customHeight="1">
      <c r="A1874" s="377"/>
      <c r="B1874" s="342"/>
      <c r="C1874" s="342"/>
      <c r="D1874" s="287"/>
      <c r="E1874" s="287"/>
      <c r="F1874" s="296"/>
      <c r="G1874" s="296"/>
      <c r="H1874" s="296"/>
      <c r="I1874" s="310"/>
      <c r="J1874" s="298"/>
      <c r="K1874" s="299"/>
      <c r="L1874" s="299"/>
      <c r="M1874" s="300"/>
      <c r="N1874" s="300"/>
      <c r="O1874" s="287"/>
      <c r="P1874" s="301"/>
      <c r="Q1874" s="302"/>
      <c r="R1874" s="303"/>
      <c r="S1874" s="312"/>
      <c r="T1874" s="304"/>
      <c r="U1874" s="305"/>
      <c r="V1874" s="305"/>
      <c r="W1874" s="305"/>
      <c r="X1874" s="305"/>
      <c r="Y1874" s="287"/>
      <c r="Z1874" s="287"/>
      <c r="AA1874" s="298"/>
      <c r="AB1874" s="306"/>
    </row>
    <row r="1875" spans="1:30" ht="23.25" customHeight="1">
      <c r="A1875" s="377"/>
      <c r="B1875" s="342"/>
      <c r="C1875" s="342"/>
      <c r="D1875" s="287"/>
      <c r="E1875" s="287"/>
      <c r="F1875" s="296"/>
      <c r="G1875" s="296"/>
      <c r="H1875" s="296"/>
      <c r="I1875" s="310"/>
      <c r="J1875" s="298"/>
      <c r="K1875" s="299"/>
      <c r="L1875" s="299"/>
      <c r="M1875" s="300"/>
      <c r="N1875" s="300"/>
      <c r="O1875" s="287"/>
      <c r="P1875" s="301"/>
      <c r="Q1875" s="302"/>
      <c r="R1875" s="303"/>
      <c r="S1875" s="312"/>
      <c r="T1875" s="304"/>
      <c r="U1875" s="305"/>
      <c r="V1875" s="305"/>
      <c r="W1875" s="305"/>
      <c r="X1875" s="305"/>
      <c r="Y1875" s="287"/>
      <c r="Z1875" s="287"/>
      <c r="AA1875" s="298"/>
      <c r="AB1875" s="306"/>
    </row>
    <row r="1876" spans="1:30" ht="23.25" customHeight="1">
      <c r="A1876" s="377"/>
      <c r="B1876" s="342"/>
      <c r="C1876" s="342"/>
      <c r="D1876" s="287"/>
      <c r="E1876" s="287"/>
      <c r="F1876" s="296"/>
      <c r="G1876" s="296"/>
      <c r="H1876" s="296"/>
      <c r="I1876" s="310"/>
      <c r="J1876" s="298"/>
      <c r="K1876" s="299"/>
      <c r="L1876" s="299"/>
      <c r="M1876" s="300"/>
      <c r="N1876" s="300"/>
      <c r="O1876" s="287"/>
      <c r="P1876" s="301"/>
      <c r="Q1876" s="302"/>
      <c r="R1876" s="303"/>
      <c r="S1876" s="312"/>
      <c r="T1876" s="304"/>
      <c r="U1876" s="305"/>
      <c r="V1876" s="305"/>
      <c r="W1876" s="305"/>
      <c r="X1876" s="305"/>
      <c r="Y1876" s="287"/>
      <c r="Z1876" s="287"/>
      <c r="AA1876" s="298"/>
      <c r="AB1876" s="306"/>
    </row>
    <row r="1877" spans="1:30" ht="23.25" customHeight="1">
      <c r="A1877" s="377"/>
      <c r="B1877" s="342"/>
      <c r="C1877" s="342"/>
      <c r="D1877" s="287"/>
      <c r="E1877" s="287"/>
      <c r="F1877" s="296"/>
      <c r="G1877" s="296"/>
      <c r="H1877" s="296"/>
      <c r="I1877" s="310"/>
      <c r="J1877" s="298"/>
      <c r="K1877" s="299"/>
      <c r="L1877" s="299"/>
      <c r="M1877" s="300"/>
      <c r="N1877" s="300"/>
      <c r="O1877" s="287"/>
      <c r="P1877" s="301"/>
      <c r="Q1877" s="302"/>
      <c r="R1877" s="303"/>
      <c r="S1877" s="312"/>
      <c r="T1877" s="304"/>
      <c r="U1877" s="305"/>
      <c r="V1877" s="305"/>
      <c r="W1877" s="305"/>
      <c r="X1877" s="305"/>
      <c r="Y1877" s="287"/>
      <c r="Z1877" s="287"/>
      <c r="AA1877" s="298"/>
      <c r="AB1877" s="306"/>
    </row>
    <row r="1878" spans="1:30" ht="23.25" customHeight="1">
      <c r="A1878" s="377"/>
      <c r="B1878" s="281"/>
      <c r="C1878" s="342"/>
      <c r="D1878" s="287"/>
      <c r="E1878" s="287"/>
      <c r="F1878" s="296"/>
      <c r="G1878" s="296"/>
      <c r="H1878" s="296"/>
      <c r="I1878" s="174"/>
      <c r="K1878" s="177"/>
      <c r="L1878" s="299"/>
      <c r="M1878" s="300"/>
      <c r="N1878" s="300"/>
      <c r="O1878" s="287"/>
      <c r="P1878" s="301"/>
      <c r="Q1878" s="302"/>
      <c r="R1878" s="303"/>
      <c r="S1878" s="312"/>
      <c r="T1878" s="304"/>
      <c r="U1878" s="305"/>
      <c r="V1878" s="305"/>
      <c r="W1878" s="305"/>
      <c r="X1878" s="305"/>
      <c r="Y1878" s="287"/>
      <c r="Z1878" s="3"/>
      <c r="AB1878" s="306"/>
      <c r="AC1878" s="298"/>
      <c r="AD1878" s="12"/>
    </row>
    <row r="1879" spans="1:30" ht="23.25" customHeight="1">
      <c r="A1879" s="377"/>
      <c r="B1879" s="342"/>
      <c r="C1879" s="342"/>
      <c r="D1879" s="287"/>
      <c r="E1879" s="287"/>
      <c r="F1879" s="296"/>
      <c r="G1879" s="296"/>
      <c r="H1879" s="296"/>
      <c r="I1879" s="310"/>
      <c r="J1879" s="298"/>
      <c r="K1879" s="299"/>
      <c r="L1879" s="299"/>
      <c r="M1879" s="300"/>
      <c r="N1879" s="300"/>
      <c r="O1879" s="287"/>
      <c r="P1879" s="301"/>
      <c r="Q1879" s="302"/>
      <c r="R1879" s="303"/>
      <c r="S1879" s="312"/>
      <c r="T1879" s="304"/>
      <c r="U1879" s="305"/>
      <c r="V1879" s="305"/>
      <c r="W1879" s="305"/>
      <c r="X1879" s="305"/>
      <c r="Y1879" s="287"/>
      <c r="Z1879" s="287"/>
      <c r="AA1879" s="298"/>
      <c r="AB1879" s="306"/>
      <c r="AC1879" s="298"/>
    </row>
    <row r="1880" spans="1:30" ht="23.25" customHeight="1">
      <c r="A1880" s="377"/>
      <c r="B1880" s="281"/>
      <c r="C1880" s="342"/>
      <c r="D1880" s="287"/>
      <c r="E1880" s="287"/>
      <c r="F1880" s="296"/>
      <c r="G1880" s="296"/>
      <c r="H1880" s="296"/>
      <c r="I1880" s="310"/>
      <c r="J1880" s="298"/>
      <c r="K1880" s="299"/>
      <c r="L1880" s="299"/>
      <c r="M1880" s="300"/>
      <c r="N1880" s="300"/>
      <c r="O1880" s="287"/>
      <c r="P1880" s="301"/>
      <c r="Q1880" s="302"/>
      <c r="R1880" s="303"/>
      <c r="S1880" s="312"/>
      <c r="T1880" s="304"/>
      <c r="U1880" s="305"/>
      <c r="V1880" s="305"/>
      <c r="W1880" s="305"/>
      <c r="X1880" s="305"/>
      <c r="Y1880" s="287"/>
      <c r="Z1880" s="287"/>
      <c r="AA1880" s="298"/>
      <c r="AB1880" s="306"/>
      <c r="AC1880" s="298"/>
    </row>
    <row r="1881" spans="1:30" ht="23.25" customHeight="1">
      <c r="A1881" s="377"/>
      <c r="B1881" s="281"/>
      <c r="C1881" s="342"/>
      <c r="D1881" s="287"/>
      <c r="E1881" s="287"/>
      <c r="F1881" s="296"/>
      <c r="G1881" s="173"/>
      <c r="H1881" s="173"/>
      <c r="I1881" s="174"/>
      <c r="K1881" s="177"/>
      <c r="L1881" s="299"/>
      <c r="M1881" s="300"/>
      <c r="N1881" s="300"/>
      <c r="O1881" s="287"/>
      <c r="P1881" s="301"/>
      <c r="Q1881" s="302"/>
      <c r="R1881" s="303"/>
      <c r="S1881" s="312"/>
      <c r="T1881" s="304"/>
      <c r="U1881" s="305"/>
      <c r="V1881" s="305"/>
      <c r="W1881" s="305"/>
      <c r="X1881" s="305"/>
      <c r="Y1881" s="287"/>
      <c r="Z1881" s="287"/>
      <c r="AA1881" s="298"/>
      <c r="AB1881" s="306"/>
      <c r="AC1881" s="298"/>
    </row>
    <row r="1882" spans="1:30" ht="23.25" customHeight="1">
      <c r="A1882" s="332"/>
      <c r="B1882" s="281"/>
      <c r="C1882" s="342"/>
      <c r="F1882" s="173"/>
      <c r="G1882" s="173"/>
      <c r="H1882" s="173"/>
      <c r="I1882" s="174"/>
      <c r="K1882" s="177"/>
      <c r="L1882" s="177"/>
      <c r="Q1882" s="179"/>
      <c r="R1882" s="217"/>
      <c r="S1882" s="218"/>
      <c r="T1882" s="180"/>
      <c r="U1882" s="181"/>
      <c r="V1882" s="181"/>
      <c r="W1882" s="181"/>
      <c r="X1882" s="181"/>
      <c r="Y1882" s="3"/>
      <c r="Z1882" s="3"/>
      <c r="AB1882" s="288"/>
      <c r="AC1882" s="298"/>
      <c r="AD1882" s="298"/>
    </row>
    <row r="1883" spans="1:30" ht="23.25" customHeight="1">
      <c r="A1883" s="307"/>
      <c r="B1883" s="281"/>
      <c r="C1883" s="281"/>
      <c r="F1883" s="173"/>
      <c r="G1883" s="173"/>
      <c r="H1883" s="173"/>
      <c r="I1883" s="174"/>
      <c r="K1883" s="177"/>
      <c r="L1883" s="177"/>
      <c r="Q1883" s="179"/>
      <c r="R1883" s="217"/>
      <c r="S1883" s="218"/>
      <c r="T1883" s="180"/>
      <c r="U1883" s="181"/>
      <c r="V1883" s="181"/>
      <c r="W1883" s="181"/>
      <c r="X1883" s="181"/>
      <c r="Y1883" s="3"/>
      <c r="Z1883" s="3"/>
      <c r="AB1883" s="288"/>
    </row>
    <row r="1884" spans="1:30" ht="23.25" customHeight="1">
      <c r="A1884" s="332"/>
      <c r="B1884" s="281"/>
      <c r="F1884" s="173"/>
      <c r="G1884" s="173"/>
      <c r="H1884" s="173"/>
      <c r="I1884" s="174"/>
      <c r="K1884" s="177"/>
      <c r="L1884" s="177"/>
      <c r="Q1884" s="179"/>
      <c r="R1884" s="217"/>
      <c r="S1884" s="218"/>
      <c r="T1884" s="180"/>
      <c r="U1884" s="181"/>
      <c r="V1884" s="181"/>
      <c r="W1884" s="181"/>
      <c r="X1884" s="181"/>
      <c r="Y1884" s="3"/>
      <c r="Z1884" s="3"/>
      <c r="AB1884" s="288"/>
    </row>
    <row r="1885" spans="1:30" ht="23.25" customHeight="1">
      <c r="A1885" s="377"/>
      <c r="F1885" s="173"/>
      <c r="G1885" s="173"/>
      <c r="H1885" s="173"/>
      <c r="I1885" s="174"/>
      <c r="K1885" s="177"/>
      <c r="L1885" s="177"/>
      <c r="Q1885" s="179"/>
      <c r="R1885" s="217"/>
      <c r="S1885" s="218"/>
      <c r="T1885" s="180"/>
      <c r="U1885" s="181"/>
      <c r="V1885" s="181"/>
      <c r="W1885" s="181"/>
      <c r="X1885" s="181"/>
      <c r="Y1885" s="3"/>
      <c r="Z1885" s="3"/>
      <c r="AB1885" s="288"/>
    </row>
    <row r="1886" spans="1:30" ht="23.25" customHeight="1">
      <c r="A1886" s="377"/>
      <c r="B1886" s="281"/>
      <c r="F1886" s="173"/>
      <c r="G1886" s="173"/>
      <c r="H1886" s="173"/>
      <c r="I1886" s="174"/>
      <c r="K1886" s="177"/>
      <c r="L1886" s="177"/>
      <c r="Q1886" s="179"/>
      <c r="R1886" s="217"/>
      <c r="S1886" s="218"/>
      <c r="T1886" s="180"/>
      <c r="U1886" s="181"/>
      <c r="V1886" s="181"/>
      <c r="W1886" s="181"/>
      <c r="X1886" s="181"/>
      <c r="Y1886" s="3"/>
      <c r="Z1886" s="3"/>
      <c r="AB1886" s="288"/>
    </row>
    <row r="1887" spans="1:30" ht="23.25" customHeight="1">
      <c r="A1887" s="377"/>
      <c r="B1887" s="281"/>
      <c r="F1887" s="173"/>
      <c r="G1887" s="173"/>
      <c r="H1887" s="173"/>
      <c r="I1887" s="174"/>
      <c r="K1887" s="177"/>
      <c r="L1887" s="177"/>
      <c r="Q1887" s="179"/>
      <c r="R1887" s="217"/>
      <c r="S1887" s="218"/>
      <c r="T1887" s="180"/>
      <c r="U1887" s="181"/>
      <c r="V1887" s="181"/>
      <c r="W1887" s="181"/>
      <c r="X1887" s="181"/>
      <c r="Y1887" s="3"/>
      <c r="Z1887" s="3"/>
      <c r="AB1887" s="288"/>
    </row>
    <row r="1888" spans="1:30" ht="23.25" customHeight="1">
      <c r="A1888" s="377"/>
      <c r="B1888" s="281"/>
      <c r="F1888" s="173"/>
      <c r="G1888" s="173"/>
      <c r="H1888" s="173"/>
      <c r="I1888" s="174"/>
      <c r="K1888" s="177"/>
      <c r="L1888" s="177"/>
      <c r="Q1888" s="179"/>
      <c r="R1888" s="217"/>
      <c r="S1888" s="218"/>
      <c r="T1888" s="180"/>
      <c r="U1888" s="181"/>
      <c r="V1888" s="181"/>
      <c r="W1888" s="181"/>
      <c r="X1888" s="181"/>
      <c r="Y1888" s="3"/>
      <c r="Z1888" s="3"/>
      <c r="AB1888" s="288"/>
    </row>
    <row r="1889" spans="1:30" ht="23.25" customHeight="1">
      <c r="A1889" s="377"/>
      <c r="B1889" s="342"/>
      <c r="C1889" s="287"/>
      <c r="D1889" s="287"/>
      <c r="E1889" s="287"/>
      <c r="F1889" s="296"/>
      <c r="G1889" s="296"/>
      <c r="H1889" s="296"/>
      <c r="I1889" s="310"/>
      <c r="J1889" s="298"/>
      <c r="K1889" s="299"/>
      <c r="L1889" s="299"/>
      <c r="M1889" s="300"/>
      <c r="N1889" s="300"/>
      <c r="O1889" s="287"/>
      <c r="P1889" s="301"/>
      <c r="Q1889" s="302"/>
      <c r="R1889" s="303"/>
      <c r="S1889" s="312"/>
      <c r="T1889" s="304"/>
      <c r="U1889" s="305"/>
      <c r="V1889" s="305"/>
      <c r="W1889" s="305"/>
      <c r="X1889" s="305"/>
      <c r="Y1889" s="287"/>
      <c r="Z1889" s="287"/>
      <c r="AA1889" s="298"/>
      <c r="AB1889" s="306"/>
    </row>
    <row r="1890" spans="1:30" ht="23.25" customHeight="1">
      <c r="A1890" s="377"/>
      <c r="B1890" s="281"/>
      <c r="C1890" s="287"/>
      <c r="D1890" s="287"/>
      <c r="E1890" s="287"/>
      <c r="F1890" s="296"/>
      <c r="G1890" s="296"/>
      <c r="H1890" s="296"/>
      <c r="I1890" s="310"/>
      <c r="J1890" s="298"/>
      <c r="K1890" s="177"/>
      <c r="L1890" s="299"/>
      <c r="M1890" s="300"/>
      <c r="N1890" s="300"/>
      <c r="P1890" s="301"/>
      <c r="Q1890" s="302"/>
      <c r="R1890" s="303"/>
      <c r="S1890" s="312"/>
      <c r="T1890" s="304"/>
      <c r="U1890" s="305"/>
      <c r="V1890" s="305"/>
      <c r="W1890" s="305"/>
      <c r="X1890" s="181"/>
      <c r="Y1890" s="287"/>
      <c r="Z1890" s="3"/>
      <c r="AA1890" s="298"/>
      <c r="AB1890" s="306"/>
      <c r="AC1890" s="298"/>
      <c r="AD1890" s="298"/>
    </row>
    <row r="1891" spans="1:30" ht="23.25" customHeight="1">
      <c r="A1891" s="377"/>
      <c r="B1891" s="281"/>
      <c r="C1891" s="287"/>
      <c r="D1891" s="287"/>
      <c r="E1891" s="287"/>
      <c r="F1891" s="296"/>
      <c r="G1891" s="296"/>
      <c r="H1891" s="296"/>
      <c r="I1891" s="174"/>
      <c r="K1891" s="177"/>
      <c r="L1891" s="299"/>
      <c r="M1891" s="300"/>
      <c r="N1891" s="300"/>
      <c r="P1891" s="301"/>
      <c r="Q1891" s="302"/>
      <c r="R1891" s="217"/>
      <c r="S1891" s="312"/>
      <c r="T1891" s="304"/>
      <c r="U1891" s="305"/>
      <c r="V1891" s="305"/>
      <c r="W1891" s="305"/>
      <c r="X1891" s="181"/>
      <c r="Y1891" s="287"/>
      <c r="Z1891" s="287"/>
      <c r="AA1891" s="298"/>
      <c r="AB1891" s="306"/>
      <c r="AC1891" s="298"/>
      <c r="AD1891" s="298"/>
    </row>
    <row r="1892" spans="1:30" ht="18" customHeight="1">
      <c r="A1892" s="377"/>
      <c r="B1892" s="342"/>
      <c r="C1892" s="287"/>
      <c r="D1892" s="287"/>
      <c r="E1892" s="287"/>
      <c r="F1892" s="296"/>
      <c r="G1892" s="296"/>
      <c r="H1892" s="296"/>
      <c r="I1892" s="174"/>
      <c r="K1892" s="177"/>
      <c r="L1892" s="299"/>
      <c r="M1892" s="300"/>
      <c r="N1892" s="300"/>
      <c r="Q1892" s="302"/>
      <c r="R1892" s="303"/>
      <c r="S1892" s="312"/>
      <c r="T1892" s="304"/>
      <c r="U1892" s="305"/>
      <c r="V1892" s="305"/>
      <c r="W1892" s="305"/>
      <c r="X1892" s="181"/>
      <c r="Y1892" s="3"/>
      <c r="Z1892" s="3"/>
      <c r="AB1892" s="306"/>
      <c r="AC1892" s="298"/>
      <c r="AD1892" s="298"/>
    </row>
    <row r="1893" spans="1:30" ht="21" customHeight="1">
      <c r="A1893" s="377"/>
      <c r="B1893" s="281"/>
      <c r="C1893" s="287"/>
      <c r="D1893" s="287"/>
      <c r="E1893" s="287"/>
      <c r="F1893" s="296"/>
      <c r="G1893" s="296"/>
      <c r="H1893" s="296"/>
      <c r="I1893" s="310"/>
      <c r="J1893" s="298"/>
      <c r="K1893" s="177"/>
      <c r="L1893" s="299"/>
      <c r="M1893" s="300"/>
      <c r="N1893" s="300"/>
      <c r="O1893" s="287"/>
      <c r="P1893" s="301"/>
      <c r="Q1893" s="302"/>
      <c r="R1893" s="303"/>
      <c r="S1893" s="312"/>
      <c r="T1893" s="304"/>
      <c r="U1893" s="305"/>
      <c r="V1893" s="305"/>
      <c r="W1893" s="305"/>
      <c r="X1893" s="305"/>
      <c r="Y1893" s="287"/>
      <c r="Z1893" s="287"/>
      <c r="AA1893" s="298"/>
      <c r="AB1893" s="306"/>
      <c r="AC1893" s="298"/>
      <c r="AD1893" s="298"/>
    </row>
    <row r="1898" spans="1:30" ht="15"/>
  </sheetData>
  <sheetProtection formatCells="0" formatColumns="0" formatRows="0" insertColumns="0" insertRows="0" insertHyperlinks="0" deleteRows="0" sort="0" autoFilter="0" pivotTables="0"/>
  <conditionalFormatting sqref="D2:D1864 AB469:AB482 T470:T515 AB507:AB515 T517:T519 AB517:AB519 T522:T524 AB522:AB524 D1866:D1875 D1890:D1893">
    <cfRule type="containsText" dxfId="22" priority="20" operator="containsText" text="Realizado">
      <formula>NOT(ISERROR(SEARCH(("Realizado"),(D2))))</formula>
    </cfRule>
    <cfRule type="containsText" dxfId="21" priority="21" operator="containsText" text="Cancelado">
      <formula>NOT(ISERROR(SEARCH(("Cancelado"),(D2))))</formula>
    </cfRule>
    <cfRule type="containsText" dxfId="20" priority="22" operator="containsText" text="Previsto">
      <formula>NOT(ISERROR(SEARCH(("Previsto"),(D2))))</formula>
    </cfRule>
    <cfRule type="containsText" dxfId="19" priority="23" operator="containsText" text="Em andamento">
      <formula>NOT(ISERROR(SEARCH(("Em andamento"),(D2))))</formula>
    </cfRule>
  </conditionalFormatting>
  <conditionalFormatting sqref="D749:D751">
    <cfRule type="containsText" dxfId="18" priority="3" operator="containsText" text="Realizado">
      <formula>NOT(ISERROR(SEARCH(("Realizado"),(D749))))</formula>
    </cfRule>
    <cfRule type="containsText" dxfId="17" priority="4" operator="containsText" text="Cancelado">
      <formula>NOT(ISERROR(SEARCH(("Cancelado"),(D749))))</formula>
    </cfRule>
    <cfRule type="containsText" dxfId="16" priority="5" operator="containsText" text="Previsto">
      <formula>NOT(ISERROR(SEARCH(("Previsto"),(D749))))</formula>
    </cfRule>
    <cfRule type="containsText" dxfId="15" priority="6" operator="containsText" text="Em andamento">
      <formula>NOT(ISERROR(SEARCH(("Em andamento"),(D749))))</formula>
    </cfRule>
  </conditionalFormatting>
  <conditionalFormatting sqref="D754">
    <cfRule type="containsText" dxfId="14" priority="9" operator="containsText" text="Realizado">
      <formula>NOT(ISERROR(SEARCH(("Realizado"),(D754))))</formula>
    </cfRule>
    <cfRule type="containsText" dxfId="13" priority="10" operator="containsText" text="Cancelado">
      <formula>NOT(ISERROR(SEARCH(("Cancelado"),(D754))))</formula>
    </cfRule>
    <cfRule type="containsText" dxfId="12" priority="11" operator="containsText" text="Previsto">
      <formula>NOT(ISERROR(SEARCH(("Previsto"),(D754))))</formula>
    </cfRule>
    <cfRule type="containsText" dxfId="11" priority="12" operator="containsText" text="Em andamento">
      <formula>NOT(ISERROR(SEARCH(("Em andamento"),(D754))))</formula>
    </cfRule>
  </conditionalFormatting>
  <conditionalFormatting sqref="D1878:D1879">
    <cfRule type="containsText" dxfId="10" priority="15" operator="containsText" text="Realizado">
      <formula>NOT(ISERROR(SEARCH(("Realizado"),(D1878))))</formula>
    </cfRule>
    <cfRule type="containsText" dxfId="9" priority="16" operator="containsText" text="Cancelado">
      <formula>NOT(ISERROR(SEARCH(("Cancelado"),(D1878))))</formula>
    </cfRule>
    <cfRule type="containsText" dxfId="8" priority="17" operator="containsText" text="Previsto">
      <formula>NOT(ISERROR(SEARCH(("Previsto"),(D1878))))</formula>
    </cfRule>
    <cfRule type="containsText" dxfId="7" priority="18" operator="containsText" text="Em andamento">
      <formula>NOT(ISERROR(SEARCH(("Em andamento"),(D1878))))</formula>
    </cfRule>
  </conditionalFormatting>
  <conditionalFormatting sqref="K743:K744">
    <cfRule type="containsBlanks" dxfId="6" priority="2">
      <formula>LEN(TRIM(K743))=0</formula>
    </cfRule>
  </conditionalFormatting>
  <conditionalFormatting sqref="P585:P742">
    <cfRule type="containsBlanks" dxfId="5" priority="1">
      <formula>LEN(TRIM(P585))=0</formula>
    </cfRule>
  </conditionalFormatting>
  <conditionalFormatting sqref="P1892">
    <cfRule type="containsBlanks" dxfId="4" priority="14">
      <formula>LEN(TRIM(P1892))=0</formula>
    </cfRule>
  </conditionalFormatting>
  <conditionalFormatting sqref="R1:R557 P1:P583 Q558:Q561">
    <cfRule type="containsBlanks" dxfId="3" priority="19">
      <formula>LEN(TRIM(P1))=0</formula>
    </cfRule>
  </conditionalFormatting>
  <conditionalFormatting sqref="R562:R742">
    <cfRule type="containsBlanks" dxfId="2" priority="8">
      <formula>LEN(TRIM(R562))=0</formula>
    </cfRule>
  </conditionalFormatting>
  <conditionalFormatting sqref="R745:R1870 P745:P1872">
    <cfRule type="containsBlanks" dxfId="1" priority="7">
      <formula>LEN(TRIM(P745))=0</formula>
    </cfRule>
  </conditionalFormatting>
  <conditionalFormatting sqref="R1891">
    <cfRule type="containsBlanks" dxfId="0" priority="13">
      <formula>LEN(TRIM(R1891))=0</formula>
    </cfRule>
  </conditionalFormatting>
  <dataValidations count="12">
    <dataValidation type="list" allowBlank="1" showInputMessage="1" showErrorMessage="1" prompt="Clique e digite um valor da lista de itens" sqref="Z751:Z753 Z733" xr:uid="{ABC0E5B9-FF87-4AD9-A0E8-E55ADD9071DA}">
      <formula1>"Silvio,Taissa,Paula,CEDUC,Sibele,Stéphanie,Gilson,Geri,R.Cabral,Raphael,Yuri"</formula1>
    </dataValidation>
    <dataValidation type="list" allowBlank="1" showInputMessage="1" showErrorMessage="1" prompt="Clique e digite um valor da lista de itens" sqref="Z738" xr:uid="{1A29261E-4E94-44EA-A77C-4AE72F2B7DDE}">
      <formula1>"Silvio,Sibele,Taissa,Paula,CEDUC,Valéria,Stéphanie,Karina,Kelly,Mikhail,R.Cabral,Raphael,Yuri"</formula1>
    </dataValidation>
    <dataValidation type="list" allowBlank="1" showInputMessage="1" showErrorMessage="1" prompt="Clique e digite um valor da lista de itens" sqref="Z731" xr:uid="{63A91740-F2EA-4C7B-B5DD-90922172FF4E}">
      <formula1>"Silvio,Pimenta,Sibele,Taissa,Paula,CEDUC,Valéria,Stéphanie,Karina,Kelly,Mikhail,R.Cabral,Raphael,Yuri"</formula1>
    </dataValidation>
    <dataValidation type="decimal" allowBlank="1" showInputMessage="1" showErrorMessage="1" sqref="P1904:P1048576 K743:K744 P745:P1893 P2:P742" xr:uid="{2D62CC17-21B9-42B4-A9B1-06DC7FF259FA}">
      <formula1>0</formula1>
      <formula2>10000000000000</formula2>
    </dataValidation>
    <dataValidation type="list" allowBlank="1" showInputMessage="1" showErrorMessage="1" prompt="Clique e digite um valor da lista de itens" sqref="Z1:Z589 Z591:Z730 Z754:Z1893 Z1904:Z1048576 Z739:Z750 Z732 Z734:Z737" xr:uid="{4342439B-70B8-42A6-939D-F6A6A7160E6A}">
      <formula1>"Silvio,Rafael Pimenta,Taissa,Paula,CEDUC,Valéria,Stéphanie,Karina,Kelly,Mikhail,R.Cabral,Raphael,Yuri"</formula1>
    </dataValidation>
    <dataValidation type="date" allowBlank="1" showInputMessage="1" showErrorMessage="1" errorTitle="Erro" error="Insira uma data válida. Formato: DD/MM/AAAA" sqref="M503:N573 M2:N500 M1890:N1890 M698:N700 M646:N646 M648:N694 M702:N703 M713:N713 M621:N642 M575:N619 M717:N717 M1893:N1893 M1904:N1048576 N719:N739 M733:M739 M741:N1882 M719:M730" xr:uid="{A510848A-02C0-496A-96D6-4913B87B4222}">
      <formula1>41640</formula1>
      <formula2>47848</formula2>
    </dataValidation>
    <dataValidation type="list" allowBlank="1" showInputMessage="1" showErrorMessage="1" prompt="Clique e insira um valor de a lista de itens" sqref="I563 K2:K742 K745:K1882 K1890:K1893" xr:uid="{D40B147F-D0C4-4A9D-B7DA-E617C94BA790}">
      <formula1>"Interno,Externo,Híbrido"</formula1>
    </dataValidation>
    <dataValidation type="decimal" allowBlank="1" showDropDown="1" showInputMessage="1" showErrorMessage="1" prompt="Insira um número entre 0 e 100" sqref="R363:R530 Q558:Q561 R1849 R549:R557 R2:R361 R1891 R562:R742 R745:R1846" xr:uid="{F1F55B6B-765B-40E3-B9AE-19B67FCE798A}">
      <formula1>0</formula1>
      <formula2>100</formula2>
    </dataValidation>
    <dataValidation type="decimal" allowBlank="1" showDropDown="1" showInputMessage="1" showErrorMessage="1" prompt="Insira um número entre 0 e 100000" sqref="S143 S224 S225:T255 S256 S257:T274 S275:U275 S276:T285 S286:U287 S288:T292 S293:S294 V303 S295:T313 S314 S359:U359 Q344:Q361 S360:T361 S315:T358 Q363:Q530 S1871 R558:R561 Q549:Q557 S549:T557 S1849 S1851:S1853 S1855 T363:T530 S144:T223 S362:S538 S2:T142 Q2:Q342 T563:T630 S558:S630 Q745:Q1846 S631:T740 S741 S742:T742 Q562:Q742 S745:T1846" xr:uid="{6DBAACCF-EDB9-40CB-8710-D88D17C97FC5}">
      <formula1>0</formula1>
      <formula2>100000</formula2>
    </dataValidation>
    <dataValidation type="custom" allowBlank="1" showDropDown="1" showInputMessage="1" showErrorMessage="1" prompt="Digite uma data válida" sqref="L119:L124" xr:uid="{FBA87451-48E4-4F20-8152-6AB9F1A7A07E}">
      <formula1>OR(NOT(ISERROR(DATEVALUE(L119))), AND(ISNUMBER(L119), LEFT(CELL("format", L119))="D"))</formula1>
    </dataValidation>
    <dataValidation type="decimal" allowBlank="1" showDropDown="1" showInputMessage="1" showErrorMessage="1" prompt="Insira um número entre 0 e 10000" sqref="U2:V9 V10:V12 U13:V19 V20 U21:V23 V24:V25 U26:V26 U27:U28 W27:W28 U29:V29 U30 W30 U31:V37 U38 W38 U39:V44 U45:U46 W45:W46 U47:V50 U51:U54 V55 U56:V62 U63:U64 V65 U66:V68 V69:V70 U71:V71 W72:W74 U75:U77 U78:V85 U86:U89 V90 U91:U92 U93:V93 U94:U95 U96:V100 U101:U102 W101:W102 U103:V105 U106 U107:V108 U109 U110:V114 V115 U116:V129 U130 W130 U131:V142 U144:V158 U159:U160 W159:W160 U184:U186 W184:W186 U187:V187 U188:U189 W188:W189 U190:V223 T224:V224 U225:V274 V275 U276:V285 V286:V287 U288:V289 U291:V292 T293:V294 U295:V302 U303 V359 U360:V361 U304:V358 W468 W470 W473 U491:V530 U363:V489 U549:V557 T558:T562 U161:V183 U563:V740 U742:V742 U743:U744 P743:Q744 U745:V1846" xr:uid="{B00A628F-AB2A-4595-A335-5643427D0633}">
      <formula1>0</formula1>
      <formula2>10000</formula2>
    </dataValidation>
    <dataValidation type="custom" allowBlank="1" showDropDown="1" showErrorMessage="1" sqref="L442 L204 L228 L446 L422:L423 L404" xr:uid="{58988E31-924D-4554-89F4-CEA9C13F80AF}">
      <formula1>OR(NOT(ISERROR(DATEVALUE(L204))), AND(ISNUMBER(L204), LEFT(CELL("format", L204))="D"))</formula1>
    </dataValidation>
  </dataValidations>
  <hyperlinks>
    <hyperlink ref="AB352" r:id="rId1" xr:uid="{6DD4CC2D-ED8B-4571-97F0-0393A61EB2EA}"/>
    <hyperlink ref="AB353" r:id="rId2" xr:uid="{940753CA-99C7-48C8-8B3C-767DA14AA0C4}"/>
    <hyperlink ref="AB364" r:id="rId3" xr:uid="{8A27900C-7420-4DDD-971E-047FEFDBFC53}"/>
    <hyperlink ref="AB339" r:id="rId4" xr:uid="{A4084F4E-D1D5-423C-B1A9-1589D1D7ECCC}"/>
    <hyperlink ref="AB343" r:id="rId5" xr:uid="{2C90703F-AF2A-48E0-A666-248D670F0FB5}"/>
    <hyperlink ref="AB348" r:id="rId6" xr:uid="{80B4FDDC-B302-422D-8D1E-81D5C88C3552}"/>
    <hyperlink ref="AB344" r:id="rId7" xr:uid="{D2340792-689E-4FE8-9FA2-0A3F348C5A32}"/>
    <hyperlink ref="AB367" r:id="rId8" xr:uid="{E002A609-7734-4760-A3D4-BF0F71319EFF}"/>
    <hyperlink ref="AB369" r:id="rId9" xr:uid="{5FF9F2FD-F3BF-4A86-8868-4CA406AFBB81}"/>
    <hyperlink ref="AB338" r:id="rId10" xr:uid="{7C43CEEF-2E56-4B81-80B8-1DAA282846F1}"/>
    <hyperlink ref="AB379" r:id="rId11" xr:uid="{75A8CFB6-BA15-47B1-A85B-959D305DE46A}"/>
    <hyperlink ref="AB354" r:id="rId12" xr:uid="{817C86B2-112A-41E1-9460-265F87302112}"/>
    <hyperlink ref="AB355" r:id="rId13" xr:uid="{2753C473-8BC7-4D66-8628-14E154800FAA}"/>
    <hyperlink ref="AB356" r:id="rId14" xr:uid="{642EAD1C-F0B3-4344-9FA9-A4B18358D258}"/>
    <hyperlink ref="AB357" r:id="rId15" xr:uid="{6D4464E9-8302-4C74-A211-35B70A387F5D}"/>
    <hyperlink ref="AB349" r:id="rId16" xr:uid="{D50EEA2D-037E-4E60-B8E3-3BA2D9AB1FC6}"/>
    <hyperlink ref="AB380" r:id="rId17" xr:uid="{5250A181-3AF9-4295-8B35-1A09D39883BA}"/>
    <hyperlink ref="AB334" r:id="rId18" xr:uid="{B9B046A6-65BD-479E-B91F-98A3924C79E3}"/>
    <hyperlink ref="AB362" r:id="rId19" xr:uid="{0582AAD1-79B2-4684-8E96-876759338FA6}"/>
    <hyperlink ref="AB375" r:id="rId20" xr:uid="{D2547276-A606-487F-B1A4-EBC8AC3D6E1C}"/>
    <hyperlink ref="AB389" r:id="rId21" xr:uid="{B81F0CB5-DD62-4BBD-9A6B-D60A6BB18518}"/>
    <hyperlink ref="AB330" r:id="rId22" xr:uid="{E2223507-00AA-4E60-9930-B72CCE78FF1A}"/>
    <hyperlink ref="AB340" r:id="rId23" xr:uid="{80CBF7D7-956E-4F87-88A4-61A35471E80A}"/>
    <hyperlink ref="AB342" r:id="rId24" xr:uid="{29EEBC48-BD52-4FEC-929A-BA0AAD99FEAC}"/>
    <hyperlink ref="AB358" r:id="rId25" xr:uid="{31F8F585-A6D9-4B6A-A4BB-C42F9A320CB9}"/>
    <hyperlink ref="AB366" r:id="rId26" xr:uid="{AAEEAB95-E29A-4B0B-8581-691379F0799B}"/>
    <hyperlink ref="AB394" r:id="rId27" xr:uid="{556F881E-8BC5-44C0-B40E-80A5825E1432}"/>
    <hyperlink ref="AB381" r:id="rId28" xr:uid="{F206B485-CA35-4408-880A-6102D47AF365}"/>
    <hyperlink ref="AB373" r:id="rId29" xr:uid="{D3AE71DD-8AE8-4287-99F2-A38E43009377}"/>
    <hyperlink ref="AB329" r:id="rId30" xr:uid="{B58E1815-D7CC-4570-AB3D-FCD10F3BA26D}"/>
    <hyperlink ref="AB346" r:id="rId31" xr:uid="{F89202E5-F80B-4A11-98EB-5A2CC32FAF56}"/>
    <hyperlink ref="AB359" r:id="rId32" xr:uid="{8BBF9F68-A4AE-4CF9-8810-4C00CBBE708C}"/>
    <hyperlink ref="AB365" r:id="rId33" xr:uid="{8518C990-A6EB-4C79-9175-DF2EE43B02EF}"/>
    <hyperlink ref="AB387" r:id="rId34" xr:uid="{D45DD025-2419-4309-A0DC-7774FAB5FB4F}"/>
    <hyperlink ref="AB332" r:id="rId35" xr:uid="{A71B2DE1-52ED-41E5-82D6-63A69E39AA47}"/>
    <hyperlink ref="AB368" r:id="rId36" xr:uid="{60B9FE99-89F6-454F-854C-6DB4C700318A}"/>
    <hyperlink ref="AB361" r:id="rId37" xr:uid="{B3841279-B988-42E7-A461-9B99B522A7D5}"/>
    <hyperlink ref="AB350" r:id="rId38" xr:uid="{BF248211-9BEA-4F28-BA3B-2335755A7F90}"/>
    <hyperlink ref="AB370" r:id="rId39" xr:uid="{3E8F1663-601B-4407-AC3E-7B880E09B861}"/>
    <hyperlink ref="AB390" r:id="rId40" xr:uid="{7159634D-2DF4-4841-8997-7FBB15F009A8}"/>
    <hyperlink ref="AB345" r:id="rId41" xr:uid="{C0553135-3C0D-4163-9DC2-FB92A60C164E}"/>
    <hyperlink ref="AB378" r:id="rId42" xr:uid="{3DEF22FD-BF85-44EE-83DA-057708EDF7F9}"/>
    <hyperlink ref="AB385" r:id="rId43" xr:uid="{49ACDEB5-1DB7-4A74-BF18-91A496E9776B}"/>
    <hyperlink ref="AB386" r:id="rId44" xr:uid="{ABD8F7B4-091E-4497-A000-583B0464DABF}"/>
    <hyperlink ref="AB397" r:id="rId45" xr:uid="{B1B6A2F8-4A4C-4FAB-8149-2F69467DD56A}"/>
    <hyperlink ref="AB399" r:id="rId46" xr:uid="{E464023B-6B76-447E-91CD-036B265EAD5E}"/>
    <hyperlink ref="AB395" r:id="rId47" xr:uid="{6FEC742F-CB89-43A9-BB3D-B33CBE49865A}"/>
    <hyperlink ref="AB382" r:id="rId48" xr:uid="{DAF85472-EABA-4367-B3F5-CF445EEEB900}"/>
    <hyperlink ref="AB384" r:id="rId49" xr:uid="{92E6225E-8C1C-456D-B8B9-B4ED56DD10B3}"/>
    <hyperlink ref="AB383" r:id="rId50" xr:uid="{C6A88FEA-8858-4CF5-860A-0539DEB3BB95}"/>
    <hyperlink ref="AB391" r:id="rId51" xr:uid="{BCC04513-31B8-4DF7-92C7-71EE73434D16}"/>
    <hyperlink ref="AB400" r:id="rId52" xr:uid="{EDCB7C05-4FC2-454C-BA1A-031B0AD758A0}"/>
    <hyperlink ref="AB393" r:id="rId53" xr:uid="{03CF392B-92D1-47B0-8B23-7C72660747E0}"/>
    <hyperlink ref="AB392" r:id="rId54" xr:uid="{B774A97D-AD10-464E-8F5D-86879B56517B}"/>
    <hyperlink ref="AB396" r:id="rId55" xr:uid="{E89F387B-249B-41E8-BBF9-16DC91D708C0}"/>
    <hyperlink ref="AB404" r:id="rId56" xr:uid="{2DEF60C4-590D-4880-9F69-14F47E42A460}"/>
    <hyperlink ref="AB388" r:id="rId57" xr:uid="{CDB35354-5835-4F33-9364-9558ABE3C0D2}"/>
    <hyperlink ref="AB402" r:id="rId58" xr:uid="{BE3183E2-B471-4EA8-BCFE-25DF83F5A543}"/>
    <hyperlink ref="AB398" r:id="rId59" xr:uid="{77272529-3B73-4671-834C-F711AED9F9F0}"/>
    <hyperlink ref="AB420" r:id="rId60" xr:uid="{FEBB626C-86AC-4BF7-BACD-F92BF85B2542}"/>
    <hyperlink ref="AB430" r:id="rId61" xr:uid="{B5F11A7B-B431-4B58-92AB-0BBF4781B03A}"/>
    <hyperlink ref="AB406" r:id="rId62" xr:uid="{DF08A965-CA1E-4CD6-BDF9-44B0D1EF4B10}"/>
    <hyperlink ref="AB417" r:id="rId63" xr:uid="{47B253FA-BE32-428A-8DC9-EA6506C7119F}"/>
    <hyperlink ref="AB419" r:id="rId64" xr:uid="{0FEC5DDB-9EEB-412A-A689-62F497F918AF}"/>
    <hyperlink ref="AB412" r:id="rId65" xr:uid="{C34A7F43-CAB7-460D-AF7F-0AE158A992C8}"/>
    <hyperlink ref="AB438" r:id="rId66" xr:uid="{DE49A874-0211-46AE-A599-0CF38E04FEA3}"/>
    <hyperlink ref="AB407" r:id="rId67" xr:uid="{A4505BFB-671C-4313-BCB3-F2D590032E82}"/>
    <hyperlink ref="AB409" r:id="rId68" xr:uid="{ECE777DF-9FD3-45BB-84E7-2CAC727D4518}"/>
    <hyperlink ref="AB410" r:id="rId69" xr:uid="{BEA7E28D-9781-4308-9A05-14DF8B148A74}"/>
    <hyperlink ref="AB415" r:id="rId70" xr:uid="{91B82BE2-6F5F-4CC1-BE11-ED96622CDA36}"/>
    <hyperlink ref="AB422" r:id="rId71" xr:uid="{4669B5B2-90A3-4FA2-B268-6244B6C0404A}"/>
    <hyperlink ref="AB436" r:id="rId72" xr:uid="{6E89C65C-173E-484F-A54E-B664F97EA7C9}"/>
    <hyperlink ref="AB432" r:id="rId73" xr:uid="{D1A01CA0-2BA4-4D51-808A-85104568DACF}"/>
    <hyperlink ref="AB424" r:id="rId74" xr:uid="{F615B891-ED54-40AF-8957-C37F97EEB463}"/>
    <hyperlink ref="AB425" r:id="rId75" xr:uid="{BE9A9C95-27B3-47D1-A85C-279050D1FE92}"/>
    <hyperlink ref="AB433" r:id="rId76" xr:uid="{1F5079CD-4638-45B8-9BFA-F78478972FF4}"/>
    <hyperlink ref="AB435" r:id="rId77" xr:uid="{556ABF3C-CA70-4A6E-91E1-4DABB9E34064}"/>
    <hyperlink ref="AB437" r:id="rId78" xr:uid="{54272E7C-AC3B-40CF-9914-787789A13180}"/>
    <hyperlink ref="AB440" r:id="rId79" xr:uid="{5C28D2A6-1211-4383-A84A-F06C613A3F59}"/>
    <hyperlink ref="AB444" r:id="rId80" xr:uid="{D63BFEF9-C336-42AB-BE4A-300F6ED6D06F}"/>
    <hyperlink ref="AB453" r:id="rId81" xr:uid="{58BC7087-3224-46C2-A29F-77FE45DD7D5F}"/>
    <hyperlink ref="AB447" r:id="rId82" xr:uid="{14D14D34-1FF3-401D-9F7C-89AA52D4BEA3}"/>
    <hyperlink ref="AB457" r:id="rId83" xr:uid="{928FA695-B9B7-422B-9125-78CC67A1276A}"/>
    <hyperlink ref="AB454" r:id="rId84" xr:uid="{4AE1BF26-5F2D-4499-B105-7FFECD2310AF}"/>
    <hyperlink ref="AB452" r:id="rId85" xr:uid="{DD646D4A-ABAF-48FA-95CB-6D5C0D5CBF65}"/>
    <hyperlink ref="AB458" r:id="rId86" xr:uid="{2351F1FB-BC23-4159-B11E-AC7E4FB6BA41}"/>
    <hyperlink ref="AB470" r:id="rId87" xr:uid="{5904B313-8A30-43CC-B285-3763A19A07ED}"/>
    <hyperlink ref="AB467" r:id="rId88" xr:uid="{0B5FD29A-8420-45FF-9AF5-E5CF1E96D256}"/>
    <hyperlink ref="AB477" r:id="rId89" xr:uid="{9E82DAA7-D1BF-4BA2-AB72-C4CAA13ACB64}"/>
    <hyperlink ref="AB479" r:id="rId90" xr:uid="{D8060676-2980-4E12-B389-0588D3FE3109}"/>
    <hyperlink ref="AB478" r:id="rId91" xr:uid="{99FAAF9C-71B4-4BC5-8B50-1B9568BC5A16}"/>
    <hyperlink ref="AB482" r:id="rId92" xr:uid="{EE37C7E0-6594-4B8C-9FA1-B0A18A7CD73B}"/>
    <hyperlink ref="AB484" r:id="rId93" xr:uid="{FBB0FC6D-284D-4510-AF6D-41C1C1804E87}"/>
    <hyperlink ref="AB501" r:id="rId94" xr:uid="{61D13018-C117-4F7B-93F6-40DE83758558}"/>
    <hyperlink ref="AB450" r:id="rId95" xr:uid="{8DC77DB3-5745-4565-AF9B-A7EE4650C864}"/>
    <hyperlink ref="AB473" r:id="rId96" xr:uid="{27330B0B-57C0-42AB-9645-F8F860A17326}"/>
    <hyperlink ref="AB495" r:id="rId97" xr:uid="{2C04A169-6D94-46D0-B0BA-093AA6B78A88}"/>
    <hyperlink ref="AB503" r:id="rId98" xr:uid="{083D9497-4CA8-4FA1-8603-40A6B7F35BF7}"/>
    <hyperlink ref="AB509" r:id="rId99" xr:uid="{594E8ADD-9037-4BCA-A1CE-BB103911631B}"/>
    <hyperlink ref="AB517" r:id="rId100" xr:uid="{A36EB0EC-FF2A-4E67-97D5-7491B6DA9C27}"/>
    <hyperlink ref="AB532" r:id="rId101" xr:uid="{97950321-DE73-4A32-A385-62C85042017D}"/>
    <hyperlink ref="AB529" r:id="rId102" xr:uid="{13B9F903-AA31-4D27-843F-89D8A9C78558}"/>
    <hyperlink ref="AB526" r:id="rId103" xr:uid="{F720CB07-49B6-4204-AEE9-DD2CE8C92353}"/>
    <hyperlink ref="AB533" r:id="rId104" xr:uid="{3B0C20C1-587D-4D9A-AF83-5B60906800EF}"/>
    <hyperlink ref="AB534" r:id="rId105" xr:uid="{AF49F06C-D5A7-48A9-A733-2A1930E220C2}"/>
    <hyperlink ref="AB548" r:id="rId106" xr:uid="{EE75B7B4-D222-447F-9819-9913ED5FFC6D}"/>
    <hyperlink ref="AB557" r:id="rId107" xr:uid="{D6023EF1-7B96-4286-8AA0-7BB1B3FFBA34}"/>
    <hyperlink ref="AC586" r:id="rId108" xr:uid="{FED56FA1-64BC-41CC-B139-82C3B1BBE764}"/>
    <hyperlink ref="AC584" r:id="rId109" xr:uid="{4F00D589-2B5D-40C6-9149-9FE4001C3328}"/>
    <hyperlink ref="AC582" r:id="rId110" xr:uid="{057C8D20-314F-4206-BB29-7948C1653FFD}"/>
    <hyperlink ref="AD591" r:id="rId111" xr:uid="{A892E75A-9F7D-465C-A064-13544D7620BA}"/>
    <hyperlink ref="AD592" r:id="rId112" xr:uid="{28A97F41-D968-44D2-9844-42BCFC03839E}"/>
    <hyperlink ref="AD593" r:id="rId113" xr:uid="{2923393A-AD6B-41C1-9731-64BE941F7606}"/>
    <hyperlink ref="AD598" r:id="rId114" xr:uid="{6F387D88-16A5-43CC-A232-220EAB2F6A7D}"/>
    <hyperlink ref="AD597" r:id="rId115" xr:uid="{95123EE4-60CE-4F90-BEDE-9A6C9371EC71}"/>
    <hyperlink ref="AF617" r:id="rId116" xr:uid="{A409CCA3-6D8D-47CD-B17D-0623FDC90439}"/>
    <hyperlink ref="AD603" r:id="rId117" xr:uid="{C96439F0-AAD2-41B9-A218-A2EC30A53833}"/>
    <hyperlink ref="AD595" r:id="rId118" xr:uid="{085A6FBE-CF34-498E-A35F-516285351D62}"/>
    <hyperlink ref="AD608" r:id="rId119" xr:uid="{262D78A4-5901-44E4-86CE-E799CF6EF15A}"/>
    <hyperlink ref="AD646" r:id="rId120" xr:uid="{001C57EF-FBB7-4468-86C9-D582A2AB80A2}"/>
    <hyperlink ref="AD604" r:id="rId121" xr:uid="{2B00433F-CFBF-4A1A-9F0F-8783C2AABF3B}"/>
    <hyperlink ref="AD609" r:id="rId122" xr:uid="{8996EC49-765B-48C5-B3F5-2F8E32EFA08D}"/>
    <hyperlink ref="AD612" r:id="rId123" xr:uid="{E50C8951-88E5-4451-B278-2E42E8DA21F8}"/>
    <hyperlink ref="AD615" r:id="rId124" xr:uid="{1B6A914F-BF00-4968-A8F6-6339C913E90C}"/>
    <hyperlink ref="AD620" r:id="rId125" xr:uid="{242CCC9D-8774-4D9A-A1B6-7CB496C303F3}"/>
    <hyperlink ref="AD621" r:id="rId126" xr:uid="{DF258B2F-72C1-43B4-9985-CB77BBCA2EA3}"/>
    <hyperlink ref="AD625" r:id="rId127" xr:uid="{65975B6C-4929-4C9B-ADC2-3535DF43C5BA}"/>
    <hyperlink ref="AD629" r:id="rId128" xr:uid="{D65061DE-C185-4AE7-8BE9-5B01B6F28838}"/>
    <hyperlink ref="AD639" r:id="rId129" xr:uid="{8589799E-42DC-4ECA-971A-5A188F0BA09B}"/>
    <hyperlink ref="AD634" r:id="rId130" xr:uid="{038B6E13-EDC3-4A9B-B1FF-CD76B9248149}"/>
    <hyperlink ref="AD635" r:id="rId131" xr:uid="{CCE65D8E-CC85-47B6-B20B-0F5158313DEE}"/>
    <hyperlink ref="AD619" r:id="rId132" xr:uid="{8BDB9D13-F809-45DE-B989-A2B3E73C1A22}"/>
    <hyperlink ref="AD650" r:id="rId133" xr:uid="{696F03E0-38C0-4D91-8BA4-EDBD9A65DFA4}"/>
    <hyperlink ref="AD640" r:id="rId134" xr:uid="{C1E4A580-BE91-4DAE-BBCD-C03B02ACB344}"/>
    <hyperlink ref="AD642" r:id="rId135" xr:uid="{9A4A88EF-846B-4420-B419-4A94999C20C2}"/>
    <hyperlink ref="AD649" r:id="rId136" xr:uid="{35D69583-0329-4BF9-9FD4-FDB2B9A3E43A}"/>
    <hyperlink ref="AD651" r:id="rId137" xr:uid="{2D008785-DB14-4C8C-A16D-7733F929371B}"/>
    <hyperlink ref="AD686" r:id="rId138" xr:uid="{78312A98-B934-4FCC-AC39-FD4ACA65C693}"/>
    <hyperlink ref="AD707" r:id="rId139" xr:uid="{25BAF9DD-6F3B-401A-8FCD-B65426520477}"/>
  </hyperlinks>
  <pageMargins left="0.511811024" right="0.511811024" top="0.78740157499999996" bottom="0.78740157499999996" header="0.31496062000000002" footer="0.31496062000000002"/>
  <pageSetup paperSize="9" scale="10" orientation="landscape" r:id="rId140"/>
  <tableParts count="1">
    <tablePart r:id="rId14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686eaa-0658-4f15-b230-9e46c4d089fd">
      <Terms xmlns="http://schemas.microsoft.com/office/infopath/2007/PartnerControls"/>
    </lcf76f155ced4ddcb4097134ff3c332f>
    <TaxCatchAll xmlns="91ce1707-6d34-452b-b217-9734c03e67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D3A7BF04652843BCB50FE90745AA50" ma:contentTypeVersion="12" ma:contentTypeDescription="Crie um novo documento." ma:contentTypeScope="" ma:versionID="fb2ced996423f76b5e2713afa2ebd1fb">
  <xsd:schema xmlns:xsd="http://www.w3.org/2001/XMLSchema" xmlns:xs="http://www.w3.org/2001/XMLSchema" xmlns:p="http://schemas.microsoft.com/office/2006/metadata/properties" xmlns:ns2="fe686eaa-0658-4f15-b230-9e46c4d089fd" xmlns:ns3="91ce1707-6d34-452b-b217-9734c03e6729" targetNamespace="http://schemas.microsoft.com/office/2006/metadata/properties" ma:root="true" ma:fieldsID="a545e0d75005eaa65172ae8e44cfc91e" ns2:_="" ns3:_="">
    <xsd:import namespace="fe686eaa-0658-4f15-b230-9e46c4d089fd"/>
    <xsd:import namespace="91ce1707-6d34-452b-b217-9734c03e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86eaa-0658-4f15-b230-9e46c4d08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1707-6d34-452b-b217-9734c03e67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4bf6c4-1879-4ccf-8c72-3ecbe70bc80b}" ma:internalName="TaxCatchAll" ma:showField="CatchAllData" ma:web="91ce1707-6d34-452b-b217-9734c03e6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AF67B-67F3-479D-896A-04A7BBE7C81F}">
  <ds:schemaRefs>
    <ds:schemaRef ds:uri="http://schemas.microsoft.com/office/2006/metadata/properties"/>
    <ds:schemaRef ds:uri="http://schemas.microsoft.com/office/infopath/2007/PartnerControls"/>
    <ds:schemaRef ds:uri="5f893dd2-11e9-479d-97fd-ac64244e4bd8"/>
    <ds:schemaRef ds:uri="fe686eaa-0658-4f15-b230-9e46c4d089fd"/>
    <ds:schemaRef ds:uri="91ce1707-6d34-452b-b217-9734c03e6729"/>
  </ds:schemaRefs>
</ds:datastoreItem>
</file>

<file path=customXml/itemProps2.xml><?xml version="1.0" encoding="utf-8"?>
<ds:datastoreItem xmlns:ds="http://schemas.openxmlformats.org/officeDocument/2006/customXml" ds:itemID="{09E963D1-4255-41FD-98AB-5B82B7F67B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54F7A3-F493-44C8-A9D5-682718BDD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Dashboard 2026</vt:lpstr>
      <vt:lpstr>Dashboard 2025</vt:lpstr>
      <vt:lpstr>PlanoCap</vt:lpstr>
      <vt:lpstr>Validação Dados</vt:lpstr>
      <vt:lpstr>Ações InCompany</vt:lpstr>
      <vt:lpstr>GECC 2026</vt:lpstr>
      <vt:lpstr>Ações 2026</vt:lpstr>
      <vt:lpstr>Controle Arq.</vt:lpstr>
      <vt:lpstr>PlanoCap2627</vt:lpstr>
      <vt:lpstr>Dashboard GECC 2026</vt:lpstr>
      <vt:lpstr>legado</vt:lpstr>
      <vt:lpstr>'Ações InCompany'!Area_de_impressao</vt:lpstr>
      <vt:lpstr>legado!Area_de_impressao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Silvio Nascimento De Abreu Bueno</dc:creator>
  <cp:keywords/>
  <dc:description/>
  <cp:lastModifiedBy>Silvio Nascimento De Abreu Bueno</cp:lastModifiedBy>
  <cp:revision/>
  <cp:lastPrinted>2026-04-13T19:02:54Z</cp:lastPrinted>
  <dcterms:created xsi:type="dcterms:W3CDTF">2024-04-02T18:43:15Z</dcterms:created>
  <dcterms:modified xsi:type="dcterms:W3CDTF">2026-04-15T21:19:44Z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0x01010052D3A7BF04652843BCB50FE90745AA50</vt:lpwstr>
  </property>
  <property fmtid="{D5CDD505-2E9C-101B-9397-08002B2CF9AE}" pid="3" name="MediaServiceImageTags">
    <vt:lpwstr/>
  </property>
</Properties>
</file>