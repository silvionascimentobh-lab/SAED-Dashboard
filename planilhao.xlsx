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83" documentId="13_ncr:1_{C887EC22-7CD1-4717-84BE-7303F42C5C0A}" xr6:coauthVersionLast="47" xr6:coauthVersionMax="47" xr10:uidLastSave="{F4A36C7E-632B-4254-AD3C-E270F1322CE2}"/>
  <bookViews>
    <workbookView xWindow="-2880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A5" i="23" l="1" a="1"/>
  <c r="E105" i="23"/>
  <c r="A2" i="20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<sst xmlns="http://schemas.openxmlformats.org/spreadsheetml/2006/main" count="6545" uniqueCount="2965">
  <si>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</si>
  <si>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</si>
  <si>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</si>
  <si>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</si>
  <si>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</si>
  <si>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</si>
  <si>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</si>
  <si>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</si>
  <si>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</si>
  <si>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</si>
  <si>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</si>
  <si>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</si>
  <si>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</si>
  <si>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</si>
  <si>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</si>
  <si>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</si>
  <si>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</si>
  <si>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</si>
  <si>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</si>
  <si>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</si>
  <si>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</si>
  <si>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</si>
  <si>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</si>
  <si>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</si>
  <si>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</si>
  <si>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</si>
  <si>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</si>
  <si>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</si>
  <si>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</si>
  <si>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</si>
  <si>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</si>
  <si>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</si>
  <si>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</si>
  <si>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</si>
  <si>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</si>
  <si>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</si>
  <si>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</si>
  <si>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</si>
  <si>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</si>
  <si>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</si>
  <si>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</si>
  <si>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</si>
  <si>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</si>
  <si>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</si>
  <si>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</si>
  <si>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</si>
  <si>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</si>
  <si>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</si>
  <si>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</si>
  <si>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</si>
  <si>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</si>
  <si>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</si>
  <si>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</si>
  <si>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</si>
  <si>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</si>
  <si>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</si>
  <si>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</si>
  <si>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</si>
  <si>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</si>
  <si>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</si>
  <si>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</si>
  <si>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</si>
  <si>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</si>
  <si>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</si>
  <si>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</si>
  <si>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</si>
  <si>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</si>
  <si>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</si>
  <si>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</si>
  <si>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</si>
  <si>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</si>
  <si>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</si>
  <si>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</si>
  <si>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</si>
  <si>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</si>
  <si>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</si>
  <si>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</si>
  <si>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</si>
  <si>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</si>
  <si>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</si>
  <si>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</si>
  <si>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</si>
  <si>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</si>
  <si>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</si>
  <si>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</si>
  <si>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</si>
  <si>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</si>
  <si>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</si>
  <si>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</si>
  <si>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</si>
  <si>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</si>
  <si>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</si>
  <si>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</si>
  <si>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</si>
  <si>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</si>
  <si>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</si>
  <si>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</si>
  <si>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</si>
  <si>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</si>
  <si>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</si>
  <si>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</si>
  <si>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</si>
  <si>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</si>
  <si>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</si>
  <si>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</si>
  <si>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</si>
  <si>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</si>
  <si>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</si>
  <si>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</si>
  <si>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</si>
  <si>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</si>
  <si>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</si>
  <si>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</si>
  <si>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</si>
  <si>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</si>
  <si>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</si>
  <si>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</si>
  <si>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</si>
  <si>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</si>
  <si>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</si>
  <si>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</si>
  <si>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</si>
  <si>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</si>
  <si>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</si>
  <si>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</si>
  <si>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</si>
  <si>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</si>
  <si>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</si>
  <si>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</si>
  <si>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</si>
  <si>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</si>
  <si>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</si>
  <si>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</si>
  <si>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</si>
  <si>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</si>
  <si>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</si>
  <si>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</si>
  <si>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</si>
  <si>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</si>
  <si>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</si>
  <si>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</si>
  <si>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</si>
  <si>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</si>
  <si>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</si>
  <si>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</si>
  <si>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</si>
  <si>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</si>
  <si>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</si>
  <si>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</si>
  <si>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</si>
  <si>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</si>
  <si>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</si>
  <si>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</si>
  <si>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</si>
  <si>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</si>
  <si>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</si>
  <si>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</si>
  <si>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</si>
  <si>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</si>
  <si>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</si>
  <si>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</si>
  <si>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</si>
  <si>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</si>
  <si>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</si>
  <si>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</si>
  <si>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</si>
  <si>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</si>
  <si>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</si>
  <si>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</si>
  <si>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</si>
  <si>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</si>
  <si>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</si>
  <si>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</si>
  <si>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</si>
  <si>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</si>
  <si>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</si>
  <si>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</si>
  <si>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</si>
  <si>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</si>
  <si>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</si>
  <si>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</si>
  <si>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</si>
  <si>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</si>
  <si>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</si>
  <si>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</si>
  <si>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</si>
  <si>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</si>
  <si>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</si>
  <si>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</si>
  <si>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</si>
  <si>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</si>
  <si>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</si>
  <si>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</si>
  <si>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</si>
  <si>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</si>
  <si>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</si>
  <si>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</si>
  <si>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</si>
  <si>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</si>
  <si>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</si>
  <si>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</si>
  <si>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</si>
  <si>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</si>
  <si>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</si>
  <si>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</si>
  <si>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</si>
  <si>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</si>
  <si>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</si>
  <si>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</si>
  <si>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</si>
  <si>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</si>
  <si>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</si>
  <si>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</si>
  <si>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</si>
  <si>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</si>
  <si>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</si>
  <si>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</si>
  <si>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</si>
  <si>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</si>
  <si>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</si>
  <si>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</si>
  <si>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</si>
  <si>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</si>
  <si>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</si>
  <si>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</si>
  <si>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</si>
  <si>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</si>
  <si>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</si>
  <si>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</si>
  <si>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</si>
  <si>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</si>
  <si>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</si>
  <si>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</si>
  <si>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</si>
  <si>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</si>
  <si>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</si>
  <si>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</si>
  <si>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</si>
  <si>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</si>
  <si>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</si>
  <si>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</si>
  <si>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</si>
  <si>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</si>
  <si>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</si>
  <si>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</si>
  <si>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</si>
  <si>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</si>
  <si>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</si>
  <si>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</si>
  <si>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</si>
  <si>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</si>
  <si>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</si>
  <si>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</si>
  <si>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</si>
  <si>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</si>
  <si>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</si>
  <si>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</si>
  <si>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</si>
  <si>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</si>
  <si>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</si>
  <si>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</si>
  <si>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</si>
  <si>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</si>
  <si>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</si>
  <si>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</si>
  <si>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</si>
  <si>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</si>
  <si>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</si>
  <si>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</si>
  <si>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</si>
  <si>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</si>
  <si>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</si>
  <si>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</si>
  <si>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</si>
  <si>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</si>
  <si>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</si>
  <si>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</si>
  <si>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</si>
  <si>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</si>
  <si>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</si>
  <si>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</si>
  <si>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</si>
  <si>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</si>
  <si>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</si>
  <si>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</si>
  <si>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</si>
  <si>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</si>
  <si>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</si>
  <si>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</si>
  <si>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</si>
  <si>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</si>
  <si>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</si>
  <si>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</si>
  <si>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</si>
  <si>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</si>
  <si>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</si>
  <si>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</si>
  <si>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</si>
  <si>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</si>
  <si>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</si>
  <si>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</si>
  <si>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</si>
  <si>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</si>
  <si>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</si>
  <si>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</si>
  <si>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</si>
  <si>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</si>
  <si>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</si>
  <si>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</si>
  <si>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</si>
  <si>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</si>
  <si>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</si>
  <si>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</si>
  <si>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</si>
  <si>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</si>
  <si>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</si>
  <si>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</si>
  <si>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</si>
  <si>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</si>
  <si>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</si>
  <si>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</si>
  <si>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</si>
  <si>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</si>
  <si>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</si>
  <si>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</si>
  <si>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</si>
  <si>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</si>
  <si>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</si>
  <si>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</si>
  <si>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</si>
  <si>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</si>
  <si>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</si>
  <si>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</si>
  <si>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</si>
  <si>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</si>
  <si>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</si>
  <si>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</si>
  <si>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</si>
  <si>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</si>
  <si>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</si>
  <si>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</si>
  <si>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</si>
  <si>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</si>
  <si>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</si>
  <si>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</si>
  <si>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</si>
  <si>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</si>
  <si>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</si>
  <si>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</si>
  <si>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</si>
  <si>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</si>
  <si>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</si>
  <si>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</si>
  <si>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</si>
  <si>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</si>
  <si>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</si>
  <si>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</si>
  <si>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</si>
  <si>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</si>
  <si>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</si>
  <si>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</si>
  <si>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</si>
  <si>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</si>
  <si>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</si>
  <si>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</si>
  <si>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</si>
  <si>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</si>
  <si>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</si>
  <si>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</si>
  <si>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</si>
  <si>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</si>
  <si>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</si>
  <si>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</si>
  <si>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</si>
  <si>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</si>
  <si>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</si>
  <si>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</si>
  <si>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</si>
  <si>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</si>
  <si>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</si>
  <si>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</si>
  <si>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</si>
  <si>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</si>
  <si>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</si>
  <si>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</si>
  <si>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</si>
  <si>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</si>
  <si>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</si>
  <si>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</si>
  <si>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</si>
  <si>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</si>
  <si>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</si>
  <si>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</si>
  <si>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</si>
  <si>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</si>
  <si>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</si>
  <si>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</si>
  <si>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</si>
  <si>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</si>
  <si>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</si>
  <si>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</si>
  <si>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</si>
  <si>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</si>
  <si>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</si>
  <si>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</si>
  <si>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</si>
  <si>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</si>
  <si>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</si>
  <si>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</si>
  <si>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</si>
  <si>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</si>
  <si>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</si>
  <si>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</si>
  <si>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</si>
  <si>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</si>
  <si>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</si>
  <si>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</si>
  <si>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</si>
  <si>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</si>
  <si>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</si>
  <si>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</si>
  <si>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</si>
  <si>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</si>
  <si>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</si>
  <si>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</si>
  <si>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</si>
  <si>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</si>
  <si>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</si>
  <si>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</si>
  <si>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</si>
  <si>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</si>
  <si>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</si>
  <si>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</si>
  <si>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</si>
  <si>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</si>
  <si>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</si>
  <si>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</si>
  <si>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</si>
  <si>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</si>
  <si>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</si>
  <si>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</si>
  <si>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</si>
  <si>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</si>
  <si>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</si>
  <si>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</si>
  <si>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</si>
  <si>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</si>
  <si>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</si>
  <si>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</si>
  <si>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</si>
  <si>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</si>
  <si>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</si>
  <si>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</si>
  <si>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</si>
  <si>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</si>
  <si>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</si>
  <si>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</si>
  <si>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</si>
  <si>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</si>
  <si>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</si>
  <si>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</si>
  <si>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</si>
  <si>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</si>
  <si>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</si>
  <si>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</si>
  <si>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</si>
  <si>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</si>
  <si>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</si>
  <si>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</si>
  <si>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</si>
  <si>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</si>
  <si>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</si>
  <si>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</si>
  <si>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</si>
  <si>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</si>
  <si>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</si>
  <si>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</si>
  <si>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</si>
  <si>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</si>
  <si>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</si>
  <si>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</si>
  <si>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</si>
  <si>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</si>
  <si>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</si>
  <si>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</si>
  <si>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</si>
  <si>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</si>
  <si>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</si>
  <si>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</si>
  <si>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</si>
  <si>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</si>
  <si>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</si>
  <si>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</si>
  <si>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</si>
  <si>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</si>
  <si>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</si>
  <si>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</si>
  <si>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</si>
  <si>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</si>
  <si>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</si>
  <si>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</si>
  <si>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</si>
  <si>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</si>
  <si>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</si>
  <si>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</si>
  <si>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</si>
  <si>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</si>
  <si>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</si>
  <si>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</si>
  <si>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</si>
  <si>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</si>
  <si>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</si>
  <si>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</si>
  <si>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</si>
  <si>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</si>
  <si>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</si>
  <si>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</si>
  <si>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</si>
  <si>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</si>
  <si>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</si>
  <si>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</si>
  <si>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</si>
  <si>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</si>
  <si>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</si>
  <si>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</si>
  <si>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</si>
  <si>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</si>
  <si>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</si>
  <si>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</si>
  <si>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</si>
  <si>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</si>
  <si>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</si>
  <si>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</si>
  <si>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</si>
  <si>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</si>
  <si>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</si>
  <si>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</si>
  <si>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</si>
  <si>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</si>
  <si>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</si>
  <si>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</si>
  <si>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</si>
  <si>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</si>
  <si>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</si>
  <si>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</si>
  <si>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</si>
  <si>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</si>
  <si>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</si>
  <si>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</si>
  <si>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</si>
  <si>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</si>
  <si>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</si>
  <si>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</si>
  <si>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</si>
  <si>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</si>
  <si>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</si>
  <si>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</si>
  <si>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</si>
  <si>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</si>
  <si>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</si>
  <si>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</si>
  <si>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</si>
  <si>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</si>
  <si>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</si>
  <si>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</si>
  <si>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</si>
  <si>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</si>
  <si>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</si>
  <si>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</si>
  <si>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</si>
  <si>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</si>
  <si>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</si>
  <si>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</si>
  <si>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</si>
  <si>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</si>
  <si>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</si>
  <si>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</si>
  <si>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</si>
  <si>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</si>
  <si>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</si>
  <si>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</si>
  <si>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</si>
  <si>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</si>
  <si>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</si>
  <si>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</si>
  <si>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</si>
  <si>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</si>
  <si>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</si>
  <si>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</si>
  <si>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</si>
  <si>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</si>
  <si>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</si>
  <si>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</si>
  <si>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</si>
  <si>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</si>
  <si>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</si>
  <si>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</si>
  <si>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</si>
  <si>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</si>
  <si>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</si>
  <si>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</si>
  <si>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</si>
  <si>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</si>
  <si>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</si>
  <si>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</si>
  <si>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</si>
  <si>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</si>
  <si>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</si>
  <si>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</si>
  <si>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</si>
  <si>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</si>
  <si>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</si>
  <si>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</si>
  <si>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</si>
  <si>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</si>
  <si>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</si>
  <si>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</si>
  <si>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</si>
  <si>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</si>
  <si>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</si>
  <si>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</si>
  <si>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</si>
  <si>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</si>
  <si>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</si>
  <si>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</si>
  <si>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</si>
  <si>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</si>
  <si>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</si>
  <si>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</si>
  <si>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</si>
  <si>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</si>
  <si>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</si>
  <si>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</si>
  <si>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</si>
  <si>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</si>
  <si>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</si>
  <si>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</si>
  <si>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</si>
  <si>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</si>
  <si>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</si>
  <si>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</si>
  <si>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</si>
  <si>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</si>
  <si>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</si>
  <si>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</si>
  <si>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</si>
  <si>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</si>
  <si>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</si>
  <si>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</si>
  <si>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</si>
  <si>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</si>
  <si>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</si>
  <si>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</si>
  <si>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</si>
  <si>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</si>
  <si>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</si>
  <si>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</si>
  <si>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</si>
  <si>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</si>
  <si>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</si>
  <si>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</si>
  <si>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</si>
  <si>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</si>
  <si>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</si>
  <si>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</si>
  <si>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</si>
  <si>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</si>
  <si>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</si>
  <si>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</si>
  <si>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</si>
  <si>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</si>
  <si>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</si>
  <si>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</si>
  <si>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</si>
  <si>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</si>
  <si>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</si>
  <si>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</si>
  <si>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</si>
  <si>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</si>
  <si>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</si>
  <si>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</si>
  <si>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</si>
  <si>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</si>
  <si>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</si>
  <si>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</si>
  <si>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</si>
  <si>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</si>
  <si>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</si>
  <si>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</si>
  <si>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</si>
  <si>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</si>
  <si>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</si>
  <si>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</si>
  <si>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</si>
  <si>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</si>
  <si>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</si>
  <si>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</si>
  <si>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</si>
  <si>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</si>
  <si>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</si>
  <si>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</si>
  <si>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</si>
  <si>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</si>
  <si>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</si>
  <si>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</si>
  <si>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</si>
  <si>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</si>
  <si>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</si>
  <si>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</si>
  <si>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</si>
  <si>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</si>
  <si>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</si>
  <si>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</si>
  <si>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</si>
  <si>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</si>
  <si>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</si>
  <si>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</si>
  <si>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</si>
  <si>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</si>
  <si>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</si>
  <si>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</si>
  <si>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</si>
  <si>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</si>
  <si>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</si>
  <si>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</si>
  <si>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</si>
  <si>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</si>
  <si>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</si>
  <si>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</si>
  <si>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</si>
  <si>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</si>
  <si>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</si>
  <si>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</si>
  <si>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</si>
  <si>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</si>
  <si>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</si>
  <si>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</si>
  <si>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</si>
  <si>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</si>
  <si>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</si>
  <si>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</si>
  <si>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</si>
  <si>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</si>
  <si>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</si>
  <si>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</si>
  <si>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</si>
  <si>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</si>
  <si>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</si>
  <si>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</si>
  <si>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</si>
  <si>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</si>
  <si>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</si>
  <si>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</si>
  <si>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</si>
  <si>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</si>
  <si>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</si>
  <si>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</si>
  <si>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</si>
  <si>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</si>
  <si>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</si>
  <si>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</si>
  <si>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</si>
  <si>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</si>
  <si>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</si>
  <si>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</si>
  <si>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</si>
  <si>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</si>
  <si>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</si>
  <si>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</si>
  <si>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</si>
  <si>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</si>
  <si>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</si>
  <si>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</si>
  <si>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</si>
  <si>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</si>
  <si>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</si>
  <si>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</si>
  <si>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</si>
  <si>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</si>
  <si>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</si>
  <si>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</si>
  <si>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</si>
  <si>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</si>
  <si>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</si>
  <si>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</si>
  <si>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</si>
  <si>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</si>
  <si>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</si>
  <si>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</si>
  <si>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</si>
  <si>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</si>
  <si>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</si>
  <si>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</si>
  <si>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</si>
  <si>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</si>
  <si>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</si>
  <si>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</si>
  <si>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</si>
  <si>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</si>
  <si>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</si>
  <si>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</si>
  <si>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</si>
  <si>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</si>
  <si>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</si>
  <si>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</si>
  <si>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</si>
  <si>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</si>
  <si>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</si>
  <si>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</si>
  <si>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</si>
  <si>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</si>
  <si>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</si>
  <si>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</si>
  <si>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</si>
  <si>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</si>
  <si>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</si>
  <si>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</si>
  <si>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</si>
  <si>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</si>
  <si>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</si>
  <si>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</si>
  <si>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</si>
  <si>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</si>
  <si>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</si>
  <si>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</si>
  <si>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</si>
  <si>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</si>
  <si>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</si>
  <si>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</si>
  <si>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</si>
  <si>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</si>
  <si>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</si>
  <si>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</si>
  <si>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</si>
  <si>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</si>
  <si>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</si>
  <si>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</si>
  <si>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</si>
  <si>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</si>
  <si>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</si>
  <si>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</si>
  <si>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</si>
  <si>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</si>
  <si>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</si>
  <si>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</si>
  <si>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</si>
  <si>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</si>
  <si>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</si>
  <si>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</si>
  <si>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</si>
  <si>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</si>
  <si>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</si>
  <si>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</si>
  <si>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</si>
  <si>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</si>
  <si>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</si>
  <si>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</si>
  <si>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</si>
  <si>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</si>
  <si>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</si>
  <si>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</si>
  <si>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</si>
  <si>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</si>
  <si>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</si>
  <si>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</si>
  <si>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</si>
  <si>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</si>
  <si>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</si>
  <si>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</si>
  <si>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</si>
  <si>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</si>
  <si>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</si>
  <si>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</si>
  <si>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</si>
  <si>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</si>
  <si>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</si>
  <si>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</si>
  <si>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</si>
  <si>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</si>
  <si>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</si>
  <si>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</si>
  <si>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</si>
  <si>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</si>
  <si>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</si>
  <si>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</si>
  <si>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</si>
  <si>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</si>
  <si>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</si>
  <si>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</si>
  <si>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</si>
  <si>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</si>
  <si>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</si>
  <si>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</si>
  <si>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</si>
  <si>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</si>
  <si>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</si>
  <si>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</si>
  <si>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</si>
  <si>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</si>
  <si>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</si>
  <si>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</si>
  <si>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</si>
  <si>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</si>
  <si>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</si>
  <si>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</si>
  <si>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</si>
  <si>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</si>
  <si>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</si>
  <si>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</si>
  <si>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</si>
  <si>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</si>
  <si>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</si>
  <si>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</si>
  <si>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</si>
  <si>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</si>
  <si>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</si>
  <si>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</si>
  <si>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</si>
  <si>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</si>
  <si>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</si>
  <si>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</si>
  <si>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</si>
  <si>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</si>
  <si>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</si>
  <si>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</si>
  <si>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</si>
  <si>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</si>
  <si>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</si>
  <si>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</si>
  <si>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</si>
  <si>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</si>
  <si>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</si>
  <si>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</si>
  <si>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</si>
  <si>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</si>
  <si>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</si>
  <si>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</si>
  <si>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</si>
  <si>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</si>
  <si>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</si>
  <si>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</si>
  <si>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</si>
  <si>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</si>
  <si>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</si>
  <si>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</si>
  <si>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</si>
  <si>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</si>
  <si>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</si>
  <si>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</si>
  <si>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</si>
  <si>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</si>
  <si>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</si>
  <si>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</si>
  <si>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</si>
  <si>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</si>
  <si>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</si>
  <si>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</si>
  <si>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</si>
  <si>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</si>
  <si>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</si>
  <si>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</si>
  <si>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</si>
  <si>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</si>
  <si>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</si>
  <si>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</si>
  <si>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</si>
  <si>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</si>
  <si>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</si>
  <si>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</si>
  <si>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</si>
  <si>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</si>
  <si>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</si>
  <si>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</si>
  <si>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</si>
  <si>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</si>
  <si>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</si>
  <si>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</si>
  <si>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</si>
  <si>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</si>
  <si>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</si>
  <si>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</si>
  <si>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</si>
  <si>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</si>
  <si>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</si>
  <si>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</si>
  <si>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</si>
  <si>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</si>
  <si>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</si>
  <si>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</si>
  <si>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</si>
  <si>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</si>
  <si>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</si>
  <si>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</si>
  <si>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</si>
  <si>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</si>
  <si>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</si>
  <si>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</si>
  <si>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</si>
  <si>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</si>
  <si>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</si>
  <si>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</si>
  <si>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</si>
  <si>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</si>
  <si>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</si>
  <si>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</si>
  <si>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</si>
  <si>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</si>
  <si>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</si>
  <si>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</si>
  <si>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</si>
  <si>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</si>
  <si>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</si>
  <si>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</si>
  <si>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</si>
  <si>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</si>
  <si>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</si>
  <si>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</si>
  <si>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</si>
  <si>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</si>
  <si>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</si>
  <si>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</si>
  <si>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</si>
  <si>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</si>
  <si>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</si>
  <si>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</si>
  <si>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</si>
  <si>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</si>
  <si>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</si>
  <si>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</si>
  <si>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</si>
  <si>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</si>
  <si>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</si>
  <si>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</si>
  <si>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</si>
  <si>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</si>
  <si>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</si>
  <si>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</si>
  <si>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</si>
  <si>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</si>
  <si>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</si>
  <si>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</si>
  <si>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</si>
  <si>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</si>
  <si>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</si>
  <si>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</si>
  <si>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</si>
  <si>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</si>
  <si>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</si>
  <si>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</si>
  <si>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</si>
  <si>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</si>
  <si>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</si>
  <si>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</si>
  <si>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</si>
  <si>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</si>
  <si>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</si>
  <si>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</si>
  <si>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</si>
  <si>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</si>
  <si>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</si>
  <si>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</si>
  <si>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</si>
  <si>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</si>
  <si>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</si>
  <si>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</si>
  <si>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</si>
  <si>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</si>
  <si>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</si>
  <si>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</si>
  <si>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</si>
  <si>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</si>
  <si>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</si>
  <si>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</si>
  <si>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</si>
  <si>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</si>
  <si>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</si>
  <si>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</si>
  <si>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</si>
  <si>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</si>
  <si>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</si>
  <si>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</si>
  <si>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</si>
  <si>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</si>
  <si>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</si>
  <si>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</si>
  <si>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</si>
  <si>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</si>
  <si>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</si>
  <si>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</si>
  <si>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</si>
  <si>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</si>
  <si>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</si>
  <si>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</si>
  <si>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</si>
  <si>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</si>
  <si>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</si>
  <si>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</si>
  <si>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</si>
  <si>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</si>
  <si>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</si>
  <si>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</si>
  <si>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</si>
  <si>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</si>
  <si>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</si>
  <si>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</si>
  <si>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</si>
  <si>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</si>
  <si>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</si>
  <si>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</si>
  <si>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</si>
  <si>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</si>
  <si>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</si>
  <si>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</si>
  <si>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</si>
  <si>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</si>
  <si>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</si>
  <si>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</si>
  <si>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</si>
  <si>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</si>
  <si>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</si>
  <si>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</si>
  <si>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</si>
  <si>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</si>
  <si>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</si>
  <si>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</si>
  <si>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</si>
  <si>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</si>
  <si>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</si>
  <si>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</si>
  <si>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</si>
  <si>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</si>
  <si>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</si>
  <si>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</si>
  <si>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</si>
  <si>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</si>
  <si>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</si>
  <si>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</si>
  <si>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</si>
  <si>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</si>
  <si>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</si>
  <si>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</si>
  <si>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</si>
  <si>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</si>
  <si>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</si>
  <si>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</si>
  <si>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</si>
  <si>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</si>
  <si>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</si>
  <si>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</si>
  <si>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</si>
  <si>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</si>
  <si>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</si>
  <si>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</si>
  <si>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</si>
  <si>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</si>
  <si>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</si>
  <si>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</si>
  <si>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</si>
  <si>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</si>
  <si>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</si>
  <si>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</si>
  <si>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</si>
  <si>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</si>
  <si>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</si>
  <si>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</si>
  <si>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</si>
  <si>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</si>
  <si>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</si>
  <si>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</si>
  <si>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</si>
  <si>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</si>
  <si>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</si>
  <si>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</si>
  <si>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</si>
  <si>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</si>
  <si>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</si>
  <si>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</si>
  <si>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</si>
  <si>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</si>
  <si>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</si>
  <si>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</si>
  <si>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</si>
  <si>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</si>
  <si>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</si>
  <si>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</si>
  <si>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</si>
  <si>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</si>
  <si>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</si>
  <si>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</si>
  <si>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</si>
  <si>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</si>
  <si>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</si>
  <si>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</si>
  <si>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</si>
  <si>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</si>
  <si>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</si>
  <si>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</si>
  <si>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</si>
  <si>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</si>
  <si>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</si>
  <si>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</si>
  <si>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</si>
  <si>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</si>
  <si>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</si>
  <si>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</si>
  <si>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</si>
  <si>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</si>
  <si>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</si>
  <si>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</si>
  <si>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</si>
  <si>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</si>
  <si>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</si>
  <si>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</si>
  <si>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</si>
  <si>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</si>
  <si>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</si>
  <si>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</si>
  <si>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</si>
  <si>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</si>
  <si>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</si>
  <si>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</si>
  <si>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</si>
  <si>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</si>
  <si>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</si>
  <si>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</si>
  <si>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</si>
  <si>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</si>
  <si>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</si>
  <si>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</si>
  <si>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</si>
  <si>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</si>
  <si>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</si>
  <si>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</si>
  <si>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</si>
  <si>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</si>
  <si>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</si>
  <si>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</si>
  <si>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</si>
  <si>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</si>
  <si>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</si>
  <si>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</si>
  <si>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</si>
  <si>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</si>
  <si>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</si>
  <si>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</si>
  <si>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</si>
  <si>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</si>
  <si>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</si>
  <si>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</si>
  <si>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</si>
  <si>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</si>
  <si>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</si>
  <si>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</si>
  <si>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</si>
  <si>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</si>
  <si>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</si>
  <si>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</si>
  <si>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</si>
  <si>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</si>
  <si>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</si>
  <si>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</si>
  <si>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</si>
  <si>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</si>
  <si>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</si>
  <si>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</si>
  <si>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</si>
  <si>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</si>
  <si>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</si>
  <si>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</si>
  <si>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</si>
  <si>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</si>
  <si>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</si>
  <si>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</si>
  <si>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</si>
  <si>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</si>
  <si>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</si>
  <si>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</si>
  <si>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</si>
  <si>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</si>
  <si>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</si>
  <si>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</si>
  <si>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</si>
  <si>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</si>
  <si>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</si>
  <si>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</si>
  <si>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</si>
  <si>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</si>
  <si>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</si>
  <si>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</si>
  <si>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</si>
  <si>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</si>
  <si>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</si>
  <si>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</si>
  <si>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</si>
  <si>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</si>
  <si>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</si>
  <si>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</si>
  <si>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</si>
  <si>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</si>
  <si>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</si>
  <si>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</si>
  <si>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</si>
  <si>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</si>
  <si>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</si>
  <si>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</si>
  <si>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</si>
  <si>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</si>
  <si>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</si>
  <si>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</si>
  <si>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</si>
  <si>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</si>
  <si>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</si>
  <si>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</si>
  <si>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</si>
  <si>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</si>
  <si>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</si>
  <si>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</si>
  <si>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</si>
  <si>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</si>
  <si>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</si>
  <si>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</si>
  <si>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</si>
  <si>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</si>
  <si>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</si>
  <si>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</si>
  <si>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</si>
  <si>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</si>
  <si>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</si>
  <si>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</si>
  <si>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</si>
  <si>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</si>
  <si>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</si>
  <si>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</si>
  <si>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</si>
  <si>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</si>
  <si>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</si>
  <si>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</si>
  <si>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</si>
  <si>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</si>
  <si>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</si>
  <si>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</si>
  <si>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</si>
  <si>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</si>
  <si>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</si>
  <si>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</si>
  <si>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</si>
  <si>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</si>
  <si>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</si>
  <si>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</si>
  <si>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</si>
  <si>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</si>
  <si>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</si>
  <si>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</si>
  <si>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</si>
  <si>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</si>
  <si>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</si>
  <si>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</si>
  <si>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</si>
  <si>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</si>
  <si>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</si>
  <si>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</si>
  <si>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</si>
  <si>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</si>
  <si>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</si>
  <si>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</si>
  <si>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</si>
  <si>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</si>
  <si>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</si>
  <si>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</si>
  <si>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</si>
  <si>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</si>
  <si>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</si>
  <si>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</si>
  <si>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</si>
  <si>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</si>
  <si>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</si>
  <si>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</si>
  <si>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</si>
  <si>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</si>
  <si>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</si>
  <si>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</si>
  <si>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</si>
  <si>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</si>
  <si>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</si>
  <si>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</si>
  <si>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</si>
  <si>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</si>
  <si>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</si>
  <si>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</si>
  <si>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</si>
  <si>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</si>
  <si>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</si>
  <si>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</si>
  <si>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</si>
  <si>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</si>
  <si>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</si>
  <si>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</si>
  <si>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</si>
  <si>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</si>
  <si>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</si>
  <si>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</si>
  <si>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</si>
  <si>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</si>
  <si>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</si>
  <si>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</si>
  <si>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</si>
  <si>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</si>
  <si>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</si>
  <si>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</si>
  <si>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</si>
  <si>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</si>
  <si>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</si>
  <si>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</si>
  <si>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</si>
  <si>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</si>
  <si>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</si>
  <si>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</si>
  <si>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</si>
  <si>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</si>
  <si>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</si>
  <si>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</si>
  <si>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</si>
  <si>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</si>
  <si>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</si>
  <si>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</si>
  <si>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</si>
  <si>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</si>
  <si>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</si>
  <si>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</si>
  <si>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</si>
  <si>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</si>
  <si>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</si>
  <si>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</si>
  <si>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</si>
  <si>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</si>
  <si>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</si>
  <si>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</si>
  <si>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</si>
  <si>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</si>
  <si>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</si>
  <si>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</si>
  <si>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</si>
  <si>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</si>
  <si>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</si>
  <si>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</si>
  <si>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</si>
  <si>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</si>
  <si>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</si>
  <si>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</si>
  <si>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</si>
  <si>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</si>
  <si>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</si>
  <si>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</si>
  <si>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</si>
  <si>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</si>
  <si>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</si>
  <si>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</si>
  <si>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</si>
  <si>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</si>
  <si>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</si>
  <si>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</si>
  <si>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</si>
  <si>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</si>
  <si>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</si>
  <si>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</si>
  <si>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</si>
  <si>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</si>
  <si>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</si>
  <si>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</si>
  <si>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</si>
  <si>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</si>
  <si>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</si>
  <si>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</si>
  <si>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</si>
  <si>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</si>
  <si>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</si>
  <si>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</si>
  <si>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</si>
  <si>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</si>
  <si>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</si>
  <si>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</si>
  <si>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</si>
  <si>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</si>
  <si>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</si>
  <si>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</si>
  <si>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</si>
  <si>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</si>
  <si>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</si>
  <si>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</si>
  <si>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</si>
  <si>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</si>
  <si>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</si>
  <si>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</si>
  <si>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</si>
  <si>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</si>
  <si>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</si>
  <si>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</si>
  <si>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</si>
  <si>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</si>
  <si>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</si>
  <si>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</si>
  <si>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</si>
  <si>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</si>
  <si>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</si>
  <si>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</si>
  <si>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</si>
  <si>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</si>
  <si>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</si>
  <si>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</si>
  <si>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</si>
  <si>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</si>
  <si>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</si>
  <si>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</si>
  <si>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</si>
  <si>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</si>
  <si>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</si>
  <si>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</si>
  <si>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</si>
  <si>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</si>
  <si>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</si>
  <si>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</si>
  <si>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</si>
  <si>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</si>
  <si>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</si>
  <si>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</si>
  <si>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</si>
  <si>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</si>
  <si>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</si>
  <si>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</si>
  <si>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</si>
  <si>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</si>
  <si>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</si>
  <si>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</si>
  <si>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</si>
  <si>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</si>
  <si>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</si>
  <si>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</si>
  <si>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</si>
  <si>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</si>
  <si>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</si>
  <si>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</si>
  <si>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</si>
  <si>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</si>
  <si>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</si>
  <si>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</si>
  <si>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</si>
  <si>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</si>
  <si>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</si>
  <si>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</si>
  <si>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</si>
  <si>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</si>
  <si>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</si>
  <si>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</si>
  <si>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</si>
  <si>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</si>
  <si>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</si>
  <si>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</si>
  <si>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</si>
  <si>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</si>
  <si>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</si>
  <si>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</si>
  <si>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</si>
  <si>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</si>
  <si>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</si>
  <si>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</si>
  <si>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</si>
  <si>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</si>
  <si>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</si>
  <si>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</si>
  <si>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</si>
  <si>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</si>
  <si>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</si>
  <si>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</si>
  <si>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</si>
  <si>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</si>
  <si>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</si>
  <si>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</si>
  <si>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</si>
  <si>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</si>
  <si>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</si>
  <si>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</si>
  <si>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</si>
  <si>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</si>
  <si>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</si>
  <si>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</si>
  <si>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</si>
  <si>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</si>
  <si>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</si>
  <si>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</si>
  <si>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</si>
  <si>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</si>
  <si>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</si>
  <si>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</si>
  <si>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</si>
  <si>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</si>
  <si>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</si>
  <si>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</si>
  <si>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</si>
  <si>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</si>
  <si>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</si>
  <si>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</si>
  <si>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</si>
  <si>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</si>
  <si>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</si>
  <si>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</si>
  <si>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</si>
  <si>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</si>
  <si>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</si>
  <si>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</si>
  <si>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</si>
  <si>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</si>
  <si>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</si>
  <si>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</si>
  <si>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</si>
  <si>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</si>
  <si>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</si>
  <si>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</si>
  <si>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</si>
  <si>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</si>
  <si>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</si>
  <si>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</si>
  <si>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</si>
  <si>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</si>
  <si>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</si>
  <si>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</si>
  <si>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</si>
  <si>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</si>
  <si>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</si>
  <si>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</si>
  <si>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</si>
  <si>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</si>
  <si>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</si>
  <si>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</si>
  <si>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</si>
  <si>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</si>
  <si>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</si>
  <si>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</si>
  <si>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</si>
  <si>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</si>
  <si>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</si>
  <si>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</si>
  <si>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</si>
  <si>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</si>
  <si>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</si>
  <si>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</si>
  <si>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</si>
  <si>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</si>
  <si>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</si>
  <si>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</si>
  <si>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</si>
  <si>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</si>
  <si>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</si>
  <si>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</si>
  <si>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</si>
  <si>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</si>
  <si>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</si>
  <si>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</si>
  <si>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</si>
  <si>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</si>
  <si>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</si>
  <si>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</si>
  <si>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</si>
  <si>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</si>
  <si>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</si>
  <si>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</si>
  <si>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</si>
  <si>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</si>
  <si>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</si>
  <si>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</si>
  <si>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</si>
  <si>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</si>
  <si>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</si>
  <si>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</si>
  <si>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</si>
  <si>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</si>
  <si>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</si>
  <si>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</si>
  <si>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</si>
  <si>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</si>
  <si>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</si>
  <si>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</si>
  <si>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</si>
  <si>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</si>
  <si>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</si>
  <si>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</si>
  <si>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</si>
  <si>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</si>
  <si>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</si>
  <si>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</si>
  <si>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</si>
  <si>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</si>
  <si>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</si>
  <si>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</si>
  <si>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</si>
  <si>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</si>
  <si>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</si>
  <si>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</si>
  <si>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</si>
  <si>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</si>
  <si>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</si>
  <si>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</si>
  <si>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</si>
  <si>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</si>
  <si>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</si>
  <si>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</si>
  <si>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</si>
  <si>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</si>
  <si>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</si>
  <si>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</si>
  <si>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</si>
  <si>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</si>
  <si>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</si>
  <si>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</si>
  <si>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</si>
  <si>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</si>
  <si>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</si>
  <si>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</si>
  <si>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</si>
  <si>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</si>
  <si>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</si>
  <si>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</si>
  <si>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</si>
  <si>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</si>
  <si>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</si>
  <si>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</si>
  <si>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</si>
  <si>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</si>
  <si>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</si>
  <si>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</si>
  <si>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</si>
  <si>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</si>
  <si>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</si>
  <si>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</si>
  <si>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</si>
  <si>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</si>
  <si>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</si>
  <si>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</si>
  <si>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</si>
  <si>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</si>
  <si>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</si>
  <si>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</si>
  <si>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</si>
  <si>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</si>
  <si>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</si>
  <si>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</si>
  <si>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</si>
  <si>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</si>
  <si>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</si>
  <si>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</si>
  <si>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</si>
  <si>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</si>
  <si>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</si>
  <si>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</si>
  <si>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</si>
  <si>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</si>
  <si>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</si>
  <si>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</si>
  <si>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</si>
  <si>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</si>
  <si>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</si>
  <si>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</si>
  <si>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</si>
  <si>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</si>
  <si>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</si>
  <si>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</si>
  <si>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</si>
  <si>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</si>
  <si>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</si>
  <si>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</si>
  <si>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</si>
  <si>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</si>
  <si>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</si>
  <si>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</si>
  <si>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</si>
  <si>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</si>
  <si>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</si>
  <si>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</si>
  <si>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</si>
  <si>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</si>
  <si>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</si>
  <si>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</si>
  <si>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</si>
  <si>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</si>
  <si>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</si>
  <si>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</si>
  <si>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</si>
  <si>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</si>
  <si>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</si>
  <si>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</si>
  <si>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</si>
  <si>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</si>
  <si>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</si>
  <si>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</si>
  <si>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</si>
  <si>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</si>
  <si>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</si>
  <si>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</si>
  <si>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</si>
  <si>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</si>
  <si>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</si>
  <si>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</si>
  <si>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</si>
  <si>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</si>
  <si>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</si>
  <si>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</si>
  <si>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</si>
  <si>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</si>
  <si>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</si>
  <si>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</si>
  <si>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</si>
  <si>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</si>
  <si>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</si>
  <si>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</si>
  <si>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</si>
  <si>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</si>
  <si>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</si>
  <si>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</si>
  <si>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</si>
  <si>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</si>
  <si>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</si>
  <si>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</si>
  <si>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</si>
  <si>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</si>
  <si>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</si>
  <si>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</si>
  <si>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</si>
  <si>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</si>
  <si>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</si>
  <si>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</si>
  <si>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</si>
  <si>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</si>
  <si>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</si>
  <si>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</si>
  <si>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</si>
  <si>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</si>
  <si>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</si>
  <si>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</si>
  <si>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</si>
  <si>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</si>
  <si>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</si>
  <si>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</si>
  <si>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</si>
  <si>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</si>
  <si>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</si>
  <si>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</si>
  <si>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</si>
  <si>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</si>
  <si>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</si>
  <si>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</si>
  <si>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</si>
  <si>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</si>
  <si>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</si>
  <si>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</si>
  <si>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</si>
  <si>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</si>
  <si>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</si>
  <si>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</si>
  <si>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</si>
  <si>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</si>
  <si>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</si>
  <si>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</si>
  <si>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</si>
  <si>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</si>
  <si>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</si>
  <si>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</si>
  <si>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</si>
  <si>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</si>
  <si>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</si>
  <si>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</si>
  <si>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</si>
  <si>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</si>
  <si>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</si>
  <si>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</si>
  <si>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</si>
  <si>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</si>
  <si>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</si>
  <si>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</si>
  <si>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</si>
  <si>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</si>
  <si>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</si>
  <si>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</si>
  <si>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</si>
  <si>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</si>
  <si>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</si>
  <si>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</si>
  <si>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</si>
  <si>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</si>
  <si>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</si>
  <si>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</si>
  <si>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</si>
  <si>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</si>
  <si>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</si>
  <si>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</si>
  <si>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</si>
  <si>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</si>
  <si>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</si>
  <si>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</si>
  <si>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</si>
  <si>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</si>
  <si>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</si>
  <si>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</si>
  <si>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</si>
  <si>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</si>
  <si>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</si>
  <si>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</si>
  <si>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</si>
  <si>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</si>
  <si>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</si>
  <si>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</si>
  <si>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</si>
  <si>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</si>
  <si>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</si>
  <si>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</si>
  <si>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</si>
  <si>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</si>
  <si>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</si>
  <si>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</si>
  <si>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</si>
  <si>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</si>
  <si>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</si>
  <si>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</si>
  <si>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</si>
  <si>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</si>
  <si>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</si>
  <si>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</si>
  <si>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</si>
  <si>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</si>
  <si>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</si>
  <si>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</si>
  <si>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</si>
  <si>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</si>
  <si>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</si>
  <si>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</si>
  <si>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</si>
  <si>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</si>
  <si>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</si>
  <si>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</si>
  <si>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</si>
  <si>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</si>
  <si>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</si>
  <si>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</si>
  <si>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</si>
  <si>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</si>
  <si>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</si>
  <si>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</si>
  <si>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</si>
  <si>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</si>
  <si>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</si>
  <si>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</si>
  <si>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</si>
  <si>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</si>
  <si>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</si>
  <si>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</si>
  <si>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</si>
  <si>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</si>
  <si>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</si>
  <si>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</si>
  <si>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</si>
  <si>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</si>
  <si>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</si>
  <si>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</si>
  <si>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</si>
  <si>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</si>
  <si>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</si>
  <si>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</si>
  <si>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</si>
  <si>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</si>
  <si>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</si>
  <si>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</si>
  <si>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</si>
  <si>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</si>
  <si>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</si>
  <si>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</si>
  <si>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</si>
  <si>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</si>
  <si>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</si>
  <si>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</si>
  <si>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</si>
  <si>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</si>
  <si>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</si>
  <si>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</si>
  <si>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</si>
  <si>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</si>
  <si>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</si>
  <si>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</si>
  <si>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</si>
  <si>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</si>
  <si>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</si>
  <si>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</si>
  <si>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</si>
  <si>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</si>
  <si>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</si>
  <si>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</si>
  <si>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</si>
  <si>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</si>
  <si>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</si>
  <si>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</si>
  <si>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</si>
  <si>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</si>
  <si>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</si>
  <si>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</si>
  <si>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</si>
  <si>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</si>
  <si>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</si>
  <si>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</si>
  <si>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</si>
  <si>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</si>
  <si>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</si>
  <si>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</si>
  <si>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</si>
  <si>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</si>
  <si>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</si>
  <si>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</si>
  <si>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</si>
  <si>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</si>
  <si>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</si>
  <si>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</si>
  <si>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</si>
  <si>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</si>
  <si>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</si>
  <si>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</si>
  <si>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</si>
  <si>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</si>
  <si>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</si>
  <si>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</si>
  <si>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</si>
  <si>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</si>
  <si>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</si>
  <si>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</si>
  <si>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</si>
  <si>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</si>
  <si>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</si>
  <si>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</si>
  <si>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</si>
  <si>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</si>
  <si>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</si>
  <si>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</si>
  <si>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</si>
  <si>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</si>
  <si>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</si>
  <si>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</si>
  <si>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</si>
  <si>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</si>
  <si>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</si>
  <si>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</si>
  <si>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</si>
  <si>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</si>
  <si>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</si>
  <si>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</si>
  <si>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</si>
  <si>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</si>
  <si>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</si>
  <si>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</si>
  <si>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</si>
  <si>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</si>
  <si>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</si>
  <si>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</si>
  <si>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</si>
  <si>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</si>
  <si>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</si>
  <si>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</si>
  <si>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</si>
  <si>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</si>
  <si>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</si>
  <si>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</si>
  <si>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</si>
  <si>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</si>
  <si>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</si>
  <si>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</si>
  <si>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</si>
  <si>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</si>
  <si>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</si>
  <si>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</si>
  <si>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</si>
  <si>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</si>
  <si>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</si>
  <si>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</si>
  <si>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</si>
  <si>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</si>
  <si>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</si>
  <si>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</si>
  <si>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</si>
  <si>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</si>
  <si>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</si>
  <si>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</si>
  <si>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</si>
  <si>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</si>
  <si>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</si>
  <si>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</si>
  <si>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</si>
  <si>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</si>
  <si>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</si>
  <si>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</si>
  <si>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</si>
  <si>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</si>
  <si>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</si>
  <si>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</si>
  <si>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</si>
  <si>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</si>
  <si>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</si>
  <si>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</si>
  <si>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</si>
  <si>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</si>
  <si>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</si>
  <si>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</si>
  <si>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</si>
  <si>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</si>
  <si>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</si>
  <si>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</si>
  <si>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</si>
  <si>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</si>
  <si>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</si>
  <si>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</si>
  <si>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</si>
  <si>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</si>
  <si>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</si>
  <si>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</si>
  <si>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</si>
  <si>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</si>
  <si>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</si>
  <si>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</si>
  <si>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</si>
  <si>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</si>
  <si>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</si>
  <si>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</si>
  <si>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</si>
  <si>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</si>
  <si>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</si>
  <si>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</si>
  <si>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</si>
  <si>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</si>
  <si>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</si>
  <si>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</si>
  <si>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</si>
  <si>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</si>
  <si>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</si>
  <si>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</si>
  <si>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</si>
  <si>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</si>
  <si>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</si>
  <si>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</si>
  <si>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</si>
  <si>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</si>
  <si>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</si>
  <si>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</si>
  <si>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</si>
  <si>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</si>
  <si>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</si>
  <si>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</si>
  <si>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</si>
  <si>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</si>
  <si>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</si>
  <si>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</si>
  <si>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</si>
  <si>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</si>
  <si>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</si>
  <si>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</si>
  <si>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</si>
  <si>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</si>
  <si>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</si>
  <si>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</si>
  <si>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</si>
  <si>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</si>
  <si>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</si>
  <si>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</si>
  <si>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</si>
  <si>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</si>
  <si>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</si>
  <si>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</si>
  <si>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</si>
  <si>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</si>
  <si>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</si>
  <si>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</si>
  <si>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</si>
  <si>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</si>
  <si>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</si>
  <si>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</si>
  <si>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</si>
  <si>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</si>
  <si>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</si>
  <si>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</si>
  <si>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</si>
  <si>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</si>
  <si>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</si>
  <si>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</si>
  <si>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</si>
  <si>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</si>
  <si>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</si>
  <si>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</si>
  <si>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</si>
  <si>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</si>
  <si>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</si>
  <si>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</si>
  <si>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</si>
  <si>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</si>
  <si>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</si>
  <si>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</si>
  <si>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</si>
  <si>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</si>
  <si>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</si>
  <si>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</si>
  <si>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</si>
  <si>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</si>
  <si>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</si>
  <si>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</si>
  <si>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</si>
  <si>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</si>
  <si>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</si>
  <si>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</si>
  <si>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</si>
  <si>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</si>
  <si>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</si>
  <si>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</si>
  <si>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</si>
  <si>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</si>
  <si>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</si>
  <si>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</si>
  <si>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</si>
  <si>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</si>
  <si>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</si>
  <si>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</si>
  <si>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</si>
  <si>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</si>
  <si>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</si>
  <si>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</si>
  <si>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</si>
  <si>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</si>
  <si>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</si>
  <si>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</si>
  <si>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</si>
  <si>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</si>
  <si>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</si>
  <si>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</si>
  <si>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</si>
  <si>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</si>
  <si>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</si>
  <si>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</si>
  <si>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</si>
  <si>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</si>
  <si>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</si>
  <si>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</si>
  <si>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</si>
  <si>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</si>
  <si>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</si>
  <si>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</si>
  <si>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</si>
  <si>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</si>
  <si>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</si>
  <si>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</si>
  <si>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</si>
  <si>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</si>
  <si>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</si>
  <si>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</si>
  <si>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</si>
  <si>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</si>
  <si>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</si>
  <si>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</si>
  <si>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</si>
  <si>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</si>
  <si>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</si>
  <si>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</si>
  <si>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</si>
  <si>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</si>
  <si>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</si>
  <si>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</si>
  <si>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</si>
  <si>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</si>
  <si>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</si>
  <si>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</si>
  <si>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</si>
  <si>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</si>
  <si>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</si>
  <si>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</si>
  <si>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</si>
  <si>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</si>
  <si>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</si>
  <si>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</si>
  <si>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</si>
  <si>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</si>
  <si>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</si>
  <si>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</si>
  <si>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</si>
  <si>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</si>
  <si>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</si>
  <si>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</si>
  <si>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</si>
  <si>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</si>
  <si>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</si>
  <si>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</si>
  <si>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</si>
  <si>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</si>
  <si>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</si>
  <si>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</si>
  <si>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</si>
  <si>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</si>
  <si>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</si>
  <si>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</si>
  <si>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</si>
  <si>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</si>
  <si>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</si>
  <si>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</si>
  <si>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</si>
  <si>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</si>
  <si>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</si>
  <si>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</si>
  <si>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</si>
  <si>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</si>
  <si>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</si>
  <si>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</si>
  <si>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</si>
  <si>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</si>
  <si>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</si>
  <si>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</si>
  <si>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</si>
  <si>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</si>
  <si>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</si>
  <si>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</si>
  <si>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</si>
  <si>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</si>
  <si>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</si>
  <si>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</si>
  <si>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</si>
  <si>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</si>
  <si>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</si>
  <si>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</si>
  <si>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</si>
  <si>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</si>
  <si>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</si>
  <si>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</si>
  <si>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</si>
  <si>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</si>
  <si>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</si>
  <si>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</si>
  <si>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</si>
  <si>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</si>
  <si>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</si>
  <si>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</si>
  <si>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</si>
  <si>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</si>
  <si>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</si>
  <si>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</si>
  <si>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</si>
  <si>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</si>
  <si>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</si>
  <si>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</si>
  <si>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</si>
  <si>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</si>
  <si>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</si>
  <si>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</si>
  <si>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</si>
  <si>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</si>
  <si>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</si>
  <si>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</si>
  <si>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</si>
  <si>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</si>
  <si>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</si>
  <si>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</si>
  <si>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</si>
  <si>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</si>
  <si>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</si>
  <si>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</si>
  <si>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</si>
  <si>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</si>
  <si>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</si>
  <si>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</si>
  <si>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</si>
  <si>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</si>
  <si>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</si>
  <si>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</si>
  <si>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</si>
  <si>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</si>
  <si>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</si>
  <si>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</si>
  <si>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</si>
  <si>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</si>
  <si>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</si>
  <si>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</si>
  <si>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</si>
  <si>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</si>
  <si>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</si>
  <si>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</si>
  <si>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</si>
  <si>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</si>
  <si>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</si>
  <si>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</si>
  <si>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</si>
  <si>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</si>
  <si>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</si>
  <si>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</si>
  <si>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</si>
  <si>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</si>
  <si>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</si>
  <si>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</si>
  <si>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</si>
  <si>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</si>
  <si>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</si>
  <si>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</si>
  <si>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</si>
  <si>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</si>
  <si>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</si>
  <si>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</si>
  <si>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</si>
  <si>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</si>
  <si>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</si>
  <si>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</si>
  <si>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</si>
  <si>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</si>
  <si>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</si>
  <si>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</si>
  <si>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</si>
  <si>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</si>
  <si>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</si>
  <si>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</si>
  <si>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</si>
  <si>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</si>
  <si>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</si>
  <si>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</si>
  <si>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</si>
  <si>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</si>
  <si>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</si>
  <si>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</si>
  <si>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</si>
  <si>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</si>
  <si>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</si>
  <si>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</si>
  <si>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</si>
  <si>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</si>
  <si>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</si>
  <si>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</si>
  <si>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</si>
  <si>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</si>
  <si>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</si>
  <si>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</si>
  <si>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</si>
  <si>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</si>
  <si>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</si>
  <si>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</si>
  <si>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</si>
  <si>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</si>
  <si>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</si>
  <si>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</si>
  <si>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</si>
  <si>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</si>
  <si>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</si>
  <si>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</si>
  <si>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</si>
  <si>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</si>
  <si>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</si>
  <si>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</si>
  <si>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</si>
  <si>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</si>
  <si>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</si>
  <si>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</si>
  <si>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</si>
  <si>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</si>
  <si>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</si>
  <si>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</si>
  <si>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</si>
  <si>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</si>
  <si>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</si>
  <si>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</si>
  <si>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</si>
  <si>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</si>
  <si>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</si>
  <si>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</si>
  <si>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</si>
  <si>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</si>
  <si>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</si>
  <si>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</si>
  <si>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</si>
  <si>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</si>
  <si>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</si>
  <si>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</si>
  <si>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</si>
  <si>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</si>
  <si>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</si>
  <si>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</si>
  <si>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</si>
  <si>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</si>
  <si>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</si>
  <si>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</si>
  <si>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</si>
  <si>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</si>
  <si>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</si>
  <si>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</si>
  <si>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</si>
  <si>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</si>
  <si>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</si>
  <si>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</si>
  <si>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</si>
  <si>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</si>
  <si>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</si>
  <si>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</si>
  <si>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</si>
  <si>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</si>
  <si>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</si>
  <si>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</si>
  <si>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</si>
  <si>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</si>
  <si>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</si>
  <si>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</si>
  <si>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</si>
  <si>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</si>
  <si>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</si>
  <si>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</si>
  <si>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</si>
  <si>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</si>
  <si>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</si>
  <si>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</si>
  <si>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</si>
  <si>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</si>
  <si>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</si>
  <si>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</si>
  <si>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</si>
  <si>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</si>
  <si>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</si>
  <si>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</si>
  <si>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</si>
  <si>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</si>
  <si>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</si>
  <si>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</si>
  <si>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</si>
  <si>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</si>
  <si>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</si>
  <si>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</si>
  <si>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</si>
  <si>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</si>
  <si>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</si>
  <si>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</si>
  <si>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</si>
  <si>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</si>
  <si>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</si>
  <si>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</si>
  <si>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</si>
  <si>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</si>
  <si>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</si>
  <si>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</si>
  <si>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</si>
  <si>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</si>
  <si>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</si>
  <si>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</si>
  <si>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</si>
  <si>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</si>
  <si>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</si>
  <si>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</si>
  <si>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</si>
  <si>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</si>
  <si>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</si>
  <si>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</si>
  <si>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</si>
  <si>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</si>
  <si>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</si>
  <si>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</si>
  <si>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</si>
  <si>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</si>
  <si>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</si>
  <si>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</si>
  <si>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</si>
  <si>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</si>
  <si>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</si>
  <si>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</si>
  <si>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</si>
  <si>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</si>
  <si>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</si>
  <si>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</si>
  <si>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</si>
  <si>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</si>
  <si>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</si>
  <si>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</si>
  <si>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</si>
  <si>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</si>
  <si>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</si>
  <si>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</si>
  <si>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</si>
  <si>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</si>
  <si>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</si>
  <si>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</si>
  <si>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</si>
  <si>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</si>
  <si>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</si>
  <si>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</si>
  <si>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</si>
  <si>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</si>
  <si>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</si>
  <si>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</si>
  <si>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</si>
  <si>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</si>
  <si>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</si>
  <si>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</si>
  <si>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</si>
  <si>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</si>
  <si>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</si>
  <si>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</si>
  <si>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</si>
  <si>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</si>
  <si>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</si>
  <si>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</si>
  <si>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</si>
  <si>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</si>
  <si>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</si>
  <si>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</si>
  <si>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</si>
  <si>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</si>
  <si>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</si>
  <si>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</si>
  <si>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</si>
  <si>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</si>
  <si>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</si>
  <si>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</si>
  <si>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</si>
  <si>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</si>
  <si>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</si>
  <si>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</si>
  <si>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</si>
  <si>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</si>
  <si>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</si>
  <si>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</si>
  <si>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</si>
  <si>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</si>
  <si>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</si>
  <si>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</si>
  <si>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</si>
  <si>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</si>
  <si>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</si>
  <si>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</si>
  <si>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</si>
  <si>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</si>
  <si>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</si>
  <si>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</si>
  <si>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</si>
  <si>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</si>
  <si>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</si>
  <si>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</si>
  <si>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</si>
  <si>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</si>
  <si>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</si>
  <si>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</si>
  <si>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</si>
  <si>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</si>
  <si>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</si>
  <si>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</si>
  <si>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</si>
  <si>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</si>
  <si>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</si>
  <si>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</si>
  <si>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</si>
  <si>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</si>
  <si>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</si>
  <si>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</si>
  <si>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</si>
  <si>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</si>
  <si>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</si>
  <si>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</si>
  <si>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</si>
  <si>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</si>
  <si>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</si>
  <si>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</si>
  <si>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</si>
  <si>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</si>
  <si>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</si>
  <si>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</si>
  <si>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</si>
  <si>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</si>
  <si>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</si>
  <si>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</si>
  <si>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</si>
  <si>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</si>
  <si>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</si>
  <si>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</si>
  <si>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</si>
  <si>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</si>
  <si>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</si>
  <si>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</si>
  <si>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</si>
  <si>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</si>
  <si>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</si>
  <si>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</si>
  <si>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</si>
  <si>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</si>
  <si>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</si>
  <si>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</si>
  <si>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</si>
  <si>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</si>
  <si>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</si>
  <si>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</si>
  <si>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</si>
  <si>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</si>
  <si>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</si>
  <si>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</si>
  <si>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</si>
  <si>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</si>
  <si>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</si>
  <si>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</si>
  <si>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</si>
  <si>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</si>
  <si>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</si>
  <si>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</si>
  <si>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</si>
  <si>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</si>
  <si>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</si>
  <si>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</si>
  <si>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</si>
  <si>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</si>
  <si>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</si>
  <si>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</si>
  <si>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</si>
  <si>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</si>
  <si>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</si>
  <si>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</si>
  <si>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</si>
  <si>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</si>
  <si>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</si>
  <si>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</si>
  <si>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</si>
  <si>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</si>
  <si>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</si>
  <si>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</si>
  <si>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</si>
  <si>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</si>
  <si>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</si>
  <si>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</si>
  <si>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</si>
  <si>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</si>
  <si>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</si>
  <si>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</si>
  <si>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</si>
  <si>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</si>
  <si>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</si>
  <si>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</si>
  <si>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</si>
  <si>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</si>
  <si>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</si>
  <si>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</si>
  <si>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</si>
  <si>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</si>
  <si>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</si>
  <si>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</si>
  <si>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</si>
  <si>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</si>
  <si>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</si>
  <si>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</si>
  <si>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</si>
  <si>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</si>
  <si>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</si>
  <si>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</si>
  <si>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</si>
  <si>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</si>
  <si>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</si>
  <si>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</si>
  <si>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</si>
  <si>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</si>
  <si>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</si>
  <si>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</si>
  <si>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</si>
  <si>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</si>
  <si>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</si>
  <si>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</si>
  <si>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</si>
  <si>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</si>
  <si>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</si>
  <si>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</si>
  <si>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A realizar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</si>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</sst>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61" zoomScaleNormal="100" workbookViewId="0">
      <pane xSplit="3" topLeftCell="D668" activePane="topRight" state="frozen"/>
      <selection pane="topRight" activeCell="A686" sqref="A686"/>
    </sheetView>
  </sheetViews>
  <sheetFormatPr defaultColWidth="9.140625" defaultRowHeight="23.25" customHeight="1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2700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2707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2712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2730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2730</v>
      </c>
    </row>
    <row r="673" spans="1:21" ht="23.25" customHeight="1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2737</v>
      </c>
    </row>
    <row r="674" spans="1:21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2740</v>
      </c>
    </row>
    <row r="675" spans="1:21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2740</v>
      </c>
    </row>
    <row r="676" spans="1:21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2696</v>
      </c>
    </row>
    <row r="677" spans="1:21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2691</v>
      </c>
    </row>
    <row r="680" spans="1:21" ht="23.25" customHeight="1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2696</v>
      </c>
    </row>
    <row r="681" spans="1:21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2691</v>
      </c>
    </row>
    <row r="682" spans="1:21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2761</v>
      </c>
      <c r="D682" s="180" t="s">
        <v>2762</v>
      </c>
      <c r="E682" s="164" t="s">
        <v>2763</v>
      </c>
      <c r="F682" s="29" t="s">
        <v>61</v>
      </c>
      <c r="G682" s="181" t="s">
        <v>2689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2761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>
      <c r="A685" s="209" t="str">
        <f>IF(B685="","",B685&amp;"-"&amp;TEXT(COUNTIF(B$2:B685,B685),"000"))</f>
        <v>2026-029</v>
      </c>
      <c r="B685" s="210">
        <v>2026</v>
      </c>
      <c r="C685" s="219" t="s">
        <v>2761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>
      <c r="A686" s="218" t="str">
        <f>IF(B686="","",B686&amp;"-"&amp;TEXT(COUNTIF(B$2:B686,B686),"000"))</f>
        <v>2026-030</v>
      </c>
      <c r="B686" s="219">
        <v>2026</v>
      </c>
      <c r="C686" s="219" t="s">
        <v>2761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2780</v>
      </c>
      <c r="U687" s="203"/>
    </row>
    <row r="688" spans="1:21" ht="23.25" customHeight="1">
      <c r="A688" s="218" t="str">
        <f>IF(B688="","",B688&amp;"-"&amp;TEXT(COUNTIF(B$2:B688,B688),"000"))</f>
        <v>2026-032</v>
      </c>
      <c r="B688" s="219">
        <v>2026</v>
      </c>
      <c r="C688" s="219" t="s">
        <v>2761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2730</v>
      </c>
      <c r="U689" s="203"/>
    </row>
    <row r="690" spans="1:21" ht="23.25" customHeight="1">
      <c r="A690" s="218" t="str">
        <f>IF(B690="","",B690&amp;"-"&amp;TEXT(COUNTIF(B$2:B690,B690),"000"))</f>
        <v>2026-034</v>
      </c>
      <c r="B690" s="219">
        <v>2026</v>
      </c>
      <c r="C690" s="219" t="s">
        <v>2761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2730</v>
      </c>
      <c r="U690" s="203"/>
    </row>
    <row r="691" spans="1:21" ht="23.25" customHeight="1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2797</v>
      </c>
      <c r="U693" s="203"/>
    </row>
    <row r="694" spans="1:21" ht="23.25" customHeight="1">
      <c r="A694" s="218" t="str">
        <f>IF(B694="","",B694&amp;"-"&amp;TEXT(COUNTIF(B$2:B694,B694),"000"))</f>
        <v>2026-038</v>
      </c>
      <c r="B694" s="219">
        <v>2026</v>
      </c>
      <c r="C694" s="219" t="s">
        <v>2761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2691</v>
      </c>
      <c r="U694" s="203"/>
    </row>
    <row r="695" spans="1:21" ht="23.25" customHeight="1">
      <c r="A695" s="209" t="str">
        <f>IF(B695="","",B695&amp;"-"&amp;TEXT(COUNTIF(B$2:B695,B695),"000"))</f>
        <v>2026-039</v>
      </c>
      <c r="B695" s="210">
        <v>2026</v>
      </c>
      <c r="C695" s="219" t="s">
        <v>2761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2810</v>
      </c>
      <c r="U697" s="203"/>
    </row>
    <row r="698" spans="1:21" ht="23.25" customHeight="1">
      <c r="A698" s="218" t="str">
        <f>IF(B698="","",B698&amp;"-"&amp;TEXT(COUNTIF(B$2:B698,B698),"000"))</f>
        <v>2026-042</v>
      </c>
      <c r="B698" s="219">
        <v>2026</v>
      </c>
      <c r="C698" s="219" t="s">
        <v>2761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>
      <c r="A699" s="209" t="str">
        <f>IF(B699="","",B699&amp;"-"&amp;TEXT(COUNTIF(B$2:B699,B699),"000"))</f>
        <v>2026-043</v>
      </c>
      <c r="B699" s="210">
        <v>2026</v>
      </c>
      <c r="C699" s="219" t="s">
        <v>2761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2816</v>
      </c>
      <c r="U699" s="203"/>
    </row>
    <row r="700" spans="1:21" ht="23.25" customHeight="1">
      <c r="A700" s="218" t="str">
        <f>IF(B700="","",B700&amp;"-"&amp;TEXT(COUNTIF(B$2:B700,B700),"000"))</f>
        <v>2026-044</v>
      </c>
      <c r="B700" s="219">
        <v>2026</v>
      </c>
      <c r="C700" s="219" t="s">
        <v>2761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>
      <c r="A701" s="209" t="str">
        <f>IF(B701="","",B701&amp;"-"&amp;TEXT(COUNTIF(B$2:B701,B701),"000"))</f>
        <v>2026-045</v>
      </c>
      <c r="B701" s="210">
        <v>2026</v>
      </c>
      <c r="C701" s="219" t="s">
        <v>2761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0"/>
        <v>20</v>
      </c>
      <c r="S702" s="219">
        <v>12</v>
      </c>
      <c r="T702" s="218" t="s">
        <v>2825</v>
      </c>
      <c r="U702" s="203"/>
    </row>
    <row r="703" spans="1:21" ht="23.25" customHeight="1">
      <c r="A703" s="209" t="str">
        <f>IF(B703="","",B703&amp;"-"&amp;TEXT(COUNTIF(B$2:B703,B703),"000"))</f>
        <v>2026-047</v>
      </c>
      <c r="B703" s="210">
        <v>2026</v>
      </c>
      <c r="C703" s="219" t="s">
        <v>2761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2830</v>
      </c>
      <c r="U703" s="203"/>
    </row>
    <row r="704" spans="1:21" ht="23.25" customHeight="1">
      <c r="A704" s="218" t="str">
        <f>IF(B704="","",B704&amp;"-"&amp;TEXT(COUNTIF(B$2:B704,B704),"000"))</f>
        <v>2026-048</v>
      </c>
      <c r="B704" s="219">
        <v>2026</v>
      </c>
      <c r="C704" s="219" t="s">
        <v>2761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2730</v>
      </c>
      <c r="U704" s="203"/>
    </row>
    <row r="705" spans="1:21" ht="23.25" customHeight="1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2880</v>
      </c>
      <c r="Y38" s="260" t="s">
        <v>1095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2881</v>
      </c>
      <c r="Y39" t="s">
        <v>548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2882</v>
      </c>
      <c r="Y40" t="s">
        <v>471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2883</v>
      </c>
      <c r="Y41" t="s">
        <v>1471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>
      <c r="R74" t="str">
        <v/>
      </c>
      <c r="S74" t="str">
        <v/>
      </c>
    </row>
    <row r="75" spans="1:19">
      <c r="R75" t="str">
        <v/>
      </c>
      <c r="S75" t="str">
        <v/>
      </c>
    </row>
    <row r="76" spans="1:19">
      <c r="R76" t="str">
        <v/>
      </c>
      <c r="S76" t="str">
        <v/>
      </c>
    </row>
    <row r="77" spans="1:19">
      <c r="R77" t="str">
        <v/>
      </c>
      <c r="S77" t="str">
        <v/>
      </c>
    </row>
    <row r="78" spans="1:19">
      <c r="R78" t="str">
        <v/>
      </c>
      <c r="S78" t="str">
        <v/>
      </c>
    </row>
    <row r="79" spans="1:19">
      <c r="R79" t="str">
        <v/>
      </c>
      <c r="S79" t="str">
        <v/>
      </c>
    </row>
    <row r="80" spans="1:19">
      <c r="R80" t="str">
        <v/>
      </c>
      <c r="S80" t="str">
        <v/>
      </c>
    </row>
    <row r="81" spans="18:19">
      <c r="R81" t="str">
        <v/>
      </c>
      <c r="S81" t="str">
        <v/>
      </c>
    </row>
    <row r="82" spans="18:19">
      <c r="R82" t="str">
        <v/>
      </c>
      <c r="S82" t="str">
        <v/>
      </c>
    </row>
    <row r="83" spans="18:19">
      <c r="R83" t="str">
        <v/>
      </c>
      <c r="S83" t="str">
        <v/>
      </c>
    </row>
    <row r="84" spans="18:19">
      <c r="R84" t="str">
        <v/>
      </c>
      <c r="S84" t="str">
        <v/>
      </c>
    </row>
    <row r="85" spans="18:19">
      <c r="R85" t="str">
        <v/>
      </c>
      <c r="S85" t="str">
        <v/>
      </c>
    </row>
    <row r="86" spans="18:19">
      <c r="R86" t="str">
        <v/>
      </c>
      <c r="S86" t="str">
        <v/>
      </c>
    </row>
    <row r="87" spans="18:19">
      <c r="R87" t="str">
        <v/>
      </c>
      <c r="S87" t="str">
        <v/>
      </c>
    </row>
    <row r="88" spans="18:19">
      <c r="R88" t="str">
        <v/>
      </c>
      <c r="S88" t="str">
        <v/>
      </c>
    </row>
    <row r="89" spans="18:19">
      <c r="R89" t="str">
        <v/>
      </c>
      <c r="S89" t="str">
        <v/>
      </c>
    </row>
    <row r="90" spans="18:19">
      <c r="R90" t="str">
        <v/>
      </c>
      <c r="S90" t="str">
        <v/>
      </c>
    </row>
    <row r="91" spans="18:19">
      <c r="R91" t="str">
        <v/>
      </c>
      <c r="S91" t="str">
        <v/>
      </c>
    </row>
    <row r="92" spans="18:19">
      <c r="R92" t="str">
        <v/>
      </c>
      <c r="S92" t="str">
        <v/>
      </c>
    </row>
    <row r="93" spans="18:19">
      <c r="R93" t="str">
        <v/>
      </c>
      <c r="S93" t="str">
        <v/>
      </c>
    </row>
    <row r="94" spans="18:19">
      <c r="R94" t="str">
        <v/>
      </c>
      <c r="S94" t="str">
        <v/>
      </c>
    </row>
    <row r="95" spans="18:19">
      <c r="R95" t="str">
        <v/>
      </c>
      <c r="S95" t="str">
        <v/>
      </c>
    </row>
    <row r="96" spans="18:19">
      <c r="R96" t="str">
        <v/>
      </c>
      <c r="S96" t="str">
        <v/>
      </c>
    </row>
    <row r="97" spans="18:19">
      <c r="R97" t="str">
        <v/>
      </c>
      <c r="S97" t="str">
        <v/>
      </c>
    </row>
    <row r="98" spans="18:19">
      <c r="R98" t="str">
        <v/>
      </c>
      <c r="S98" t="str">
        <v/>
      </c>
    </row>
    <row r="99" spans="18:19">
      <c r="R99" t="str">
        <v/>
      </c>
      <c r="S99" t="str">
        <v/>
      </c>
    </row>
    <row r="100" spans="18:19">
      <c r="R100" t="str">
        <v/>
      </c>
      <c r="S100" t="str">
        <v/>
      </c>
    </row>
    <row r="101" spans="18:19">
      <c r="R101" t="str">
        <v/>
      </c>
      <c r="S101" t="str">
        <v/>
      </c>
    </row>
    <row r="102" spans="18:19">
      <c r="R102" t="str">
        <v/>
      </c>
      <c r="S102" t="str">
        <v/>
      </c>
    </row>
    <row r="103" spans="18:19">
      <c r="R103" t="str">
        <v/>
      </c>
      <c r="S103" t="str">
        <v/>
      </c>
    </row>
    <row r="104" spans="18:19">
      <c r="R104" t="str">
        <v/>
      </c>
      <c r="S104" t="str">
        <v/>
      </c>
    </row>
    <row r="105" spans="18:19">
      <c r="R105" t="str">
        <v/>
      </c>
      <c r="S105" t="str">
        <v/>
      </c>
    </row>
    <row r="106" spans="18:19">
      <c r="R106" t="str">
        <v/>
      </c>
      <c r="S106" t="str">
        <v/>
      </c>
    </row>
    <row r="107" spans="18:19">
      <c r="R107" t="str">
        <v/>
      </c>
      <c r="S107" t="str">
        <v/>
      </c>
    </row>
    <row r="108" spans="18:19">
      <c r="R108" t="str">
        <v/>
      </c>
      <c r="S108" t="str">
        <v/>
      </c>
    </row>
    <row r="109" spans="18:19">
      <c r="R109" t="str">
        <v/>
      </c>
      <c r="S109" t="str">
        <v/>
      </c>
    </row>
    <row r="110" spans="18:19">
      <c r="R110" t="str">
        <v/>
      </c>
      <c r="S110" t="str">
        <v/>
      </c>
    </row>
    <row r="111" spans="18:19">
      <c r="R111" t="str">
        <v/>
      </c>
      <c r="S111" t="str">
        <v/>
      </c>
    </row>
    <row r="112" spans="18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9" t="s">
        <v>2886</v>
      </c>
      <c r="B1" s="279"/>
      <c r="C1" s="279"/>
      <c r="D1" s="279"/>
      <c r="E1" s="279"/>
      <c r="F1" s="279"/>
      <c r="G1" s="279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0" t="s">
        <v>2887</v>
      </c>
      <c r="B4" s="281"/>
      <c r="D4" s="282" t="s">
        <v>2888</v>
      </c>
      <c r="E4" s="283"/>
      <c r="G4" s="125" t="s">
        <v>2889</v>
      </c>
    </row>
    <row r="5" spans="1:7" ht="54.95" customHeight="1" thickBot="1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30</v>
      </c>
      <c r="E5" s="124" t="s">
        <v>2890</v>
      </c>
      <c r="G5" s="126">
        <f>COUNTIFS('Ações InCompany'!B:B,2026,'Ações InCompany'!C:C,"A realizar")</f>
        <v>14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8" t="s">
        <v>2891</v>
      </c>
      <c r="B8" s="278"/>
      <c r="D8" s="278" t="s">
        <v>2892</v>
      </c>
      <c r="E8" s="278"/>
    </row>
    <row r="9" spans="1:7" ht="5.0999999999999996" customHeight="1">
      <c r="A9" s="290"/>
      <c r="B9" s="290"/>
      <c r="D9" s="290"/>
      <c r="E9" s="290"/>
    </row>
    <row r="10" spans="1:7" ht="24.95" customHeight="1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2899</v>
      </c>
      <c r="B14" s="114">
        <f>SUM(B11:B13)</f>
        <v>30</v>
      </c>
      <c r="D14" s="113" t="s">
        <v>2900</v>
      </c>
      <c r="E14" s="114">
        <f>SUM(E11:E13)</f>
        <v>1254</v>
      </c>
    </row>
    <row r="30" spans="1:5" ht="17.25">
      <c r="A30" s="278" t="s">
        <v>2901</v>
      </c>
      <c r="B30" s="278"/>
      <c r="C30" s="278"/>
      <c r="D30" s="278"/>
      <c r="E30" s="278"/>
    </row>
    <row r="31" spans="1:5" ht="5.0999999999999996" customHeight="1">
      <c r="A31" s="290"/>
      <c r="B31" s="290"/>
      <c r="C31" s="290"/>
      <c r="D31" s="290"/>
      <c r="E31" s="290"/>
    </row>
    <row r="32" spans="1:5" ht="24.95" customHeight="1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</v>
      </c>
    </row>
    <row r="34" spans="1:5" ht="24" customHeight="1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6.8181818181818177E-2</v>
      </c>
    </row>
    <row r="35" spans="1:5" ht="24" customHeight="1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0.11363636363636363</v>
      </c>
    </row>
    <row r="36" spans="1:5" ht="24" customHeight="1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2.2727272727272728E-2</v>
      </c>
    </row>
    <row r="37" spans="1:5" ht="24" customHeight="1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4.5454545454545456E-2</v>
      </c>
    </row>
    <row r="38" spans="1:5" ht="24" customHeight="1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0.15909090909090909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9.0909090909090912E-2</v>
      </c>
    </row>
    <row r="40" spans="1:5" ht="24" customHeight="1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4.5454545454545456E-2</v>
      </c>
    </row>
    <row r="41" spans="1:5" ht="24" customHeight="1">
      <c r="A41" s="155" t="s">
        <v>2689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0.15909090909090909</v>
      </c>
    </row>
    <row r="42" spans="1:5" ht="24" customHeight="1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4.5454545454545456E-2</v>
      </c>
    </row>
    <row r="44" spans="1:5" ht="24" customHeight="1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2899</v>
      </c>
      <c r="B45" s="121">
        <f>SUM(B33:B44)</f>
        <v>30</v>
      </c>
      <c r="C45" s="121">
        <f>SUM(C33:C44)</f>
        <v>14</v>
      </c>
      <c r="D45" s="121">
        <f>SUM(D33:D44)</f>
        <v>44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>
      <c r="A2" s="259" t="s">
        <v>23</v>
      </c>
      <c r="B2" s="259" t="s">
        <v>34</v>
      </c>
      <c r="C2" s="12" t="s">
        <v>2936</v>
      </c>
      <c r="D2" s="12" t="s">
        <v>2761</v>
      </c>
    </row>
    <row r="3" spans="1:4" ht="21" customHeight="1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>
      <c r="A4" s="14" t="s">
        <v>80</v>
      </c>
      <c r="B4" s="259" t="s">
        <v>219</v>
      </c>
      <c r="D4" s="12" t="s">
        <v>2742</v>
      </c>
    </row>
    <row r="5" spans="1:4" ht="21" customHeight="1">
      <c r="A5" s="12" t="s">
        <v>224</v>
      </c>
      <c r="D5" s="12" t="s">
        <v>21</v>
      </c>
    </row>
    <row r="6" spans="1:4" ht="21" customHeight="1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1" t="s">
        <v>2951</v>
      </c>
      <c r="B1" s="291"/>
      <c r="C1" s="291"/>
      <c r="D1" s="291"/>
      <c r="E1" s="291"/>
      <c r="F1" s="291"/>
    </row>
    <row r="2" spans="1:7">
      <c r="A2" s="292" t="s">
        <v>2952</v>
      </c>
      <c r="B2" s="292"/>
      <c r="C2" s="292"/>
      <c r="D2" s="292"/>
      <c r="E2" s="292"/>
      <c r="F2" s="292"/>
    </row>
    <row r="4" spans="1:7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>
      <c r="A105" s="242" t="s">
        <v>2900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4" t="s">
        <v>2955</v>
      </c>
      <c r="B1" s="284"/>
      <c r="C1" s="284"/>
      <c r="D1" s="284"/>
      <c r="E1" s="284"/>
      <c r="F1" s="284"/>
      <c r="G1" s="284"/>
      <c r="H1" s="284"/>
    </row>
    <row r="2" spans="1:8">
      <c r="A2" s="130" t="s">
        <v>2956</v>
      </c>
    </row>
    <row r="4" spans="1:8" ht="21.95" customHeight="1">
      <c r="A4" s="285" t="s">
        <v>2957</v>
      </c>
      <c r="B4" s="286"/>
      <c r="D4" s="285" t="s">
        <v>2958</v>
      </c>
      <c r="E4" s="286"/>
      <c r="G4" s="285" t="s">
        <v>2959</v>
      </c>
      <c r="H4" s="286"/>
    </row>
    <row r="5" spans="1:8" ht="35.1" customHeight="1">
      <c r="A5" s="289">
        <f>COUNTIF('Ações InCompany'!E:E,"*maratona*")</f>
        <v>13</v>
      </c>
      <c r="B5" s="288"/>
      <c r="D5" s="287">
        <f>SUM(H8:H100)</f>
        <v>1566</v>
      </c>
      <c r="E5" s="288"/>
      <c r="G5" s="287">
        <f>IFERROR(ROUND(D5/A5,0),"-")</f>
        <v>120</v>
      </c>
      <c r="H5" s="288"/>
    </row>
    <row r="6" spans="1:8" ht="9.9499999999999993" customHeight="1"/>
    <row r="7" spans="1:8" ht="24.95" customHeight="1" thickBot="1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/>
</file>

<file path=customXml/itemProps2.xml><?xml version="1.0" encoding="utf-8"?>
<ds:datastoreItem xmlns:ds="http://schemas.openxmlformats.org/officeDocument/2006/customXml" ds:itemID="{F95AF67B-67F3-479D-896A-04A7BBE7C81F}"/>
</file>

<file path=customXml/itemProps3.xml><?xml version="1.0" encoding="utf-8"?>
<ds:datastoreItem xmlns:ds="http://schemas.openxmlformats.org/officeDocument/2006/customXml" ds:itemID="{09E963D1-4255-41FD-98AB-5B82B7F67B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Paula Espinosa Bittar</cp:lastModifiedBy>
  <cp:revision/>
  <dcterms:created xsi:type="dcterms:W3CDTF">2024-04-02T18:43:15Z</dcterms:created>
  <dcterms:modified xsi:type="dcterms:W3CDTF">2026-06-22T18:01:08Z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