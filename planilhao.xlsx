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109" documentId="13_ncr:1_{C887EC22-7CD1-4717-84BE-7303F42C5C0A}" xr6:coauthVersionLast="47" xr6:coauthVersionMax="47" xr10:uidLastSave="{DE1321DD-781B-48F5-B301-A055146C4BE2}"/>
  <bookViews>
    <workbookView xWindow="-2877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a="1"/>
  <c r="E105" i="23" l="1"/>
  <c r="A5" i="23" a="1"/>
  <c r="A2" i="20"/>
  <c r="B44" i="23" l="1"/>
  <c r="E44" i="23"/>
  <c r="F44" i="23"/>
  <c r="C44" i="23"/>
  <c r="D44" i="23"/>
  <c r="E43" i="23"/>
  <c r="D41" i="23"/>
  <c r="D42" i="23"/>
  <c r="D40" i="23"/>
  <c r="D39" i="23"/>
  <c r="E38" i="23"/>
  <c r="E37" i="23"/>
  <c r="E36" i="23"/>
  <c r="F38" i="23"/>
  <c r="F41" i="23"/>
  <c r="C37" i="23"/>
  <c r="C39" i="23"/>
  <c r="C41" i="23"/>
  <c r="C42" i="23"/>
  <c r="B39" i="23"/>
  <c r="E41" i="23"/>
  <c r="E39" i="23"/>
  <c r="D38" i="23"/>
  <c r="D37" i="23"/>
  <c r="D36" i="23"/>
  <c r="F37" i="23"/>
  <c r="F40" i="23"/>
  <c r="F43" i="23"/>
  <c r="C38" i="23"/>
  <c r="C40" i="23"/>
  <c r="C43" i="23"/>
  <c r="B38" i="23"/>
  <c r="E42" i="23"/>
  <c r="B36" i="23"/>
  <c r="B42" i="23"/>
  <c r="D43" i="23"/>
  <c r="D20" i="23"/>
  <c r="E29" i="23"/>
  <c r="C29" i="23"/>
  <c r="B8" i="23"/>
  <c r="C6" i="23"/>
  <c r="F33" i="23"/>
  <c r="D33" i="23"/>
  <c r="E24" i="23"/>
  <c r="F16" i="23"/>
  <c r="B16" i="23"/>
  <c r="B7" i="23"/>
  <c r="D18" i="23"/>
  <c r="F20" i="23"/>
  <c r="C28" i="23"/>
  <c r="F13" i="23"/>
  <c r="B26" i="23"/>
  <c r="C27" i="23"/>
  <c r="F29" i="23"/>
  <c r="F8" i="23"/>
  <c r="C33" i="23"/>
  <c r="B34" i="23"/>
  <c r="C21" i="23"/>
  <c r="C12" i="23"/>
  <c r="F21" i="23"/>
  <c r="D10" i="23"/>
  <c r="E33" i="23"/>
  <c r="D28" i="23"/>
  <c r="D19" i="23"/>
  <c r="F6" i="23"/>
  <c r="B28" i="23"/>
  <c r="E20" i="23"/>
  <c r="F19" i="23"/>
  <c r="E6" i="23"/>
  <c r="C8" i="23"/>
  <c r="F25" i="23"/>
  <c r="B6" i="23"/>
  <c r="B13" i="23"/>
  <c r="C10" i="23"/>
  <c r="F30" i="23"/>
  <c r="B10" i="23"/>
  <c r="C32" i="23"/>
  <c r="C23" i="23"/>
  <c r="B15" i="23"/>
  <c r="B12" i="23"/>
  <c r="B11" i="23"/>
  <c r="D27" i="23"/>
  <c r="C7" i="23"/>
  <c r="F14" i="23"/>
  <c r="C13" i="23"/>
  <c r="E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E40" i="23"/>
  <c r="F36" i="23"/>
  <c r="F39" i="23"/>
  <c r="F42" i="23"/>
  <c r="B40" i="23"/>
  <c r="B43" i="23"/>
  <c r="C36" i="23"/>
  <c r="B37" i="23"/>
  <c r="B41" i="23"/>
  <c r="D9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<sst xmlns="http://schemas.openxmlformats.org/spreadsheetml/2006/main" count="6596" uniqueCount="2982">
  <si>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</si>
  <si>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</si>
  <si>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</si>
  <si>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</si>
  <si>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</si>
  <si>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</si>
  <si>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</si>
  <si>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</si>
  <si>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</si>
  <si>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</si>
  <si>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</si>
  <si>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</si>
  <si>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</si>
  <si>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</si>
  <si>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</si>
  <si>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</si>
  <si>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</si>
  <si>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</si>
  <si>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</si>
  <si>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</si>
  <si>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</si>
  <si>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</si>
  <si>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</si>
  <si>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</si>
  <si>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</si>
  <si>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</si>
  <si>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</si>
  <si>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</si>
  <si>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</si>
  <si>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</si>
  <si>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</si>
  <si>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</si>
  <si>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</si>
  <si>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</si>
  <si>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</si>
  <si>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</si>
  <si>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</si>
  <si>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</si>
  <si>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</si>
  <si>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</si>
  <si>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</si>
  <si>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</si>
  <si>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</si>
  <si>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</si>
  <si>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</si>
  <si>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</si>
  <si>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</si>
  <si>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</si>
  <si>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</si>
  <si>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</si>
  <si>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</si>
  <si>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</si>
  <si>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</si>
  <si>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</si>
  <si>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</si>
  <si>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</si>
  <si>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</si>
  <si>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</si>
  <si>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</si>
  <si>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</si>
  <si>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</si>
  <si>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</si>
  <si>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</si>
  <si>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</si>
  <si>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</si>
  <si>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</si>
  <si>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</si>
  <si>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</si>
  <si>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</si>
  <si>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</si>
  <si>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</si>
  <si>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</si>
  <si>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</si>
  <si>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</si>
  <si>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</si>
  <si>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</si>
  <si>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</si>
  <si>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</si>
  <si>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</si>
  <si>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</si>
  <si>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</si>
  <si>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</si>
  <si>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</si>
  <si>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</si>
  <si>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</si>
  <si>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</si>
  <si>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</si>
  <si>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</si>
  <si>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</si>
  <si>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</si>
  <si>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</si>
  <si>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</si>
  <si>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</si>
  <si>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</si>
  <si>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</si>
  <si>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</si>
  <si>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</si>
  <si>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</si>
  <si>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</si>
  <si>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</si>
  <si>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</si>
  <si>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</si>
  <si>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</si>
  <si>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</si>
  <si>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</si>
  <si>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</si>
  <si>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</si>
  <si>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</si>
  <si>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</si>
  <si>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</si>
  <si>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</si>
  <si>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</si>
  <si>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</si>
  <si>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</si>
  <si>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</si>
  <si>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</si>
  <si>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</si>
  <si>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</si>
  <si>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</si>
  <si>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</si>
  <si>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</si>
  <si>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</si>
  <si>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</si>
  <si>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</si>
  <si>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</si>
  <si>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</si>
  <si>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</si>
  <si>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</si>
  <si>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</si>
  <si>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</si>
  <si>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</si>
  <si>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</si>
  <si>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</si>
  <si>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</si>
  <si>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</si>
  <si>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</si>
  <si>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</si>
  <si>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</si>
  <si>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</si>
  <si>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</si>
  <si>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</si>
  <si>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</si>
  <si>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</si>
  <si>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</si>
  <si>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</si>
  <si>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</si>
  <si>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</si>
  <si>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</si>
  <si>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</si>
  <si>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</si>
  <si>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</si>
  <si>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</si>
  <si>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</si>
  <si>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</si>
  <si>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</si>
  <si>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</si>
  <si>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</si>
  <si>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</si>
  <si>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</si>
  <si>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</si>
  <si>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</si>
  <si>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</si>
  <si>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</si>
  <si>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</si>
  <si>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</si>
  <si>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</si>
  <si>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</si>
  <si>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</si>
  <si>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</si>
  <si>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</si>
  <si>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</si>
  <si>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</si>
  <si>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</si>
  <si>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</si>
  <si>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</si>
  <si>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</si>
  <si>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</si>
  <si>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</si>
  <si>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</si>
  <si>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</si>
  <si>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</si>
  <si>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</si>
  <si>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</si>
  <si>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</si>
  <si>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</si>
  <si>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</si>
  <si>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</si>
  <si>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</si>
  <si>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</si>
  <si>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</si>
  <si>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</si>
  <si>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</si>
  <si>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</si>
  <si>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</si>
  <si>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</si>
  <si>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</si>
  <si>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</si>
  <si>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</si>
  <si>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</si>
  <si>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</si>
  <si>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</si>
  <si>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</si>
  <si>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</si>
  <si>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</si>
  <si>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</si>
  <si>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</si>
  <si>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</si>
  <si>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</si>
  <si>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</si>
  <si>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</si>
  <si>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</si>
  <si>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</si>
  <si>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</si>
  <si>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</si>
  <si>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</si>
  <si>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</si>
  <si>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</si>
  <si>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</si>
  <si>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</si>
  <si>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</si>
  <si>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</si>
  <si>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</si>
  <si>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</si>
  <si>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</si>
  <si>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</si>
  <si>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</si>
  <si>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</si>
  <si>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</si>
  <si>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</si>
  <si>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</si>
  <si>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</si>
  <si>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</si>
  <si>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</si>
  <si>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</si>
  <si>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</si>
  <si>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</si>
  <si>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</si>
  <si>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</si>
  <si>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</si>
  <si>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</si>
  <si>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</si>
  <si>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</si>
  <si>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</si>
  <si>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</si>
  <si>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</si>
  <si>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</si>
  <si>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</si>
  <si>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</si>
  <si>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</si>
  <si>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</si>
  <si>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</si>
  <si>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</si>
  <si>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</si>
  <si>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</si>
  <si>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</si>
  <si>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</si>
  <si>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</si>
  <si>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</si>
  <si>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</si>
  <si>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</si>
  <si>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</si>
  <si>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</si>
  <si>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</si>
  <si>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</si>
  <si>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</si>
  <si>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</si>
  <si>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</si>
  <si>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</si>
  <si>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</si>
  <si>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</si>
  <si>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</si>
  <si>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</si>
  <si>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</si>
  <si>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</si>
  <si>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</si>
  <si>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</si>
  <si>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</si>
  <si>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</si>
  <si>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</si>
  <si>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</si>
  <si>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</si>
  <si>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</si>
  <si>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</si>
  <si>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</si>
  <si>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</si>
  <si>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</si>
  <si>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</si>
  <si>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</si>
  <si>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</si>
  <si>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</si>
  <si>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</si>
  <si>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</si>
  <si>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</si>
  <si>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</si>
  <si>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</si>
  <si>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</si>
  <si>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</si>
  <si>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</si>
  <si>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</si>
  <si>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</si>
  <si>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</si>
  <si>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</si>
  <si>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</si>
  <si>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</si>
  <si>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</si>
  <si>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</si>
  <si>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</si>
  <si>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</si>
  <si>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</si>
  <si>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</si>
  <si>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</si>
  <si>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</si>
  <si>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</si>
  <si>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</si>
  <si>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</si>
  <si>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</si>
  <si>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</si>
  <si>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</si>
  <si>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</si>
  <si>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</si>
  <si>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</si>
  <si>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</si>
  <si>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</si>
  <si>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</si>
  <si>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</si>
  <si>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</si>
  <si>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</si>
  <si>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</si>
  <si>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</si>
  <si>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</si>
  <si>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</si>
  <si>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</si>
  <si>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</si>
  <si>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</si>
  <si>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</si>
  <si>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</si>
  <si>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</si>
  <si>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</si>
  <si>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</si>
  <si>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</si>
  <si>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</si>
  <si>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</si>
  <si>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</si>
  <si>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</si>
  <si>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</si>
  <si>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</si>
  <si>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</si>
  <si>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</si>
  <si>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</si>
  <si>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</si>
  <si>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</si>
  <si>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</si>
  <si>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</si>
  <si>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</si>
  <si>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</si>
  <si>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</si>
  <si>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</si>
  <si>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</si>
  <si>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</si>
  <si>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</si>
  <si>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</si>
  <si>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</si>
  <si>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</si>
  <si>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</si>
  <si>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</si>
  <si>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</si>
  <si>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</si>
  <si>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</si>
  <si>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</si>
  <si>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</si>
  <si>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</si>
  <si>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</si>
  <si>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</si>
  <si>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</si>
  <si>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</si>
  <si>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</si>
  <si>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</si>
  <si>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</si>
  <si>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</si>
  <si>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</si>
  <si>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</si>
  <si>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</si>
  <si>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</si>
  <si>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</si>
  <si>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</si>
  <si>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</si>
  <si>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</si>
  <si>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</si>
  <si>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</si>
  <si>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</si>
  <si>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</si>
  <si>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</si>
  <si>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</si>
  <si>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</si>
  <si>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</si>
  <si>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</si>
  <si>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</si>
  <si>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</si>
  <si>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</si>
  <si>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</si>
  <si>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</si>
  <si>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</si>
  <si>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</si>
  <si>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</si>
  <si>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</si>
  <si>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</si>
  <si>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</si>
  <si>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</si>
  <si>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</si>
  <si>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</si>
  <si>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</si>
  <si>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</si>
  <si>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</si>
  <si>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</si>
  <si>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</si>
  <si>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</si>
  <si>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</si>
  <si>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</si>
  <si>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</si>
  <si>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</si>
  <si>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</si>
  <si>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</si>
  <si>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</si>
  <si>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</si>
  <si>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</si>
  <si>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</si>
  <si>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</si>
  <si>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</si>
  <si>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</si>
  <si>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</si>
  <si>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</si>
  <si>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</si>
  <si>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</si>
  <si>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</si>
  <si>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</si>
  <si>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</si>
  <si>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</si>
  <si>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</si>
  <si>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</si>
  <si>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</si>
  <si>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</si>
  <si>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</si>
  <si>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</si>
  <si>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</si>
  <si>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</si>
  <si>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</si>
  <si>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</si>
  <si>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</si>
  <si>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</si>
  <si>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</si>
  <si>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</si>
  <si>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</si>
  <si>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</si>
  <si>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</si>
  <si>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</si>
  <si>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</si>
  <si>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</si>
  <si>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</si>
  <si>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</si>
  <si>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</si>
  <si>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</si>
  <si>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</si>
  <si>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</si>
  <si>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</si>
  <si>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</si>
  <si>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</si>
  <si>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</si>
  <si>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</si>
  <si>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</si>
  <si>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</si>
  <si>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</si>
  <si>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</si>
  <si>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</si>
  <si>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</si>
  <si>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</si>
  <si>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</si>
  <si>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</si>
  <si>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</si>
  <si>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</si>
  <si>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</si>
  <si>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</si>
  <si>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</si>
  <si>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</si>
  <si>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</si>
  <si>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</si>
  <si>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</si>
  <si>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</si>
  <si>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</si>
  <si>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</si>
  <si>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</si>
  <si>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</si>
  <si>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</si>
  <si>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</si>
  <si>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</si>
  <si>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</si>
  <si>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</si>
  <si>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</si>
  <si>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</si>
  <si>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</si>
  <si>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</si>
  <si>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</si>
  <si>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</si>
  <si>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</si>
  <si>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</si>
  <si>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</si>
  <si>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</si>
  <si>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</si>
  <si>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</si>
  <si>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</si>
  <si>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</si>
  <si>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</si>
  <si>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</si>
  <si>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</si>
  <si>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</si>
  <si>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</si>
  <si>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</si>
  <si>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</si>
  <si>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</si>
  <si>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</si>
  <si>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</si>
  <si>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</si>
  <si>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</si>
  <si>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</si>
  <si>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</si>
  <si>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</si>
  <si>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</si>
  <si>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</si>
  <si>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</si>
  <si>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</si>
  <si>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</si>
  <si>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</si>
  <si>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</si>
  <si>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</si>
  <si>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</si>
  <si>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</si>
  <si>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</si>
  <si>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</si>
  <si>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</si>
  <si>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</si>
  <si>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</si>
  <si>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</si>
  <si>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</si>
  <si>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</si>
  <si>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</si>
  <si>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</si>
  <si>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</si>
  <si>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</si>
  <si>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</si>
  <si>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</si>
  <si>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</si>
  <si>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</si>
  <si>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</si>
  <si>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</si>
  <si>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</si>
  <si>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</si>
  <si>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</si>
  <si>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</si>
  <si>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</si>
  <si>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</si>
  <si>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</si>
  <si>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</si>
  <si>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</si>
  <si>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</si>
  <si>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</si>
  <si>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</si>
  <si>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</si>
  <si>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</si>
  <si>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</si>
  <si>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</si>
  <si>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</si>
  <si>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</si>
  <si>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</si>
  <si>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</si>
  <si>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</si>
  <si>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</si>
  <si>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</si>
  <si>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</si>
  <si>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</si>
  <si>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</si>
  <si>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</si>
  <si>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</si>
  <si>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</si>
  <si>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</si>
  <si>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</si>
  <si>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</si>
  <si>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</si>
  <si>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</si>
  <si>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</si>
  <si>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</si>
  <si>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</si>
  <si>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</si>
  <si>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</si>
  <si>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</si>
  <si>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</si>
  <si>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</si>
  <si>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</si>
  <si>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</si>
  <si>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</si>
  <si>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</si>
  <si>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</si>
  <si>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</si>
  <si>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</si>
  <si>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</si>
  <si>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</si>
  <si>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</si>
  <si>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</si>
  <si>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</si>
  <si>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</si>
  <si>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</si>
  <si>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</si>
  <si>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</si>
  <si>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</si>
  <si>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</si>
  <si>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</si>
  <si>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</si>
  <si>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</si>
  <si>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</si>
  <si>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</si>
  <si>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</si>
  <si>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</si>
  <si>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</si>
  <si>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</si>
  <si>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</si>
  <si>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</si>
  <si>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</si>
  <si>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</si>
  <si>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</si>
  <si>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</si>
  <si>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</si>
  <si>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</si>
  <si>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</si>
  <si>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</si>
  <si>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</si>
  <si>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</si>
  <si>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</si>
  <si>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</si>
  <si>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</si>
  <si>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</si>
  <si>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</si>
  <si>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</si>
  <si>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</si>
  <si>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</si>
  <si>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</si>
  <si>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</si>
  <si>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</si>
  <si>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</si>
  <si>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</si>
  <si>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</si>
  <si>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</si>
  <si>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</si>
  <si>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</si>
  <si>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</si>
  <si>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</si>
  <si>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</si>
  <si>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</si>
  <si>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</si>
  <si>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</si>
  <si>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</si>
  <si>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</si>
  <si>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</si>
  <si>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</si>
  <si>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</si>
  <si>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</si>
  <si>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</si>
  <si>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</si>
  <si>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</si>
  <si>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</si>
  <si>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</si>
  <si>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</si>
  <si>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</si>
  <si>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</si>
  <si>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</si>
  <si>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</si>
  <si>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</si>
  <si>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</si>
  <si>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</si>
  <si>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</si>
  <si>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</si>
  <si>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</si>
  <si>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</si>
  <si>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</si>
  <si>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</si>
  <si>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</si>
  <si>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</si>
  <si>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</si>
  <si>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</si>
  <si>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</si>
  <si>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</si>
  <si>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</si>
  <si>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</si>
  <si>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</si>
  <si>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</si>
  <si>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</si>
  <si>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</si>
  <si>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</si>
  <si>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</si>
  <si>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</si>
  <si>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</si>
  <si>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</si>
  <si>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</si>
  <si>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</si>
  <si>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</si>
  <si>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</si>
  <si>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</si>
  <si>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</si>
  <si>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</si>
  <si>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</si>
  <si>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</si>
  <si>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</si>
  <si>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</si>
  <si>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</si>
  <si>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</si>
  <si>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</si>
  <si>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</si>
  <si>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</si>
  <si>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</si>
  <si>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</si>
  <si>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</si>
  <si>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</si>
  <si>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</si>
  <si>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</si>
  <si>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</si>
  <si>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</si>
  <si>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</si>
  <si>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</si>
  <si>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</si>
  <si>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</si>
  <si>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</si>
  <si>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</si>
  <si>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</si>
  <si>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</si>
  <si>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</si>
  <si>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</si>
  <si>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</si>
  <si>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</si>
  <si>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</si>
  <si>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</si>
  <si>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</si>
  <si>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</si>
  <si>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</si>
  <si>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</si>
  <si>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</si>
  <si>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</si>
  <si>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</si>
  <si>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</si>
  <si>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</si>
  <si>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</si>
  <si>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</si>
  <si>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</si>
  <si>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</si>
  <si>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</si>
  <si>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</si>
  <si>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</si>
  <si>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</si>
  <si>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</si>
  <si>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</si>
  <si>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</si>
  <si>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</si>
  <si>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</si>
  <si>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</si>
  <si>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</si>
  <si>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</si>
  <si>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</si>
  <si>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</si>
  <si>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</si>
  <si>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</si>
  <si>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</si>
  <si>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</si>
  <si>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</si>
  <si>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</si>
  <si>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</si>
  <si>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</si>
  <si>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</si>
  <si>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</si>
  <si>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</si>
  <si>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</si>
  <si>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</si>
  <si>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</si>
  <si>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</si>
  <si>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</si>
  <si>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</si>
  <si>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</si>
  <si>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</si>
  <si>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</si>
  <si>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</si>
  <si>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</si>
  <si>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</si>
  <si>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</si>
  <si>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</si>
  <si>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</si>
  <si>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</si>
  <si>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</si>
  <si>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</si>
  <si>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</si>
  <si>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</si>
  <si>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</si>
  <si>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</si>
  <si>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</si>
  <si>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</si>
  <si>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</si>
  <si>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</si>
  <si>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</si>
  <si>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</si>
  <si>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</si>
  <si>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</si>
  <si>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</si>
  <si>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</si>
  <si>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</si>
  <si>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</si>
  <si>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</si>
  <si>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</si>
  <si>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</si>
  <si>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</si>
  <si>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</si>
  <si>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</si>
  <si>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</si>
  <si>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</si>
  <si>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</si>
  <si>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</si>
  <si>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</si>
  <si>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</si>
  <si>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</si>
  <si>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</si>
  <si>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</si>
  <si>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</si>
  <si>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</si>
  <si>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</si>
  <si>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</si>
  <si>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</si>
  <si>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</si>
  <si>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</si>
  <si>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</si>
  <si>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</si>
  <si>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</si>
  <si>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</si>
  <si>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</si>
  <si>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</si>
  <si>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</si>
  <si>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</si>
  <si>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</si>
  <si>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</si>
  <si>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</si>
  <si>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</si>
  <si>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</si>
  <si>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</si>
  <si>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</si>
  <si>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</si>
  <si>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</si>
  <si>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</si>
  <si>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</si>
  <si>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</si>
  <si>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</si>
  <si>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</si>
  <si>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</si>
  <si>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</si>
  <si>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</si>
  <si>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</si>
  <si>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</si>
  <si>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</si>
  <si>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</si>
  <si>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</si>
  <si>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</si>
  <si>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</si>
  <si>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</si>
  <si>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</si>
  <si>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</si>
  <si>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</si>
  <si>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</si>
  <si>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</si>
  <si>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</si>
  <si>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</si>
  <si>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</si>
  <si>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</si>
  <si>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</si>
  <si>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</si>
  <si>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</si>
  <si>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</si>
  <si>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</si>
  <si>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</si>
  <si>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</si>
  <si>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</si>
  <si>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</si>
  <si>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</si>
  <si>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</si>
  <si>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</si>
  <si>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</si>
  <si>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</si>
  <si>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</si>
  <si>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</si>
  <si>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</si>
  <si>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</si>
  <si>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</si>
  <si>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</si>
  <si>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</si>
  <si>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</si>
  <si>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</si>
  <si>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</si>
  <si>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</si>
  <si>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</si>
  <si>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</si>
  <si>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</si>
  <si>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</si>
  <si>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</si>
  <si>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</si>
  <si>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</si>
  <si>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</si>
  <si>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</si>
  <si>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</si>
  <si>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</si>
  <si>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</si>
  <si>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</si>
  <si>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</si>
  <si>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</si>
  <si>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</si>
  <si>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</si>
  <si>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</si>
  <si>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</si>
  <si>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</si>
  <si>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</si>
  <si>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</si>
  <si>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</si>
  <si>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</si>
  <si>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</si>
  <si>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</si>
  <si>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</si>
  <si>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</si>
  <si>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</si>
  <si>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</si>
  <si>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</si>
  <si>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</si>
  <si>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</si>
  <si>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</si>
  <si>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</si>
  <si>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</si>
  <si>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</si>
  <si>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</si>
  <si>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</si>
  <si>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</si>
  <si>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</si>
  <si>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</si>
  <si>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</si>
  <si>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</si>
  <si>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</si>
  <si>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</si>
  <si>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</si>
  <si>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</si>
  <si>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</si>
  <si>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</si>
  <si>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</si>
  <si>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</si>
  <si>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</si>
  <si>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</si>
  <si>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</si>
  <si>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</si>
  <si>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</si>
  <si>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</si>
  <si>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</si>
  <si>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</si>
  <si>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</si>
  <si>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</si>
  <si>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</si>
  <si>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</si>
  <si>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</si>
  <si>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</si>
  <si>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</si>
  <si>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</si>
  <si>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</si>
  <si>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</si>
  <si>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</si>
  <si>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</si>
  <si>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</si>
  <si>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</si>
  <si>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</si>
  <si>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</si>
  <si>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</si>
  <si>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</si>
  <si>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</si>
  <si>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</si>
  <si>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</si>
  <si>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</si>
  <si>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</si>
  <si>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</si>
  <si>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</si>
  <si>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</si>
  <si>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</si>
  <si>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</si>
  <si>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</si>
  <si>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</si>
  <si>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</si>
  <si>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</si>
  <si>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</si>
  <si>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</si>
  <si>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</si>
  <si>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</si>
  <si>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</si>
  <si>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</si>
  <si>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</si>
  <si>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</si>
  <si>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</si>
  <si>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</si>
  <si>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</si>
  <si>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</si>
  <si>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</si>
  <si>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</si>
  <si>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</si>
  <si>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</si>
  <si>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</si>
  <si>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</si>
  <si>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</si>
  <si>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</si>
  <si>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</si>
  <si>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</si>
  <si>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</si>
  <si>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</si>
  <si>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</si>
  <si>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</si>
  <si>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</si>
  <si>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</si>
  <si>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</si>
  <si>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</si>
  <si>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</si>
  <si>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</si>
  <si>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</si>
  <si>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</si>
  <si>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</si>
  <si>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</si>
  <si>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</si>
  <si>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</si>
  <si>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</si>
  <si>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</si>
  <si>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</si>
  <si>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</si>
  <si>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</si>
  <si>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</si>
  <si>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</si>
  <si>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</si>
  <si>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</si>
  <si>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</si>
  <si>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</si>
  <si>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</si>
  <si>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</si>
  <si>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</si>
  <si>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</si>
  <si>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</si>
  <si>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</si>
  <si>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</si>
  <si>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</si>
  <si>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</si>
  <si>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</si>
  <si>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</si>
  <si>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</si>
  <si>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</si>
  <si>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</si>
  <si>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</si>
  <si>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</si>
  <si>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</si>
  <si>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</si>
  <si>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</si>
  <si>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</si>
  <si>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</si>
  <si>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</si>
  <si>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</si>
  <si>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</si>
  <si>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</si>
  <si>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</si>
  <si>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</si>
  <si>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</si>
  <si>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</si>
  <si>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</si>
  <si>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</si>
  <si>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</si>
  <si>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</si>
  <si>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</si>
  <si>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</si>
  <si>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</si>
  <si>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</si>
  <si>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</si>
  <si>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</si>
  <si>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</si>
  <si>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</si>
  <si>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</si>
  <si>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</si>
  <si>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</si>
  <si>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</si>
  <si>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</si>
  <si>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</si>
  <si>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</si>
  <si>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</si>
  <si>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</si>
  <si>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</si>
  <si>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</si>
  <si>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</si>
  <si>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</si>
  <si>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</si>
  <si>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</si>
  <si>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</si>
  <si>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</si>
  <si>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</si>
  <si>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</si>
  <si>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</si>
  <si>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</si>
  <si>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</si>
  <si>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</si>
  <si>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</si>
  <si>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</si>
  <si>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</si>
  <si>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</si>
  <si>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</si>
  <si>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</si>
  <si>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</si>
  <si>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</si>
  <si>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</si>
  <si>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</si>
  <si>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</si>
  <si>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</si>
  <si>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</si>
  <si>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</si>
  <si>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</si>
  <si>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</si>
  <si>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</si>
  <si>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</si>
  <si>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</si>
  <si>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</si>
  <si>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</si>
  <si>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</si>
  <si>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</si>
  <si>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</si>
  <si>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</si>
  <si>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</si>
  <si>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</si>
  <si>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</si>
  <si>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</si>
  <si>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</si>
  <si>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</si>
  <si>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</si>
  <si>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</si>
  <si>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</si>
  <si>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</si>
  <si>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</si>
  <si>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</si>
  <si>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</si>
  <si>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</si>
  <si>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</si>
  <si>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</si>
  <si>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</si>
  <si>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</si>
  <si>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</si>
  <si>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</si>
  <si>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</si>
  <si>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</si>
  <si>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</si>
  <si>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</si>
  <si>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</si>
  <si>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</si>
  <si>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</si>
  <si>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</si>
  <si>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</si>
  <si>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</si>
  <si>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</si>
  <si>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</si>
  <si>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</si>
  <si>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</si>
  <si>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</si>
  <si>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</si>
  <si>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</si>
  <si>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</si>
  <si>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</si>
  <si>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</si>
  <si>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</si>
  <si>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</si>
  <si>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</si>
  <si>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</si>
  <si>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</si>
  <si>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</si>
  <si>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</si>
  <si>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</si>
  <si>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</si>
  <si>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</si>
  <si>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</si>
  <si>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</si>
  <si>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</si>
  <si>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</si>
  <si>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</si>
  <si>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</si>
  <si>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</si>
  <si>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</si>
  <si>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</si>
  <si>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</si>
  <si>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</si>
  <si>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</si>
  <si>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</si>
  <si>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</si>
  <si>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</si>
  <si>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</si>
  <si>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</si>
  <si>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</si>
  <si>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</si>
  <si>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</si>
  <si>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</si>
  <si>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</si>
  <si>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</si>
  <si>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</si>
  <si>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</si>
  <si>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</si>
  <si>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</si>
  <si>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</si>
  <si>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</si>
  <si>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</si>
  <si>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</si>
  <si>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</si>
  <si>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</si>
  <si>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</si>
  <si>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</si>
  <si>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</si>
  <si>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</si>
  <si>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</si>
  <si>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</si>
  <si>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</si>
  <si>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</si>
  <si>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</si>
  <si>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</si>
  <si>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</si>
  <si>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</si>
  <si>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</si>
  <si>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</si>
  <si>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</si>
  <si>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</si>
  <si>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</si>
  <si>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</si>
  <si>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</si>
  <si>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</si>
  <si>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</si>
  <si>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</si>
  <si>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</si>
  <si>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</si>
  <si>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</si>
  <si>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</si>
  <si>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</si>
  <si>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</si>
  <si>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</si>
  <si>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</si>
  <si>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</si>
  <si>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</si>
  <si>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</si>
  <si>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</si>
  <si>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</si>
  <si>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</si>
  <si>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</si>
  <si>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</si>
  <si>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</si>
  <si>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</si>
  <si>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</si>
  <si>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</si>
  <si>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</si>
  <si>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</si>
  <si>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</si>
  <si>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</si>
  <si>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</si>
  <si>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</si>
  <si>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</si>
  <si>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</si>
  <si>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</si>
  <si>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</si>
  <si>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</si>
  <si>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</si>
  <si>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</si>
  <si>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</si>
  <si>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</si>
  <si>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</si>
  <si>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</si>
  <si>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</si>
  <si>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</si>
  <si>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</si>
  <si>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</si>
  <si>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</si>
  <si>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</si>
  <si>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</si>
  <si>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</si>
  <si>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</si>
  <si>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</si>
  <si>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</si>
  <si>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</si>
  <si>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</si>
  <si>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</si>
  <si>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</si>
  <si>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</si>
  <si>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</si>
  <si>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</si>
  <si>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</si>
  <si>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</si>
  <si>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</si>
  <si>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</si>
  <si>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</si>
  <si>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</si>
  <si>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</si>
  <si>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</si>
  <si>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</si>
  <si>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</si>
  <si>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</si>
  <si>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</si>
  <si>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</si>
  <si>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</si>
  <si>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</si>
  <si>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</si>
  <si>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</si>
  <si>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</si>
  <si>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</si>
  <si>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</si>
  <si>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</si>
  <si>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</si>
  <si>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</si>
  <si>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</si>
  <si>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</si>
  <si>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</si>
  <si>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</si>
  <si>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</si>
  <si>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</si>
  <si>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</si>
  <si>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</si>
  <si>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</si>
  <si>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</si>
  <si>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</si>
  <si>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</si>
  <si>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</si>
  <si>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</si>
  <si>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</si>
  <si>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</si>
  <si>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</si>
  <si>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</si>
  <si>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</si>
  <si>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</si>
  <si>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</si>
  <si>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</si>
  <si>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</si>
  <si>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</si>
  <si>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</si>
  <si>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</si>
  <si>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</si>
  <si>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</si>
  <si>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</si>
  <si>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</si>
  <si>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</si>
  <si>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</si>
  <si>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</si>
  <si>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</si>
  <si>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</si>
  <si>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</si>
  <si>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</si>
  <si>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</si>
  <si>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</si>
  <si>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</si>
  <si>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</si>
  <si>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</si>
  <si>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</si>
  <si>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</si>
  <si>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</si>
  <si>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</si>
  <si>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</si>
  <si>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</si>
  <si>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</si>
  <si>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</si>
  <si>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</si>
  <si>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</si>
  <si>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</si>
  <si>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</si>
  <si>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</si>
  <si>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</si>
  <si>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</si>
  <si>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</si>
  <si>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</si>
  <si>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</si>
  <si>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</si>
  <si>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</si>
  <si>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</si>
  <si>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</si>
  <si>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</si>
  <si>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</si>
  <si>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</si>
  <si>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</si>
  <si>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</si>
  <si>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</si>
  <si>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</si>
  <si>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</si>
  <si>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</si>
  <si>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</si>
  <si>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</si>
  <si>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</si>
  <si>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</si>
  <si>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</si>
  <si>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</si>
  <si>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</si>
  <si>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</si>
  <si>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</si>
  <si>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</si>
  <si>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</si>
  <si>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</si>
  <si>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</si>
  <si>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</si>
  <si>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</si>
  <si>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</si>
  <si>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</si>
  <si>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</si>
  <si>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</si>
  <si>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</si>
  <si>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</si>
  <si>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</si>
  <si>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</si>
  <si>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</si>
  <si>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</si>
  <si>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</si>
  <si>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</si>
  <si>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</si>
  <si>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</si>
  <si>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</si>
  <si>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</si>
  <si>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</si>
  <si>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</si>
  <si>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</si>
  <si>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</si>
  <si>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</si>
  <si>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</si>
  <si>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</si>
  <si>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</si>
  <si>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</si>
  <si>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</si>
  <si>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</si>
  <si>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</si>
  <si>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</si>
  <si>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</si>
  <si>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</si>
  <si>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</si>
  <si>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</si>
  <si>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</si>
  <si>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</si>
  <si>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</si>
  <si>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</si>
  <si>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</si>
  <si>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</si>
  <si>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</si>
  <si>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</si>
  <si>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</si>
  <si>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</si>
  <si>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</si>
  <si>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</si>
  <si>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</si>
  <si>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</si>
  <si>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</si>
  <si>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</si>
  <si>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</si>
  <si>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</si>
  <si>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</si>
  <si>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</si>
  <si>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</si>
  <si>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</si>
  <si>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</si>
  <si>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</si>
  <si>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</si>
  <si>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</si>
  <si>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</si>
  <si>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</si>
  <si>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</si>
  <si>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</si>
  <si>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</si>
  <si>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</si>
  <si>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</si>
  <si>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</si>
  <si>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</si>
  <si>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</si>
  <si>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</si>
  <si>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</si>
  <si>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</si>
  <si>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</si>
  <si>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</si>
  <si>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</si>
  <si>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</si>
  <si>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</si>
  <si>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</si>
  <si>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</si>
  <si>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</si>
  <si>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</si>
  <si>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</si>
  <si>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</si>
  <si>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</si>
  <si>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</si>
  <si>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</si>
  <si>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</si>
  <si>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</si>
  <si>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</si>
  <si>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</si>
  <si>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</si>
  <si>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</si>
  <si>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</si>
  <si>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</si>
  <si>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</si>
  <si>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</si>
  <si>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</si>
  <si>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</si>
  <si>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</si>
  <si>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</si>
  <si>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</si>
  <si>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</si>
  <si>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</si>
  <si>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</si>
  <si>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</si>
  <si>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</si>
  <si>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</si>
  <si>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</si>
  <si>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</si>
  <si>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</si>
  <si>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</si>
  <si>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</si>
  <si>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</si>
  <si>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</si>
  <si>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</si>
  <si>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</si>
  <si>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</si>
  <si>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</si>
  <si>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</si>
  <si>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</si>
  <si>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</si>
  <si>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</si>
  <si>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</si>
  <si>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</si>
  <si>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</si>
  <si>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</si>
  <si>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</si>
  <si>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</si>
  <si>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</si>
  <si>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</si>
  <si>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</si>
  <si>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</si>
  <si>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</si>
  <si>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</si>
  <si>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</si>
  <si>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</si>
  <si>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</si>
  <si>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</si>
  <si>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</si>
  <si>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</si>
  <si>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</si>
  <si>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</si>
  <si>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</si>
  <si>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</si>
  <si>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</si>
  <si>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</si>
  <si>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</si>
  <si>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</si>
  <si>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</si>
  <si>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</si>
  <si>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</si>
  <si>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</si>
  <si>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</si>
  <si>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</si>
  <si>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</si>
  <si>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</si>
  <si>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</si>
  <si>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</si>
  <si>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</si>
  <si>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</si>
  <si>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</si>
  <si>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</si>
  <si>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</si>
  <si>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</si>
  <si>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</si>
  <si>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</si>
  <si>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</si>
  <si>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</si>
  <si>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</si>
  <si>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</si>
  <si>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</si>
  <si>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</si>
  <si>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</si>
  <si>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</si>
  <si>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</si>
  <si>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</si>
  <si>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</si>
  <si>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</si>
  <si>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</si>
  <si>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</si>
  <si>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</si>
  <si>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</si>
  <si>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</si>
  <si>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</si>
  <si>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</si>
  <si>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</si>
  <si>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</si>
  <si>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</si>
  <si>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</si>
  <si>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</si>
  <si>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</si>
  <si>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</si>
  <si>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</si>
  <si>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</si>
  <si>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</si>
  <si>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</si>
  <si>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</si>
  <si>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</si>
  <si>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</si>
  <si>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</si>
  <si>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</si>
  <si>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</si>
  <si>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</si>
  <si>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</si>
  <si>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</si>
  <si>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</si>
  <si>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</si>
  <si>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</si>
  <si>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</si>
  <si>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</si>
  <si>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</si>
  <si>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</si>
  <si>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</si>
  <si>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</si>
  <si>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</si>
  <si>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</si>
  <si>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</si>
  <si>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</si>
  <si>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</si>
  <si>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</si>
  <si>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</si>
  <si>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</si>
  <si>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</si>
  <si>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</si>
  <si>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</si>
  <si>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</si>
  <si>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</si>
  <si>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</si>
  <si>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</si>
  <si>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</si>
  <si>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</si>
  <si>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</si>
  <si>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</si>
  <si>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</si>
  <si>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</si>
  <si>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</si>
  <si>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</si>
  <si>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</si>
  <si>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</si>
  <si>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</si>
  <si>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</si>
  <si>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</si>
  <si>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</si>
  <si>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</si>
  <si>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</si>
  <si>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</si>
  <si>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</si>
  <si>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</si>
  <si>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</si>
  <si>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</si>
  <si>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</si>
  <si>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</si>
  <si>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</si>
  <si>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</si>
  <si>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</si>
  <si>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</si>
  <si>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</si>
  <si>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</si>
  <si>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</si>
  <si>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</si>
  <si>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</si>
  <si>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</si>
  <si>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</si>
  <si>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</si>
  <si>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</si>
  <si>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</si>
  <si>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</si>
  <si>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</si>
  <si>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</si>
  <si>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</si>
  <si>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</si>
  <si>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</si>
  <si>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</si>
  <si>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</si>
  <si>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</si>
  <si>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</si>
  <si>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</si>
  <si>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</si>
  <si>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</si>
  <si>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</si>
  <si>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</si>
  <si>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</si>
  <si>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</si>
  <si>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</si>
  <si>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</si>
  <si>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</si>
  <si>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</si>
  <si>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</si>
  <si>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</si>
  <si>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</si>
  <si>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</si>
  <si>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</si>
  <si>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</si>
  <si>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</si>
  <si>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</si>
  <si>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</si>
  <si>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</si>
  <si>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</si>
  <si>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</si>
  <si>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</si>
  <si>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</si>
  <si>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</si>
  <si>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</si>
  <si>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</si>
  <si>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</si>
  <si>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</si>
  <si>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</si>
  <si>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</si>
  <si>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</si>
  <si>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</si>
  <si>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</si>
  <si>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</si>
  <si>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</si>
  <si>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</si>
  <si>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</si>
  <si>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</si>
  <si>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</si>
  <si>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</si>
  <si>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</si>
  <si>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</si>
  <si>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</si>
  <si>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</si>
  <si>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</si>
  <si>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</si>
  <si>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</si>
  <si>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</si>
  <si>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</si>
  <si>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</si>
  <si>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</si>
  <si>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</si>
  <si>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</si>
  <si>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</si>
  <si>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</si>
  <si>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</si>
  <si>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</si>
  <si>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</si>
  <si>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</si>
  <si>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</si>
  <si>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</si>
  <si>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</si>
  <si>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</si>
  <si>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</si>
  <si>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</si>
  <si>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</si>
  <si>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</si>
  <si>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</si>
  <si>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</si>
  <si>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</si>
  <si>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</si>
  <si>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</si>
  <si>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</si>
  <si>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</si>
  <si>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</si>
  <si>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</si>
  <si>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</si>
  <si>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</si>
  <si>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</si>
  <si>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</si>
  <si>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</si>
  <si>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</si>
  <si>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</si>
  <si>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</si>
  <si>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</si>
  <si>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</si>
  <si>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</si>
  <si>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</si>
  <si>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</si>
  <si>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</si>
  <si>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</si>
  <si>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</si>
  <si>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</si>
  <si>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</si>
  <si>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</si>
  <si>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</si>
  <si>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</si>
  <si>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</si>
  <si>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</si>
  <si>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</si>
  <si>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</si>
  <si>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</si>
  <si>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</si>
  <si>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</si>
  <si>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</si>
  <si>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</si>
  <si>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</si>
  <si>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</si>
  <si>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</si>
  <si>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</si>
  <si>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</si>
  <si>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</si>
  <si>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</si>
  <si>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</si>
  <si>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</si>
  <si>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</si>
  <si>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</si>
  <si>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</si>
  <si>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</si>
  <si>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</si>
  <si>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</si>
  <si>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</si>
  <si>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</si>
  <si>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</si>
  <si>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</si>
  <si>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</si>
  <si>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</si>
  <si>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</si>
  <si>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</si>
  <si>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</si>
  <si>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</si>
  <si>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</si>
  <si>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</si>
  <si>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</si>
  <si>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</si>
  <si>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</si>
  <si>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</si>
  <si>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</si>
  <si>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</si>
  <si>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</si>
  <si>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</si>
  <si>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</si>
  <si>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</si>
  <si>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</si>
  <si>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</si>
  <si>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</si>
  <si>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</si>
  <si>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</si>
  <si>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</si>
  <si>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</si>
  <si>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</si>
  <si>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</si>
  <si>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</si>
  <si>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</si>
  <si>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</si>
  <si>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</si>
  <si>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</si>
  <si>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</si>
  <si>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</si>
  <si>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</si>
  <si>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</si>
  <si>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</si>
  <si>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</si>
  <si>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</si>
  <si>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</si>
  <si>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</si>
  <si>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</si>
  <si>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</si>
  <si>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</si>
  <si>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</si>
  <si>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</si>
  <si>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</si>
  <si>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</si>
  <si>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</si>
  <si>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</si>
  <si>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</si>
  <si>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</si>
  <si>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</si>
  <si>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</si>
  <si>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</si>
  <si>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</si>
  <si>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</si>
  <si>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</si>
  <si>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</si>
  <si>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</si>
  <si>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</si>
  <si>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</si>
  <si>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</si>
  <si>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</si>
  <si>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</si>
  <si>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</si>
  <si>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</si>
  <si>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</si>
  <si>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</si>
  <si>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</si>
  <si>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</si>
  <si>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</si>
  <si>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</si>
  <si>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</si>
  <si>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</si>
  <si>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</si>
  <si>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</si>
  <si>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</si>
  <si>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</si>
  <si>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</si>
  <si>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</si>
  <si>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</si>
  <si>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</si>
  <si>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</si>
  <si>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</si>
  <si>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</si>
  <si>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</si>
  <si>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</si>
  <si>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</si>
  <si>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</si>
  <si>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</si>
  <si>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</si>
  <si>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</si>
  <si>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</si>
  <si>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</si>
  <si>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</si>
  <si>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</si>
  <si>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</si>
  <si>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</si>
  <si>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</si>
  <si>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</si>
  <si>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</si>
  <si>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</si>
  <si>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</si>
  <si>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</si>
  <si>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</si>
  <si>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</si>
  <si>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</si>
  <si>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</si>
  <si>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</si>
  <si>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</si>
  <si>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</si>
  <si>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</si>
  <si>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</si>
  <si>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</si>
  <si>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</si>
  <si>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</si>
  <si>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</si>
  <si>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</si>
  <si>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</si>
  <si>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</si>
  <si>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</si>
  <si>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</si>
  <si>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</si>
  <si>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</si>
  <si>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</si>
  <si>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</si>
  <si>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</si>
  <si>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</si>
  <si>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</si>
  <si>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</si>
  <si>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</si>
  <si>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</si>
  <si>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</si>
  <si>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</si>
  <si>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</si>
  <si>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</si>
  <si>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</si>
  <si>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</si>
  <si>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</si>
  <si>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</si>
  <si>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</si>
  <si>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</si>
  <si>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</si>
  <si>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</si>
  <si>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</si>
  <si>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</si>
  <si>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</si>
  <si>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</si>
  <si>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</si>
  <si>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</si>
  <si>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</si>
  <si>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</si>
  <si>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</si>
  <si>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</si>
  <si>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</si>
  <si>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</si>
  <si>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</si>
  <si>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</si>
  <si>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</si>
  <si>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</si>
  <si>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</si>
  <si>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</si>
  <si>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</si>
  <si>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</si>
  <si>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</si>
  <si>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</si>
  <si>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</si>
  <si>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</si>
  <si>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</si>
  <si>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</si>
  <si>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</si>
  <si>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</si>
  <si>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</si>
  <si>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</si>
  <si>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</si>
  <si>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</si>
  <si>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</si>
  <si>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</si>
  <si>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</si>
  <si>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</si>
  <si>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</si>
  <si>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</si>
  <si>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</si>
  <si>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</si>
  <si>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</si>
  <si>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</si>
  <si>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</si>
  <si>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</si>
  <si>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</si>
  <si>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</si>
  <si>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</si>
  <si>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</si>
  <si>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</si>
  <si>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</si>
  <si>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</si>
  <si>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</si>
  <si>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</si>
  <si>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</si>
  <si>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</si>
  <si>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</si>
  <si>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</si>
  <si>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</si>
  <si>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</si>
  <si>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</si>
  <si>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</si>
  <si>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</si>
  <si>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</si>
  <si>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</si>
  <si>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</si>
  <si>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</si>
  <si>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</si>
  <si>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</si>
  <si>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</si>
  <si>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</si>
  <si>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</si>
  <si>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</si>
  <si>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</si>
  <si>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</si>
  <si>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</si>
  <si>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</si>
  <si>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</si>
  <si>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</si>
  <si>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</si>
  <si>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</si>
  <si>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</si>
  <si>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</si>
  <si>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</si>
  <si>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</si>
  <si>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</si>
  <si>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</si>
  <si>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</si>
  <si>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</si>
  <si>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</si>
  <si>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</si>
  <si>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</si>
  <si>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</si>
  <si>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</si>
  <si>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</si>
  <si>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</si>
  <si>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</si>
  <si>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</si>
  <si>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</si>
  <si>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</si>
  <si>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</si>
  <si>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</si>
  <si>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</si>
  <si>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</si>
  <si>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</si>
  <si>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</si>
  <si>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</si>
  <si>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</si>
  <si>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</si>
  <si>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</si>
  <si>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</si>
  <si>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</si>
  <si>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</si>
  <si>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</si>
  <si>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</si>
  <si>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</si>
  <si>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</si>
  <si>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</si>
  <si>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</si>
  <si>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</si>
  <si>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</si>
  <si>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</si>
  <si>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</si>
  <si>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</si>
  <si>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</si>
  <si>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</si>
  <si>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</si>
  <si>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</si>
  <si>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</si>
  <si>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</si>
  <si>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</si>
  <si>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</si>
  <si>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</si>
  <si>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</si>
  <si>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</si>
  <si>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</si>
  <si>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</si>
  <si>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</si>
  <si>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</si>
  <si>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</si>
  <si>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</si>
  <si>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</si>
  <si>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</si>
  <si>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</si>
  <si>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</si>
  <si>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</si>
  <si>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</si>
  <si>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</si>
  <si>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</si>
  <si>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</si>
  <si>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</si>
  <si>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</si>
  <si>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</si>
  <si>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</si>
  <si>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</si>
  <si>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</si>
  <si>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</si>
  <si>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</si>
  <si>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</si>
  <si>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</si>
  <si>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</si>
  <si>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</si>
  <si>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</si>
  <si>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</si>
  <si>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</si>
  <si>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</si>
  <si>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</si>
  <si>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</si>
  <si>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</si>
  <si>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</si>
  <si>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</si>
  <si>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</si>
  <si>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</si>
  <si>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</si>
  <si>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</si>
  <si>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</si>
  <si>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</si>
  <si>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</si>
  <si>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</si>
  <si>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</si>
  <si>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</si>
  <si>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</si>
  <si>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</si>
  <si>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</si>
  <si>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</si>
  <si>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</si>
  <si>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</si>
  <si>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</si>
  <si>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</si>
  <si>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</si>
  <si>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</si>
  <si>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</si>
  <si>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</si>
  <si>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</si>
  <si>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</si>
  <si>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</si>
  <si>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</si>
  <si>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</si>
  <si>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</si>
  <si>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</si>
  <si>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</si>
  <si>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</si>
  <si>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</si>
  <si>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</si>
  <si>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</si>
  <si>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</si>
  <si>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</si>
  <si>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</si>
  <si>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</si>
  <si>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</si>
  <si>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</si>
  <si>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</si>
  <si>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</si>
  <si>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</si>
  <si>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</si>
  <si>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</si>
  <si>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</si>
  <si>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</si>
  <si>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</si>
  <si>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</si>
  <si>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</si>
  <si>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</si>
  <si>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</si>
  <si>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</si>
  <si>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</si>
  <si>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</si>
  <si>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</si>
  <si>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</si>
  <si>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</si>
  <si>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</si>
  <si>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</si>
  <si>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</si>
  <si>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</si>
  <si>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</si>
  <si>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</si>
  <si>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</si>
  <si>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</si>
  <si>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</si>
  <si>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</si>
  <si>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</si>
  <si>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</si>
  <si>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</si>
  <si>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</si>
  <si>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</si>
  <si>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</si>
  <si>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</si>
  <si>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</si>
  <si>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</si>
  <si>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</si>
  <si>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</si>
  <si>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</si>
  <si>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</si>
  <si>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</si>
  <si>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</si>
  <si>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</si>
  <si>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</si>
  <si>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</si>
  <si>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</si>
  <si>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</si>
  <si>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</si>
  <si>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</si>
  <si>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</si>
  <si>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</si>
  <si>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</si>
  <si>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</si>
  <si>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</si>
  <si>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</si>
  <si>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</si>
  <si>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</si>
  <si>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</si>
  <si>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</si>
  <si>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</si>
  <si>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</si>
  <si>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</si>
  <si>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</si>
  <si>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</si>
  <si>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</si>
  <si>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</si>
  <si>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</si>
  <si>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</si>
  <si>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</si>
  <si>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</si>
  <si>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</si>
  <si>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</si>
  <si>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</si>
  <si>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</si>
  <si>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</si>
  <si>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</si>
  <si>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</si>
  <si>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</si>
  <si>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</si>
  <si>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</si>
  <si>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</si>
  <si>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</si>
  <si>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</si>
  <si>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</si>
  <si>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</si>
  <si>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</si>
  <si>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</si>
  <si>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</si>
  <si>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</si>
  <si>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</si>
  <si>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</si>
  <si>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</si>
  <si>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</si>
  <si>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</si>
  <si>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</si>
  <si>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</si>
  <si>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</si>
  <si>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</si>
  <si>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</si>
  <si>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</si>
  <si>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</si>
  <si>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</si>
  <si>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</si>
  <si>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</si>
  <si>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</si>
  <si>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</si>
  <si>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</si>
  <si>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</si>
  <si>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</si>
  <si>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</si>
  <si>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</si>
  <si>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</si>
  <si>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</si>
  <si>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</si>
  <si>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</si>
  <si>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</si>
  <si>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</si>
  <si>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</si>
  <si>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</si>
  <si>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</si>
  <si>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</si>
  <si>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</si>
  <si>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</si>
  <si>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</si>
  <si>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</si>
  <si>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</si>
  <si>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</si>
  <si>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</si>
  <si>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</si>
  <si>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</si>
  <si>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</si>
  <si>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</si>
  <si>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</si>
  <si>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</si>
  <si>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</si>
  <si>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</si>
  <si>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</si>
  <si>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</si>
  <si>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</si>
  <si>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</si>
  <si>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</si>
  <si>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</si>
  <si>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</si>
  <si>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</si>
  <si>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</si>
  <si>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</si>
  <si>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</si>
  <si>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</si>
  <si>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</si>
  <si>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</si>
  <si>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</si>
  <si>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</si>
  <si>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</si>
  <si>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</si>
  <si>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</si>
  <si>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</si>
  <si>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</si>
  <si>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</si>
  <si>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</si>
  <si>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</si>
  <si>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</si>
  <si>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</si>
  <si>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</si>
  <si>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</si>
  <si>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</si>
  <si>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</si>
  <si>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</si>
  <si>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</si>
  <si>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</si>
  <si>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</si>
  <si>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</si>
  <si>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</si>
  <si>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</si>
  <si>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</si>
  <si>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</si>
  <si>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</si>
  <si>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</si>
  <si>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</si>
  <si>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</si>
  <si>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</si>
  <si>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</si>
  <si>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</si>
  <si>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</si>
  <si>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</si>
  <si>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</si>
  <si>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</si>
  <si>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</si>
  <si>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</si>
  <si>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</si>
  <si>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</si>
  <si>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</si>
  <si>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</si>
  <si>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</si>
  <si>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</si>
  <si>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</si>
  <si>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</si>
  <si>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</si>
  <si>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</si>
  <si>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</si>
  <si>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</si>
  <si>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</si>
  <si>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</si>
  <si>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</si>
  <si>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</si>
  <si>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</si>
  <si>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</si>
  <si>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</si>
  <si>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</si>
  <si>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</si>
  <si>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</si>
  <si>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</si>
  <si>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</si>
  <si>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</si>
  <si>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</si>
  <si>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</si>
  <si>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</si>
  <si>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</si>
  <si>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</si>
  <si>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</si>
  <si>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</si>
  <si>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</si>
  <si>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</si>
  <si>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</si>
  <si>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</si>
  <si>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</si>
  <si>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</si>
  <si>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</si>
  <si>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</si>
  <si>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</si>
  <si>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</si>
  <si>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</si>
  <si>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</si>
  <si>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</si>
  <si>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</si>
  <si>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</si>
  <si>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</si>
  <si>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</si>
  <si>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</si>
  <si>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</si>
  <si>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</si>
  <si>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</si>
  <si>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</si>
  <si>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</si>
  <si>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</si>
  <si>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</si>
  <si>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</si>
  <si>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</si>
  <si>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</si>
  <si>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</si>
  <si>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</si>
  <si>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</si>
  <si>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</si>
  <si>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</si>
  <si>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</si>
  <si>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</si>
  <si>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</si>
  <si>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</si>
  <si>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</si>
  <si>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</si>
  <si>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</si>
  <si>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</si>
  <si>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</si>
  <si>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</si>
  <si>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</si>
  <si>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</si>
  <si>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</si>
  <si>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</si>
  <si>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</si>
  <si>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</si>
  <si>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</si>
  <si>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</si>
  <si>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</si>
  <si>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</si>
  <si>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</si>
  <si>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</si>
  <si>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</si>
  <si>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</si>
  <si>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</si>
  <si>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</si>
  <si>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</si>
  <si>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</si>
  <si>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</si>
  <si>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</si>
  <si>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</si>
  <si>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</si>
  <si>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</si>
  <si>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</si>
  <si>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</si>
  <si>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</si>
  <si>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</si>
  <si>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</si>
  <si>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</si>
  <si>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</si>
  <si>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</si>
  <si>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</si>
  <si>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</si>
  <si>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</si>
  <si>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</si>
  <si>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</si>
  <si>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</si>
  <si>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</si>
  <si>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</si>
  <si>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</si>
  <si>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</si>
  <si>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</si>
  <si>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</si>
  <si>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</si>
  <si>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</si>
  <si>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</si>
  <si>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</si>
  <si>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</si>
  <si>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</si>
  <si>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</si>
  <si>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</si>
  <si>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</si>
  <si>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</si>
  <si>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</si>
  <si>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</si>
  <si>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</si>
  <si>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</si>
  <si>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</si>
  <si>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</si>
  <si>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</si>
  <si>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</si>
  <si>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</si>
  <si>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</si>
  <si>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</si>
  <si>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</si>
  <si>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</si>
  <si>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</si>
  <si>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</si>
  <si>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</si>
  <si>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</si>
  <si>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</si>
  <si>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</si>
  <si>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</si>
  <si>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</si>
  <si>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</si>
  <si>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</si>
  <si>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</si>
  <si>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</si>
  <si>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</si>
  <si>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</si>
  <si>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</si>
  <si>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</si>
  <si>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</si>
  <si>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</si>
  <si>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</si>
  <si>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</si>
  <si>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</si>
  <si>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</si>
  <si>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</si>
  <si>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</si>
  <si>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</si>
  <si>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</si>
  <si>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</si>
  <si>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</si>
  <si>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</si>
  <si>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</si>
  <si>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</si>
  <si>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</si>
  <si>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</si>
  <si>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</si>
  <si>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</si>
  <si>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</si>
  <si>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</si>
  <si>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</si>
  <si>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</si>
  <si>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</si>
  <si>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</si>
  <si>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</si>
  <si>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</si>
  <si>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</si>
  <si>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</si>
  <si>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</si>
  <si>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</si>
  <si>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</si>
  <si>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</si>
  <si>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</si>
  <si>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</si>
  <si>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</si>
  <si>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</si>
  <si>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</si>
  <si>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</si>
  <si>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</si>
  <si>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</si>
  <si>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</si>
  <si>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</si>
  <si>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</si>
  <si>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</si>
  <si>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</si>
  <si>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</si>
  <si>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</si>
  <si>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</si>
  <si>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</si>
  <si>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</si>
  <si>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</si>
  <si>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</si>
  <si>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</si>
  <si>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</si>
  <si>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</si>
  <si>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</si>
  <si>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</si>
  <si>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</si>
  <si>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</si>
  <si>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</si>
  <si>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</si>
  <si>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</si>
  <si>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</si>
  <si>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</si>
  <si>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</si>
  <si>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</si>
  <si>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</si>
  <si>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</si>
  <si>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</si>
  <si>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</si>
  <si>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</si>
  <si>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</si>
  <si>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</si>
  <si>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</si>
  <si>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</si>
  <si>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</si>
  <si>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</si>
  <si>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</si>
  <si>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</si>
  <si>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</si>
  <si>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</si>
  <si>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</si>
  <si>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</si>
  <si>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</si>
  <si>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</si>
  <si>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</si>
  <si>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</si>
  <si>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</si>
  <si>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</si>
  <si>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</si>
  <si>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</si>
  <si>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</si>
  <si>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</si>
  <si>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</si>
  <si>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</si>
  <si>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</si>
  <si>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</si>
  <si>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</si>
  <si>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</si>
  <si>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</si>
  <si>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</si>
  <si>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</si>
  <si>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</si>
  <si>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</si>
  <si>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</si>
  <si>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</si>
  <si>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</si>
  <si>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</si>
  <si>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</si>
  <si>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</si>
  <si>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</si>
  <si>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</si>
  <si>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</si>
  <si>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</si>
  <si>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</si>
  <si>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</si>
  <si>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</si>
  <si>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</si>
  <si>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</si>
  <si>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</si>
  <si>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</si>
  <si>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</si>
  <si>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</si>
  <si>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</si>
  <si>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</si>
  <si>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</si>
  <si>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</si>
  <si>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</si>
  <si>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</si>
  <si>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</si>
  <si>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</si>
  <si>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</si>
  <si>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</si>
  <si>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</si>
  <si>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</si>
  <si>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</si>
  <si>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</si>
  <si>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</si>
  <si>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</si>
  <si>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</si>
  <si>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</si>
  <si>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</si>
  <si>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</si>
  <si>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</si>
  <si>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</si>
  <si>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</si>
  <si>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</si>
  <si>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</si>
  <si>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</si>
  <si>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</si>
  <si>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</si>
  <si>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</si>
  <si>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</si>
  <si>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</si>
  <si>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</si>
  <si>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</si>
  <si>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</si>
  <si>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</si>
  <si>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</si>
  <si>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</si>
  <si>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</si>
  <si>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</si>
  <si>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</si>
  <si>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</si>
  <si>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</si>
  <si>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</si>
  <si>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</si>
  <si>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</si>
  <si>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</si>
  <si>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</si>
  <si>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</si>
  <si>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</si>
  <si>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</si>
  <si>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</si>
  <si>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</si>
  <si>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</si>
  <si>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</si>
  <si>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</si>
  <si>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</si>
  <si>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</si>
  <si>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</si>
  <si>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</si>
  <si>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</si>
  <si>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</si>
  <si>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</si>
  <si>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</si>
  <si>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</si>
  <si>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</si>
  <si>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</si>
  <si>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</si>
  <si>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</si>
  <si>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</si>
  <si>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</si>
  <si>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</si>
  <si>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</si>
  <si>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</si>
  <si>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</si>
  <si>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</si>
  <si>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</si>
  <si>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</si>
  <si>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</si>
  <si>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</si>
  <si>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</si>
  <si>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</si>
  <si>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</si>
  <si>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</si>
  <si>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</si>
  <si>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</si>
  <si>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</si>
  <si>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</si>
  <si>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</si>
  <si>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</si>
  <si>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</si>
  <si>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</si>
  <si>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</si>
  <si>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</si>
  <si>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</si>
  <si>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</si>
  <si>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</si>
  <si>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</si>
  <si>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</si>
  <si>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</si>
  <si>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</si>
  <si>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</si>
  <si>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</si>
  <si>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</si>
  <si>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</si>
  <si>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</si>
  <si>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</si>
  <si>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</si>
  <si>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</si>
  <si>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</si>
  <si>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</si>
  <si>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</si>
  <si>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</si>
  <si>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</si>
  <si>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</si>
  <si>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</si>
  <si>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</si>
  <si>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</si>
  <si>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</si>
  <si>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</si>
  <si>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</si>
  <si>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</si>
  <si>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</si>
  <si>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</si>
  <si>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</si>
  <si>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</si>
  <si>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</si>
  <si>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</si>
  <si>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</si>
  <si>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</si>
  <si>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</si>
  <si>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</si>
  <si>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</si>
  <si>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</si>
  <si>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</si>
  <si>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</si>
  <si>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</si>
  <si>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</si>
  <si>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</si>
  <si>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</si>
  <si>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</si>
  <si>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</si>
  <si>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</si>
  <si>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</si>
  <si>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</si>
  <si>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</si>
  <si>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</si>
  <si>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</si>
  <si>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</si>
  <si>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</si>
  <si>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</si>
  <si>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</si>
  <si>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</si>
  <si>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</si>
  <si>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</si>
  <si>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</si>
  <si>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</si>
  <si>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</si>
  <si>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</si>
  <si>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</si>
  <si>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</si>
  <si>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</si>
  <si>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</si>
  <si>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</si>
  <si>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</si>
  <si>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</si>
  <si>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</si>
  <si>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</si>
  <si>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</si>
  <si>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</si>
  <si>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</si>
  <si>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</si>
  <si>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</si>
  <si>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</si>
  <si>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</si>
  <si>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</si>
  <si>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</si>
  <si>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</si>
  <si>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</si>
  <si>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</si>
  <si>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</si>
  <si>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</si>
  <si>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</si>
  <si>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</si>
  <si>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</si>
  <si>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</si>
  <si>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</si>
  <si>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</si>
  <si>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</si>
  <si>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</si>
  <si>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</si>
  <si>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</si>
  <si>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</si>
  <si>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</si>
  <si>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</si>
  <si>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</si>
  <si>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</si>
  <si>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</si>
  <si>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</si>
  <si>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</si>
  <si>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</si>
  <si>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</si>
  <si>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</si>
  <si>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</si>
  <si>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</si>
  <si>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</si>
  <si>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</si>
  <si>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</si>
  <si>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</si>
  <si>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</si>
  <si>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</si>
  <si>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 e 21/08/2026</t>
  </si>
  <si>
    <t>Cinthia Thais de Carvalho Luz Thomazi; Adriana Cuoco Portugal; Fernanda Viana de Souza; Denise Duarte Guirra Kuhlmann;  Priscila Nolasco; Luiz Felipe Tenório de Lima Gondim</t>
  </si>
  <si>
    <t>17/09/2026 e 18/09/2026</t>
  </si>
  <si>
    <t>24/09/2026 e 25/09/2026</t>
  </si>
  <si>
    <t>08/10/2026 e 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</si>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</sst>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#,##0.0"/>
    <numFmt numFmtId="166" formatCode="_-[$R$-416]\ * #,##0.00_-;\-[$R$-416]\ * #,##0.00_-;_-[$R$-416]\ * &quot;-&quot;??_-;_-@_-"/>
    <numFmt numFmtId="167" formatCode="dd\/mm\/yyyy"/>
    <numFmt numFmtId="168" formatCode="0.0"/>
    <numFmt numFmtId="169" formatCode="0.0%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164" fontId="7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4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6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6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7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7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6" fontId="9" fillId="4" borderId="1" xfId="2" applyNumberFormat="1" applyFont="1" applyFill="1" applyBorder="1" applyAlignment="1">
      <alignment horizontal="right" vertical="center"/>
    </xf>
    <xf numFmtId="166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7" fontId="9" fillId="4" borderId="2" xfId="0" applyNumberFormat="1" applyFont="1" applyFill="1" applyBorder="1" applyAlignment="1">
      <alignment horizontal="center" vertical="center"/>
    </xf>
    <xf numFmtId="166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7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6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165" fontId="9" fillId="4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6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8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9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9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9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9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9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9" fontId="19" fillId="9" borderId="20" xfId="0" applyNumberFormat="1" applyFont="1" applyFill="1" applyBorder="1" applyAlignment="1">
      <alignment horizontal="center"/>
    </xf>
    <xf numFmtId="169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7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7" fontId="33" fillId="3" borderId="1" xfId="0" applyNumberFormat="1" applyFont="1" applyFill="1" applyBorder="1" applyAlignment="1">
      <alignment horizontal="center" vertical="center"/>
    </xf>
    <xf numFmtId="166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7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7" fontId="33" fillId="4" borderId="2" xfId="0" applyNumberFormat="1" applyFont="1" applyFill="1" applyBorder="1" applyAlignment="1">
      <alignment horizontal="center" vertical="center"/>
    </xf>
    <xf numFmtId="166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horizontal="center" vertical="center"/>
    </xf>
    <xf numFmtId="165" fontId="33" fillId="18" borderId="1" xfId="0" applyNumberFormat="1" applyFont="1" applyFill="1" applyBorder="1" applyAlignment="1">
      <alignment horizontal="center" vertical="center"/>
    </xf>
    <xf numFmtId="165" fontId="33" fillId="18" borderId="2" xfId="0" applyNumberFormat="1" applyFont="1" applyFill="1" applyBorder="1" applyAlignment="1">
      <alignment horizontal="center" vertical="center"/>
    </xf>
    <xf numFmtId="165" fontId="9" fillId="18" borderId="2" xfId="0" applyNumberFormat="1" applyFont="1" applyFill="1" applyBorder="1" applyAlignment="1">
      <alignment horizontal="center" vertical="center"/>
    </xf>
    <xf numFmtId="166" fontId="9" fillId="18" borderId="1" xfId="2" applyNumberFormat="1" applyFont="1" applyFill="1" applyBorder="1" applyAlignment="1">
      <alignment vertical="center"/>
    </xf>
    <xf numFmtId="166" fontId="33" fillId="18" borderId="1" xfId="2" applyNumberFormat="1" applyFont="1" applyFill="1" applyBorder="1" applyAlignment="1">
      <alignment vertical="center"/>
    </xf>
    <xf numFmtId="166" fontId="9" fillId="18" borderId="1" xfId="0" applyNumberFormat="1" applyFont="1" applyFill="1" applyBorder="1" applyAlignment="1">
      <alignment vertical="center"/>
    </xf>
    <xf numFmtId="166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6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7" fontId="33" fillId="4" borderId="22" xfId="0" applyNumberFormat="1" applyFont="1" applyFill="1" applyBorder="1" applyAlignment="1">
      <alignment horizontal="center" vertical="center"/>
    </xf>
    <xf numFmtId="165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7" fontId="33" fillId="3" borderId="22" xfId="0" applyNumberFormat="1" applyFont="1" applyFill="1" applyBorder="1" applyAlignment="1">
      <alignment horizontal="center" vertical="center"/>
    </xf>
    <xf numFmtId="166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7" fontId="40" fillId="15" borderId="11" xfId="0" applyNumberFormat="1" applyFont="1" applyFill="1" applyBorder="1" applyAlignment="1">
      <alignment horizontal="center" vertical="center"/>
    </xf>
    <xf numFmtId="167" fontId="40" fillId="3" borderId="13" xfId="0" applyNumberFormat="1" applyFont="1" applyFill="1" applyBorder="1" applyAlignment="1">
      <alignment horizontal="center" vertical="center"/>
    </xf>
    <xf numFmtId="167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7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7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8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8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7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7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0" fillId="0" borderId="0" xfId="0" applyAlignment="1"/>
    <xf numFmtId="0" fontId="14" fillId="0" borderId="0" xfId="0" applyFont="1" applyAlignment="1"/>
    <xf numFmtId="0" fontId="15" fillId="0" borderId="0" xfId="0" applyFont="1" applyAlignme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6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0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7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71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461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42" dataDxfId="41" totalsRowDxfId="40" totalsRowBorderDxfId="39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37" totalsRowDxfId="38"/>
    <tableColumn id="3" xr3:uid="{8DE0B36A-F0DC-47A1-A74E-F4BE63A4FB1D}" name="Status Evento" dataDxfId="35" totalsRowDxfId="36"/>
    <tableColumn id="4" xr3:uid="{C1159FBD-CCD0-4CA2-BB8C-598E3AB5DDD8}" name="Processo" dataDxfId="33" totalsRowDxfId="34"/>
    <tableColumn id="5" xr3:uid="{A32670A4-BE4F-480D-8DE9-8FF18024C829}" name="Curso" dataDxfId="31" totalsRowDxfId="32"/>
    <tableColumn id="8" xr3:uid="{905DEA0A-D099-47EA-972D-1012D71C7792}" name="Público-Alvo" dataDxfId="29" totalsRowDxfId="30"/>
    <tableColumn id="9" xr3:uid="{7DC0A0BE-8030-47CA-AF56-2C13C9FF7AE5}" name="Programa" dataDxfId="27" totalsRowDxfId="28"/>
    <tableColumn id="11" xr3:uid="{2B799ACD-69E4-46A5-9A4F-F7E3D7A47CE9}" name="Data TXT" dataDxfId="25" totalsRowDxfId="26"/>
    <tableColumn id="12" xr3:uid="{62016C67-3729-4C41-B72D-09D6616B7474}" name="Início" dataDxfId="23" totalsRowDxfId="24"/>
    <tableColumn id="13" xr3:uid="{E4F20518-0042-40C0-B590-B7616F2843A5}" name="Término" dataDxfId="21" totalsRowDxfId="22"/>
    <tableColumn id="14" xr3:uid="{4D6C4412-CFEE-4506-830E-F79FD008371B}" name="Modalidade" dataDxfId="19" totalsRowDxfId="20"/>
    <tableColumn id="15" xr3:uid="{12EC931A-E71B-4AEB-B20B-0F9EA63D0C71}" name="Valor instrutoria" dataDxfId="17" totalsRowDxfId="18" dataCellStyle="Moeda"/>
    <tableColumn id="17" xr3:uid="{8FCDFADA-4FA3-41E0-86FF-E623116BAFEB}" name="Nota Av. Reação" dataDxfId="15" totalsRowDxfId="16"/>
    <tableColumn id="19" xr3:uid="{316EB379-BB97-4F60-9566-576B25A26B0E}" name="Qtd Vagas" dataDxfId="13" totalsRowDxfId="14"/>
    <tableColumn id="20" xr3:uid="{59A9FB16-6726-411C-88B5-8165DD520DA3}" name="P. Servidores" dataDxfId="11" totalsRowDxfId="12"/>
    <tableColumn id="21" xr3:uid="{0246E091-ADCD-4F62-8F95-84B21E8A7BE1}" name="P. Jurisdicionados" dataDxfId="9" totalsRowDxfId="10"/>
    <tableColumn id="22" xr3:uid="{1B6DBD6D-C072-4600-81C1-69D6F4422D7D}" name="P. Sociedade" dataDxfId="7" totalsRowDxfId="8"/>
    <tableColumn id="23" xr3:uid="{109F7E4E-776C-4249-88BE-FEC3A375D7D9}" name="Total Part." dataDxfId="5" totalsRowDxfId="6"/>
    <tableColumn id="24" xr3:uid="{C67AA4C6-834C-4EBB-839B-EF0CDD50F649}" name="C.H." dataDxfId="3" totalsRowDxfId="4"/>
    <tableColumn id="26" xr3:uid="{973608F6-3E97-493C-AC61-980F73C13CD6}" name="Instrutor" dataDxfId="1" totalsRowDxfId="2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zoomScaleNormal="100" workbookViewId="0">
      <pane ySplit="1" topLeftCell="A697" activePane="bottomLeft" state="frozen"/>
      <selection pane="bottomLeft" activeCell="D707" sqref="D707"/>
    </sheetView>
  </sheetViews>
  <sheetFormatPr defaultColWidth="9.140625" defaultRowHeight="23.25" customHeight="1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2630</v>
      </c>
    </row>
    <row r="659" spans="1:20" ht="23.25" customHeight="1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2741</v>
      </c>
    </row>
    <row r="675" spans="1:20" ht="23.25" customHeight="1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2742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2741</v>
      </c>
    </row>
    <row r="676" spans="1:20" ht="23.25" customHeight="1">
      <c r="A676" s="20" t="str">
        <f>IF(B676="","",B676&amp;"-"&amp;TEXT(COUNTIF(B$2:B676,B676),"000"))</f>
        <v>2026-020</v>
      </c>
      <c r="B676" s="24">
        <v>2026</v>
      </c>
      <c r="C676" s="48" t="s">
        <v>2743</v>
      </c>
      <c r="D676" s="24" t="s">
        <v>2744</v>
      </c>
      <c r="E676" s="30" t="s">
        <v>2745</v>
      </c>
      <c r="F676" s="31" t="s">
        <v>23</v>
      </c>
      <c r="G676" s="21" t="s">
        <v>2695</v>
      </c>
      <c r="H676" s="38" t="s">
        <v>2746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2747</v>
      </c>
      <c r="E677" s="274" t="s">
        <v>2748</v>
      </c>
      <c r="F677" s="188" t="s">
        <v>23</v>
      </c>
      <c r="G677" s="194" t="s">
        <v>38</v>
      </c>
      <c r="H677" s="189" t="s">
        <v>2749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2750</v>
      </c>
      <c r="E678" s="30" t="s">
        <v>2751</v>
      </c>
      <c r="F678" s="31" t="s">
        <v>23</v>
      </c>
      <c r="G678" s="45" t="s">
        <v>24</v>
      </c>
      <c r="H678" s="189" t="s">
        <v>2752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2753</v>
      </c>
    </row>
    <row r="679" spans="1:20" ht="23.25" customHeight="1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2754</v>
      </c>
      <c r="E679" s="275" t="s">
        <v>2755</v>
      </c>
      <c r="F679" s="29" t="s">
        <v>62</v>
      </c>
      <c r="G679" s="179" t="s">
        <v>2690</v>
      </c>
      <c r="H679" s="182" t="s">
        <v>2756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>
      <c r="A680" s="20" t="str">
        <f>IF(B680="","",B680&amp;"-"&amp;TEXT(COUNTIF(B$2:B680,B680),"000"))</f>
        <v>2026-024</v>
      </c>
      <c r="B680" s="22">
        <v>2026</v>
      </c>
      <c r="C680" s="227" t="s">
        <v>2757</v>
      </c>
      <c r="D680" s="70" t="s">
        <v>2744</v>
      </c>
      <c r="E680" s="65" t="s">
        <v>2758</v>
      </c>
      <c r="F680" s="29" t="s">
        <v>23</v>
      </c>
      <c r="G680" s="20" t="s">
        <v>2695</v>
      </c>
      <c r="H680" s="68" t="s">
        <v>2759</v>
      </c>
      <c r="I680" s="69">
        <v>46189</v>
      </c>
      <c r="J680" s="69">
        <v>46191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2697</v>
      </c>
    </row>
    <row r="681" spans="1:20" ht="23.25" customHeight="1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2754</v>
      </c>
      <c r="E681" s="272" t="s">
        <v>2760</v>
      </c>
      <c r="F681" s="31" t="s">
        <v>62</v>
      </c>
      <c r="G681" s="194" t="s">
        <v>2690</v>
      </c>
      <c r="H681" s="189" t="s">
        <v>2761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2762</v>
      </c>
      <c r="E682" s="164" t="s">
        <v>2763</v>
      </c>
      <c r="F682" s="29" t="s">
        <v>62</v>
      </c>
      <c r="G682" s="181" t="s">
        <v>2690</v>
      </c>
      <c r="H682" s="182" t="s">
        <v>2764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472</v>
      </c>
    </row>
    <row r="683" spans="1:20" ht="23.25" customHeight="1">
      <c r="A683" s="21" t="str">
        <f>IF(B683="","",B683&amp;"-"&amp;TEXT(COUNTIF(B$2:B683,B683),"000"))</f>
        <v>2026-027</v>
      </c>
      <c r="B683" s="24">
        <v>2026</v>
      </c>
      <c r="C683" s="70" t="s">
        <v>2765</v>
      </c>
      <c r="D683" s="186" t="s">
        <v>2766</v>
      </c>
      <c r="E683" s="187" t="s">
        <v>2767</v>
      </c>
      <c r="F683" s="31" t="s">
        <v>62</v>
      </c>
      <c r="G683" s="21" t="s">
        <v>72</v>
      </c>
      <c r="H683" s="189" t="s">
        <v>2768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>
      <c r="A684" s="268" t="str">
        <f>IF(B684="","",B684&amp;"-"&amp;TEXT(COUNTIF(B$2:B684,B684),"000"))</f>
        <v>2026-028</v>
      </c>
      <c r="B684" s="70">
        <v>2026</v>
      </c>
      <c r="C684" s="227" t="s">
        <v>2757</v>
      </c>
      <c r="D684" s="70" t="s">
        <v>2769</v>
      </c>
      <c r="E684" s="164" t="s">
        <v>2770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2771</v>
      </c>
    </row>
    <row r="685" spans="1:20" ht="23.25" customHeight="1">
      <c r="A685" s="208" t="str">
        <f>IF(B685="","",B685&amp;"-"&amp;TEXT(COUNTIF(B$2:B685,B685),"000"))</f>
        <v>2026-029</v>
      </c>
      <c r="B685" s="209">
        <v>2026</v>
      </c>
      <c r="C685" s="218" t="s">
        <v>2765</v>
      </c>
      <c r="D685" s="209" t="s">
        <v>2772</v>
      </c>
      <c r="E685" s="210" t="s">
        <v>2773</v>
      </c>
      <c r="F685" s="211" t="s">
        <v>62</v>
      </c>
      <c r="G685" s="208" t="s">
        <v>72</v>
      </c>
      <c r="H685" s="212" t="s">
        <v>2774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>
      <c r="A686" s="217" t="str">
        <f>IF(B686="","",B686&amp;"-"&amp;TEXT(COUNTIF(B$2:B686,B686),"000"))</f>
        <v>2026-030</v>
      </c>
      <c r="B686" s="218">
        <v>2026</v>
      </c>
      <c r="C686" s="218" t="s">
        <v>2765</v>
      </c>
      <c r="D686" s="218" t="s">
        <v>2775</v>
      </c>
      <c r="E686" s="239" t="s">
        <v>2776</v>
      </c>
      <c r="F686" s="220" t="s">
        <v>23</v>
      </c>
      <c r="G686" s="217" t="s">
        <v>68</v>
      </c>
      <c r="H686" s="221" t="s">
        <v>2777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2753</v>
      </c>
    </row>
    <row r="687" spans="1:20" ht="23.25" customHeight="1">
      <c r="A687" s="208" t="str">
        <f>IF(B687="","",B687&amp;"-"&amp;TEXT(COUNTIF(B$2:B687,B687),"000"))</f>
        <v>2026-031</v>
      </c>
      <c r="B687" s="209">
        <v>2026</v>
      </c>
      <c r="C687" s="218" t="s">
        <v>2743</v>
      </c>
      <c r="D687" s="209" t="s">
        <v>2778</v>
      </c>
      <c r="E687" s="210" t="s">
        <v>2779</v>
      </c>
      <c r="F687" s="211" t="s">
        <v>23</v>
      </c>
      <c r="G687" s="208" t="s">
        <v>68</v>
      </c>
      <c r="H687" s="212" t="s">
        <v>2780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2781</v>
      </c>
    </row>
    <row r="688" spans="1:20" ht="23.25" customHeight="1">
      <c r="A688" s="217" t="str">
        <f>IF(B688="","",B688&amp;"-"&amp;TEXT(COUNTIF(B$2:B688,B688),"000"))</f>
        <v>2026-032</v>
      </c>
      <c r="B688" s="218">
        <v>2026</v>
      </c>
      <c r="C688" s="218" t="s">
        <v>2765</v>
      </c>
      <c r="D688" s="218" t="s">
        <v>2782</v>
      </c>
      <c r="E688" s="239" t="s">
        <v>2783</v>
      </c>
      <c r="F688" s="220" t="s">
        <v>81</v>
      </c>
      <c r="G688" s="217" t="s">
        <v>2727</v>
      </c>
      <c r="H688" s="221" t="s">
        <v>2784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2785</v>
      </c>
      <c r="E689" s="244" t="s">
        <v>2786</v>
      </c>
      <c r="F689" s="211" t="s">
        <v>23</v>
      </c>
      <c r="G689" s="208" t="s">
        <v>2711</v>
      </c>
      <c r="H689" s="246" t="s">
        <v>2787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2785</v>
      </c>
      <c r="E690" s="245" t="s">
        <v>2788</v>
      </c>
      <c r="F690" s="220" t="s">
        <v>23</v>
      </c>
      <c r="G690" s="217" t="s">
        <v>2711</v>
      </c>
      <c r="H690" s="247" t="s">
        <v>2789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2790</v>
      </c>
      <c r="E691" s="244" t="s">
        <v>2669</v>
      </c>
      <c r="F691" s="211" t="s">
        <v>23</v>
      </c>
      <c r="G691" s="208" t="s">
        <v>38</v>
      </c>
      <c r="H691" s="212" t="s">
        <v>2791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2792</v>
      </c>
      <c r="E692" s="245" t="s">
        <v>2793</v>
      </c>
      <c r="F692" s="220" t="s">
        <v>23</v>
      </c>
      <c r="G692" s="217" t="s">
        <v>364</v>
      </c>
      <c r="H692" s="221" t="s">
        <v>2794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2795</v>
      </c>
      <c r="E693" s="244" t="s">
        <v>2796</v>
      </c>
      <c r="F693" s="211" t="s">
        <v>23</v>
      </c>
      <c r="G693" s="208" t="s">
        <v>24</v>
      </c>
      <c r="H693" s="212" t="s">
        <v>2797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2798</v>
      </c>
    </row>
    <row r="694" spans="1:20" ht="23.25" customHeight="1">
      <c r="A694" s="217" t="str">
        <f>IF(B694="","",B694&amp;"-"&amp;TEXT(COUNTIF(B$2:B694,B694),"000"))</f>
        <v>2026-038</v>
      </c>
      <c r="B694" s="218">
        <v>2026</v>
      </c>
      <c r="C694" s="218" t="s">
        <v>2765</v>
      </c>
      <c r="D694" s="218" t="s">
        <v>2799</v>
      </c>
      <c r="E694" s="219" t="s">
        <v>2800</v>
      </c>
      <c r="F694" s="220" t="s">
        <v>62</v>
      </c>
      <c r="G694" s="217" t="s">
        <v>2690</v>
      </c>
      <c r="H694" s="221" t="s">
        <v>2801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>
      <c r="A695" s="208" t="str">
        <f>IF(B695="","",B695&amp;"-"&amp;TEXT(COUNTIF(B$2:B695,B695),"000"))</f>
        <v>2026-039</v>
      </c>
      <c r="B695" s="209">
        <v>2026</v>
      </c>
      <c r="C695" s="218" t="s">
        <v>2765</v>
      </c>
      <c r="D695" s="209" t="s">
        <v>2802</v>
      </c>
      <c r="E695" s="210" t="s">
        <v>2803</v>
      </c>
      <c r="F695" s="211" t="s">
        <v>81</v>
      </c>
      <c r="G695" s="260" t="s">
        <v>2727</v>
      </c>
      <c r="H695" s="212" t="s">
        <v>2804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2805</v>
      </c>
      <c r="E696" s="219" t="s">
        <v>2806</v>
      </c>
      <c r="F696" s="220" t="s">
        <v>81</v>
      </c>
      <c r="G696" s="269" t="s">
        <v>2727</v>
      </c>
      <c r="H696" s="221" t="s">
        <v>2807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2808</v>
      </c>
      <c r="E697" s="210" t="s">
        <v>2809</v>
      </c>
      <c r="F697" s="211" t="s">
        <v>81</v>
      </c>
      <c r="G697" s="260" t="s">
        <v>2727</v>
      </c>
      <c r="H697" s="212" t="s">
        <v>2810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2811</v>
      </c>
    </row>
    <row r="698" spans="1:20" ht="23.25" customHeight="1">
      <c r="A698" s="217" t="str">
        <f>IF(B698="","",B698&amp;"-"&amp;TEXT(COUNTIF(B$2:B698,B698),"000"))</f>
        <v>2026-042</v>
      </c>
      <c r="B698" s="218">
        <v>2026</v>
      </c>
      <c r="C698" s="218" t="s">
        <v>2765</v>
      </c>
      <c r="D698" s="218" t="s">
        <v>2812</v>
      </c>
      <c r="E698" s="219" t="s">
        <v>2813</v>
      </c>
      <c r="F698" s="220" t="s">
        <v>23</v>
      </c>
      <c r="G698" s="217" t="s">
        <v>24</v>
      </c>
      <c r="H698" s="221" t="s">
        <v>2801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>
      <c r="A699" s="208" t="str">
        <f>IF(B699="","",B699&amp;"-"&amp;TEXT(COUNTIF(B$2:B699,B699),"000"))</f>
        <v>2026-043</v>
      </c>
      <c r="B699" s="209">
        <v>2026</v>
      </c>
      <c r="C699" s="218" t="s">
        <v>2765</v>
      </c>
      <c r="D699" s="209" t="s">
        <v>2814</v>
      </c>
      <c r="E699" s="210" t="s">
        <v>2815</v>
      </c>
      <c r="F699" s="211" t="s">
        <v>23</v>
      </c>
      <c r="G699" s="208" t="s">
        <v>68</v>
      </c>
      <c r="H699" s="212" t="s">
        <v>2816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2817</v>
      </c>
    </row>
    <row r="700" spans="1:20" ht="23.25" customHeight="1">
      <c r="A700" s="217" t="str">
        <f>IF(B700="","",B700&amp;"-"&amp;TEXT(COUNTIF(B$2:B700,B700),"000"))</f>
        <v>2026-044</v>
      </c>
      <c r="B700" s="218">
        <v>2026</v>
      </c>
      <c r="C700" s="218" t="s">
        <v>2765</v>
      </c>
      <c r="D700" s="218" t="s">
        <v>2818</v>
      </c>
      <c r="E700" s="219" t="s">
        <v>2819</v>
      </c>
      <c r="F700" s="220" t="s">
        <v>62</v>
      </c>
      <c r="G700" s="217" t="s">
        <v>72</v>
      </c>
      <c r="H700" s="221" t="s">
        <v>2820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>
      <c r="A701" s="208" t="str">
        <f>IF(B701="","",B701&amp;"-"&amp;TEXT(COUNTIF(B$2:B701,B701),"000"))</f>
        <v>2026-045</v>
      </c>
      <c r="B701" s="209">
        <v>2026</v>
      </c>
      <c r="C701" s="218" t="s">
        <v>2765</v>
      </c>
      <c r="D701" s="209" t="s">
        <v>2821</v>
      </c>
      <c r="E701" s="210" t="s">
        <v>2822</v>
      </c>
      <c r="F701" s="211" t="s">
        <v>62</v>
      </c>
      <c r="G701" s="208" t="s">
        <v>72</v>
      </c>
      <c r="H701" s="212" t="s">
        <v>2823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2824</v>
      </c>
    </row>
    <row r="702" spans="1:20" ht="23.25" customHeight="1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2825</v>
      </c>
      <c r="E702" s="219" t="s">
        <v>2826</v>
      </c>
      <c r="F702" s="220" t="s">
        <v>23</v>
      </c>
      <c r="G702" s="217" t="s">
        <v>24</v>
      </c>
      <c r="H702" s="221" t="s">
        <v>2759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2827</v>
      </c>
    </row>
    <row r="703" spans="1:20" ht="23.25" customHeight="1">
      <c r="A703" s="208" t="str">
        <f>IF(B703="","",B703&amp;"-"&amp;TEXT(COUNTIF(B$2:B703,B703),"000"))</f>
        <v>2026-047</v>
      </c>
      <c r="B703" s="209">
        <v>2026</v>
      </c>
      <c r="C703" s="218" t="s">
        <v>2765</v>
      </c>
      <c r="D703" s="209" t="s">
        <v>2828</v>
      </c>
      <c r="E703" s="210" t="s">
        <v>2829</v>
      </c>
      <c r="F703" s="211" t="s">
        <v>62</v>
      </c>
      <c r="G703" s="208" t="s">
        <v>72</v>
      </c>
      <c r="H703" s="212" t="s">
        <v>2801</v>
      </c>
      <c r="I703" s="212" t="s">
        <v>2830</v>
      </c>
      <c r="J703" s="212" t="s">
        <v>2831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2832</v>
      </c>
    </row>
    <row r="704" spans="1:20" ht="23.25" customHeight="1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2833</v>
      </c>
      <c r="E704" s="219" t="s">
        <v>2834</v>
      </c>
      <c r="F704" s="220" t="s">
        <v>62</v>
      </c>
      <c r="G704" s="217" t="s">
        <v>72</v>
      </c>
      <c r="H704" s="221" t="s">
        <v>2835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>
      <c r="A705" s="208" t="str">
        <f>IF(B705="","",B705&amp;"-"&amp;TEXT(COUNTIF(B$2:B705,B705),"000"))</f>
        <v>2026-049</v>
      </c>
      <c r="B705" s="209">
        <v>2026</v>
      </c>
      <c r="C705" s="218" t="s">
        <v>2765</v>
      </c>
      <c r="D705" s="209" t="s">
        <v>2739</v>
      </c>
      <c r="E705" s="210" t="s">
        <v>2836</v>
      </c>
      <c r="F705" s="211" t="s">
        <v>81</v>
      </c>
      <c r="G705" s="260" t="s">
        <v>2727</v>
      </c>
      <c r="H705" s="289" t="s">
        <v>2837</v>
      </c>
      <c r="I705" s="213">
        <v>46254</v>
      </c>
      <c r="J705" s="213">
        <v>46255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/>
      <c r="T705" s="43" t="s">
        <v>2838</v>
      </c>
    </row>
    <row r="706" spans="1:20" ht="23.25" customHeight="1">
      <c r="A706" s="217" t="str">
        <f>IF(B706="","",B706&amp;"-"&amp;TEXT(COUNTIF(B$2:B706,B706),"000"))</f>
        <v>2026-050</v>
      </c>
      <c r="B706" s="218">
        <v>2026</v>
      </c>
      <c r="C706" s="218" t="s">
        <v>2765</v>
      </c>
      <c r="D706" s="218"/>
      <c r="E706" s="210" t="s">
        <v>2836</v>
      </c>
      <c r="F706" s="220" t="s">
        <v>81</v>
      </c>
      <c r="G706" s="269" t="s">
        <v>2727</v>
      </c>
      <c r="H706" s="290" t="s">
        <v>2839</v>
      </c>
      <c r="I706" s="222">
        <v>46282</v>
      </c>
      <c r="J706" s="222">
        <v>46283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/>
      <c r="T706" s="43" t="s">
        <v>2838</v>
      </c>
    </row>
    <row r="707" spans="1:20" ht="23.25" customHeight="1">
      <c r="A707" s="208" t="str">
        <f>IF(B707="","",B707&amp;"-"&amp;TEXT(COUNTIF(B$2:B707,B707),"000"))</f>
        <v>2026-051</v>
      </c>
      <c r="B707" s="209">
        <v>2026</v>
      </c>
      <c r="C707" s="218" t="s">
        <v>2765</v>
      </c>
      <c r="D707" s="209"/>
      <c r="E707" s="210" t="s">
        <v>2836</v>
      </c>
      <c r="F707" s="211" t="s">
        <v>81</v>
      </c>
      <c r="G707" s="260" t="s">
        <v>2727</v>
      </c>
      <c r="H707" s="289" t="s">
        <v>2840</v>
      </c>
      <c r="I707" s="213">
        <v>46289</v>
      </c>
      <c r="J707" s="213">
        <v>46290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/>
      <c r="T707" s="43" t="s">
        <v>2838</v>
      </c>
    </row>
    <row r="708" spans="1:20" ht="23.25" customHeight="1">
      <c r="A708" s="217" t="str">
        <f>IF(B708="","",B708&amp;"-"&amp;TEXT(COUNTIF(B$2:B708,B708),"000"))</f>
        <v>2026-052</v>
      </c>
      <c r="B708" s="218">
        <v>2026</v>
      </c>
      <c r="C708" s="218" t="s">
        <v>2765</v>
      </c>
      <c r="D708" s="218"/>
      <c r="E708" s="210" t="s">
        <v>2836</v>
      </c>
      <c r="F708" s="220" t="s">
        <v>81</v>
      </c>
      <c r="G708" s="269" t="s">
        <v>2727</v>
      </c>
      <c r="H708" s="290" t="s">
        <v>2841</v>
      </c>
      <c r="I708" s="222">
        <v>46303</v>
      </c>
      <c r="J708" s="222">
        <v>46304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/>
      <c r="T708" s="43" t="s">
        <v>2838</v>
      </c>
    </row>
    <row r="709" spans="1:20" ht="23.25" customHeight="1">
      <c r="A709" s="208" t="str">
        <f>IF(B709="","",B709&amp;"-"&amp;TEXT(COUNTIF(B$2:B709,B709),"000"))</f>
        <v/>
      </c>
      <c r="B709" s="209"/>
      <c r="C709" s="218"/>
      <c r="D709" s="209"/>
      <c r="E709" s="210"/>
      <c r="F709" s="211"/>
      <c r="G709" s="208"/>
      <c r="H709" s="212"/>
      <c r="I709" s="213"/>
      <c r="J709" s="213"/>
      <c r="K709" s="209"/>
      <c r="L709" s="223"/>
      <c r="M709" s="214"/>
      <c r="N709" s="215"/>
      <c r="O709" s="216"/>
      <c r="P709" s="216"/>
      <c r="Q709" s="216"/>
      <c r="R709" s="216" t="str">
        <f t="shared" si="14"/>
        <v/>
      </c>
      <c r="S709" s="209"/>
      <c r="T709" s="208"/>
    </row>
    <row r="710" spans="1:20" ht="23.25" customHeight="1">
      <c r="A710" s="217" t="str">
        <f>IF(B710="","",B710&amp;"-"&amp;TEXT(COUNTIF(B$2:B710,B710),"000"))</f>
        <v/>
      </c>
      <c r="B710" s="218"/>
      <c r="C710" s="218"/>
      <c r="D710" s="218"/>
      <c r="E710" s="219"/>
      <c r="F710" s="220"/>
      <c r="G710" s="217"/>
      <c r="H710" s="221"/>
      <c r="I710" s="222"/>
      <c r="J710" s="222"/>
      <c r="K710" s="218"/>
      <c r="L710" s="223"/>
      <c r="M710" s="214"/>
      <c r="N710" s="225"/>
      <c r="O710" s="224"/>
      <c r="P710" s="224"/>
      <c r="Q710" s="224"/>
      <c r="R710" s="224" t="str">
        <f t="shared" si="14"/>
        <v/>
      </c>
      <c r="S710" s="218"/>
      <c r="T710" s="217"/>
    </row>
    <row r="711" spans="1:20" ht="23.25" customHeight="1">
      <c r="A711" s="208" t="str">
        <f>IF(B711="","",B711&amp;"-"&amp;TEXT(COUNTIF(B$2:B711,B711),"000"))</f>
        <v/>
      </c>
      <c r="B711" s="209"/>
      <c r="C711" s="218"/>
      <c r="D711" s="209"/>
      <c r="E711" s="210"/>
      <c r="F711" s="211"/>
      <c r="G711" s="208"/>
      <c r="H711" s="212"/>
      <c r="I711" s="213"/>
      <c r="J711" s="213"/>
      <c r="K711" s="209"/>
      <c r="L711" s="223"/>
      <c r="M711" s="214"/>
      <c r="N711" s="215"/>
      <c r="O711" s="216"/>
      <c r="P711" s="216"/>
      <c r="Q711" s="216"/>
      <c r="R711" s="216" t="str">
        <f t="shared" si="14"/>
        <v/>
      </c>
      <c r="S711" s="209"/>
      <c r="T711" s="208"/>
    </row>
    <row r="712" spans="1:20" ht="23.25" customHeight="1">
      <c r="A712" s="217" t="str">
        <f>IF(B712="","",B712&amp;"-"&amp;TEXT(COUNTIF(B$2:B712,B712),"000"))</f>
        <v/>
      </c>
      <c r="B712" s="218"/>
      <c r="C712" s="218"/>
      <c r="D712" s="218"/>
      <c r="E712" s="219"/>
      <c r="F712" s="220"/>
      <c r="G712" s="217"/>
      <c r="H712" s="221"/>
      <c r="I712" s="222"/>
      <c r="J712" s="222"/>
      <c r="K712" s="218"/>
      <c r="L712" s="223"/>
      <c r="M712" s="214"/>
      <c r="N712" s="225"/>
      <c r="O712" s="224"/>
      <c r="P712" s="224"/>
      <c r="Q712" s="224"/>
      <c r="R712" s="224" t="str">
        <f t="shared" si="14"/>
        <v/>
      </c>
      <c r="S712" s="218"/>
      <c r="T712" s="217"/>
    </row>
    <row r="713" spans="1:20" ht="23.25" customHeight="1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50" priority="6">
      <formula>TRIM(C2)="Realizado"</formula>
    </cfRule>
    <cfRule type="expression" dxfId="49" priority="7">
      <formula>TRIM(C2)="Cancelado"</formula>
    </cfRule>
    <cfRule type="expression" dxfId="48" priority="8">
      <formula>TRIM(C2)="Adiado"</formula>
    </cfRule>
    <cfRule type="expression" dxfId="47" priority="9">
      <formula>AND(TRIM(C2)="A realizar",ISODD(ROW(C2)))</formula>
    </cfRule>
  </conditionalFormatting>
  <conditionalFormatting sqref="L680">
    <cfRule type="containsBlanks" dxfId="46" priority="3">
      <formula>LEN(TRIM(L680))=0</formula>
    </cfRule>
  </conditionalFormatting>
  <conditionalFormatting sqref="L689:L690">
    <cfRule type="containsBlanks" dxfId="45" priority="1">
      <formula>LEN(TRIM(L689))=0</formula>
    </cfRule>
  </conditionalFormatting>
  <conditionalFormatting sqref="M1:M513 L1:L537 L678">
    <cfRule type="containsBlanks" dxfId="44" priority="4">
      <formula>LEN(TRIM(L1))=0</formula>
    </cfRule>
  </conditionalFormatting>
  <conditionalFormatting sqref="M517:M675 L539:L675 L676:M676">
    <cfRule type="containsBlanks" dxfId="43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38" activePane="bottomLeft" state="frozen"/>
      <selection pane="bottomLeft" activeCell="J44" sqref="J44"/>
    </sheetView>
  </sheetViews>
  <sheetFormatPr defaultRowHeight="15" outlineLevelCol="1"/>
  <cols>
    <col min="1" max="2" width="9.140625" customWidth="1"/>
    <col min="3" max="3" width="12.5703125" customWidth="1"/>
    <col min="4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31" width="9.140625" customWidth="1"/>
  </cols>
  <sheetData>
    <row r="1" spans="1:31" ht="15.75">
      <c r="A1" s="96" t="s">
        <v>1</v>
      </c>
      <c r="B1" s="96" t="s">
        <v>2842</v>
      </c>
      <c r="C1" s="96" t="s">
        <v>2843</v>
      </c>
      <c r="D1" s="96" t="s">
        <v>4</v>
      </c>
      <c r="E1" s="96" t="s">
        <v>2844</v>
      </c>
      <c r="F1" s="96" t="s">
        <v>19</v>
      </c>
      <c r="G1" s="96" t="s">
        <v>2845</v>
      </c>
      <c r="H1" s="96" t="s">
        <v>2846</v>
      </c>
      <c r="I1" s="96" t="s">
        <v>2847</v>
      </c>
      <c r="J1" s="96" t="s">
        <v>2848</v>
      </c>
      <c r="L1" s="129" t="s">
        <v>2849</v>
      </c>
      <c r="M1" s="100">
        <v>2026</v>
      </c>
      <c r="U1" s="162" t="s">
        <v>2850</v>
      </c>
      <c r="V1" s="161"/>
      <c r="X1" s="159" t="s">
        <v>2851</v>
      </c>
      <c r="Y1" s="107"/>
      <c r="Z1" s="107"/>
      <c r="AA1" s="107"/>
      <c r="AC1" s="253" t="s">
        <v>2852</v>
      </c>
    </row>
    <row r="2" spans="1:31">
      <c r="A2" s="98" cm="1">
        <f t="array" ref="A2:J106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2842</v>
      </c>
      <c r="Y2" s="160" t="s">
        <v>19</v>
      </c>
      <c r="Z2" s="160" t="s">
        <v>2853</v>
      </c>
      <c r="AA2" s="160" t="s">
        <v>2854</v>
      </c>
      <c r="AC2" s="254" t="s">
        <v>1</v>
      </c>
      <c r="AD2" s="254" t="s">
        <v>2855</v>
      </c>
      <c r="AE2" s="254" t="s">
        <v>2856</v>
      </c>
    </row>
    <row r="3" spans="1:31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2857</v>
      </c>
      <c r="M3" s="19" t="s">
        <v>2858</v>
      </c>
      <c r="N3" s="19" t="s">
        <v>2859</v>
      </c>
      <c r="O3" s="19" t="s">
        <v>2860</v>
      </c>
      <c r="P3" s="19" t="s">
        <v>2861</v>
      </c>
      <c r="Q3" s="19" t="s">
        <v>2862</v>
      </c>
      <c r="R3" s="19" t="s">
        <v>2863</v>
      </c>
      <c r="S3" s="19" t="s">
        <v>2864</v>
      </c>
      <c r="T3" s="19" t="s">
        <v>2865</v>
      </c>
      <c r="X3" t="s">
        <v>2866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4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5">_xlfn.VSTACK(0,_xlfn._xlws.FILTER(S4:S200,S4:S200&lt;&gt;""))</f>
        <v>0</v>
      </c>
      <c r="X4" t="s">
        <v>2867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2868</v>
      </c>
      <c r="Y5" t="s">
        <v>2713</v>
      </c>
      <c r="Z5">
        <v>1</v>
      </c>
      <c r="AA5">
        <v>0.6</v>
      </c>
      <c r="AC5" s="248">
        <v>2026</v>
      </c>
      <c r="AD5" s="95" t="s">
        <v>2869</v>
      </c>
      <c r="AE5" s="249">
        <v>16</v>
      </c>
    </row>
    <row r="6" spans="1:31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2868</v>
      </c>
      <c r="Y6" t="s">
        <v>2870</v>
      </c>
      <c r="Z6">
        <v>1</v>
      </c>
      <c r="AA6">
        <v>0</v>
      </c>
      <c r="AC6" s="248">
        <v>2026</v>
      </c>
      <c r="AD6" s="95" t="s">
        <v>2871</v>
      </c>
      <c r="AE6" s="249">
        <v>16</v>
      </c>
    </row>
    <row r="7" spans="1:31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2872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2873</v>
      </c>
      <c r="Y8" s="95" t="s">
        <v>1343</v>
      </c>
      <c r="AA8">
        <v>1.2</v>
      </c>
      <c r="AC8" s="248">
        <v>2026</v>
      </c>
      <c r="AD8" s="95"/>
      <c r="AE8" s="249"/>
    </row>
    <row r="9" spans="1:31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2873</v>
      </c>
      <c r="Y9" s="95" t="s">
        <v>1023</v>
      </c>
      <c r="AA9">
        <v>1.2</v>
      </c>
      <c r="AC9" s="248">
        <v>2026</v>
      </c>
      <c r="AD9" s="95"/>
      <c r="AE9" s="249"/>
    </row>
    <row r="10" spans="1:31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2873</v>
      </c>
      <c r="Y10" s="95" t="s">
        <v>1367</v>
      </c>
      <c r="AA10">
        <v>1.2</v>
      </c>
      <c r="AC10" s="248">
        <v>2026</v>
      </c>
      <c r="AD10" s="95"/>
      <c r="AE10" s="249"/>
    </row>
    <row r="11" spans="1:31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2873</v>
      </c>
      <c r="Y11" s="95" t="s">
        <v>2874</v>
      </c>
      <c r="AA11">
        <v>1.2</v>
      </c>
      <c r="AC11" s="248">
        <v>2026</v>
      </c>
      <c r="AD11" s="95"/>
      <c r="AE11" s="249"/>
    </row>
    <row r="12" spans="1:31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2873</v>
      </c>
      <c r="Y12" s="95" t="s">
        <v>2875</v>
      </c>
      <c r="AA12">
        <v>1.2</v>
      </c>
      <c r="AC12" s="248">
        <v>2026</v>
      </c>
      <c r="AD12" s="95"/>
      <c r="AE12" s="249"/>
    </row>
    <row r="13" spans="1:31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2876</v>
      </c>
      <c r="Y13" s="95" t="s">
        <v>1343</v>
      </c>
      <c r="AA13">
        <v>1.2</v>
      </c>
      <c r="AC13" s="248">
        <v>2026</v>
      </c>
      <c r="AD13" s="95"/>
      <c r="AE13" s="249"/>
    </row>
    <row r="14" spans="1:31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2876</v>
      </c>
      <c r="Y14" s="95" t="s">
        <v>1023</v>
      </c>
      <c r="AA14">
        <v>1.2</v>
      </c>
      <c r="AC14" s="248">
        <v>2026</v>
      </c>
      <c r="AD14" s="95"/>
      <c r="AE14" s="249"/>
    </row>
    <row r="15" spans="1:31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2876</v>
      </c>
      <c r="Y15" s="95" t="s">
        <v>1367</v>
      </c>
      <c r="AA15">
        <v>1.2</v>
      </c>
      <c r="AC15" s="248">
        <v>2026</v>
      </c>
      <c r="AD15" s="95"/>
      <c r="AE15" s="249"/>
    </row>
    <row r="16" spans="1:31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2876</v>
      </c>
      <c r="Y16" s="95" t="s">
        <v>2874</v>
      </c>
      <c r="AA16">
        <v>1.2</v>
      </c>
      <c r="AC16" s="248">
        <v>2026</v>
      </c>
      <c r="AD16" s="95"/>
      <c r="AE16" s="249"/>
    </row>
    <row r="17" spans="1:31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2876</v>
      </c>
      <c r="Y17" s="95" t="s">
        <v>2875</v>
      </c>
      <c r="AA17">
        <v>1.2</v>
      </c>
      <c r="AC17" s="248">
        <v>2026</v>
      </c>
      <c r="AD17" s="95"/>
      <c r="AE17" s="249"/>
    </row>
    <row r="18" spans="1:31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2877</v>
      </c>
      <c r="Y18" s="95" t="s">
        <v>1343</v>
      </c>
      <c r="AA18">
        <v>1.2</v>
      </c>
      <c r="AC18" s="248">
        <v>2026</v>
      </c>
      <c r="AD18" s="95"/>
      <c r="AE18" s="249"/>
    </row>
    <row r="19" spans="1:31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2877</v>
      </c>
      <c r="Y19" s="95" t="s">
        <v>1023</v>
      </c>
      <c r="AA19">
        <v>1.2</v>
      </c>
      <c r="AC19" s="248">
        <v>2026</v>
      </c>
      <c r="AD19" s="95"/>
      <c r="AE19" s="249"/>
    </row>
    <row r="20" spans="1:31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2877</v>
      </c>
      <c r="Y20" s="95" t="s">
        <v>1367</v>
      </c>
      <c r="AA20">
        <v>1.2</v>
      </c>
      <c r="AC20" s="248">
        <v>2026</v>
      </c>
      <c r="AD20" s="95"/>
      <c r="AE20" s="249"/>
    </row>
    <row r="21" spans="1:31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2877</v>
      </c>
      <c r="Y21" s="95" t="s">
        <v>2874</v>
      </c>
      <c r="AA21">
        <v>1.2</v>
      </c>
      <c r="AC21" s="248">
        <v>2026</v>
      </c>
      <c r="AD21" s="95"/>
      <c r="AE21" s="249"/>
    </row>
    <row r="22" spans="1:31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2877</v>
      </c>
      <c r="Y22" s="95" t="s">
        <v>2875</v>
      </c>
      <c r="AA22">
        <v>1.2</v>
      </c>
      <c r="AC22" s="248">
        <v>2026</v>
      </c>
      <c r="AD22" s="95"/>
      <c r="AE22" s="249"/>
    </row>
    <row r="23" spans="1:31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2878</v>
      </c>
      <c r="Y23" s="95" t="s">
        <v>2713</v>
      </c>
      <c r="AA23">
        <v>2.4</v>
      </c>
      <c r="AC23" s="248">
        <v>2026</v>
      </c>
      <c r="AD23" s="95"/>
      <c r="AE23" s="249"/>
    </row>
    <row r="24" spans="1:31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2878</v>
      </c>
      <c r="Y24" s="95" t="s">
        <v>2870</v>
      </c>
      <c r="AA24">
        <v>0</v>
      </c>
      <c r="AC24" s="248">
        <v>2026</v>
      </c>
      <c r="AD24" s="95"/>
      <c r="AE24" s="249"/>
    </row>
    <row r="25" spans="1:31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2879</v>
      </c>
      <c r="Y25" s="95" t="s">
        <v>855</v>
      </c>
      <c r="AA25">
        <v>3.6</v>
      </c>
      <c r="AC25" s="248">
        <v>2026</v>
      </c>
      <c r="AD25" s="95"/>
      <c r="AE25" s="249"/>
    </row>
    <row r="26" spans="1:31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2879</v>
      </c>
      <c r="Y26" s="95" t="s">
        <v>2880</v>
      </c>
      <c r="Z26">
        <v>0</v>
      </c>
      <c r="AA26">
        <v>0</v>
      </c>
      <c r="AC26" s="248">
        <v>2026</v>
      </c>
      <c r="AD26" s="95"/>
      <c r="AE26" s="249"/>
    </row>
    <row r="27" spans="1:31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2881</v>
      </c>
      <c r="Y27" s="95" t="s">
        <v>2713</v>
      </c>
      <c r="AA27">
        <v>2.4</v>
      </c>
      <c r="AC27" s="248">
        <v>2026</v>
      </c>
      <c r="AD27" s="95"/>
      <c r="AE27" s="249"/>
    </row>
    <row r="28" spans="1:31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2881</v>
      </c>
      <c r="Y28" s="95" t="s">
        <v>2870</v>
      </c>
      <c r="AA28">
        <v>0</v>
      </c>
      <c r="AC28" s="248">
        <v>2026</v>
      </c>
      <c r="AD28" s="95"/>
      <c r="AE28" s="249"/>
    </row>
    <row r="29" spans="1:31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2882</v>
      </c>
      <c r="Y29" s="95" t="s">
        <v>2713</v>
      </c>
      <c r="AA29">
        <v>2.4</v>
      </c>
      <c r="AC29" s="248">
        <v>2026</v>
      </c>
      <c r="AD29" s="95"/>
      <c r="AE29" s="249"/>
    </row>
    <row r="30" spans="1:31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2882</v>
      </c>
      <c r="Y30" s="95" t="s">
        <v>2870</v>
      </c>
      <c r="AA30">
        <v>0</v>
      </c>
      <c r="AC30" s="248">
        <v>2026</v>
      </c>
      <c r="AD30" s="95"/>
      <c r="AE30" s="249"/>
    </row>
    <row r="31" spans="1:31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2883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2884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2884</v>
      </c>
      <c r="Y33" t="s">
        <v>2885</v>
      </c>
      <c r="Z33">
        <v>4</v>
      </c>
      <c r="AA33">
        <v>0.6</v>
      </c>
      <c r="AC33" s="250"/>
      <c r="AD33" s="251" t="s">
        <v>2886</v>
      </c>
      <c r="AE33" s="252">
        <f>SUM(AE3:AE32)</f>
        <v>80</v>
      </c>
    </row>
    <row r="34" spans="1:31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2884</v>
      </c>
      <c r="Y34" t="s">
        <v>2887</v>
      </c>
      <c r="Z34">
        <v>4</v>
      </c>
      <c r="AA34">
        <v>0.6</v>
      </c>
    </row>
    <row r="35" spans="1:31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2884</v>
      </c>
      <c r="Y35" t="s">
        <v>108</v>
      </c>
      <c r="Z35">
        <v>4</v>
      </c>
      <c r="AA35">
        <v>0.6</v>
      </c>
    </row>
    <row r="36" spans="1:31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2884</v>
      </c>
      <c r="Y36" t="s">
        <v>549</v>
      </c>
      <c r="Z36">
        <v>4</v>
      </c>
      <c r="AA36">
        <v>1.2</v>
      </c>
    </row>
    <row r="37" spans="1:31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2888</v>
      </c>
      <c r="Y37" t="s">
        <v>418</v>
      </c>
      <c r="Z37">
        <v>0</v>
      </c>
      <c r="AA37">
        <v>85</v>
      </c>
    </row>
    <row r="38" spans="1:31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2888</v>
      </c>
      <c r="Y38" s="259" t="s">
        <v>1096</v>
      </c>
      <c r="Z38">
        <v>0</v>
      </c>
      <c r="AA38">
        <v>85</v>
      </c>
    </row>
    <row r="39" spans="1:31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2889</v>
      </c>
      <c r="Y39" t="s">
        <v>549</v>
      </c>
      <c r="Z39">
        <v>0</v>
      </c>
      <c r="AA39">
        <v>32</v>
      </c>
    </row>
    <row r="40" spans="1:31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2890</v>
      </c>
      <c r="Y40" t="s">
        <v>472</v>
      </c>
      <c r="Z40">
        <v>0</v>
      </c>
      <c r="AA40">
        <v>0</v>
      </c>
    </row>
    <row r="41" spans="1:31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0</v>
      </c>
      <c r="Q41" t="str">
        <v>Cinthia Thais de Carvalho Luz Thomazi; Adriana Cuoco Portugal; Fernanda Viana de Souza; Denise Duarte Guirra Kuhlmann;  Priscila Nolasco; Luiz Felipe Tenório de Lima Gondim</v>
      </c>
      <c r="R41">
        <v>6</v>
      </c>
      <c r="S41">
        <v>87</v>
      </c>
      <c r="T41">
        <v>81</v>
      </c>
      <c r="X41" t="s">
        <v>2891</v>
      </c>
      <c r="Y41" t="s">
        <v>1472</v>
      </c>
      <c r="Z41">
        <v>0</v>
      </c>
      <c r="AA41">
        <v>34.9</v>
      </c>
    </row>
    <row r="42" spans="1:31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0</v>
      </c>
      <c r="Q42" t="str">
        <v>Cinthia Thais de Carvalho Luz Thomazi; Adriana Cuoco Portugal; Fernanda Viana de Souza; Denise Duarte Guirra Kuhlmann;  Priscila Nolasco; Luiz Felipe Tenório de Lima Gondim</v>
      </c>
      <c r="R42">
        <v>6</v>
      </c>
      <c r="S42">
        <v>93</v>
      </c>
      <c r="T42">
        <v>87</v>
      </c>
      <c r="X42" t="s">
        <v>2891</v>
      </c>
      <c r="Y42" t="s">
        <v>2892</v>
      </c>
      <c r="Z42">
        <v>0</v>
      </c>
      <c r="AA42">
        <v>34.9</v>
      </c>
    </row>
    <row r="43" spans="1:31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0</v>
      </c>
      <c r="Q43" t="str">
        <v>Cinthia Thais de Carvalho Luz Thomazi; Adriana Cuoco Portugal; Fernanda Viana de Souza; Denise Duarte Guirra Kuhlmann;  Priscila Nolasco; Luiz Felipe Tenório de Lima Gondim</v>
      </c>
      <c r="R43">
        <v>6</v>
      </c>
      <c r="S43">
        <v>99</v>
      </c>
      <c r="T43">
        <v>93</v>
      </c>
      <c r="X43" t="s">
        <v>2893</v>
      </c>
      <c r="Y43" s="95" t="s">
        <v>2713</v>
      </c>
      <c r="AA43">
        <v>2.4</v>
      </c>
    </row>
    <row r="44" spans="1:31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0</v>
      </c>
      <c r="Q44" t="str">
        <v>Cinthia Thais de Carvalho Luz Thomazi; Adriana Cuoco Portugal; Fernanda Viana de Souza; Denise Duarte Guirra Kuhlmann;  Priscila Nolasco; Luiz Felipe Tenório de Lima Gondim</v>
      </c>
      <c r="R44">
        <v>6</v>
      </c>
      <c r="S44">
        <v>105</v>
      </c>
      <c r="T44">
        <v>99</v>
      </c>
      <c r="X44" t="s">
        <v>2893</v>
      </c>
      <c r="Y44" s="95" t="s">
        <v>2870</v>
      </c>
      <c r="AA44">
        <v>0</v>
      </c>
    </row>
    <row r="45" spans="1:31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T45">
        <v>105</v>
      </c>
      <c r="X45" t="s">
        <v>2894</v>
      </c>
      <c r="Y45" t="s">
        <v>2895</v>
      </c>
      <c r="Z45">
        <v>1</v>
      </c>
      <c r="AA45">
        <v>0.3</v>
      </c>
    </row>
    <row r="46" spans="1:31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2894</v>
      </c>
      <c r="Y46" t="s">
        <v>2896</v>
      </c>
      <c r="Z46">
        <v>1</v>
      </c>
      <c r="AA46">
        <v>0.3</v>
      </c>
    </row>
    <row r="47" spans="1:31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2894</v>
      </c>
      <c r="Y47" t="s">
        <v>2897</v>
      </c>
      <c r="Z47">
        <v>1</v>
      </c>
      <c r="AA47">
        <v>0.3</v>
      </c>
    </row>
    <row r="48" spans="1:31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2894</v>
      </c>
      <c r="Y48" t="s">
        <v>2898</v>
      </c>
      <c r="Z48">
        <v>1</v>
      </c>
      <c r="AA48">
        <v>0.3</v>
      </c>
    </row>
    <row r="49" spans="1:27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2894</v>
      </c>
      <c r="Y49" t="s">
        <v>2899</v>
      </c>
      <c r="Z49">
        <v>0</v>
      </c>
      <c r="AA49">
        <v>0</v>
      </c>
    </row>
    <row r="50" spans="1:27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2894</v>
      </c>
      <c r="Y50" t="s">
        <v>935</v>
      </c>
      <c r="Z50">
        <v>1</v>
      </c>
      <c r="AA50">
        <v>0.3</v>
      </c>
    </row>
    <row r="51" spans="1:27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2894</v>
      </c>
      <c r="Y51" t="s">
        <v>2900</v>
      </c>
      <c r="Z51">
        <v>1</v>
      </c>
      <c r="AA51">
        <v>0.3</v>
      </c>
    </row>
    <row r="52" spans="1:27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2894</v>
      </c>
      <c r="Y52" t="s">
        <v>1343</v>
      </c>
      <c r="Z52">
        <v>1</v>
      </c>
      <c r="AA52">
        <v>0.3</v>
      </c>
    </row>
    <row r="53" spans="1:27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2894</v>
      </c>
      <c r="Y53" t="s">
        <v>2901</v>
      </c>
      <c r="Z53">
        <v>1</v>
      </c>
      <c r="AA53">
        <v>0.3</v>
      </c>
    </row>
    <row r="54" spans="1:27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2894</v>
      </c>
      <c r="Y54" t="s">
        <v>2902</v>
      </c>
      <c r="Z54">
        <v>0</v>
      </c>
      <c r="AA54">
        <v>0</v>
      </c>
    </row>
    <row r="55" spans="1:27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>
      <c r="A83">
        <v>2026</v>
      </c>
      <c r="B83" t="str">
        <v>2026-049</v>
      </c>
      <c r="C83" t="str">
        <v>A realizar</v>
      </c>
      <c r="D83" t="str">
        <v>TCendo o Futuro</v>
      </c>
      <c r="E83">
        <v>0</v>
      </c>
      <c r="F83" t="str">
        <v>Cinthia Thais de Carvalho Luz Thomazi</v>
      </c>
      <c r="G83">
        <v>6</v>
      </c>
      <c r="H83">
        <v>0</v>
      </c>
      <c r="I83">
        <v>0</v>
      </c>
      <c r="J83">
        <v>0</v>
      </c>
      <c r="R83" t="str">
        <v/>
      </c>
      <c r="S83" t="str">
        <v/>
      </c>
    </row>
    <row r="84" spans="1:19">
      <c r="A84">
        <v>2026</v>
      </c>
      <c r="B84" t="str">
        <v>2026-049</v>
      </c>
      <c r="C84" t="str">
        <v>A realizar</v>
      </c>
      <c r="D84" t="str">
        <v>TCendo o Futuro</v>
      </c>
      <c r="E84">
        <v>0</v>
      </c>
      <c r="F84" t="str">
        <v>Adriana Cuoco Portugal</v>
      </c>
      <c r="G84">
        <v>6</v>
      </c>
      <c r="H84">
        <v>0</v>
      </c>
      <c r="I84">
        <v>0</v>
      </c>
      <c r="J84">
        <v>0</v>
      </c>
      <c r="R84" t="str">
        <v/>
      </c>
      <c r="S84" t="str">
        <v/>
      </c>
    </row>
    <row r="85" spans="1:19">
      <c r="A85">
        <v>2026</v>
      </c>
      <c r="B85" t="str">
        <v>2026-049</v>
      </c>
      <c r="C85" t="str">
        <v>A realizar</v>
      </c>
      <c r="D85" t="str">
        <v>TCendo o Futuro</v>
      </c>
      <c r="E85">
        <v>0</v>
      </c>
      <c r="F85" t="str">
        <v>Fernanda Viana de Souza</v>
      </c>
      <c r="G85">
        <v>6</v>
      </c>
      <c r="H85">
        <v>0</v>
      </c>
      <c r="I85">
        <v>0</v>
      </c>
      <c r="J85">
        <v>0</v>
      </c>
      <c r="R85" t="str">
        <v/>
      </c>
      <c r="S85" t="str">
        <v/>
      </c>
    </row>
    <row r="86" spans="1:19">
      <c r="A86">
        <v>2026</v>
      </c>
      <c r="B86" t="str">
        <v>2026-049</v>
      </c>
      <c r="C86" t="str">
        <v>A realizar</v>
      </c>
      <c r="D86" t="str">
        <v>TCendo o Futuro</v>
      </c>
      <c r="E86">
        <v>0</v>
      </c>
      <c r="F86" t="str">
        <v>Denise Duarte Guirra Kuhlmann</v>
      </c>
      <c r="G86">
        <v>6</v>
      </c>
      <c r="H86">
        <v>0</v>
      </c>
      <c r="I86">
        <v>0</v>
      </c>
      <c r="J86">
        <v>0</v>
      </c>
      <c r="R86" t="str">
        <v/>
      </c>
      <c r="S86" t="str">
        <v/>
      </c>
    </row>
    <row r="87" spans="1:19">
      <c r="A87">
        <v>2026</v>
      </c>
      <c r="B87" t="str">
        <v>2026-049</v>
      </c>
      <c r="C87" t="str">
        <v>A realizar</v>
      </c>
      <c r="D87" t="str">
        <v>TCendo o Futuro</v>
      </c>
      <c r="E87">
        <v>0</v>
      </c>
      <c r="F87" t="str">
        <v>Priscila Nolasco</v>
      </c>
      <c r="G87">
        <v>6</v>
      </c>
      <c r="H87">
        <v>0</v>
      </c>
      <c r="I87">
        <v>0</v>
      </c>
      <c r="J87">
        <v>0</v>
      </c>
      <c r="R87" t="str">
        <v/>
      </c>
      <c r="S87" t="str">
        <v/>
      </c>
    </row>
    <row r="88" spans="1:19">
      <c r="A88">
        <v>2026</v>
      </c>
      <c r="B88" t="str">
        <v>2026-049</v>
      </c>
      <c r="C88" t="str">
        <v>A realizar</v>
      </c>
      <c r="D88" t="str">
        <v>TCendo o Futuro</v>
      </c>
      <c r="E88">
        <v>0</v>
      </c>
      <c r="F88" t="str">
        <v>Luiz Felipe Tenório de Lima Gondim</v>
      </c>
      <c r="G88">
        <v>6</v>
      </c>
      <c r="H88">
        <v>0</v>
      </c>
      <c r="I88">
        <v>0</v>
      </c>
      <c r="J88">
        <v>0</v>
      </c>
      <c r="R88" t="str">
        <v/>
      </c>
      <c r="S88" t="str">
        <v/>
      </c>
    </row>
    <row r="89" spans="1:19">
      <c r="A89">
        <v>2026</v>
      </c>
      <c r="B89" t="str">
        <v>2026-050</v>
      </c>
      <c r="C89" t="str">
        <v>A realizar</v>
      </c>
      <c r="D89" t="str">
        <v>TCendo o Futuro</v>
      </c>
      <c r="E89">
        <v>0</v>
      </c>
      <c r="F89" t="str">
        <v>Cinthia Thais de Carvalho Luz Thomazi</v>
      </c>
      <c r="G89">
        <v>6</v>
      </c>
      <c r="H89">
        <v>0</v>
      </c>
      <c r="I89">
        <v>0</v>
      </c>
      <c r="J89">
        <v>0</v>
      </c>
      <c r="R89" t="str">
        <v/>
      </c>
      <c r="S89" t="str">
        <v/>
      </c>
    </row>
    <row r="90" spans="1:19">
      <c r="A90">
        <v>2026</v>
      </c>
      <c r="B90" t="str">
        <v>2026-050</v>
      </c>
      <c r="C90" t="str">
        <v>A realizar</v>
      </c>
      <c r="D90" t="str">
        <v>TCendo o Futuro</v>
      </c>
      <c r="E90">
        <v>0</v>
      </c>
      <c r="F90" t="str">
        <v>Adriana Cuoco Portugal</v>
      </c>
      <c r="G90">
        <v>6</v>
      </c>
      <c r="H90">
        <v>0</v>
      </c>
      <c r="I90">
        <v>0</v>
      </c>
      <c r="J90">
        <v>0</v>
      </c>
      <c r="R90" t="str">
        <v/>
      </c>
      <c r="S90" t="str">
        <v/>
      </c>
    </row>
    <row r="91" spans="1:19">
      <c r="A91">
        <v>2026</v>
      </c>
      <c r="B91" t="str">
        <v>2026-050</v>
      </c>
      <c r="C91" t="str">
        <v>A realizar</v>
      </c>
      <c r="D91" t="str">
        <v>TCendo o Futuro</v>
      </c>
      <c r="E91">
        <v>0</v>
      </c>
      <c r="F91" t="str">
        <v>Fernanda Viana de Souza</v>
      </c>
      <c r="G91">
        <v>6</v>
      </c>
      <c r="H91">
        <v>0</v>
      </c>
      <c r="I91">
        <v>0</v>
      </c>
      <c r="J91">
        <v>0</v>
      </c>
      <c r="R91" t="str">
        <v/>
      </c>
      <c r="S91" t="str">
        <v/>
      </c>
    </row>
    <row r="92" spans="1:19">
      <c r="A92">
        <v>2026</v>
      </c>
      <c r="B92" t="str">
        <v>2026-050</v>
      </c>
      <c r="C92" t="str">
        <v>A realizar</v>
      </c>
      <c r="D92" t="str">
        <v>TCendo o Futuro</v>
      </c>
      <c r="E92">
        <v>0</v>
      </c>
      <c r="F92" t="str">
        <v>Denise Duarte Guirra Kuhlmann</v>
      </c>
      <c r="G92">
        <v>6</v>
      </c>
      <c r="H92">
        <v>0</v>
      </c>
      <c r="I92">
        <v>0</v>
      </c>
      <c r="J92">
        <v>0</v>
      </c>
      <c r="R92" t="str">
        <v/>
      </c>
      <c r="S92" t="str">
        <v/>
      </c>
    </row>
    <row r="93" spans="1:19">
      <c r="A93">
        <v>2026</v>
      </c>
      <c r="B93" t="str">
        <v>2026-050</v>
      </c>
      <c r="C93" t="str">
        <v>A realizar</v>
      </c>
      <c r="D93" t="str">
        <v>TCendo o Futuro</v>
      </c>
      <c r="E93">
        <v>0</v>
      </c>
      <c r="F93" t="str">
        <v>Priscila Nolasco</v>
      </c>
      <c r="G93">
        <v>6</v>
      </c>
      <c r="H93">
        <v>0</v>
      </c>
      <c r="I93">
        <v>0</v>
      </c>
      <c r="J93">
        <v>0</v>
      </c>
      <c r="R93" t="str">
        <v/>
      </c>
      <c r="S93" t="str">
        <v/>
      </c>
    </row>
    <row r="94" spans="1:19">
      <c r="A94">
        <v>2026</v>
      </c>
      <c r="B94" t="str">
        <v>2026-050</v>
      </c>
      <c r="C94" t="str">
        <v>A realizar</v>
      </c>
      <c r="D94" t="str">
        <v>TCendo o Futuro</v>
      </c>
      <c r="E94">
        <v>0</v>
      </c>
      <c r="F94" t="str">
        <v>Luiz Felipe Tenório de Lima Gondim</v>
      </c>
      <c r="G94">
        <v>6</v>
      </c>
      <c r="H94">
        <v>0</v>
      </c>
      <c r="I94">
        <v>0</v>
      </c>
      <c r="J94">
        <v>0</v>
      </c>
      <c r="R94" t="str">
        <v/>
      </c>
      <c r="S94" t="str">
        <v/>
      </c>
    </row>
    <row r="95" spans="1:19">
      <c r="A95">
        <v>2026</v>
      </c>
      <c r="B95" t="str">
        <v>2026-051</v>
      </c>
      <c r="C95" t="str">
        <v>A realizar</v>
      </c>
      <c r="D95" t="str">
        <v>TCendo o Futuro</v>
      </c>
      <c r="E95">
        <v>0</v>
      </c>
      <c r="F95" t="str">
        <v>Cinthia Thais de Carvalho Luz Thomazi</v>
      </c>
      <c r="G95">
        <v>6</v>
      </c>
      <c r="H95">
        <v>0</v>
      </c>
      <c r="I95">
        <v>0</v>
      </c>
      <c r="J95">
        <v>0</v>
      </c>
      <c r="R95" t="str">
        <v/>
      </c>
      <c r="S95" t="str">
        <v/>
      </c>
    </row>
    <row r="96" spans="1:19">
      <c r="A96">
        <v>2026</v>
      </c>
      <c r="B96" t="str">
        <v>2026-051</v>
      </c>
      <c r="C96" t="str">
        <v>A realizar</v>
      </c>
      <c r="D96" t="str">
        <v>TCendo o Futuro</v>
      </c>
      <c r="E96">
        <v>0</v>
      </c>
      <c r="F96" t="str">
        <v>Adriana Cuoco Portugal</v>
      </c>
      <c r="G96">
        <v>6</v>
      </c>
      <c r="H96">
        <v>0</v>
      </c>
      <c r="I96">
        <v>0</v>
      </c>
      <c r="J96">
        <v>0</v>
      </c>
      <c r="R96" t="str">
        <v/>
      </c>
      <c r="S96" t="str">
        <v/>
      </c>
    </row>
    <row r="97" spans="1:19">
      <c r="A97">
        <v>2026</v>
      </c>
      <c r="B97" t="str">
        <v>2026-051</v>
      </c>
      <c r="C97" t="str">
        <v>A realizar</v>
      </c>
      <c r="D97" t="str">
        <v>TCendo o Futuro</v>
      </c>
      <c r="E97">
        <v>0</v>
      </c>
      <c r="F97" t="str">
        <v>Fernanda Viana de Souza</v>
      </c>
      <c r="G97">
        <v>6</v>
      </c>
      <c r="H97">
        <v>0</v>
      </c>
      <c r="I97">
        <v>0</v>
      </c>
      <c r="J97">
        <v>0</v>
      </c>
      <c r="R97" t="str">
        <v/>
      </c>
      <c r="S97" t="str">
        <v/>
      </c>
    </row>
    <row r="98" spans="1:19">
      <c r="A98">
        <v>2026</v>
      </c>
      <c r="B98" t="str">
        <v>2026-051</v>
      </c>
      <c r="C98" t="str">
        <v>A realizar</v>
      </c>
      <c r="D98" t="str">
        <v>TCendo o Futuro</v>
      </c>
      <c r="E98">
        <v>0</v>
      </c>
      <c r="F98" t="str">
        <v>Denise Duarte Guirra Kuhlmann</v>
      </c>
      <c r="G98">
        <v>6</v>
      </c>
      <c r="H98">
        <v>0</v>
      </c>
      <c r="I98">
        <v>0</v>
      </c>
      <c r="J98">
        <v>0</v>
      </c>
      <c r="R98" t="str">
        <v/>
      </c>
      <c r="S98" t="str">
        <v/>
      </c>
    </row>
    <row r="99" spans="1:19">
      <c r="A99">
        <v>2026</v>
      </c>
      <c r="B99" t="str">
        <v>2026-051</v>
      </c>
      <c r="C99" t="str">
        <v>A realizar</v>
      </c>
      <c r="D99" t="str">
        <v>TCendo o Futuro</v>
      </c>
      <c r="E99">
        <v>0</v>
      </c>
      <c r="F99" t="str">
        <v>Priscila Nolasco</v>
      </c>
      <c r="G99">
        <v>6</v>
      </c>
      <c r="H99">
        <v>0</v>
      </c>
      <c r="I99">
        <v>0</v>
      </c>
      <c r="J99">
        <v>0</v>
      </c>
      <c r="R99" t="str">
        <v/>
      </c>
      <c r="S99" t="str">
        <v/>
      </c>
    </row>
    <row r="100" spans="1:19">
      <c r="A100">
        <v>2026</v>
      </c>
      <c r="B100" t="str">
        <v>2026-051</v>
      </c>
      <c r="C100" t="str">
        <v>A realizar</v>
      </c>
      <c r="D100" t="str">
        <v>TCendo o Futuro</v>
      </c>
      <c r="E100">
        <v>0</v>
      </c>
      <c r="F100" t="str">
        <v>Luiz Felipe Tenório de Lima Gondim</v>
      </c>
      <c r="G100">
        <v>6</v>
      </c>
      <c r="H100">
        <v>0</v>
      </c>
      <c r="I100">
        <v>0</v>
      </c>
      <c r="J100">
        <v>0</v>
      </c>
      <c r="R100" t="str">
        <v/>
      </c>
      <c r="S100" t="str">
        <v/>
      </c>
    </row>
    <row r="101" spans="1:19">
      <c r="A101">
        <v>2026</v>
      </c>
      <c r="B101" t="str">
        <v>2026-052</v>
      </c>
      <c r="C101" t="str">
        <v>A realizar</v>
      </c>
      <c r="D101" t="str">
        <v>TCendo o Futuro</v>
      </c>
      <c r="E101">
        <v>0</v>
      </c>
      <c r="F101" t="str">
        <v>Cinthia Thais de Carvalho Luz Thomazi</v>
      </c>
      <c r="G101">
        <v>6</v>
      </c>
      <c r="H101">
        <v>0</v>
      </c>
      <c r="I101">
        <v>0</v>
      </c>
      <c r="J101">
        <v>0</v>
      </c>
      <c r="R101" t="str">
        <v/>
      </c>
      <c r="S101" t="str">
        <v/>
      </c>
    </row>
    <row r="102" spans="1:19">
      <c r="A102">
        <v>2026</v>
      </c>
      <c r="B102" t="str">
        <v>2026-052</v>
      </c>
      <c r="C102" t="str">
        <v>A realizar</v>
      </c>
      <c r="D102" t="str">
        <v>TCendo o Futuro</v>
      </c>
      <c r="E102">
        <v>0</v>
      </c>
      <c r="F102" t="str">
        <v>Adriana Cuoco Portugal</v>
      </c>
      <c r="G102">
        <v>6</v>
      </c>
      <c r="H102">
        <v>0</v>
      </c>
      <c r="I102">
        <v>0</v>
      </c>
      <c r="J102">
        <v>0</v>
      </c>
      <c r="R102" t="str">
        <v/>
      </c>
      <c r="S102" t="str">
        <v/>
      </c>
    </row>
    <row r="103" spans="1:19">
      <c r="A103">
        <v>2026</v>
      </c>
      <c r="B103" t="str">
        <v>2026-052</v>
      </c>
      <c r="C103" t="str">
        <v>A realizar</v>
      </c>
      <c r="D103" t="str">
        <v>TCendo o Futuro</v>
      </c>
      <c r="E103">
        <v>0</v>
      </c>
      <c r="F103" t="str">
        <v>Fernanda Viana de Souza</v>
      </c>
      <c r="G103">
        <v>6</v>
      </c>
      <c r="H103">
        <v>0</v>
      </c>
      <c r="I103">
        <v>0</v>
      </c>
      <c r="J103">
        <v>0</v>
      </c>
      <c r="R103" t="str">
        <v/>
      </c>
      <c r="S103" t="str">
        <v/>
      </c>
    </row>
    <row r="104" spans="1:19">
      <c r="A104">
        <v>2026</v>
      </c>
      <c r="B104" t="str">
        <v>2026-052</v>
      </c>
      <c r="C104" t="str">
        <v>A realizar</v>
      </c>
      <c r="D104" t="str">
        <v>TCendo o Futuro</v>
      </c>
      <c r="E104">
        <v>0</v>
      </c>
      <c r="F104" t="str">
        <v>Denise Duarte Guirra Kuhlmann</v>
      </c>
      <c r="G104">
        <v>6</v>
      </c>
      <c r="H104">
        <v>0</v>
      </c>
      <c r="I104">
        <v>0</v>
      </c>
      <c r="J104">
        <v>0</v>
      </c>
      <c r="R104" t="str">
        <v/>
      </c>
      <c r="S104" t="str">
        <v/>
      </c>
    </row>
    <row r="105" spans="1:19">
      <c r="A105">
        <v>2026</v>
      </c>
      <c r="B105" t="str">
        <v>2026-052</v>
      </c>
      <c r="C105" t="str">
        <v>A realizar</v>
      </c>
      <c r="D105" t="str">
        <v>TCendo o Futuro</v>
      </c>
      <c r="E105">
        <v>0</v>
      </c>
      <c r="F105" t="str">
        <v>Priscila Nolasco</v>
      </c>
      <c r="G105">
        <v>6</v>
      </c>
      <c r="H105">
        <v>0</v>
      </c>
      <c r="I105">
        <v>0</v>
      </c>
      <c r="J105">
        <v>0</v>
      </c>
      <c r="R105" t="str">
        <v/>
      </c>
      <c r="S105" t="str">
        <v/>
      </c>
    </row>
    <row r="106" spans="1:19">
      <c r="A106">
        <v>2026</v>
      </c>
      <c r="B106" t="str">
        <v>2026-052</v>
      </c>
      <c r="C106" t="str">
        <v>A realizar</v>
      </c>
      <c r="D106" t="str">
        <v>TCendo o Futuro</v>
      </c>
      <c r="E106">
        <v>0</v>
      </c>
      <c r="F106" t="str">
        <v>Luiz Felipe Tenório de Lima Gondim</v>
      </c>
      <c r="G106">
        <v>6</v>
      </c>
      <c r="H106">
        <v>0</v>
      </c>
      <c r="I106">
        <v>0</v>
      </c>
      <c r="J106">
        <v>0</v>
      </c>
      <c r="R106" t="str">
        <v/>
      </c>
      <c r="S106" t="str">
        <v/>
      </c>
    </row>
    <row r="107" spans="1:19">
      <c r="R107" t="str">
        <v/>
      </c>
      <c r="S107" t="str">
        <v/>
      </c>
    </row>
    <row r="108" spans="1:19">
      <c r="R108" t="str">
        <v/>
      </c>
      <c r="S108" t="str">
        <v/>
      </c>
    </row>
    <row r="109" spans="1:19">
      <c r="R109" t="str">
        <v/>
      </c>
      <c r="S109" t="str">
        <v/>
      </c>
    </row>
    <row r="110" spans="1:19">
      <c r="R110" t="str">
        <v/>
      </c>
      <c r="S110" t="str">
        <v/>
      </c>
    </row>
    <row r="111" spans="1:19">
      <c r="R111" t="str">
        <v/>
      </c>
      <c r="S111" t="str">
        <v/>
      </c>
    </row>
    <row r="112" spans="1:19">
      <c r="R112" t="str">
        <v/>
      </c>
      <c r="S112" t="str">
        <v/>
      </c>
    </row>
    <row r="113" spans="18:19">
      <c r="R113" t="str">
        <v/>
      </c>
      <c r="S113" t="str">
        <v/>
      </c>
    </row>
    <row r="114" spans="18:19">
      <c r="R114" t="str">
        <v/>
      </c>
      <c r="S114" t="str">
        <v/>
      </c>
    </row>
    <row r="115" spans="18:19">
      <c r="R115" t="str">
        <v/>
      </c>
      <c r="S115" t="str">
        <v/>
      </c>
    </row>
    <row r="116" spans="18:19">
      <c r="R116" t="str">
        <v/>
      </c>
      <c r="S116" t="str">
        <v/>
      </c>
    </row>
    <row r="117" spans="18:19">
      <c r="R117" t="str">
        <v/>
      </c>
      <c r="S117" t="str">
        <v/>
      </c>
    </row>
    <row r="118" spans="18:19">
      <c r="R118" t="str">
        <v/>
      </c>
      <c r="S118" t="str">
        <v/>
      </c>
    </row>
    <row r="119" spans="18:19">
      <c r="R119" t="str">
        <v/>
      </c>
      <c r="S119" t="str">
        <v/>
      </c>
    </row>
    <row r="120" spans="18:19">
      <c r="R120" t="str">
        <v/>
      </c>
      <c r="S120" t="str">
        <v/>
      </c>
    </row>
    <row r="121" spans="18:19">
      <c r="R121" t="str">
        <v/>
      </c>
      <c r="S121" t="str">
        <v/>
      </c>
    </row>
    <row r="122" spans="18:19">
      <c r="R122" t="str">
        <v/>
      </c>
      <c r="S122" t="str">
        <v/>
      </c>
    </row>
    <row r="123" spans="18:19">
      <c r="R123" t="str">
        <v/>
      </c>
      <c r="S123" t="str">
        <v/>
      </c>
    </row>
    <row r="124" spans="18:19">
      <c r="R124" t="str">
        <v/>
      </c>
      <c r="S124" t="str">
        <v/>
      </c>
    </row>
    <row r="125" spans="18:19">
      <c r="R125" t="str">
        <v/>
      </c>
      <c r="S125" t="str">
        <v/>
      </c>
    </row>
    <row r="126" spans="18:19">
      <c r="R126" t="str">
        <v/>
      </c>
      <c r="S126" t="str">
        <v/>
      </c>
    </row>
    <row r="127" spans="18:19">
      <c r="R127" t="str">
        <v/>
      </c>
      <c r="S127" t="str">
        <v/>
      </c>
    </row>
    <row r="128" spans="18:19">
      <c r="R128" t="str">
        <v/>
      </c>
      <c r="S128" t="str">
        <v/>
      </c>
    </row>
    <row r="129" spans="18:19">
      <c r="R129" t="str">
        <v/>
      </c>
      <c r="S129" t="str">
        <v/>
      </c>
    </row>
    <row r="130" spans="18:19">
      <c r="R130" t="str">
        <v/>
      </c>
      <c r="S130" t="str">
        <v/>
      </c>
    </row>
    <row r="131" spans="18:19">
      <c r="R131" t="str">
        <v/>
      </c>
      <c r="S131" t="str">
        <v/>
      </c>
    </row>
    <row r="132" spans="18:19">
      <c r="R132" t="str">
        <v/>
      </c>
      <c r="S132" t="str">
        <v/>
      </c>
    </row>
    <row r="133" spans="18:19">
      <c r="R133" t="str">
        <v/>
      </c>
      <c r="S133" t="str">
        <v/>
      </c>
    </row>
    <row r="134" spans="18:19">
      <c r="R134" t="str">
        <v/>
      </c>
      <c r="S134" t="str">
        <v/>
      </c>
    </row>
    <row r="135" spans="18:19">
      <c r="R135" t="str">
        <v/>
      </c>
      <c r="S135" t="str">
        <v/>
      </c>
    </row>
    <row r="136" spans="18:19">
      <c r="R136" t="str">
        <v/>
      </c>
      <c r="S136" t="str">
        <v/>
      </c>
    </row>
    <row r="137" spans="18:19">
      <c r="R137" t="str">
        <v/>
      </c>
      <c r="S137" t="str">
        <v/>
      </c>
    </row>
    <row r="138" spans="18:19">
      <c r="R138" t="str">
        <v/>
      </c>
      <c r="S138" t="str">
        <v/>
      </c>
    </row>
    <row r="139" spans="18:19">
      <c r="R139" t="str">
        <v/>
      </c>
      <c r="S139" t="str">
        <v/>
      </c>
    </row>
    <row r="140" spans="18:19">
      <c r="R140" t="str">
        <v/>
      </c>
      <c r="S140" t="str">
        <v/>
      </c>
    </row>
    <row r="141" spans="18:19">
      <c r="R141" t="str">
        <v/>
      </c>
      <c r="S141" t="str">
        <v/>
      </c>
    </row>
    <row r="142" spans="18:19">
      <c r="R142" t="str">
        <v/>
      </c>
      <c r="S142" t="str">
        <v/>
      </c>
    </row>
    <row r="143" spans="18:19">
      <c r="R143" t="str">
        <v/>
      </c>
      <c r="S143" t="str">
        <v/>
      </c>
    </row>
    <row r="144" spans="18:19">
      <c r="R144" t="str">
        <v/>
      </c>
      <c r="S144" t="str">
        <v/>
      </c>
    </row>
    <row r="145" spans="18:19">
      <c r="R145" t="str">
        <v/>
      </c>
      <c r="S145" t="str">
        <v/>
      </c>
    </row>
    <row r="146" spans="18:19">
      <c r="R146" t="str">
        <v/>
      </c>
      <c r="S146" t="str">
        <v/>
      </c>
    </row>
    <row r="147" spans="18:19">
      <c r="R147" t="str">
        <v/>
      </c>
      <c r="S147" t="str">
        <v/>
      </c>
    </row>
    <row r="148" spans="18:19">
      <c r="R148" t="str">
        <v/>
      </c>
      <c r="S148" t="str">
        <v/>
      </c>
    </row>
    <row r="149" spans="18:19">
      <c r="R149" t="str">
        <v/>
      </c>
      <c r="S149" t="str">
        <v/>
      </c>
    </row>
    <row r="150" spans="18:19">
      <c r="R150" t="str">
        <v/>
      </c>
      <c r="S150" t="str">
        <v/>
      </c>
    </row>
    <row r="151" spans="18:19">
      <c r="R151" t="str">
        <v/>
      </c>
      <c r="S151" t="str">
        <v/>
      </c>
    </row>
    <row r="152" spans="18:19">
      <c r="R152" t="str">
        <v/>
      </c>
      <c r="S152" t="str">
        <v/>
      </c>
    </row>
    <row r="153" spans="18:19">
      <c r="R153" t="str">
        <v/>
      </c>
      <c r="S153" t="str">
        <v/>
      </c>
    </row>
    <row r="154" spans="18:19">
      <c r="R154" t="str">
        <v/>
      </c>
      <c r="S154" t="str">
        <v/>
      </c>
    </row>
    <row r="155" spans="18:19">
      <c r="R155" t="str">
        <v/>
      </c>
      <c r="S155" t="str">
        <v/>
      </c>
    </row>
    <row r="156" spans="18:19">
      <c r="R156" t="str">
        <v/>
      </c>
      <c r="S156" t="str">
        <v/>
      </c>
    </row>
    <row r="157" spans="18:19">
      <c r="R157" t="str">
        <v/>
      </c>
      <c r="S157" t="str">
        <v/>
      </c>
    </row>
    <row r="158" spans="18:19">
      <c r="R158" t="str">
        <v/>
      </c>
      <c r="S158" t="str">
        <v/>
      </c>
    </row>
    <row r="159" spans="18:19">
      <c r="R159" t="str">
        <v/>
      </c>
      <c r="S159" t="str">
        <v/>
      </c>
    </row>
    <row r="160" spans="18:19">
      <c r="R160" t="str">
        <v/>
      </c>
      <c r="S160" t="str">
        <v/>
      </c>
    </row>
    <row r="161" spans="18:19">
      <c r="R161" t="str">
        <v/>
      </c>
      <c r="S161" t="str">
        <v/>
      </c>
    </row>
    <row r="162" spans="18:19">
      <c r="R162" t="str">
        <v/>
      </c>
      <c r="S162" t="str">
        <v/>
      </c>
    </row>
    <row r="163" spans="18:19">
      <c r="R163" t="str">
        <v/>
      </c>
      <c r="S163" t="str">
        <v/>
      </c>
    </row>
    <row r="164" spans="18:19">
      <c r="R164" t="str">
        <v/>
      </c>
      <c r="S164" t="str">
        <v/>
      </c>
    </row>
    <row r="165" spans="18:19">
      <c r="R165" t="str">
        <v/>
      </c>
      <c r="S165" t="str">
        <v/>
      </c>
    </row>
    <row r="166" spans="18:19">
      <c r="R166" t="str">
        <v/>
      </c>
      <c r="S166" t="str">
        <v/>
      </c>
    </row>
    <row r="167" spans="18:19">
      <c r="R167" t="str">
        <v/>
      </c>
      <c r="S167" t="str">
        <v/>
      </c>
    </row>
    <row r="168" spans="18:19">
      <c r="R168" t="str">
        <v/>
      </c>
      <c r="S168" t="str">
        <v/>
      </c>
    </row>
    <row r="169" spans="18:19">
      <c r="R169" t="str">
        <v/>
      </c>
      <c r="S169" t="str">
        <v/>
      </c>
    </row>
    <row r="170" spans="18:19">
      <c r="R170" t="str">
        <v/>
      </c>
      <c r="S170" t="str">
        <v/>
      </c>
    </row>
    <row r="171" spans="18:19">
      <c r="R171" t="str">
        <v/>
      </c>
      <c r="S171" t="str">
        <v/>
      </c>
    </row>
    <row r="172" spans="18:19">
      <c r="R172" t="str">
        <v/>
      </c>
      <c r="S172" t="str">
        <v/>
      </c>
    </row>
    <row r="173" spans="18:19">
      <c r="R173" t="str">
        <v/>
      </c>
      <c r="S173" t="str">
        <v/>
      </c>
    </row>
    <row r="174" spans="18:19">
      <c r="R174" t="str">
        <v/>
      </c>
      <c r="S174" t="str">
        <v/>
      </c>
    </row>
    <row r="175" spans="18:19">
      <c r="R175" t="str">
        <v/>
      </c>
      <c r="S175" t="str">
        <v/>
      </c>
    </row>
    <row r="176" spans="18:19">
      <c r="R176" t="str">
        <v/>
      </c>
      <c r="S176" t="str">
        <v/>
      </c>
    </row>
    <row r="177" spans="18:19">
      <c r="R177" t="str">
        <v/>
      </c>
      <c r="S177" t="str">
        <v/>
      </c>
    </row>
    <row r="178" spans="18:19">
      <c r="R178" t="str">
        <v/>
      </c>
      <c r="S178" t="str">
        <v/>
      </c>
    </row>
    <row r="179" spans="18:19">
      <c r="R179" t="str">
        <v/>
      </c>
      <c r="S179" t="str">
        <v/>
      </c>
    </row>
    <row r="180" spans="18:19">
      <c r="R180" t="str">
        <v/>
      </c>
      <c r="S180" t="str">
        <v/>
      </c>
    </row>
    <row r="181" spans="18:19">
      <c r="R181" t="str">
        <v/>
      </c>
      <c r="S181" t="str">
        <v/>
      </c>
    </row>
    <row r="182" spans="18:19">
      <c r="R182" t="str">
        <v/>
      </c>
      <c r="S182" t="str">
        <v/>
      </c>
    </row>
    <row r="183" spans="18:19">
      <c r="R183" t="str">
        <v/>
      </c>
      <c r="S183" t="str">
        <v/>
      </c>
    </row>
    <row r="184" spans="18:19">
      <c r="R184" t="str">
        <v/>
      </c>
      <c r="S184" t="str">
        <v/>
      </c>
    </row>
    <row r="185" spans="18:19">
      <c r="R185" t="str">
        <v/>
      </c>
      <c r="S185" t="str">
        <v/>
      </c>
    </row>
    <row r="186" spans="18:19">
      <c r="R186" t="str">
        <v/>
      </c>
      <c r="S186" t="str">
        <v/>
      </c>
    </row>
    <row r="187" spans="18:19">
      <c r="R187" t="str">
        <v/>
      </c>
      <c r="S187" t="str">
        <v/>
      </c>
    </row>
    <row r="188" spans="18:19">
      <c r="R188" t="str">
        <v/>
      </c>
      <c r="S188" t="str">
        <v/>
      </c>
    </row>
    <row r="189" spans="18:19">
      <c r="R189" t="str">
        <v/>
      </c>
      <c r="S189" t="str">
        <v/>
      </c>
    </row>
    <row r="190" spans="18:19">
      <c r="R190" t="str">
        <v/>
      </c>
      <c r="S190" t="str">
        <v/>
      </c>
    </row>
    <row r="191" spans="18:19">
      <c r="R191" t="str">
        <v/>
      </c>
      <c r="S191" t="str">
        <v/>
      </c>
    </row>
    <row r="192" spans="18:19">
      <c r="R192" t="str">
        <v/>
      </c>
      <c r="S192" t="str">
        <v/>
      </c>
    </row>
    <row r="193" spans="18:19">
      <c r="R193" t="str">
        <v/>
      </c>
      <c r="S193" t="str">
        <v/>
      </c>
    </row>
    <row r="194" spans="18:19">
      <c r="R194" t="str">
        <v/>
      </c>
      <c r="S194" t="str">
        <v/>
      </c>
    </row>
    <row r="195" spans="18:19">
      <c r="R195" t="str">
        <v/>
      </c>
      <c r="S195" t="str">
        <v/>
      </c>
    </row>
    <row r="196" spans="18:19">
      <c r="R196" t="str">
        <v/>
      </c>
      <c r="S196" t="str">
        <v/>
      </c>
    </row>
    <row r="197" spans="18:19">
      <c r="R197" t="str">
        <v/>
      </c>
      <c r="S197" t="str">
        <v/>
      </c>
    </row>
    <row r="198" spans="18:19">
      <c r="R198" t="str">
        <v/>
      </c>
      <c r="S198" t="str">
        <v/>
      </c>
    </row>
    <row r="199" spans="18:19">
      <c r="R199" t="str">
        <v/>
      </c>
      <c r="S199" t="str">
        <v/>
      </c>
    </row>
    <row r="200" spans="18:19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>
      <c r="A1" s="278" t="s">
        <v>2903</v>
      </c>
      <c r="B1" s="278"/>
      <c r="C1" s="278"/>
      <c r="D1" s="278"/>
      <c r="E1" s="278"/>
      <c r="F1" s="278"/>
      <c r="G1" s="278"/>
    </row>
    <row r="2" spans="1:7" ht="9.9499999999999993" customHeight="1">
      <c r="A2" s="107"/>
      <c r="B2" s="107"/>
      <c r="C2" s="107"/>
      <c r="D2" s="107"/>
      <c r="E2" s="107"/>
      <c r="F2" s="107"/>
      <c r="G2" s="107"/>
    </row>
    <row r="3" spans="1:7" ht="15.75" thickBot="1"/>
    <row r="4" spans="1:7" ht="24.95" customHeight="1">
      <c r="A4" s="279" t="s">
        <v>2904</v>
      </c>
      <c r="B4" s="280"/>
      <c r="D4" s="281" t="s">
        <v>2905</v>
      </c>
      <c r="E4" s="282"/>
      <c r="G4" s="125" t="s">
        <v>2906</v>
      </c>
    </row>
    <row r="5" spans="1:7" ht="54.95" customHeight="1" thickBot="1">
      <c r="A5" s="115">
        <f>COUNTIF('Ações InCompany'!B:B,2026)</f>
        <v>52</v>
      </c>
      <c r="B5" s="116" t="s">
        <v>2907</v>
      </c>
      <c r="D5" s="123">
        <f>COUNTIFS('Ações InCompany'!B:B,2026,'Ações InCompany'!C:C,"Realizado")</f>
        <v>32</v>
      </c>
      <c r="E5" s="124" t="s">
        <v>2907</v>
      </c>
      <c r="G5" s="126">
        <f>COUNTIFS('Ações InCompany'!B:B,2026,'Ações InCompany'!C:C,"A realizar")</f>
        <v>15</v>
      </c>
    </row>
    <row r="6" spans="1:7" ht="5.0999999999999996" customHeight="1">
      <c r="A6" s="107"/>
      <c r="B6" s="107"/>
      <c r="C6" s="107"/>
      <c r="D6" s="107"/>
      <c r="E6" s="107"/>
      <c r="F6" s="107"/>
      <c r="G6" s="107"/>
    </row>
    <row r="8" spans="1:7" ht="17.25">
      <c r="A8" s="277" t="s">
        <v>2908</v>
      </c>
      <c r="B8" s="277"/>
      <c r="D8" s="277" t="s">
        <v>2909</v>
      </c>
      <c r="E8" s="277"/>
    </row>
    <row r="9" spans="1:7" ht="5.0999999999999996" customHeight="1">
      <c r="A9" s="291"/>
      <c r="B9" s="291"/>
      <c r="D9" s="291"/>
      <c r="E9" s="291"/>
    </row>
    <row r="10" spans="1:7" ht="24.95" customHeight="1">
      <c r="A10" s="108" t="s">
        <v>5</v>
      </c>
      <c r="B10" s="108" t="s">
        <v>2910</v>
      </c>
      <c r="D10" s="108" t="s">
        <v>2911</v>
      </c>
      <c r="E10" s="108" t="s">
        <v>2912</v>
      </c>
    </row>
    <row r="11" spans="1:7" ht="27.95" customHeight="1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2913</v>
      </c>
      <c r="E11" s="110">
        <f>SUMIFS('Ações InCompany'!O:O,'Ações InCompany'!B:B,2026,'Ações InCompany'!C:C,"Realizado")</f>
        <v>461</v>
      </c>
    </row>
    <row r="12" spans="1:7" ht="27.95" customHeight="1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2914</v>
      </c>
      <c r="E12" s="112">
        <f>SUMIFS('Ações InCompany'!P:P,'Ações InCompany'!B:B,2026,'Ações InCompany'!C:C,"Realizado")</f>
        <v>447</v>
      </c>
    </row>
    <row r="13" spans="1:7" ht="27.95" customHeight="1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2915</v>
      </c>
      <c r="E13" s="110">
        <f>SUMIFS('Ações InCompany'!Q:Q,'Ações InCompany'!B:B,2026,'Ações InCompany'!C:C,"Realizado")</f>
        <v>370</v>
      </c>
    </row>
    <row r="14" spans="1:7" ht="27.95" customHeight="1">
      <c r="A14" s="113" t="s">
        <v>2916</v>
      </c>
      <c r="B14" s="114">
        <f>SUM(B11:B13)</f>
        <v>32</v>
      </c>
      <c r="D14" s="113" t="s">
        <v>2917</v>
      </c>
      <c r="E14" s="114">
        <f>SUM(E11:E13)</f>
        <v>1278</v>
      </c>
    </row>
    <row r="30" spans="1:5" ht="17.25">
      <c r="A30" s="277" t="s">
        <v>2918</v>
      </c>
      <c r="B30" s="277"/>
      <c r="C30" s="277"/>
      <c r="D30" s="277"/>
      <c r="E30" s="277"/>
    </row>
    <row r="31" spans="1:5" ht="5.0999999999999996" customHeight="1">
      <c r="A31" s="291"/>
      <c r="B31" s="291"/>
      <c r="C31" s="291"/>
      <c r="D31" s="291"/>
      <c r="E31" s="291"/>
    </row>
    <row r="32" spans="1:5" ht="24.95" customHeight="1">
      <c r="A32" s="108" t="s">
        <v>6</v>
      </c>
      <c r="B32" s="108" t="s">
        <v>2919</v>
      </c>
      <c r="C32" s="108" t="s">
        <v>2920</v>
      </c>
      <c r="D32" s="108" t="s">
        <v>2921</v>
      </c>
      <c r="E32" s="108" t="s">
        <v>2922</v>
      </c>
    </row>
    <row r="33" spans="1:5" ht="24" customHeight="1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5</v>
      </c>
      <c r="D33" s="117">
        <f t="shared" ref="D33:D44" si="0">B33+C33</f>
        <v>10</v>
      </c>
      <c r="E33" s="118">
        <f t="shared" ref="E33:E44" si="1">D33/$D$45</f>
        <v>0.21276595744680851</v>
      </c>
    </row>
    <row r="34" spans="1:5" ht="24" customHeight="1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6.3829787234042548E-2</v>
      </c>
    </row>
    <row r="35" spans="1:5" ht="24" customHeight="1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0</v>
      </c>
      <c r="D35" s="117">
        <f t="shared" si="0"/>
        <v>5</v>
      </c>
      <c r="E35" s="118">
        <f t="shared" si="1"/>
        <v>0.10638297872340426</v>
      </c>
    </row>
    <row r="36" spans="1:5" ht="24" customHeight="1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2.1276595744680851E-2</v>
      </c>
    </row>
    <row r="37" spans="1:5" ht="24" customHeight="1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4.2553191489361701E-2</v>
      </c>
    </row>
    <row r="38" spans="1:5" ht="24" customHeight="1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6</v>
      </c>
      <c r="D38" s="119">
        <f t="shared" si="0"/>
        <v>11</v>
      </c>
      <c r="E38" s="120">
        <f t="shared" si="1"/>
        <v>0.23404255319148937</v>
      </c>
    </row>
    <row r="39" spans="1:5" ht="24" customHeight="1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8.5106382978723402E-2</v>
      </c>
    </row>
    <row r="40" spans="1:5" ht="24" customHeight="1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4.2553191489361701E-2</v>
      </c>
    </row>
    <row r="41" spans="1:5" ht="24" customHeight="1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0.14893617021276595</v>
      </c>
    </row>
    <row r="42" spans="1:5" ht="24" customHeight="1">
      <c r="A42" s="156" t="s">
        <v>2923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4.2553191489361701E-2</v>
      </c>
    </row>
    <row r="44" spans="1:5" ht="24" customHeight="1">
      <c r="A44" s="148" t="s">
        <v>2924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>
      <c r="A45" s="113" t="s">
        <v>2916</v>
      </c>
      <c r="B45" s="121">
        <f>SUM(B33:B44)</f>
        <v>32</v>
      </c>
      <c r="C45" s="121">
        <f>SUM(C33:C44)</f>
        <v>15</v>
      </c>
      <c r="D45" s="121">
        <f>SUM(D33:D44)</f>
        <v>47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2925</v>
      </c>
      <c r="B1" s="12" t="s">
        <v>2926</v>
      </c>
      <c r="C1" s="13" t="s">
        <v>2927</v>
      </c>
      <c r="D1" s="13" t="s">
        <v>2928</v>
      </c>
      <c r="E1" s="13" t="s">
        <v>2929</v>
      </c>
    </row>
    <row r="2" spans="1:5" ht="18" customHeight="1">
      <c r="A2" s="12" t="s">
        <v>2930</v>
      </c>
      <c r="B2" s="12" t="s">
        <v>2931</v>
      </c>
      <c r="C2" s="12" t="s">
        <v>1729</v>
      </c>
      <c r="D2" s="12" t="s">
        <v>2932</v>
      </c>
      <c r="E2" s="12" t="s">
        <v>2933</v>
      </c>
    </row>
    <row r="3" spans="1:5" ht="18" customHeight="1">
      <c r="A3" s="12" t="s">
        <v>2930</v>
      </c>
      <c r="B3" s="12" t="s">
        <v>2931</v>
      </c>
      <c r="C3" s="14" t="s">
        <v>24</v>
      </c>
      <c r="D3" s="12" t="s">
        <v>2934</v>
      </c>
      <c r="E3" s="12" t="s">
        <v>2935</v>
      </c>
    </row>
    <row r="4" spans="1:5" ht="18" customHeight="1">
      <c r="A4" s="12" t="s">
        <v>2930</v>
      </c>
      <c r="B4" s="12" t="s">
        <v>2931</v>
      </c>
      <c r="C4" s="12" t="s">
        <v>68</v>
      </c>
      <c r="D4" s="12" t="s">
        <v>2932</v>
      </c>
      <c r="E4" s="12" t="s">
        <v>2936</v>
      </c>
    </row>
    <row r="5" spans="1:5" ht="18" customHeight="1">
      <c r="A5" s="12" t="s">
        <v>2930</v>
      </c>
      <c r="B5" s="12" t="s">
        <v>2931</v>
      </c>
      <c r="C5" s="12" t="s">
        <v>72</v>
      </c>
      <c r="D5" s="12" t="s">
        <v>2937</v>
      </c>
      <c r="E5" s="12" t="s">
        <v>2938</v>
      </c>
    </row>
    <row r="6" spans="1:5" ht="18" customHeight="1">
      <c r="A6" s="12" t="s">
        <v>2930</v>
      </c>
      <c r="B6" s="12" t="s">
        <v>2931</v>
      </c>
      <c r="C6" s="12" t="s">
        <v>2727</v>
      </c>
      <c r="D6" s="12" t="s">
        <v>2939</v>
      </c>
      <c r="E6" s="12" t="s">
        <v>2940</v>
      </c>
    </row>
    <row r="7" spans="1:5" ht="18" customHeight="1">
      <c r="A7" s="12" t="s">
        <v>2930</v>
      </c>
      <c r="B7" s="12" t="s">
        <v>2941</v>
      </c>
      <c r="C7" s="12" t="s">
        <v>33</v>
      </c>
      <c r="D7" s="12" t="s">
        <v>2942</v>
      </c>
      <c r="E7" s="12" t="s">
        <v>2943</v>
      </c>
    </row>
    <row r="8" spans="1:5" ht="18" customHeight="1">
      <c r="A8" s="12" t="s">
        <v>2930</v>
      </c>
      <c r="B8" s="12" t="s">
        <v>2941</v>
      </c>
      <c r="C8" s="12" t="s">
        <v>38</v>
      </c>
      <c r="D8" s="12" t="s">
        <v>2944</v>
      </c>
      <c r="E8" s="12" t="s">
        <v>2945</v>
      </c>
    </row>
    <row r="9" spans="1:5" ht="18" customHeight="1">
      <c r="A9" s="12" t="s">
        <v>2930</v>
      </c>
      <c r="B9" s="12" t="s">
        <v>2946</v>
      </c>
      <c r="C9" s="12" t="s">
        <v>457</v>
      </c>
      <c r="D9" s="12" t="s">
        <v>2947</v>
      </c>
      <c r="E9" s="12" t="s">
        <v>2948</v>
      </c>
    </row>
    <row r="10" spans="1:5" ht="18" customHeight="1">
      <c r="A10" s="12" t="s">
        <v>2930</v>
      </c>
      <c r="B10" s="12" t="s">
        <v>2946</v>
      </c>
      <c r="C10" s="12" t="s">
        <v>199</v>
      </c>
      <c r="D10" s="12" t="s">
        <v>23</v>
      </c>
      <c r="E10" s="12" t="s">
        <v>2949</v>
      </c>
    </row>
    <row r="11" spans="1:5" ht="18" customHeight="1">
      <c r="A11" s="12" t="s">
        <v>2930</v>
      </c>
      <c r="B11" s="12" t="s">
        <v>2946</v>
      </c>
      <c r="C11" s="12" t="s">
        <v>364</v>
      </c>
      <c r="D11" s="12" t="s">
        <v>23</v>
      </c>
      <c r="E11" s="12" t="s">
        <v>2950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>
      <c r="A1" s="15" t="s">
        <v>2951</v>
      </c>
      <c r="B1" s="5" t="s">
        <v>10</v>
      </c>
      <c r="C1" s="15" t="s">
        <v>2952</v>
      </c>
      <c r="D1" s="15" t="s">
        <v>2843</v>
      </c>
    </row>
    <row r="2" spans="1:4" ht="21" customHeight="1">
      <c r="A2" s="258" t="s">
        <v>23</v>
      </c>
      <c r="B2" s="258" t="s">
        <v>35</v>
      </c>
      <c r="C2" s="12" t="s">
        <v>2953</v>
      </c>
      <c r="D2" s="12" t="s">
        <v>2765</v>
      </c>
    </row>
    <row r="3" spans="1:4" ht="21" customHeight="1">
      <c r="A3" s="12" t="s">
        <v>62</v>
      </c>
      <c r="B3" s="258" t="s">
        <v>26</v>
      </c>
      <c r="C3" s="12" t="s">
        <v>2954</v>
      </c>
      <c r="D3" s="12" t="s">
        <v>2664</v>
      </c>
    </row>
    <row r="4" spans="1:4" ht="21" customHeight="1">
      <c r="A4" s="14" t="s">
        <v>81</v>
      </c>
      <c r="B4" s="258" t="s">
        <v>220</v>
      </c>
      <c r="D4" s="12" t="s">
        <v>2743</v>
      </c>
    </row>
    <row r="5" spans="1:4" ht="21" customHeight="1">
      <c r="A5" s="12" t="s">
        <v>225</v>
      </c>
      <c r="D5" s="12" t="s">
        <v>21</v>
      </c>
    </row>
    <row r="6" spans="1:4" ht="21" customHeight="1">
      <c r="D6" s="12" t="s">
        <v>2757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>
      <c r="A1" s="12" t="s">
        <v>2925</v>
      </c>
      <c r="B1" s="12" t="s">
        <v>2926</v>
      </c>
      <c r="C1" s="13" t="s">
        <v>2927</v>
      </c>
      <c r="D1" s="13" t="s">
        <v>2928</v>
      </c>
      <c r="E1" s="13" t="s">
        <v>2929</v>
      </c>
    </row>
    <row r="2" spans="1:5" ht="18" customHeight="1">
      <c r="A2" s="12" t="s">
        <v>2955</v>
      </c>
      <c r="B2" s="12" t="s">
        <v>2931</v>
      </c>
      <c r="C2" s="14" t="s">
        <v>24</v>
      </c>
      <c r="D2" s="12" t="s">
        <v>2932</v>
      </c>
      <c r="E2" s="18" t="s">
        <v>2956</v>
      </c>
    </row>
    <row r="3" spans="1:5" ht="18" customHeight="1">
      <c r="A3" s="12" t="s">
        <v>2955</v>
      </c>
      <c r="B3" s="12" t="s">
        <v>2931</v>
      </c>
      <c r="C3" s="12" t="s">
        <v>68</v>
      </c>
      <c r="D3" s="12" t="s">
        <v>2934</v>
      </c>
      <c r="E3" s="12" t="s">
        <v>2957</v>
      </c>
    </row>
    <row r="4" spans="1:5" ht="18" customHeight="1">
      <c r="A4" s="12" t="s">
        <v>2955</v>
      </c>
      <c r="B4" s="12" t="s">
        <v>2931</v>
      </c>
      <c r="C4" s="12" t="s">
        <v>72</v>
      </c>
      <c r="D4" s="12" t="s">
        <v>2937</v>
      </c>
      <c r="E4" s="12" t="s">
        <v>2958</v>
      </c>
    </row>
    <row r="5" spans="1:5" ht="27.75" customHeight="1">
      <c r="A5" s="12" t="s">
        <v>2955</v>
      </c>
      <c r="B5" s="12" t="s">
        <v>2931</v>
      </c>
      <c r="C5" s="12" t="s">
        <v>2690</v>
      </c>
      <c r="D5" s="18" t="s">
        <v>2959</v>
      </c>
      <c r="E5" s="12" t="s">
        <v>2960</v>
      </c>
    </row>
    <row r="6" spans="1:5" ht="18" customHeight="1">
      <c r="A6" s="12" t="s">
        <v>2955</v>
      </c>
      <c r="B6" s="12" t="s">
        <v>2931</v>
      </c>
      <c r="C6" s="12" t="s">
        <v>2727</v>
      </c>
      <c r="D6" s="12" t="s">
        <v>2939</v>
      </c>
      <c r="E6" s="12" t="s">
        <v>2940</v>
      </c>
    </row>
    <row r="7" spans="1:5" ht="18" customHeight="1">
      <c r="A7" s="12" t="s">
        <v>2955</v>
      </c>
      <c r="B7" s="12" t="s">
        <v>2941</v>
      </c>
      <c r="C7" s="12" t="s">
        <v>2711</v>
      </c>
      <c r="D7" s="12" t="s">
        <v>2961</v>
      </c>
      <c r="E7" s="12" t="s">
        <v>2962</v>
      </c>
    </row>
    <row r="8" spans="1:5" ht="18" customHeight="1">
      <c r="A8" s="12" t="s">
        <v>2955</v>
      </c>
      <c r="B8" s="12" t="s">
        <v>2941</v>
      </c>
      <c r="C8" s="12" t="s">
        <v>38</v>
      </c>
      <c r="D8" s="12" t="s">
        <v>2944</v>
      </c>
      <c r="E8" s="12" t="s">
        <v>2945</v>
      </c>
    </row>
    <row r="9" spans="1:5" ht="18" customHeight="1">
      <c r="A9" s="12" t="s">
        <v>2955</v>
      </c>
      <c r="B9" s="12" t="s">
        <v>2941</v>
      </c>
      <c r="C9" s="12" t="s">
        <v>2695</v>
      </c>
      <c r="D9" s="12" t="s">
        <v>2963</v>
      </c>
      <c r="E9" s="18" t="s">
        <v>2964</v>
      </c>
    </row>
    <row r="10" spans="1:5" ht="18" customHeight="1">
      <c r="A10" s="12" t="s">
        <v>2955</v>
      </c>
      <c r="B10" s="12" t="s">
        <v>2965</v>
      </c>
      <c r="C10" s="12" t="s">
        <v>2923</v>
      </c>
      <c r="D10" s="12" t="s">
        <v>2966</v>
      </c>
      <c r="E10" s="18" t="s">
        <v>2967</v>
      </c>
    </row>
    <row r="11" spans="1:5" ht="18" customHeight="1">
      <c r="A11" s="12" t="s">
        <v>2955</v>
      </c>
      <c r="B11" s="12" t="s">
        <v>2965</v>
      </c>
      <c r="C11" s="12" t="s">
        <v>199</v>
      </c>
      <c r="D11" s="12" t="s">
        <v>23</v>
      </c>
      <c r="E11" s="12" t="s">
        <v>2949</v>
      </c>
    </row>
    <row r="12" spans="1:5" ht="18" customHeight="1">
      <c r="A12" s="12" t="s">
        <v>2955</v>
      </c>
      <c r="B12" s="12" t="s">
        <v>2965</v>
      </c>
      <c r="C12" s="12" t="s">
        <v>364</v>
      </c>
      <c r="D12" s="12" t="s">
        <v>23</v>
      </c>
      <c r="E12" s="12" t="s">
        <v>2950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/>
  <cols>
    <col min="1" max="1" width="57.140625" customWidth="1"/>
    <col min="2" max="6" width="22.85546875" customWidth="1"/>
  </cols>
  <sheetData>
    <row r="1" spans="1:7" ht="18.75">
      <c r="A1" s="292" t="s">
        <v>2968</v>
      </c>
      <c r="B1" s="292"/>
      <c r="C1" s="292"/>
      <c r="D1" s="292"/>
      <c r="E1" s="292"/>
      <c r="F1" s="292"/>
    </row>
    <row r="2" spans="1:7">
      <c r="A2" s="293" t="s">
        <v>2969</v>
      </c>
      <c r="B2" s="293"/>
      <c r="C2" s="293"/>
      <c r="D2" s="293"/>
      <c r="E2" s="293"/>
      <c r="F2" s="293"/>
    </row>
    <row r="4" spans="1:7">
      <c r="A4" s="102" t="s">
        <v>19</v>
      </c>
      <c r="B4" s="102" t="s">
        <v>2846</v>
      </c>
      <c r="C4" s="102" t="s">
        <v>2847</v>
      </c>
      <c r="D4" s="102" t="s">
        <v>2970</v>
      </c>
      <c r="E4" s="102" t="s">
        <v>2848</v>
      </c>
      <c r="F4" s="102" t="s">
        <v>2971</v>
      </c>
    </row>
    <row r="5" spans="1:7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8</v>
      </c>
      <c r="G5" s="101">
        <f>IF($A5="","",COUNTIFS('GECC 2026'!G$2:G$200,$A5))</f>
        <v>0</v>
      </c>
    </row>
    <row r="6" spans="1:7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10</v>
      </c>
    </row>
    <row r="12" spans="1:7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7</v>
      </c>
    </row>
    <row r="15" spans="1:7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8</v>
      </c>
    </row>
    <row r="20" spans="1:6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>
      <c r="A31" t="str">
        <v>Luiz Felipe Tenório de Lima Gondim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0</v>
      </c>
      <c r="F31" s="101">
        <f>IF($A31="","",COUNTIFS('GECC 2026'!F$2:F$200,$A31))</f>
        <v>4</v>
      </c>
    </row>
    <row r="32" spans="1:6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>
      <c r="A37" t="str">
        <v>Priscila Nolasco</v>
      </c>
      <c r="B37" s="103">
        <f>IF($A37="","",SUMIFS('GECC 2026'!H$2:H$200,'GECC 2026'!F$2:F$200,$A37))</f>
        <v>12</v>
      </c>
      <c r="C37" s="103">
        <f>IF($A37="","",SUMIFS('GECC 2026'!I$2:I$200,'GECC 2026'!F$2:F$200,$A37))</f>
        <v>2.6399999999999997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14.64</v>
      </c>
      <c r="F37" s="101">
        <f>IF($A37="","",COUNTIFS('GECC 2026'!F$2:F$200,$A37))</f>
        <v>7</v>
      </c>
    </row>
    <row r="38" spans="1:6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>
      <c r="A105" s="241" t="s">
        <v>2917</v>
      </c>
      <c r="B105" s="242">
        <f>SUM(B5:B100)</f>
        <v>568</v>
      </c>
      <c r="C105" s="242">
        <f>SUM(C5:C100)</f>
        <v>380.10000000000008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105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>
      <c r="A1" s="283" t="s">
        <v>2972</v>
      </c>
      <c r="B1" s="283"/>
      <c r="C1" s="283"/>
      <c r="D1" s="283"/>
      <c r="E1" s="283"/>
      <c r="F1" s="283"/>
      <c r="G1" s="283"/>
      <c r="H1" s="283"/>
    </row>
    <row r="2" spans="1:8">
      <c r="A2" s="130" t="s">
        <v>2973</v>
      </c>
    </row>
    <row r="4" spans="1:8" ht="21.95" customHeight="1">
      <c r="A4" s="284" t="s">
        <v>2974</v>
      </c>
      <c r="B4" s="285"/>
      <c r="D4" s="284" t="s">
        <v>2975</v>
      </c>
      <c r="E4" s="285"/>
      <c r="G4" s="284" t="s">
        <v>2976</v>
      </c>
      <c r="H4" s="285"/>
    </row>
    <row r="5" spans="1:8" ht="35.1" customHeight="1">
      <c r="A5" s="288">
        <f>COUNTIF('Ações InCompany'!E:E,"*maratona*")</f>
        <v>13</v>
      </c>
      <c r="B5" s="287"/>
      <c r="D5" s="286">
        <f>SUM(H8:H100)</f>
        <v>1566</v>
      </c>
      <c r="E5" s="287"/>
      <c r="G5" s="286">
        <f>IFERROR(ROUND(D5/A5,0),"-")</f>
        <v>120</v>
      </c>
      <c r="H5" s="287"/>
    </row>
    <row r="6" spans="1:8" ht="9.9499999999999993" customHeight="1"/>
    <row r="7" spans="1:8" ht="24.95" customHeight="1" thickBot="1">
      <c r="A7" s="143" t="s">
        <v>2977</v>
      </c>
      <c r="B7" s="143" t="s">
        <v>2978</v>
      </c>
      <c r="C7" s="143" t="s">
        <v>1</v>
      </c>
      <c r="D7" s="143" t="s">
        <v>2979</v>
      </c>
      <c r="E7" s="143" t="s">
        <v>2980</v>
      </c>
      <c r="F7" s="143" t="s">
        <v>2843</v>
      </c>
      <c r="G7" s="143" t="s">
        <v>5</v>
      </c>
      <c r="H7" s="143" t="s">
        <v>2981</v>
      </c>
    </row>
    <row r="8" spans="1:8" ht="20.100000000000001" customHeight="1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/>
</file>

<file path=customXml/itemProps2.xml><?xml version="1.0" encoding="utf-8"?>
<ds:datastoreItem xmlns:ds="http://schemas.openxmlformats.org/officeDocument/2006/customXml" ds:itemID="{09E963D1-4255-41FD-98AB-5B82B7F67BB4}"/>
</file>

<file path=customXml/itemProps3.xml><?xml version="1.0" encoding="utf-8"?>
<ds:datastoreItem xmlns:ds="http://schemas.openxmlformats.org/officeDocument/2006/customXml" ds:itemID="{54B26992-BCD1-4DF2-A87D-5F3BC1837C0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Natália Pereira Gonçalves Vilarins</cp:lastModifiedBy>
  <cp:revision/>
  <dcterms:created xsi:type="dcterms:W3CDTF">2024-04-02T18:43:15Z</dcterms:created>
  <dcterms:modified xsi:type="dcterms:W3CDTF">2026-07-01T01:37:41Z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