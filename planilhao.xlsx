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138" documentId="13_ncr:1_{C887EC22-7CD1-4717-84BE-7303F42C5C0A}" xr6:coauthVersionLast="47" xr6:coauthVersionMax="47" xr10:uidLastSave="{53DA33FC-1F23-43D7-A1D6-3ED570BC537E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AE33" i="20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D45" i="23" l="1"/>
  <c r="E45" i="23"/>
  <c r="F45" i="23"/>
  <c r="C45" i="23"/>
  <c r="B45" i="23"/>
  <c r="B44" i="23"/>
  <c r="E44" i="23"/>
  <c r="F44" i="23"/>
  <c r="C44" i="23"/>
  <c r="D44" i="23"/>
  <c r="E43" i="23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<sst xmlns="http://schemas.openxmlformats.org/spreadsheetml/2006/main" count="6614" uniqueCount="2986">
  <si>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</si>
  <si>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</si>
  <si>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</si>
  <si>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</si>
  <si>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</si>
  <si>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</si>
  <si>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</si>
  <si>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</si>
  <si>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</si>
  <si>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</si>
  <si>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</si>
  <si>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</si>
  <si>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</si>
  <si>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</si>
  <si>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</si>
  <si>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</si>
  <si>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</si>
  <si>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</si>
  <si>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</si>
  <si>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</si>
  <si>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</si>
  <si>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</si>
  <si>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</si>
  <si>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</si>
  <si>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</si>
  <si>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</si>
  <si>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</si>
  <si>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</si>
  <si>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</si>
  <si>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</si>
  <si>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</si>
  <si>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</si>
  <si>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</si>
  <si>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</si>
  <si>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</si>
  <si>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</si>
  <si>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</si>
  <si>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</si>
  <si>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</si>
  <si>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</si>
  <si>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</si>
  <si>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</si>
  <si>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</si>
  <si>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</si>
  <si>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</si>
  <si>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</si>
  <si>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</si>
  <si>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</si>
  <si>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</si>
  <si>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</si>
  <si>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</si>
  <si>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</si>
  <si>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</si>
  <si>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</si>
  <si>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</si>
  <si>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</si>
  <si>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</si>
  <si>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</si>
  <si>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</si>
  <si>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</si>
  <si>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</si>
  <si>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</si>
  <si>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</si>
  <si>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</si>
  <si>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</si>
  <si>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</si>
  <si>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</si>
  <si>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</si>
  <si>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</si>
  <si>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</si>
  <si>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</si>
  <si>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</si>
  <si>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</si>
  <si>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</si>
  <si>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</si>
  <si>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</si>
  <si>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</si>
  <si>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</si>
  <si>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</si>
  <si>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</si>
  <si>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</si>
  <si>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</si>
  <si>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</si>
  <si>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</si>
  <si>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</si>
  <si>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</si>
  <si>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</si>
  <si>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</si>
  <si>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</si>
  <si>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</si>
  <si>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</si>
  <si>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</si>
  <si>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</si>
  <si>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</si>
  <si>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</si>
  <si>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</si>
  <si>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</si>
  <si>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</si>
  <si>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</si>
  <si>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</si>
  <si>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</si>
  <si>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</si>
  <si>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</si>
  <si>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</si>
  <si>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</si>
  <si>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</si>
  <si>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</si>
  <si>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</si>
  <si>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</si>
  <si>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</si>
  <si>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</si>
  <si>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</si>
  <si>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</si>
  <si>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</si>
  <si>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</si>
  <si>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</si>
  <si>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</si>
  <si>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</si>
  <si>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</si>
  <si>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</si>
  <si>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</si>
  <si>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</si>
  <si>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</si>
  <si>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</si>
  <si>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</si>
  <si>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</si>
  <si>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</si>
  <si>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</si>
  <si>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</si>
  <si>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</si>
  <si>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</si>
  <si>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</si>
  <si>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</si>
  <si>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</si>
  <si>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</si>
  <si>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</si>
  <si>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</si>
  <si>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</si>
  <si>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</si>
  <si>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</si>
  <si>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</si>
  <si>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</si>
  <si>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</si>
  <si>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</si>
  <si>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</si>
  <si>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</si>
  <si>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</si>
  <si>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</si>
  <si>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</si>
  <si>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</si>
  <si>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</si>
  <si>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</si>
  <si>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</si>
  <si>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</si>
  <si>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</si>
  <si>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</si>
  <si>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</si>
  <si>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</si>
  <si>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</si>
  <si>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</si>
  <si>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</si>
  <si>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</si>
  <si>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</si>
  <si>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</si>
  <si>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</si>
  <si>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</si>
  <si>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</si>
  <si>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</si>
  <si>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</si>
  <si>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</si>
  <si>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</si>
  <si>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</si>
  <si>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</si>
  <si>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</si>
  <si>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</si>
  <si>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</si>
  <si>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</si>
  <si>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</si>
  <si>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</si>
  <si>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</si>
  <si>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</si>
  <si>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</si>
  <si>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</si>
  <si>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</si>
  <si>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</si>
  <si>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</si>
  <si>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</si>
  <si>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</si>
  <si>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</si>
  <si>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</si>
  <si>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</si>
  <si>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</si>
  <si>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</si>
  <si>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</si>
  <si>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</si>
  <si>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</si>
  <si>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</si>
  <si>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</si>
  <si>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</si>
  <si>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</si>
  <si>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</si>
  <si>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</si>
  <si>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</si>
  <si>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</si>
  <si>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</si>
  <si>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</si>
  <si>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</si>
  <si>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</si>
  <si>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</si>
  <si>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</si>
  <si>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</si>
  <si>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</si>
  <si>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</si>
  <si>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</si>
  <si>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</si>
  <si>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</si>
  <si>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</si>
  <si>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</si>
  <si>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</si>
  <si>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</si>
  <si>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</si>
  <si>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</si>
  <si>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</si>
  <si>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</si>
  <si>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</si>
  <si>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</si>
  <si>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</si>
  <si>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</si>
  <si>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</si>
  <si>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</si>
  <si>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</si>
  <si>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</si>
  <si>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</si>
  <si>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</si>
  <si>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</si>
  <si>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</si>
  <si>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</si>
  <si>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</si>
  <si>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</si>
  <si>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</si>
  <si>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</si>
  <si>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</si>
  <si>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</si>
  <si>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</si>
  <si>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</si>
  <si>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</si>
  <si>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</si>
  <si>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</si>
  <si>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</si>
  <si>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</si>
  <si>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</si>
  <si>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</si>
  <si>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</si>
  <si>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</si>
  <si>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</si>
  <si>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</si>
  <si>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</si>
  <si>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</si>
  <si>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</si>
  <si>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</si>
  <si>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</si>
  <si>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</si>
  <si>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</si>
  <si>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</si>
  <si>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</si>
  <si>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</si>
  <si>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</si>
  <si>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</si>
  <si>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</si>
  <si>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</si>
  <si>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</si>
  <si>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</si>
  <si>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</si>
  <si>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</si>
  <si>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</si>
  <si>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</si>
  <si>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</si>
  <si>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</si>
  <si>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</si>
  <si>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</si>
  <si>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</si>
  <si>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</si>
  <si>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</si>
  <si>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</si>
  <si>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</si>
  <si>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</si>
  <si>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</si>
  <si>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</si>
  <si>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</si>
  <si>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</si>
  <si>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</si>
  <si>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</si>
  <si>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</si>
  <si>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</si>
  <si>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</si>
  <si>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</si>
  <si>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</si>
  <si>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</si>
  <si>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</si>
  <si>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</si>
  <si>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</si>
  <si>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</si>
  <si>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</si>
  <si>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</si>
  <si>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</si>
  <si>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</si>
  <si>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</si>
  <si>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</si>
  <si>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</si>
  <si>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</si>
  <si>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</si>
  <si>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</si>
  <si>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</si>
  <si>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</si>
  <si>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</si>
  <si>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</si>
  <si>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</si>
  <si>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</si>
  <si>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</si>
  <si>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</si>
  <si>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</si>
  <si>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</si>
  <si>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</si>
  <si>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</si>
  <si>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</si>
  <si>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</si>
  <si>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</si>
  <si>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</si>
  <si>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</si>
  <si>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</si>
  <si>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</si>
  <si>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</si>
  <si>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</si>
  <si>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</si>
  <si>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</si>
  <si>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</si>
  <si>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</si>
  <si>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</si>
  <si>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</si>
  <si>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</si>
  <si>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</si>
  <si>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</si>
  <si>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</si>
  <si>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</si>
  <si>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</si>
  <si>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</si>
  <si>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</si>
  <si>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</si>
  <si>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</si>
  <si>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</si>
  <si>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</si>
  <si>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</si>
  <si>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</si>
  <si>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</si>
  <si>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</si>
  <si>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</si>
  <si>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</si>
  <si>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</si>
  <si>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</si>
  <si>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</si>
  <si>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</si>
  <si>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</si>
  <si>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</si>
  <si>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</si>
  <si>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</si>
  <si>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</si>
  <si>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</si>
  <si>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</si>
  <si>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</si>
  <si>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</si>
  <si>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</si>
  <si>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</si>
  <si>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</si>
  <si>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</si>
  <si>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</si>
  <si>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</si>
  <si>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</si>
  <si>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</si>
  <si>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</si>
  <si>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</si>
  <si>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</si>
  <si>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</si>
  <si>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</si>
  <si>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</si>
  <si>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</si>
  <si>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</si>
  <si>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</si>
  <si>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</si>
  <si>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</si>
  <si>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</si>
  <si>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</si>
  <si>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</si>
  <si>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</si>
  <si>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</si>
  <si>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</si>
  <si>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</si>
  <si>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</si>
  <si>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</si>
  <si>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</si>
  <si>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</si>
  <si>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</si>
  <si>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</si>
  <si>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</si>
  <si>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</si>
  <si>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</si>
  <si>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</si>
  <si>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</si>
  <si>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</si>
  <si>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</si>
  <si>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</si>
  <si>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</si>
  <si>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</si>
  <si>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</si>
  <si>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</si>
  <si>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</si>
  <si>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</si>
  <si>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</si>
  <si>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</si>
  <si>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</si>
  <si>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</si>
  <si>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</si>
  <si>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</si>
  <si>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</si>
  <si>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</si>
  <si>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</si>
  <si>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</si>
  <si>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</si>
  <si>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</si>
  <si>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</si>
  <si>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</si>
  <si>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</si>
  <si>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</si>
  <si>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</si>
  <si>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</si>
  <si>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</si>
  <si>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</si>
  <si>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</si>
  <si>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</si>
  <si>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</si>
  <si>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</si>
  <si>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</si>
  <si>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</si>
  <si>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</si>
  <si>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</si>
  <si>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</si>
  <si>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</si>
  <si>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</si>
  <si>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</si>
  <si>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</si>
  <si>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</si>
  <si>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</si>
  <si>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</si>
  <si>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</si>
  <si>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</si>
  <si>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</si>
  <si>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</si>
  <si>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</si>
  <si>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</si>
  <si>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</si>
  <si>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</si>
  <si>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</si>
  <si>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</si>
  <si>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</si>
  <si>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</si>
  <si>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</si>
  <si>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</si>
  <si>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</si>
  <si>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</si>
  <si>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</si>
  <si>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</si>
  <si>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</si>
  <si>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</si>
  <si>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</si>
  <si>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</si>
  <si>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</si>
  <si>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</si>
  <si>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</si>
  <si>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</si>
  <si>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</si>
  <si>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</si>
  <si>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</si>
  <si>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</si>
  <si>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</si>
  <si>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</si>
  <si>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</si>
  <si>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</si>
  <si>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</si>
  <si>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</si>
  <si>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</si>
  <si>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</si>
  <si>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</si>
  <si>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</si>
  <si>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</si>
  <si>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</si>
  <si>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</si>
  <si>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</si>
  <si>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</si>
  <si>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</si>
  <si>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</si>
  <si>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</si>
  <si>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</si>
  <si>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</si>
  <si>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</si>
  <si>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</si>
  <si>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</si>
  <si>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</si>
  <si>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</si>
  <si>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</si>
  <si>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</si>
  <si>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</si>
  <si>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</si>
  <si>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</si>
  <si>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</si>
  <si>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</si>
  <si>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</si>
  <si>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</si>
  <si>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</si>
  <si>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</si>
  <si>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</si>
  <si>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</si>
  <si>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</si>
  <si>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</si>
  <si>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</si>
  <si>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</si>
  <si>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</si>
  <si>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</si>
  <si>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</si>
  <si>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</si>
  <si>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</si>
  <si>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</si>
  <si>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</si>
  <si>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</si>
  <si>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</si>
  <si>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</si>
  <si>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</si>
  <si>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</si>
  <si>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</si>
  <si>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</si>
  <si>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</si>
  <si>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</si>
  <si>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</si>
  <si>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</si>
  <si>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</si>
  <si>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</si>
  <si>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</si>
  <si>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</si>
  <si>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</si>
  <si>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</si>
  <si>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</si>
  <si>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</si>
  <si>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</si>
  <si>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</si>
  <si>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</si>
  <si>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</si>
  <si>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</si>
  <si>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</si>
  <si>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</si>
  <si>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</si>
  <si>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</si>
  <si>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</si>
  <si>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</si>
  <si>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</si>
  <si>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</si>
  <si>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</si>
  <si>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</si>
  <si>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</si>
  <si>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</si>
  <si>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</si>
  <si>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</si>
  <si>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</si>
  <si>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</si>
  <si>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</si>
  <si>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</si>
  <si>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</si>
  <si>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</si>
  <si>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</si>
  <si>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</si>
  <si>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</si>
  <si>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</si>
  <si>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</si>
  <si>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</si>
  <si>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</si>
  <si>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</si>
  <si>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</si>
  <si>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</si>
  <si>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</si>
  <si>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</si>
  <si>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</si>
  <si>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</si>
  <si>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</si>
  <si>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</si>
  <si>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</si>
  <si>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</si>
  <si>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</si>
  <si>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</si>
  <si>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</si>
  <si>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</si>
  <si>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</si>
  <si>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</si>
  <si>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</si>
  <si>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</si>
  <si>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</si>
  <si>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</si>
  <si>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</si>
  <si>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</si>
  <si>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</si>
  <si>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</si>
  <si>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</si>
  <si>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</si>
  <si>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</si>
  <si>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</si>
  <si>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</si>
  <si>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</si>
  <si>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</si>
  <si>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</si>
  <si>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</si>
  <si>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</si>
  <si>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</si>
  <si>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</si>
  <si>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</si>
  <si>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</si>
  <si>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</si>
  <si>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</si>
  <si>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</si>
  <si>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</si>
  <si>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</si>
  <si>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</si>
  <si>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</si>
  <si>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</si>
  <si>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</si>
  <si>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</si>
  <si>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</si>
  <si>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</si>
  <si>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</si>
  <si>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</si>
  <si>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</si>
  <si>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</si>
  <si>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</si>
  <si>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</si>
  <si>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</si>
  <si>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</si>
  <si>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</si>
  <si>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</si>
  <si>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</si>
  <si>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</si>
  <si>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</si>
  <si>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</si>
  <si>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</si>
  <si>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</si>
  <si>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</si>
  <si>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</si>
  <si>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</si>
  <si>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</si>
  <si>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</si>
  <si>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</si>
  <si>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</si>
  <si>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</si>
  <si>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</si>
  <si>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</si>
  <si>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</si>
  <si>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</si>
  <si>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</si>
  <si>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</si>
  <si>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</si>
  <si>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</si>
  <si>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</si>
  <si>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</si>
  <si>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</si>
  <si>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</si>
  <si>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</si>
  <si>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</si>
  <si>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</si>
  <si>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</si>
  <si>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</si>
  <si>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</si>
  <si>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</si>
  <si>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</si>
  <si>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</si>
  <si>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</si>
  <si>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</si>
  <si>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</si>
  <si>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</si>
  <si>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</si>
  <si>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</si>
  <si>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</si>
  <si>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</si>
  <si>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</si>
  <si>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</si>
  <si>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</si>
  <si>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</si>
  <si>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</si>
  <si>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</si>
  <si>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</si>
  <si>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</si>
  <si>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</si>
  <si>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</si>
  <si>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</si>
  <si>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</si>
  <si>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</si>
  <si>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</si>
  <si>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</si>
  <si>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</si>
  <si>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</si>
  <si>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</si>
  <si>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</si>
  <si>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</si>
  <si>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</si>
  <si>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</si>
  <si>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</si>
  <si>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</si>
  <si>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</si>
  <si>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</si>
  <si>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</si>
  <si>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</si>
  <si>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</si>
  <si>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</si>
  <si>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</si>
  <si>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</si>
  <si>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</si>
  <si>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</si>
  <si>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</si>
  <si>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</si>
  <si>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</si>
  <si>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</si>
  <si>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</si>
  <si>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</si>
  <si>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</si>
  <si>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</si>
  <si>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</si>
  <si>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</si>
  <si>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</si>
  <si>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</si>
  <si>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</si>
  <si>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</si>
  <si>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</si>
  <si>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</si>
  <si>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</si>
  <si>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</si>
  <si>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</si>
  <si>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</si>
  <si>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</si>
  <si>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</si>
  <si>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</si>
  <si>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</si>
  <si>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</si>
  <si>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</si>
  <si>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</si>
  <si>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</si>
  <si>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</si>
  <si>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</si>
  <si>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</si>
  <si>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</si>
  <si>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</si>
  <si>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</si>
  <si>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</si>
  <si>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</si>
  <si>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</si>
  <si>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</si>
  <si>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</si>
  <si>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</si>
  <si>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</si>
  <si>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</si>
  <si>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</si>
  <si>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</si>
  <si>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</si>
  <si>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</si>
  <si>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</si>
  <si>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</si>
  <si>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</si>
  <si>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</si>
  <si>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</si>
  <si>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</si>
  <si>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</si>
  <si>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</si>
  <si>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</si>
  <si>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</si>
  <si>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</si>
  <si>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</si>
  <si>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</si>
  <si>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</si>
  <si>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</si>
  <si>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</si>
  <si>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</si>
  <si>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</si>
  <si>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</si>
  <si>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</si>
  <si>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</si>
  <si>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</si>
  <si>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</si>
  <si>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</si>
  <si>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</si>
  <si>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</si>
  <si>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</si>
  <si>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</si>
  <si>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</si>
  <si>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</si>
  <si>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</si>
  <si>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</si>
  <si>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</si>
  <si>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</si>
  <si>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</si>
  <si>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</si>
  <si>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</si>
  <si>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</si>
  <si>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</si>
  <si>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</si>
  <si>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</si>
  <si>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</si>
  <si>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</si>
  <si>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</si>
  <si>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</si>
  <si>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</si>
  <si>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</si>
  <si>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</si>
  <si>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</si>
  <si>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</si>
  <si>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</si>
  <si>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</si>
  <si>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</si>
  <si>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</si>
  <si>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</si>
  <si>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</si>
  <si>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</si>
  <si>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</si>
  <si>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</si>
  <si>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</si>
  <si>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</si>
  <si>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</si>
  <si>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</si>
  <si>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</si>
  <si>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</si>
  <si>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</si>
  <si>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</si>
  <si>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</si>
  <si>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</si>
  <si>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</si>
  <si>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</si>
  <si>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</si>
  <si>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</si>
  <si>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</si>
  <si>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</si>
  <si>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</si>
  <si>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</si>
  <si>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</si>
  <si>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</si>
  <si>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</si>
  <si>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</si>
  <si>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</si>
  <si>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</si>
  <si>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</si>
  <si>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</si>
  <si>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</si>
  <si>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</si>
  <si>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</si>
  <si>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</si>
  <si>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</si>
  <si>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</si>
  <si>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</si>
  <si>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</si>
  <si>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</si>
  <si>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</si>
  <si>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</si>
  <si>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</si>
  <si>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</si>
  <si>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</si>
  <si>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</si>
  <si>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</si>
  <si>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</si>
  <si>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</si>
  <si>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</si>
  <si>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</si>
  <si>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</si>
  <si>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</si>
  <si>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</si>
  <si>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</si>
  <si>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</si>
  <si>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</si>
  <si>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</si>
  <si>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</si>
  <si>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</si>
  <si>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</si>
  <si>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</si>
  <si>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</si>
  <si>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</si>
  <si>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</si>
  <si>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</si>
  <si>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</si>
  <si>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</si>
  <si>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</si>
  <si>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</si>
  <si>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</si>
  <si>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</si>
  <si>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</si>
  <si>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</si>
  <si>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</si>
  <si>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</si>
  <si>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</si>
  <si>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</si>
  <si>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</si>
  <si>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</si>
  <si>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</si>
  <si>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</si>
  <si>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</si>
  <si>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</si>
  <si>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</si>
  <si>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</si>
  <si>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</si>
  <si>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</si>
  <si>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</si>
  <si>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</si>
  <si>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</si>
  <si>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</si>
  <si>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</si>
  <si>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</si>
  <si>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</si>
  <si>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</si>
  <si>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</si>
  <si>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</si>
  <si>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</si>
  <si>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</si>
  <si>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</si>
  <si>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</si>
  <si>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</si>
  <si>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</si>
  <si>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</si>
  <si>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</si>
  <si>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</si>
  <si>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</si>
  <si>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</si>
  <si>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</si>
  <si>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</si>
  <si>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</si>
  <si>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</si>
  <si>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</si>
  <si>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</si>
  <si>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</si>
  <si>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</si>
  <si>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</si>
  <si>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</si>
  <si>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</si>
  <si>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</si>
  <si>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</si>
  <si>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</si>
  <si>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</si>
  <si>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</si>
  <si>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</si>
  <si>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</si>
  <si>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</si>
  <si>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</si>
  <si>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</si>
  <si>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</si>
  <si>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</si>
  <si>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</si>
  <si>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</si>
  <si>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</si>
  <si>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</si>
  <si>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</si>
  <si>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</si>
  <si>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</si>
  <si>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</si>
  <si>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</si>
  <si>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</si>
  <si>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</si>
  <si>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</si>
  <si>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</si>
  <si>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</si>
  <si>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</si>
  <si>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</si>
  <si>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</si>
  <si>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</si>
  <si>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</si>
  <si>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</si>
  <si>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</si>
  <si>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</si>
  <si>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</si>
  <si>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</si>
  <si>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</si>
  <si>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</si>
  <si>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</si>
  <si>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</si>
  <si>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</si>
  <si>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</si>
  <si>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</si>
  <si>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</si>
  <si>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</si>
  <si>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</si>
  <si>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</si>
  <si>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</si>
  <si>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</si>
  <si>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</si>
  <si>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</si>
  <si>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</si>
  <si>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</si>
  <si>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</si>
  <si>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</si>
  <si>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</si>
  <si>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</si>
  <si>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</si>
  <si>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</si>
  <si>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</si>
  <si>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</si>
  <si>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</si>
  <si>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</si>
  <si>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</si>
  <si>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</si>
  <si>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</si>
  <si>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</si>
  <si>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</si>
  <si>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</si>
  <si>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</si>
  <si>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</si>
  <si>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</si>
  <si>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</si>
  <si>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</si>
  <si>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</si>
  <si>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</si>
  <si>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</si>
  <si>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</si>
  <si>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</si>
  <si>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</si>
  <si>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</si>
  <si>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</si>
  <si>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</si>
  <si>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</si>
  <si>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</si>
  <si>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</si>
  <si>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</si>
  <si>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</si>
  <si>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</si>
  <si>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</si>
  <si>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</si>
  <si>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</si>
  <si>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</si>
  <si>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</si>
  <si>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</si>
  <si>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</si>
  <si>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</si>
  <si>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</si>
  <si>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</si>
  <si>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</si>
  <si>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</si>
  <si>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</si>
  <si>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</si>
  <si>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</si>
  <si>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</si>
  <si>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</si>
  <si>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</si>
  <si>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</si>
  <si>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</si>
  <si>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</si>
  <si>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</si>
  <si>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</si>
  <si>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</si>
  <si>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</si>
  <si>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</si>
  <si>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</si>
  <si>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</si>
  <si>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</si>
  <si>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</si>
  <si>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</si>
  <si>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</si>
  <si>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</si>
  <si>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</si>
  <si>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</si>
  <si>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</si>
  <si>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</si>
  <si>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</si>
  <si>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</si>
  <si>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</si>
  <si>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</si>
  <si>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</si>
  <si>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</si>
  <si>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</si>
  <si>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</si>
  <si>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</si>
  <si>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</si>
  <si>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</si>
  <si>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</si>
  <si>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</si>
  <si>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</si>
  <si>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</si>
  <si>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</si>
  <si>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</si>
  <si>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</si>
  <si>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</si>
  <si>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</si>
  <si>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</si>
  <si>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</si>
  <si>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</si>
  <si>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</si>
  <si>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</si>
  <si>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</si>
  <si>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</si>
  <si>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</si>
  <si>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</si>
  <si>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</si>
  <si>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</si>
  <si>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</si>
  <si>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</si>
  <si>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</si>
  <si>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</si>
  <si>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</si>
  <si>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</si>
  <si>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</si>
  <si>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</si>
  <si>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</si>
  <si>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</si>
  <si>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</si>
  <si>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</si>
  <si>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</si>
  <si>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</si>
  <si>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</si>
  <si>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</si>
  <si>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</si>
  <si>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</si>
  <si>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</si>
  <si>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</si>
  <si>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</si>
  <si>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</si>
  <si>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</si>
  <si>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</si>
  <si>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</si>
  <si>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</si>
  <si>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</si>
  <si>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</si>
  <si>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</si>
  <si>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</si>
  <si>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</si>
  <si>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</si>
  <si>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</si>
  <si>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</si>
  <si>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</si>
  <si>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</si>
  <si>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</si>
  <si>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</si>
  <si>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</si>
  <si>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</si>
  <si>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</si>
  <si>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</si>
  <si>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</si>
  <si>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</si>
  <si>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</si>
  <si>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</si>
  <si>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</si>
  <si>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</si>
  <si>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</si>
  <si>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</si>
  <si>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</si>
  <si>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</si>
  <si>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</si>
  <si>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</si>
  <si>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</si>
  <si>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</si>
  <si>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</si>
  <si>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</si>
  <si>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</si>
  <si>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</si>
  <si>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</si>
  <si>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</si>
  <si>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</si>
  <si>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</si>
  <si>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</si>
  <si>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</si>
  <si>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</si>
  <si>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</si>
  <si>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</si>
  <si>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</si>
  <si>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</si>
  <si>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</si>
  <si>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</si>
  <si>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</si>
  <si>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</si>
  <si>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</si>
  <si>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</si>
  <si>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</si>
  <si>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</si>
  <si>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</si>
  <si>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</si>
  <si>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</si>
  <si>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</si>
  <si>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</si>
  <si>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</si>
  <si>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</si>
  <si>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</si>
  <si>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</si>
  <si>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</si>
  <si>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</si>
  <si>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</si>
  <si>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</si>
  <si>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</si>
  <si>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</si>
  <si>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</si>
  <si>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</si>
  <si>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</si>
  <si>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</si>
  <si>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</si>
  <si>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</si>
  <si>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</si>
  <si>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</si>
  <si>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</si>
  <si>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</si>
  <si>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</si>
  <si>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</si>
  <si>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</si>
  <si>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</si>
  <si>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</si>
  <si>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</si>
  <si>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</si>
  <si>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</si>
  <si>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</si>
  <si>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</si>
  <si>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</si>
  <si>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</si>
  <si>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</si>
  <si>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</si>
  <si>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</si>
  <si>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</si>
  <si>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</si>
  <si>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</si>
  <si>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</si>
  <si>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</si>
  <si>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</si>
  <si>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</si>
  <si>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</si>
  <si>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</si>
  <si>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</si>
  <si>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</si>
  <si>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</si>
  <si>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</si>
  <si>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</si>
  <si>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</si>
  <si>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</si>
  <si>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</si>
  <si>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</si>
  <si>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</si>
  <si>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</si>
  <si>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</si>
  <si>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</si>
  <si>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</si>
  <si>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</si>
  <si>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</si>
  <si>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</si>
  <si>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</si>
  <si>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</si>
  <si>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</si>
  <si>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</si>
  <si>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</si>
  <si>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</si>
  <si>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</si>
  <si>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</si>
  <si>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</si>
  <si>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</si>
  <si>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</si>
  <si>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</si>
  <si>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</si>
  <si>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</si>
  <si>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</si>
  <si>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</si>
  <si>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</si>
  <si>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</si>
  <si>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</si>
  <si>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</si>
  <si>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</si>
  <si>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</si>
  <si>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</si>
  <si>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</si>
  <si>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</si>
  <si>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</si>
  <si>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</si>
  <si>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</si>
  <si>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</si>
  <si>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</si>
  <si>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</si>
  <si>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</si>
  <si>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</si>
  <si>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</si>
  <si>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</si>
  <si>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</si>
  <si>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</si>
  <si>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</si>
  <si>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</si>
  <si>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</si>
  <si>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</si>
  <si>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</si>
  <si>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</si>
  <si>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</si>
  <si>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</si>
  <si>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</si>
  <si>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</si>
  <si>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</si>
  <si>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</si>
  <si>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</si>
  <si>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</si>
  <si>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</si>
  <si>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</si>
  <si>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</si>
  <si>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</si>
  <si>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</si>
  <si>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</si>
  <si>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</si>
  <si>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</si>
  <si>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</si>
  <si>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</si>
  <si>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</si>
  <si>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</si>
  <si>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</si>
  <si>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</si>
  <si>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</si>
  <si>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</si>
  <si>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</si>
  <si>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</si>
  <si>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</si>
  <si>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</si>
  <si>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</si>
  <si>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</si>
  <si>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</si>
  <si>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</si>
  <si>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</si>
  <si>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</si>
  <si>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</si>
  <si>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</si>
  <si>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</si>
  <si>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</si>
  <si>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</si>
  <si>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</si>
  <si>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</si>
  <si>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</si>
  <si>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</si>
  <si>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</si>
  <si>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</si>
  <si>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</si>
  <si>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</si>
  <si>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</si>
  <si>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</si>
  <si>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</si>
  <si>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</si>
  <si>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</si>
  <si>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</si>
  <si>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</si>
  <si>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</si>
  <si>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</si>
  <si>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</si>
  <si>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</si>
  <si>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</si>
  <si>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</si>
  <si>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</si>
  <si>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</si>
  <si>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</si>
  <si>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</si>
  <si>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</si>
  <si>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</si>
  <si>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</si>
  <si>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</si>
  <si>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</si>
  <si>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</si>
  <si>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</si>
  <si>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</si>
  <si>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</si>
  <si>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</si>
  <si>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</si>
  <si>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</si>
  <si>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</si>
  <si>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</si>
  <si>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</si>
  <si>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</si>
  <si>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</si>
  <si>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</si>
  <si>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</si>
  <si>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</si>
  <si>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</si>
  <si>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</si>
  <si>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</si>
  <si>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</si>
  <si>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</si>
  <si>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</si>
  <si>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</si>
  <si>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</si>
  <si>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</si>
  <si>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</si>
  <si>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</si>
  <si>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</si>
  <si>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</si>
  <si>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</si>
  <si>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</si>
  <si>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</si>
  <si>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</si>
  <si>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</si>
  <si>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</si>
  <si>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</si>
  <si>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</si>
  <si>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</si>
  <si>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</si>
  <si>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</si>
  <si>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</si>
  <si>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</si>
  <si>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</si>
  <si>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</si>
  <si>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</si>
  <si>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</si>
  <si>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</si>
  <si>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</si>
  <si>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</si>
  <si>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</si>
  <si>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</si>
  <si>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</si>
  <si>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</si>
  <si>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</si>
  <si>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</si>
  <si>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</si>
  <si>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</si>
  <si>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</si>
  <si>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</si>
  <si>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</si>
  <si>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</si>
  <si>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</si>
  <si>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</si>
  <si>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</si>
  <si>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</si>
  <si>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</si>
  <si>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</si>
  <si>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</si>
  <si>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</si>
  <si>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</si>
  <si>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</si>
  <si>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</si>
  <si>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</si>
  <si>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</si>
  <si>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</si>
  <si>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</si>
  <si>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</si>
  <si>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</si>
  <si>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</si>
  <si>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</si>
  <si>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</si>
  <si>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</si>
  <si>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</si>
  <si>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</si>
  <si>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</si>
  <si>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</si>
  <si>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</si>
  <si>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</si>
  <si>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</si>
  <si>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</si>
  <si>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</si>
  <si>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</si>
  <si>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</si>
  <si>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</si>
  <si>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</si>
  <si>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</si>
  <si>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</si>
  <si>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</si>
  <si>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</si>
  <si>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</si>
  <si>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</si>
  <si>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</si>
  <si>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</si>
  <si>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</si>
  <si>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</si>
  <si>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</si>
  <si>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</si>
  <si>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</si>
  <si>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</si>
  <si>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</si>
  <si>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</si>
  <si>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</si>
  <si>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</si>
  <si>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</si>
  <si>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</si>
  <si>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</si>
  <si>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</si>
  <si>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</si>
  <si>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</si>
  <si>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</si>
  <si>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</si>
  <si>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</si>
  <si>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</si>
  <si>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</si>
  <si>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</si>
  <si>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</si>
  <si>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</si>
  <si>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</si>
  <si>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</si>
  <si>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</si>
  <si>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</si>
  <si>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</si>
  <si>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</si>
  <si>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</si>
  <si>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</si>
  <si>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</si>
  <si>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</si>
  <si>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</si>
  <si>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</si>
  <si>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</si>
  <si>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</si>
  <si>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</si>
  <si>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</si>
  <si>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</si>
  <si>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</si>
  <si>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</si>
  <si>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</si>
  <si>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</si>
  <si>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</si>
  <si>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</si>
  <si>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</si>
  <si>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</si>
  <si>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</si>
  <si>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</si>
  <si>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</si>
  <si>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</si>
  <si>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</si>
  <si>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</si>
  <si>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</si>
  <si>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</si>
  <si>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</si>
  <si>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</si>
  <si>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</si>
  <si>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</si>
  <si>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</si>
  <si>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</si>
  <si>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</si>
  <si>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</si>
  <si>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</si>
  <si>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</si>
  <si>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</si>
  <si>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</si>
  <si>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</si>
  <si>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</si>
  <si>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</si>
  <si>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</si>
  <si>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</si>
  <si>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</si>
  <si>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</si>
  <si>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</si>
  <si>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</si>
  <si>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</si>
  <si>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</si>
  <si>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</si>
  <si>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</si>
  <si>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</si>
  <si>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</si>
  <si>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</si>
  <si>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</si>
  <si>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</si>
  <si>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</si>
  <si>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</si>
  <si>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</si>
  <si>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</si>
  <si>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</si>
  <si>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</si>
  <si>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</si>
  <si>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</si>
  <si>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</si>
  <si>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</si>
  <si>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</si>
  <si>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</si>
  <si>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</si>
  <si>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</si>
  <si>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</si>
  <si>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</si>
  <si>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</si>
  <si>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</si>
  <si>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</si>
  <si>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</si>
  <si>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</si>
  <si>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</si>
  <si>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</si>
  <si>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</si>
  <si>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</si>
  <si>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</si>
  <si>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</si>
  <si>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</si>
  <si>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</si>
  <si>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</si>
  <si>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</si>
  <si>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</si>
  <si>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</si>
  <si>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</si>
  <si>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</si>
  <si>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</si>
  <si>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</si>
  <si>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</si>
  <si>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</si>
  <si>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</si>
  <si>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</si>
  <si>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</si>
  <si>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</si>
  <si>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</si>
  <si>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</si>
  <si>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</si>
  <si>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</si>
  <si>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</si>
  <si>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</si>
  <si>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</si>
  <si>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</si>
  <si>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</si>
  <si>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</si>
  <si>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</si>
  <si>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</si>
  <si>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</si>
  <si>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</si>
  <si>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</si>
  <si>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</si>
  <si>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</si>
  <si>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</si>
  <si>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</si>
  <si>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</si>
  <si>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</si>
  <si>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</si>
  <si>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</si>
  <si>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</si>
  <si>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</si>
  <si>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</si>
  <si>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</si>
  <si>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</si>
  <si>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</si>
  <si>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</si>
  <si>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</si>
  <si>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</si>
  <si>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</si>
  <si>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</si>
  <si>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</si>
  <si>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</si>
  <si>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</si>
  <si>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</si>
  <si>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</si>
  <si>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</si>
  <si>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</si>
  <si>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</si>
  <si>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</si>
  <si>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</si>
  <si>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</si>
  <si>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</si>
  <si>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</si>
  <si>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</si>
  <si>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</si>
  <si>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</si>
  <si>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</si>
  <si>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</si>
  <si>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</si>
  <si>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</si>
  <si>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</si>
  <si>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</si>
  <si>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</si>
  <si>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</si>
  <si>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</si>
  <si>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</si>
  <si>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</si>
  <si>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</si>
  <si>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</si>
  <si>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</si>
  <si>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</si>
  <si>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</si>
  <si>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</si>
  <si>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</si>
  <si>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</si>
  <si>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</si>
  <si>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</si>
  <si>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</si>
  <si>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</si>
  <si>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</si>
  <si>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</si>
  <si>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</si>
  <si>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</si>
  <si>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</si>
  <si>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</si>
  <si>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</si>
  <si>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</si>
  <si>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</si>
  <si>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</si>
  <si>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</si>
  <si>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</si>
  <si>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</si>
  <si>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</si>
  <si>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</si>
  <si>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</si>
  <si>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</si>
  <si>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</si>
  <si>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</si>
  <si>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</si>
  <si>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</si>
  <si>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</si>
  <si>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</si>
  <si>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</si>
  <si>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</si>
  <si>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</si>
  <si>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</si>
  <si>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</si>
  <si>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</si>
  <si>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</si>
  <si>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</si>
  <si>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</si>
  <si>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</si>
  <si>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</si>
  <si>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</si>
  <si>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</si>
  <si>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</si>
  <si>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</si>
  <si>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</si>
  <si>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</si>
  <si>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</si>
  <si>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</si>
  <si>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</si>
  <si>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</si>
  <si>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</si>
  <si>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</si>
  <si>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</si>
  <si>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</si>
  <si>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</si>
  <si>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</si>
  <si>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</si>
  <si>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</si>
  <si>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</si>
  <si>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</si>
  <si>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</si>
  <si>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</si>
  <si>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</si>
  <si>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</si>
  <si>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</si>
  <si>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</si>
  <si>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</si>
  <si>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</si>
  <si>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</si>
  <si>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</si>
  <si>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</si>
  <si>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</si>
  <si>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</si>
  <si>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</si>
  <si>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</si>
  <si>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</si>
  <si>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</si>
  <si>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</si>
  <si>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</si>
  <si>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</si>
  <si>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</si>
  <si>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</si>
  <si>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</si>
  <si>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</si>
  <si>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</si>
  <si>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</si>
  <si>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</si>
  <si>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</si>
  <si>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</si>
  <si>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</si>
  <si>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</si>
  <si>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</si>
  <si>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</si>
  <si>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</si>
  <si>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</si>
  <si>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</si>
  <si>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</si>
  <si>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</si>
  <si>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</si>
  <si>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</si>
  <si>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</si>
  <si>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</si>
  <si>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</si>
  <si>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</si>
  <si>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</si>
  <si>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</si>
  <si>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</si>
  <si>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</si>
  <si>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</si>
  <si>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</si>
  <si>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</si>
  <si>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</si>
  <si>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</si>
  <si>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</si>
  <si>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</si>
  <si>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</si>
  <si>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</si>
  <si>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</si>
  <si>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</si>
  <si>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</si>
  <si>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</si>
  <si>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</si>
  <si>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</si>
  <si>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</si>
  <si>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</si>
  <si>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</si>
  <si>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</si>
  <si>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</si>
  <si>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</si>
  <si>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</si>
  <si>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</si>
  <si>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</si>
  <si>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</si>
  <si>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</si>
  <si>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</si>
  <si>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</si>
  <si>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</si>
  <si>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</si>
  <si>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</si>
  <si>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</si>
  <si>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</si>
  <si>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</si>
  <si>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</si>
  <si>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</si>
  <si>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</si>
  <si>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</si>
  <si>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</si>
  <si>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</si>
  <si>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</si>
  <si>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</si>
  <si>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</si>
  <si>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</si>
  <si>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</si>
  <si>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</si>
  <si>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</si>
  <si>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</si>
  <si>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</si>
  <si>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</si>
  <si>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</si>
  <si>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</si>
  <si>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</si>
  <si>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</si>
  <si>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</si>
  <si>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</si>
  <si>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</si>
  <si>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</si>
  <si>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</si>
  <si>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</si>
  <si>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</si>
  <si>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</si>
  <si>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</si>
  <si>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</si>
  <si>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</si>
  <si>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</si>
  <si>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</si>
  <si>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</si>
  <si>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</si>
  <si>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</si>
  <si>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</si>
  <si>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</si>
  <si>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</si>
  <si>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</si>
  <si>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</si>
  <si>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</si>
  <si>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</si>
  <si>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</si>
  <si>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</si>
  <si>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</si>
  <si>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</si>
  <si>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</si>
  <si>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</si>
  <si>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</si>
  <si>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</si>
  <si>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</si>
  <si>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</si>
  <si>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</si>
  <si>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</si>
  <si>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</si>
  <si>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</si>
  <si>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</si>
  <si>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</si>
  <si>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</si>
  <si>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</si>
  <si>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</si>
  <si>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</si>
  <si>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</si>
  <si>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</si>
  <si>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</si>
  <si>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</si>
  <si>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</si>
  <si>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</si>
  <si>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</si>
  <si>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</si>
  <si>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</si>
  <si>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</si>
  <si>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</si>
  <si>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</si>
  <si>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</si>
  <si>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</si>
  <si>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</si>
  <si>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</si>
  <si>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</si>
  <si>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</si>
  <si>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</si>
  <si>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</si>
  <si>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</si>
  <si>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</si>
  <si>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</si>
  <si>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</si>
  <si>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</si>
  <si>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</si>
  <si>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</si>
  <si>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</si>
  <si>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</si>
  <si>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</si>
  <si>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</si>
  <si>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</si>
  <si>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</si>
  <si>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</si>
  <si>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</si>
  <si>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</si>
  <si>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</si>
  <si>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</si>
  <si>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</si>
  <si>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</si>
  <si>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</si>
  <si>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</si>
  <si>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</si>
  <si>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</si>
  <si>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</si>
  <si>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</si>
  <si>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</si>
  <si>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</si>
  <si>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</si>
  <si>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</si>
  <si>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</si>
  <si>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</si>
  <si>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</si>
  <si>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</si>
  <si>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</si>
  <si>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</si>
  <si>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</si>
  <si>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</si>
  <si>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</si>
  <si>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</si>
  <si>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</si>
  <si>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</si>
  <si>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</si>
  <si>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</si>
  <si>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</si>
  <si>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</si>
  <si>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</si>
  <si>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</si>
  <si>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</si>
  <si>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</si>
  <si>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</si>
  <si>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</si>
  <si>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</si>
  <si>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</si>
  <si>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</si>
  <si>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</si>
  <si>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</si>
  <si>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</si>
  <si>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</si>
  <si>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</si>
  <si>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</si>
  <si>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</si>
  <si>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</si>
  <si>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</si>
  <si>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</si>
  <si>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</si>
  <si>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</si>
  <si>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</si>
  <si>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</si>
  <si>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</si>
  <si>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</si>
  <si>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</si>
  <si>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</si>
  <si>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</si>
  <si>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</si>
  <si>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</si>
  <si>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</si>
  <si>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</si>
  <si>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</si>
  <si>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</si>
  <si>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</si>
  <si>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</si>
  <si>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</si>
  <si>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</si>
  <si>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</si>
  <si>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</si>
  <si>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</si>
  <si>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</si>
  <si>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</si>
  <si>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</si>
  <si>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</si>
  <si>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</si>
  <si>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</si>
  <si>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</si>
  <si>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</si>
  <si>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</si>
  <si>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</si>
  <si>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</si>
  <si>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</si>
  <si>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</si>
  <si>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</si>
  <si>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</si>
  <si>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</si>
  <si>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</si>
  <si>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</si>
  <si>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</si>
  <si>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</si>
  <si>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</si>
  <si>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</si>
  <si>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</si>
  <si>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</si>
  <si>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</si>
  <si>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</si>
  <si>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</si>
  <si>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</si>
  <si>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</si>
  <si>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</si>
  <si>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</si>
  <si>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</si>
  <si>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</si>
  <si>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</si>
  <si>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</si>
  <si>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</si>
  <si>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</si>
  <si>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</si>
  <si>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</si>
  <si>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</si>
  <si>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</si>
  <si>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</si>
  <si>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</si>
  <si>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</si>
  <si>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</si>
  <si>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</si>
  <si>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</si>
  <si>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</si>
  <si>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</si>
  <si>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</si>
  <si>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</si>
  <si>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</si>
  <si>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</si>
  <si>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</si>
  <si>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</si>
  <si>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</si>
  <si>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</si>
  <si>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</si>
  <si>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</si>
  <si>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</si>
  <si>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</si>
  <si>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</si>
  <si>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</si>
  <si>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</si>
  <si>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</si>
  <si>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</si>
  <si>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</si>
  <si>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</si>
  <si>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</si>
  <si>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</si>
  <si>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</si>
  <si>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</si>
  <si>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</si>
  <si>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</si>
  <si>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</si>
  <si>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</si>
  <si>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</si>
  <si>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</si>
  <si>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</si>
  <si>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</si>
  <si>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</si>
  <si>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</si>
  <si>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</si>
  <si>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</si>
  <si>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</si>
  <si>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</si>
  <si>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</si>
  <si>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</si>
  <si>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</si>
  <si>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</si>
  <si>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</si>
  <si>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</si>
  <si>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</si>
  <si>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</si>
  <si>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</si>
  <si>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</si>
  <si>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</si>
  <si>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</si>
  <si>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</si>
  <si>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</si>
  <si>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</si>
  <si>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</si>
  <si>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</si>
  <si>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</si>
  <si>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</si>
  <si>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</si>
  <si>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</si>
  <si>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</si>
  <si>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</si>
  <si>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</si>
  <si>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</si>
  <si>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</si>
  <si>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</si>
  <si>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</si>
  <si>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</si>
  <si>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</si>
  <si>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</si>
  <si>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</si>
  <si>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</si>
  <si>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</si>
  <si>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</si>
  <si>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</si>
  <si>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</si>
  <si>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</si>
  <si>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</si>
  <si>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</si>
  <si>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</si>
  <si>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</si>
  <si>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</si>
  <si>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</si>
  <si>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</si>
  <si>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</si>
  <si>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</si>
  <si>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</si>
  <si>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</si>
  <si>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</si>
  <si>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</si>
  <si>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</si>
  <si>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</si>
  <si>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</si>
  <si>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</si>
  <si>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</si>
  <si>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</si>
  <si>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</si>
  <si>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</si>
  <si>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</si>
  <si>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</si>
  <si>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</si>
  <si>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</si>
  <si>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</si>
  <si>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</si>
  <si>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</si>
  <si>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</si>
  <si>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</si>
  <si>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</si>
  <si>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</si>
  <si>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</si>
  <si>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</si>
  <si>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</si>
  <si>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</si>
  <si>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</si>
  <si>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</si>
  <si>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</si>
  <si>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</si>
  <si>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</si>
  <si>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</si>
  <si>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</si>
  <si>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</si>
  <si>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</si>
  <si>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</si>
  <si>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</si>
  <si>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</si>
  <si>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</si>
  <si>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</si>
  <si>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</si>
  <si>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</si>
  <si>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</si>
  <si>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</si>
  <si>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</si>
  <si>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</si>
  <si>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</si>
  <si>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</si>
  <si>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</si>
  <si>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</si>
  <si>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</si>
  <si>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</si>
  <si>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</si>
  <si>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</si>
  <si>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</si>
  <si>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</si>
  <si>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</si>
  <si>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</si>
  <si>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</si>
  <si>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</si>
  <si>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</si>
  <si>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</si>
  <si>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</si>
  <si>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</si>
  <si>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</si>
  <si>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</si>
  <si>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</si>
  <si>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</si>
  <si>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</si>
  <si>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</si>
  <si>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</si>
  <si>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</si>
  <si>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</si>
  <si>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</si>
  <si>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</si>
  <si>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</si>
  <si>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</si>
  <si>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</si>
  <si>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</si>
  <si>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</si>
  <si>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</si>
  <si>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</si>
  <si>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</si>
  <si>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</si>
  <si>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</si>
  <si>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</si>
  <si>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</si>
  <si>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</si>
  <si>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</si>
  <si>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</si>
  <si>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</si>
  <si>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</si>
  <si>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</si>
  <si>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</si>
  <si>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</si>
  <si>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</si>
  <si>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</si>
  <si>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</si>
  <si>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</si>
  <si>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</si>
  <si>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</si>
  <si>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</si>
  <si>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</si>
  <si>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</si>
  <si>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</si>
  <si>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</si>
  <si>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</si>
  <si>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</si>
  <si>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</si>
  <si>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</si>
  <si>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</si>
  <si>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</si>
  <si>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</si>
  <si>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</si>
  <si>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</si>
  <si>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</si>
  <si>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</si>
  <si>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</si>
  <si>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</si>
  <si>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</si>
  <si>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</si>
  <si>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</si>
  <si>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</si>
  <si>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</si>
  <si>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</si>
  <si>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</si>
  <si>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</si>
  <si>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</si>
  <si>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</si>
  <si>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</si>
  <si>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</si>
  <si>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</si>
  <si>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</si>
  <si>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</si>
  <si>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</si>
  <si>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</si>
  <si>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</si>
  <si>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</si>
  <si>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</si>
  <si>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</si>
  <si>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</si>
  <si>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</si>
  <si>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</si>
  <si>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</si>
  <si>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</si>
  <si>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</si>
  <si>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</si>
  <si>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</si>
  <si>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</si>
  <si>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</si>
  <si>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</si>
  <si>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</si>
  <si>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</si>
  <si>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</si>
  <si>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</si>
  <si>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</si>
  <si>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</si>
  <si>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</si>
  <si>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</si>
  <si>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</si>
  <si>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</si>
  <si>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</si>
  <si>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</si>
  <si>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</si>
  <si>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</si>
  <si>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</si>
  <si>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</si>
  <si>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</si>
  <si>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</si>
  <si>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</si>
  <si>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</si>
  <si>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</si>
  <si>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</si>
  <si>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</si>
  <si>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</si>
  <si>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</si>
  <si>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</si>
  <si>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</si>
  <si>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</si>
  <si>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</si>
  <si>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</si>
  <si>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</si>
  <si>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</si>
  <si>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</si>
  <si>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</si>
  <si>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</si>
  <si>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</si>
  <si>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</si>
  <si>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</si>
  <si>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</si>
  <si>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</si>
  <si>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</si>
  <si>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</si>
  <si>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</si>
  <si>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</si>
  <si>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</si>
  <si>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</si>
  <si>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</si>
  <si>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</si>
  <si>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</si>
  <si>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</si>
  <si>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</si>
  <si>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</si>
  <si>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</si>
  <si>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</si>
  <si>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</si>
  <si>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</si>
  <si>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</si>
  <si>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</si>
  <si>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</si>
  <si>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</si>
  <si>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</si>
  <si>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</si>
  <si>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</si>
  <si>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</si>
  <si>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</si>
  <si>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</si>
  <si>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</si>
  <si>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</si>
  <si>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</si>
  <si>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</si>
  <si>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</si>
  <si>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</si>
  <si>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</si>
  <si>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</si>
  <si>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</si>
  <si>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</si>
  <si>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</si>
  <si>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</si>
  <si>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</si>
  <si>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</si>
  <si>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</si>
  <si>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</si>
  <si>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</si>
  <si>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</si>
  <si>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</si>
  <si>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</si>
  <si>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</si>
  <si>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</si>
  <si>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</si>
  <si>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</si>
  <si>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</si>
  <si>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</si>
  <si>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</si>
  <si>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</si>
  <si>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</si>
  <si>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</si>
  <si>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</si>
  <si>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</si>
  <si>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</si>
  <si>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</si>
  <si>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</si>
  <si>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</si>
  <si>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</si>
  <si>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</si>
  <si>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</si>
  <si>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</si>
  <si>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</si>
  <si>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</si>
  <si>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</si>
  <si>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</si>
  <si>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</si>
  <si>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</si>
  <si>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</si>
  <si>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</si>
  <si>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</si>
  <si>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</si>
  <si>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</si>
  <si>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</si>
  <si>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</si>
  <si>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</si>
  <si>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</si>
  <si>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</si>
  <si>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</si>
  <si>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</si>
  <si>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</si>
  <si>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</si>
  <si>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</si>
  <si>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</si>
  <si>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</si>
  <si>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</si>
  <si>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</si>
  <si>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</si>
  <si>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</si>
  <si>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</si>
  <si>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</si>
  <si>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</si>
  <si>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</si>
  <si>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</si>
  <si>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</si>
  <si>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</si>
  <si>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</si>
  <si>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</si>
  <si>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</si>
  <si>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</si>
  <si>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</si>
  <si>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</si>
  <si>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</si>
  <si>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</si>
  <si>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</si>
  <si>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</si>
  <si>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</si>
  <si>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</si>
  <si>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</si>
  <si>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</si>
  <si>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</si>
  <si>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</si>
  <si>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</si>
  <si>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</si>
  <si>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</si>
  <si>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</si>
  <si>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</si>
  <si>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</si>
  <si>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</si>
  <si>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</si>
  <si>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</si>
  <si>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</si>
  <si>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</si>
  <si>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</si>
  <si>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</si>
  <si>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</si>
  <si>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</si>
  <si>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</si>
  <si>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</si>
  <si>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</si>
  <si>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</si>
  <si>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</si>
  <si>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</si>
  <si>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</si>
  <si>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</si>
  <si>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</si>
  <si>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</si>
  <si>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</si>
  <si>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</si>
  <si>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</si>
  <si>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</si>
  <si>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</si>
  <si>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</si>
  <si>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</si>
  <si>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</si>
  <si>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</si>
  <si>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</si>
  <si>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</si>
  <si>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</si>
  <si>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</si>
  <si>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</si>
  <si>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</si>
  <si>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</si>
  <si>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</si>
  <si>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</si>
  <si>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</si>
  <si>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</si>
  <si>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</si>
  <si>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</si>
  <si>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</si>
  <si>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</si>
  <si>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</si>
  <si>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</si>
  <si>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</si>
  <si>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</si>
  <si>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</si>
  <si>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</si>
  <si>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</si>
  <si>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</si>
  <si>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</si>
  <si>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</si>
  <si>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</si>
  <si>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</si>
  <si>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</si>
  <si>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</si>
  <si>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</si>
  <si>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</si>
  <si>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</si>
  <si>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</si>
  <si>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</si>
  <si>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</si>
  <si>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</si>
  <si>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</si>
  <si>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</si>
  <si>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</si>
  <si>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</si>
  <si>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</si>
  <si>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</si>
  <si>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</si>
  <si>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</si>
  <si>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</si>
  <si>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</si>
  <si>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</si>
  <si>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</si>
  <si>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</si>
  <si>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</si>
  <si>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</si>
  <si>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</si>
  <si>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</si>
  <si>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</si>
  <si>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</si>
  <si>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</si>
  <si>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</si>
  <si>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</si>
  <si>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</si>
  <si>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</si>
  <si>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</si>
  <si>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</si>
  <si>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</si>
  <si>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</si>
  <si>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</si>
  <si>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</si>
  <si>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</si>
  <si>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</si>
  <si>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</si>
  <si>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</si>
  <si>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</si>
  <si>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</si>
  <si>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</si>
  <si>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</si>
  <si>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</si>
  <si>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</si>
  <si>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</si>
  <si>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</si>
  <si>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</si>
  <si>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</si>
  <si>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</si>
  <si>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</si>
  <si>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</si>
  <si>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</si>
  <si>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</si>
  <si>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</si>
  <si>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</si>
  <si>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</si>
  <si>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</si>
  <si>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</si>
  <si>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</si>
  <si>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</si>
  <si>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</si>
  <si>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</si>
  <si>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</si>
  <si>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</si>
  <si>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</si>
  <si>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</si>
  <si>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</si>
  <si>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</si>
  <si>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</si>
  <si>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</si>
  <si>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</si>
  <si>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</si>
  <si>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</si>
  <si>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</si>
  <si>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</si>
  <si>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</si>
  <si>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</si>
  <si>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</si>
  <si>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</si>
  <si>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</si>
  <si>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</si>
  <si>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</si>
  <si>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</si>
  <si>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</si>
  <si>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</si>
  <si>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</si>
  <si>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</si>
  <si>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</si>
  <si>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</si>
  <si>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</si>
  <si>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</si>
  <si>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</si>
  <si>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</si>
  <si>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</si>
  <si>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</si>
  <si>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</si>
  <si>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</si>
  <si>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</si>
  <si>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</si>
  <si>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</si>
  <si>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</si>
  <si>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</si>
  <si>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</si>
  <si>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</si>
  <si>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</si>
  <si>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</si>
  <si>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</si>
  <si>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</si>
  <si>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</si>
  <si>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</si>
  <si>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</si>
  <si>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</si>
  <si>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</si>
  <si>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</si>
  <si>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</si>
  <si>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</si>
  <si>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</si>
  <si>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</si>
  <si>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</si>
  <si>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</si>
  <si>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</si>
  <si>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</si>
  <si>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</si>
  <si>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</si>
  <si>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</si>
  <si>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</si>
  <si>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</si>
  <si>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</si>
  <si>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</si>
  <si>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</si>
  <si>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</si>
  <si>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</si>
  <si>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</si>
  <si>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</si>
  <si>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</si>
  <si>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</si>
  <si>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</si>
  <si>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</si>
  <si>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</si>
  <si>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</si>
  <si>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</si>
  <si>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</si>
  <si>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</si>
  <si>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</si>
  <si>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</si>
  <si>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</si>
  <si>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</si>
  <si>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</si>
  <si>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</si>
  <si>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</si>
  <si>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</si>
  <si>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</si>
  <si>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</si>
  <si>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</si>
  <si>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</si>
  <si>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</si>
  <si>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</si>
  <si>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</si>
  <si>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</si>
  <si>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</si>
  <si>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</si>
  <si>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</si>
  <si>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</si>
  <si>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</si>
  <si>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</si>
  <si>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</si>
  <si>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</si>
  <si>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</si>
  <si>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</si>
  <si>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</si>
  <si>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</si>
  <si>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</si>
  <si>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</si>
  <si>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</si>
  <si>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</si>
  <si>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</si>
  <si>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</si>
  <si>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</si>
  <si>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</si>
  <si>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</si>
  <si>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</si>
  <si>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</si>
  <si>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</si>
  <si>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</si>
  <si>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</si>
  <si>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</si>
  <si>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</si>
  <si>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</si>
  <si>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</si>
  <si>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</si>
  <si>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</si>
  <si>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</si>
  <si>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</si>
  <si>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</si>
  <si>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</si>
  <si>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</si>
  <si>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</si>
  <si>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</si>
  <si>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</si>
  <si>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</si>
  <si>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</si>
  <si>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</si>
  <si>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</si>
  <si>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</si>
  <si>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</si>
  <si>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</si>
  <si>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</si>
  <si>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</si>
  <si>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</si>
  <si>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</si>
  <si>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</si>
  <si>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</si>
  <si>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</si>
  <si>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</si>
  <si>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</si>
  <si>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</si>
  <si>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</si>
  <si>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</si>
  <si>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</si>
  <si>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</si>
  <si>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</si>
  <si>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</si>
  <si>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</si>
  <si>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</si>
  <si>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</si>
  <si>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</si>
  <si>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</si>
  <si>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</si>
  <si>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</si>
  <si>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</si>
  <si>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</si>
  <si>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</si>
  <si>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</si>
  <si>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</si>
  <si>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</si>
  <si>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</si>
  <si>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</si>
  <si>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</si>
  <si>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</si>
  <si>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</si>
  <si>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</si>
  <si>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</si>
  <si>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</si>
  <si>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</si>
  <si>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</si>
  <si>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</si>
  <si>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</si>
  <si>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</si>
  <si>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</si>
  <si>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</si>
  <si>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</si>
  <si>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</si>
  <si>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</si>
  <si>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</si>
  <si>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</si>
  <si>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</si>
  <si>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</si>
  <si>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</si>
  <si>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</si>
  <si>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</si>
  <si>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</si>
  <si>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</si>
  <si>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</si>
  <si>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</si>
  <si>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</si>
  <si>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</si>
  <si>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</si>
  <si>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</si>
  <si>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</si>
  <si>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</si>
  <si>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</si>
  <si>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</si>
  <si>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</si>
  <si>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</si>
  <si>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</si>
  <si>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</si>
  <si>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</si>
  <si>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</si>
  <si>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</si>
  <si>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</si>
  <si>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</si>
  <si>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</si>
  <si>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</si>
  <si>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</si>
  <si>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</si>
  <si>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</si>
  <si>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</si>
  <si>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</si>
  <si>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</si>
  <si>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</si>
  <si>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</si>
  <si>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</si>
  <si>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</si>
  <si>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</si>
  <si>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</si>
  <si>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</si>
  <si>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</si>
  <si>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</si>
  <si>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</si>
  <si>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</si>
  <si>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</si>
  <si>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</si>
  <si>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</si>
  <si>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</si>
  <si>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</si>
  <si>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</si>
  <si>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</si>
  <si>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</si>
  <si>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</si>
  <si>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</si>
  <si>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</si>
  <si>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</si>
  <si>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</si>
  <si>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</si>
  <si>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</si>
  <si>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</si>
  <si>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</si>
  <si>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</si>
  <si>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</si>
  <si>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</si>
  <si>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</si>
  <si>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</si>
  <si>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</si>
  <si>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</si>
  <si>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</si>
  <si>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</si>
  <si>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</si>
  <si>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</si>
  <si>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</si>
  <si>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</si>
  <si>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</si>
  <si>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</si>
  <si>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</si>
  <si>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</si>
  <si>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</si>
  <si>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</si>
  <si>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</si>
  <si>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</si>
  <si>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</si>
  <si>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</si>
  <si>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</si>
  <si>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</si>
  <si>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</si>
  <si>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</si>
  <si>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</si>
  <si>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</si>
  <si>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</si>
  <si>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</si>
  <si>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</si>
  <si>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</si>
  <si>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</si>
  <si>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</si>
  <si>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</si>
  <si>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</si>
  <si>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</si>
  <si>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</si>
  <si>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</si>
  <si>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</si>
  <si>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</si>
  <si>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</si>
  <si>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</si>
  <si>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</si>
  <si>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</si>
  <si>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</si>
  <si>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</si>
  <si>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 e 21/08/2026</t>
  </si>
  <si>
    <t>Cinthia Thais de Carvalho Luz Thomazi; Adriana Cuoco Portugal; Fernanda Viana de Souza; Denise Duarte Guirra Kuhlmann;  Priscila Nolasco; Luiz Felipe Tenório de Lima Gondim</t>
  </si>
  <si>
    <t>17/09/2026 e 18/09/2026</t>
  </si>
  <si>
    <t>24/09/2026 e 25/09/2026</t>
  </si>
  <si>
    <t>08/10/2026 e 09/10/2026</t>
  </si>
  <si>
    <t>7377/2026</t>
  </si>
  <si>
    <t xml:space="preserve">Alura </t>
  </si>
  <si>
    <t>7828/2026</t>
  </si>
  <si>
    <t>Oficina Temática – SEMAT: Falhas recorrentes em contratações de TI</t>
  </si>
  <si>
    <t>Felipe da Costa Malaquias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</si>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</sst>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4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6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7" fontId="33" fillId="4" borderId="22" xfId="0" applyNumberFormat="1" applyFont="1" applyFill="1" applyBorder="1" applyAlignment="1">
      <alignment horizontal="center" vertical="center"/>
    </xf>
    <xf numFmtId="165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7" fontId="33" fillId="3" borderId="22" xfId="0" applyNumberFormat="1" applyFont="1" applyFill="1" applyBorder="1" applyAlignment="1">
      <alignment horizontal="center" vertical="center"/>
    </xf>
    <xf numFmtId="166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8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8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5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zoomScaleNormal="100" workbookViewId="0">
      <pane ySplit="1" topLeftCell="G693" activePane="bottomLeft" state="frozen"/>
      <selection pane="bottomLeft" activeCell="T710" sqref="T710"/>
    </sheetView>
  </sheetViews>
  <sheetFormatPr defaultColWidth="9.140625" defaultRowHeight="23.25" customHeight="1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472</v>
      </c>
    </row>
    <row r="683" spans="1:20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>
      <c r="A688" s="217" t="str">
        <f>IF(B688="","",B688&amp;"-"&amp;TEXT(COUNTIF(B$2:B688,B688),"000"))</f>
        <v>2026-032</v>
      </c>
      <c r="B688" s="218">
        <v>2026</v>
      </c>
      <c r="C688" s="218" t="s">
        <v>2664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 t="s">
        <v>2739</v>
      </c>
      <c r="E705" s="210" t="s">
        <v>2836</v>
      </c>
      <c r="F705" s="211" t="s">
        <v>81</v>
      </c>
      <c r="G705" s="260" t="s">
        <v>2727</v>
      </c>
      <c r="H705" s="277" t="s">
        <v>2837</v>
      </c>
      <c r="I705" s="213">
        <v>46254</v>
      </c>
      <c r="J705" s="213">
        <v>46255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/>
      <c r="T705" s="43" t="s">
        <v>2838</v>
      </c>
    </row>
    <row r="706" spans="1:20" ht="23.25" customHeight="1">
      <c r="A706" s="217" t="str">
        <f>IF(B706="","",B706&amp;"-"&amp;TEXT(COUNTIF(B$2:B706,B706),"000"))</f>
        <v>2026-050</v>
      </c>
      <c r="B706" s="218">
        <v>2026</v>
      </c>
      <c r="C706" s="218" t="s">
        <v>2765</v>
      </c>
      <c r="D706" s="209" t="s">
        <v>2739</v>
      </c>
      <c r="E706" s="210" t="s">
        <v>2836</v>
      </c>
      <c r="F706" s="220" t="s">
        <v>81</v>
      </c>
      <c r="G706" s="269" t="s">
        <v>2727</v>
      </c>
      <c r="H706" s="278" t="s">
        <v>2839</v>
      </c>
      <c r="I706" s="222">
        <v>46282</v>
      </c>
      <c r="J706" s="222">
        <v>46283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/>
      <c r="T706" s="43" t="s">
        <v>2838</v>
      </c>
    </row>
    <row r="707" spans="1:20" ht="23.25" customHeight="1">
      <c r="A707" s="208" t="str">
        <f>IF(B707="","",B707&amp;"-"&amp;TEXT(COUNTIF(B$2:B707,B707),"000"))</f>
        <v>2026-051</v>
      </c>
      <c r="B707" s="209">
        <v>2026</v>
      </c>
      <c r="C707" s="218" t="s">
        <v>2765</v>
      </c>
      <c r="D707" s="209" t="s">
        <v>2739</v>
      </c>
      <c r="E707" s="210" t="s">
        <v>2836</v>
      </c>
      <c r="F707" s="211" t="s">
        <v>81</v>
      </c>
      <c r="G707" s="260" t="s">
        <v>2727</v>
      </c>
      <c r="H707" s="277" t="s">
        <v>2840</v>
      </c>
      <c r="I707" s="213">
        <v>46289</v>
      </c>
      <c r="J707" s="213">
        <v>46290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/>
      <c r="T707" s="43" t="s">
        <v>2838</v>
      </c>
    </row>
    <row r="708" spans="1:20" ht="23.25" customHeight="1">
      <c r="A708" s="217" t="str">
        <f>IF(B708="","",B708&amp;"-"&amp;TEXT(COUNTIF(B$2:B708,B708),"000"))</f>
        <v>2026-052</v>
      </c>
      <c r="B708" s="218">
        <v>2026</v>
      </c>
      <c r="C708" s="218" t="s">
        <v>2765</v>
      </c>
      <c r="D708" s="209" t="s">
        <v>2739</v>
      </c>
      <c r="E708" s="210" t="s">
        <v>2836</v>
      </c>
      <c r="F708" s="220" t="s">
        <v>81</v>
      </c>
      <c r="G708" s="269" t="s">
        <v>2727</v>
      </c>
      <c r="H708" s="278" t="s">
        <v>2841</v>
      </c>
      <c r="I708" s="222">
        <v>46303</v>
      </c>
      <c r="J708" s="222">
        <v>46304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/>
      <c r="T708" s="43" t="s">
        <v>2838</v>
      </c>
    </row>
    <row r="709" spans="1:20" ht="23.25" customHeight="1">
      <c r="A709" s="208" t="str">
        <f>IF(B709="","",B709&amp;"-"&amp;TEXT(COUNTIF(B$2:B709,B709),"000"))</f>
        <v>2026-053</v>
      </c>
      <c r="B709" s="209">
        <v>2026</v>
      </c>
      <c r="C709" s="218" t="s">
        <v>2765</v>
      </c>
      <c r="D709" s="209" t="s">
        <v>2842</v>
      </c>
      <c r="E709" s="210" t="s">
        <v>2843</v>
      </c>
      <c r="F709" s="211" t="s">
        <v>23</v>
      </c>
      <c r="G709" s="208" t="s">
        <v>2711</v>
      </c>
      <c r="H709" s="212" t="s">
        <v>2801</v>
      </c>
      <c r="I709" s="213"/>
      <c r="J709" s="213"/>
      <c r="K709" s="209" t="s">
        <v>26</v>
      </c>
      <c r="L709" s="223">
        <v>203112</v>
      </c>
      <c r="M709" s="214"/>
      <c r="N709" s="215">
        <v>78</v>
      </c>
      <c r="O709" s="216">
        <v>78</v>
      </c>
      <c r="P709" s="216"/>
      <c r="Q709" s="216"/>
      <c r="R709" s="216">
        <f t="shared" si="14"/>
        <v>78</v>
      </c>
      <c r="S709" s="209"/>
      <c r="T709" s="208"/>
    </row>
    <row r="710" spans="1:20" ht="23.25" customHeight="1">
      <c r="A710" s="217" t="str">
        <f>IF(B710="","",B710&amp;"-"&amp;TEXT(COUNTIF(B$2:B710,B710),"000"))</f>
        <v>2026-054</v>
      </c>
      <c r="B710" s="218">
        <v>2026</v>
      </c>
      <c r="C710" s="218" t="s">
        <v>2765</v>
      </c>
      <c r="D710" s="218" t="s">
        <v>2844</v>
      </c>
      <c r="E710" s="210" t="s">
        <v>2845</v>
      </c>
      <c r="F710" s="220" t="s">
        <v>62</v>
      </c>
      <c r="G710" s="217" t="s">
        <v>72</v>
      </c>
      <c r="H710" s="221" t="s">
        <v>2816</v>
      </c>
      <c r="I710" s="222">
        <v>46244</v>
      </c>
      <c r="J710" s="222">
        <v>46245</v>
      </c>
      <c r="K710" s="218" t="s">
        <v>35</v>
      </c>
      <c r="L710" s="223"/>
      <c r="M710" s="214"/>
      <c r="N710" s="225">
        <v>40</v>
      </c>
      <c r="O710" s="224"/>
      <c r="P710" s="224"/>
      <c r="Q710" s="224"/>
      <c r="R710" s="224">
        <f t="shared" si="14"/>
        <v>0</v>
      </c>
      <c r="S710" s="218">
        <v>8</v>
      </c>
      <c r="T710" s="259" t="s">
        <v>2846</v>
      </c>
    </row>
    <row r="711" spans="1:20" ht="23.25" customHeight="1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54" activePane="bottomLeft" state="frozen"/>
      <selection pane="bottomLeft" activeCell="H105" sqref="H105"/>
    </sheetView>
  </sheetViews>
  <sheetFormatPr defaultRowHeight="15" outlineLevelCol="1"/>
  <cols>
    <col min="1" max="2" width="9.140625" customWidth="1"/>
    <col min="3" max="3" width="12.5703125" customWidth="1"/>
    <col min="4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>
      <c r="A1" s="96" t="s">
        <v>1</v>
      </c>
      <c r="B1" s="96" t="s">
        <v>2847</v>
      </c>
      <c r="C1" s="96" t="s">
        <v>2848</v>
      </c>
      <c r="D1" s="96" t="s">
        <v>4</v>
      </c>
      <c r="E1" s="96" t="s">
        <v>2849</v>
      </c>
      <c r="F1" s="96" t="s">
        <v>19</v>
      </c>
      <c r="G1" s="96" t="s">
        <v>2850</v>
      </c>
      <c r="H1" s="96" t="s">
        <v>2851</v>
      </c>
      <c r="I1" s="96" t="s">
        <v>2852</v>
      </c>
      <c r="J1" s="96" t="s">
        <v>2853</v>
      </c>
      <c r="L1" s="129" t="s">
        <v>2854</v>
      </c>
      <c r="M1" s="100">
        <v>2026</v>
      </c>
      <c r="U1" s="162" t="s">
        <v>2855</v>
      </c>
      <c r="V1" s="161"/>
      <c r="X1" s="159" t="s">
        <v>2856</v>
      </c>
      <c r="Y1" s="107"/>
      <c r="Z1" s="107"/>
      <c r="AA1" s="107"/>
      <c r="AC1" s="253" t="s">
        <v>2857</v>
      </c>
    </row>
    <row r="2" spans="1:31">
      <c r="A2" s="98" cm="1">
        <f t="array" ref="A2:J107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2847</v>
      </c>
      <c r="Y2" s="160" t="s">
        <v>19</v>
      </c>
      <c r="Z2" s="160" t="s">
        <v>2858</v>
      </c>
      <c r="AA2" s="160" t="s">
        <v>2859</v>
      </c>
      <c r="AC2" s="254" t="s">
        <v>1</v>
      </c>
      <c r="AD2" s="254" t="s">
        <v>2860</v>
      </c>
      <c r="AE2" s="254" t="s">
        <v>2861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2862</v>
      </c>
      <c r="M3" s="19" t="s">
        <v>2863</v>
      </c>
      <c r="N3" s="19" t="s">
        <v>2864</v>
      </c>
      <c r="O3" s="19" t="s">
        <v>2865</v>
      </c>
      <c r="P3" s="19" t="s">
        <v>2866</v>
      </c>
      <c r="Q3" s="19" t="s">
        <v>2867</v>
      </c>
      <c r="R3" s="19" t="s">
        <v>2868</v>
      </c>
      <c r="S3" s="19" t="s">
        <v>2869</v>
      </c>
      <c r="T3" s="19" t="s">
        <v>2870</v>
      </c>
      <c r="X3" t="s">
        <v>2871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5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6">_xlfn.VSTACK(0,_xlfn._xlws.FILTER(S4:S200,S4:S200&lt;&gt;""))</f>
        <v>0</v>
      </c>
      <c r="X4" t="s">
        <v>2872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2873</v>
      </c>
      <c r="Y5" t="s">
        <v>2713</v>
      </c>
      <c r="Z5">
        <v>1</v>
      </c>
      <c r="AA5">
        <v>0.6</v>
      </c>
      <c r="AC5" s="248">
        <v>2026</v>
      </c>
      <c r="AD5" s="95" t="s">
        <v>2874</v>
      </c>
      <c r="AE5" s="249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2873</v>
      </c>
      <c r="Y6" t="s">
        <v>2875</v>
      </c>
      <c r="Z6">
        <v>1</v>
      </c>
      <c r="AA6">
        <v>0</v>
      </c>
      <c r="AC6" s="248">
        <v>2026</v>
      </c>
      <c r="AD6" s="95" t="s">
        <v>2876</v>
      </c>
      <c r="AE6" s="249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2877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2878</v>
      </c>
      <c r="Y8" s="95" t="s">
        <v>1343</v>
      </c>
      <c r="AA8">
        <v>1.2</v>
      </c>
      <c r="AC8" s="248">
        <v>2026</v>
      </c>
      <c r="AD8" s="95"/>
      <c r="AE8" s="249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2878</v>
      </c>
      <c r="Y9" s="95" t="s">
        <v>1023</v>
      </c>
      <c r="AA9">
        <v>1.2</v>
      </c>
      <c r="AC9" s="248">
        <v>2026</v>
      </c>
      <c r="AD9" s="95"/>
      <c r="AE9" s="249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2878</v>
      </c>
      <c r="Y10" s="95" t="s">
        <v>1367</v>
      </c>
      <c r="AA10">
        <v>1.2</v>
      </c>
      <c r="AC10" s="248">
        <v>2026</v>
      </c>
      <c r="AD10" s="95"/>
      <c r="AE10" s="249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2878</v>
      </c>
      <c r="Y11" s="95" t="s">
        <v>2879</v>
      </c>
      <c r="AA11">
        <v>1.2</v>
      </c>
      <c r="AC11" s="248">
        <v>2026</v>
      </c>
      <c r="AD11" s="95"/>
      <c r="AE11" s="249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2878</v>
      </c>
      <c r="Y12" s="95" t="s">
        <v>2880</v>
      </c>
      <c r="AA12">
        <v>1.2</v>
      </c>
      <c r="AC12" s="248">
        <v>2026</v>
      </c>
      <c r="AD12" s="95"/>
      <c r="AE12" s="249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2881</v>
      </c>
      <c r="Y13" s="95" t="s">
        <v>1343</v>
      </c>
      <c r="AA13">
        <v>1.2</v>
      </c>
      <c r="AC13" s="248">
        <v>2026</v>
      </c>
      <c r="AD13" s="95"/>
      <c r="AE13" s="249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2881</v>
      </c>
      <c r="Y14" s="95" t="s">
        <v>1023</v>
      </c>
      <c r="AA14">
        <v>1.2</v>
      </c>
      <c r="AC14" s="248">
        <v>2026</v>
      </c>
      <c r="AD14" s="95"/>
      <c r="AE14" s="249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2881</v>
      </c>
      <c r="Y15" s="95" t="s">
        <v>1367</v>
      </c>
      <c r="AA15">
        <v>1.2</v>
      </c>
      <c r="AC15" s="248">
        <v>2026</v>
      </c>
      <c r="AD15" s="95"/>
      <c r="AE15" s="249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2881</v>
      </c>
      <c r="Y16" s="95" t="s">
        <v>2879</v>
      </c>
      <c r="AA16">
        <v>1.2</v>
      </c>
      <c r="AC16" s="248">
        <v>2026</v>
      </c>
      <c r="AD16" s="95"/>
      <c r="AE16" s="249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2881</v>
      </c>
      <c r="Y17" s="95" t="s">
        <v>2880</v>
      </c>
      <c r="AA17">
        <v>1.2</v>
      </c>
      <c r="AC17" s="248">
        <v>2026</v>
      </c>
      <c r="AD17" s="95"/>
      <c r="AE17" s="249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2882</v>
      </c>
      <c r="Y18" s="95" t="s">
        <v>1343</v>
      </c>
      <c r="AA18">
        <v>1.2</v>
      </c>
      <c r="AC18" s="248">
        <v>2026</v>
      </c>
      <c r="AD18" s="95"/>
      <c r="AE18" s="249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2882</v>
      </c>
      <c r="Y19" s="95" t="s">
        <v>1023</v>
      </c>
      <c r="AA19">
        <v>1.2</v>
      </c>
      <c r="AC19" s="248">
        <v>2026</v>
      </c>
      <c r="AD19" s="95"/>
      <c r="AE19" s="249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2882</v>
      </c>
      <c r="Y20" s="95" t="s">
        <v>1367</v>
      </c>
      <c r="AA20">
        <v>1.2</v>
      </c>
      <c r="AC20" s="248">
        <v>2026</v>
      </c>
      <c r="AD20" s="95"/>
      <c r="AE20" s="249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2882</v>
      </c>
      <c r="Y21" s="95" t="s">
        <v>2879</v>
      </c>
      <c r="AA21">
        <v>1.2</v>
      </c>
      <c r="AC21" s="248">
        <v>2026</v>
      </c>
      <c r="AD21" s="95"/>
      <c r="AE21" s="249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2882</v>
      </c>
      <c r="Y22" s="95" t="s">
        <v>2880</v>
      </c>
      <c r="AA22">
        <v>1.2</v>
      </c>
      <c r="AC22" s="248">
        <v>2026</v>
      </c>
      <c r="AD22" s="95"/>
      <c r="AE22" s="249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2883</v>
      </c>
      <c r="Y23" s="95" t="s">
        <v>2713</v>
      </c>
      <c r="AA23">
        <v>2.4</v>
      </c>
      <c r="AC23" s="248">
        <v>2026</v>
      </c>
      <c r="AD23" s="95"/>
      <c r="AE23" s="249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2883</v>
      </c>
      <c r="Y24" s="95" t="s">
        <v>2875</v>
      </c>
      <c r="AA24">
        <v>0</v>
      </c>
      <c r="AC24" s="248">
        <v>2026</v>
      </c>
      <c r="AD24" s="95"/>
      <c r="AE24" s="249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Em andamento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2884</v>
      </c>
      <c r="Y25" s="95" t="s">
        <v>855</v>
      </c>
      <c r="AA25">
        <v>3.6</v>
      </c>
      <c r="AC25" s="248">
        <v>2026</v>
      </c>
      <c r="AD25" s="95"/>
      <c r="AE25" s="249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2884</v>
      </c>
      <c r="Y26" s="95" t="s">
        <v>2885</v>
      </c>
      <c r="Z26">
        <v>0</v>
      </c>
      <c r="AA26">
        <v>0</v>
      </c>
      <c r="AC26" s="248">
        <v>2026</v>
      </c>
      <c r="AD26" s="95"/>
      <c r="AE26" s="249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2886</v>
      </c>
      <c r="Y27" s="95" t="s">
        <v>2713</v>
      </c>
      <c r="AA27">
        <v>2.4</v>
      </c>
      <c r="AC27" s="248">
        <v>2026</v>
      </c>
      <c r="AD27" s="95"/>
      <c r="AE27" s="249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2886</v>
      </c>
      <c r="Y28" s="95" t="s">
        <v>2875</v>
      </c>
      <c r="AA28">
        <v>0</v>
      </c>
      <c r="AC28" s="248">
        <v>2026</v>
      </c>
      <c r="AD28" s="95"/>
      <c r="AE28" s="249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2887</v>
      </c>
      <c r="Y29" s="95" t="s">
        <v>2713</v>
      </c>
      <c r="AA29">
        <v>2.4</v>
      </c>
      <c r="AC29" s="248">
        <v>2026</v>
      </c>
      <c r="AD29" s="95"/>
      <c r="AE29" s="249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2887</v>
      </c>
      <c r="Y30" s="95" t="s">
        <v>2875</v>
      </c>
      <c r="AA30">
        <v>0</v>
      </c>
      <c r="AC30" s="248">
        <v>2026</v>
      </c>
      <c r="AD30" s="95"/>
      <c r="AE30" s="249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2888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2889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2889</v>
      </c>
      <c r="Y33" t="s">
        <v>2890</v>
      </c>
      <c r="Z33">
        <v>4</v>
      </c>
      <c r="AA33">
        <v>0.6</v>
      </c>
      <c r="AC33" s="250"/>
      <c r="AD33" s="251" t="s">
        <v>2891</v>
      </c>
      <c r="AE33" s="252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2889</v>
      </c>
      <c r="Y34" t="s">
        <v>2892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2889</v>
      </c>
      <c r="Y35" t="s">
        <v>108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2889</v>
      </c>
      <c r="Y36" t="s">
        <v>549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2893</v>
      </c>
      <c r="Y37" t="s">
        <v>418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2893</v>
      </c>
      <c r="Y38" s="259" t="s">
        <v>1096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2894</v>
      </c>
      <c r="Y39" t="s">
        <v>549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2895</v>
      </c>
      <c r="Y40" t="s">
        <v>472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0</v>
      </c>
      <c r="Q41" t="str">
        <v>Cinthia Thais de Carvalho Luz Thomazi; Adriana Cuoco Portugal; Fernanda Viana de Souza; Denise Duarte Guirra Kuhlmann;  Priscila Nolasco; Luiz Felipe Tenório de Lima Gondim</v>
      </c>
      <c r="R41">
        <v>6</v>
      </c>
      <c r="S41">
        <v>87</v>
      </c>
      <c r="T41">
        <v>81</v>
      </c>
      <c r="X41" t="s">
        <v>2896</v>
      </c>
      <c r="Y41" t="s">
        <v>1472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0</v>
      </c>
      <c r="Q42" t="str">
        <v>Cinthia Thais de Carvalho Luz Thomazi; Adriana Cuoco Portugal; Fernanda Viana de Souza; Denise Duarte Guirra Kuhlmann;  Priscila Nolasco; Luiz Felipe Tenório de Lima Gondim</v>
      </c>
      <c r="R42">
        <v>6</v>
      </c>
      <c r="S42">
        <v>93</v>
      </c>
      <c r="T42">
        <v>87</v>
      </c>
      <c r="X42" t="s">
        <v>2896</v>
      </c>
      <c r="Y42" t="s">
        <v>2846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0</v>
      </c>
      <c r="Q43" t="str">
        <v>Cinthia Thais de Carvalho Luz Thomazi; Adriana Cuoco Portugal; Fernanda Viana de Souza; Denise Duarte Guirra Kuhlmann;  Priscila Nolasco; Luiz Felipe Tenório de Lima Gondim</v>
      </c>
      <c r="R43">
        <v>6</v>
      </c>
      <c r="S43">
        <v>99</v>
      </c>
      <c r="T43">
        <v>93</v>
      </c>
      <c r="X43" t="s">
        <v>2897</v>
      </c>
      <c r="Y43" s="95" t="s">
        <v>2713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0</v>
      </c>
      <c r="Q44" t="str">
        <v>Cinthia Thais de Carvalho Luz Thomazi; Adriana Cuoco Portugal; Fernanda Viana de Souza; Denise Duarte Guirra Kuhlmann;  Priscila Nolasco; Luiz Felipe Tenório de Lima Gondim</v>
      </c>
      <c r="R44">
        <v>6</v>
      </c>
      <c r="S44">
        <v>105</v>
      </c>
      <c r="T44">
        <v>99</v>
      </c>
      <c r="X44" t="s">
        <v>2897</v>
      </c>
      <c r="Y44" s="95" t="s">
        <v>2875</v>
      </c>
      <c r="AA44">
        <v>0</v>
      </c>
    </row>
    <row r="45" spans="1:31">
      <c r="A45">
        <v>2026</v>
      </c>
      <c r="B45" t="str">
        <v>2026-032</v>
      </c>
      <c r="C45" t="str">
        <v>Em andamento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L45">
        <v>2026</v>
      </c>
      <c r="M45" t="str">
        <v>2026-054</v>
      </c>
      <c r="N45" t="str">
        <v>A realizar</v>
      </c>
      <c r="O45" t="str">
        <v>Oficina Temática – SEMAT: Falhas recorrentes em contratações de TI</v>
      </c>
      <c r="P45">
        <v>8</v>
      </c>
      <c r="Q45" t="str">
        <v>Felipe da Costa Malaquias</v>
      </c>
      <c r="R45">
        <v>1</v>
      </c>
      <c r="S45">
        <v>106</v>
      </c>
      <c r="T45">
        <v>105</v>
      </c>
      <c r="X45" t="s">
        <v>2898</v>
      </c>
      <c r="Y45" t="s">
        <v>2899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Em andamento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T46">
        <v>106</v>
      </c>
      <c r="X46" t="s">
        <v>2898</v>
      </c>
      <c r="Y46" t="s">
        <v>2900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2898</v>
      </c>
      <c r="Y47" t="s">
        <v>2901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2898</v>
      </c>
      <c r="Y48" t="s">
        <v>2902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2898</v>
      </c>
      <c r="Y49" t="s">
        <v>2903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2898</v>
      </c>
      <c r="Y50" t="s">
        <v>935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2898</v>
      </c>
      <c r="Y51" t="s">
        <v>2904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2898</v>
      </c>
      <c r="Y52" t="s">
        <v>1343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2898</v>
      </c>
      <c r="Y53" t="s">
        <v>2905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2898</v>
      </c>
      <c r="Y54" t="s">
        <v>2906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A83">
        <v>2026</v>
      </c>
      <c r="B83" t="str">
        <v>2026-049</v>
      </c>
      <c r="C83" t="str">
        <v>A realizar</v>
      </c>
      <c r="D83" t="str">
        <v>TCendo o Futuro</v>
      </c>
      <c r="E83">
        <v>0</v>
      </c>
      <c r="F83" t="str">
        <v>Cinthia Thais de Carvalho Luz Thomazi</v>
      </c>
      <c r="G83">
        <v>6</v>
      </c>
      <c r="H83">
        <v>0</v>
      </c>
      <c r="I83">
        <v>0</v>
      </c>
      <c r="J83">
        <v>0</v>
      </c>
      <c r="R83" t="str">
        <v/>
      </c>
      <c r="S83" t="str">
        <v/>
      </c>
    </row>
    <row r="84" spans="1:19">
      <c r="A84">
        <v>2026</v>
      </c>
      <c r="B84" t="str">
        <v>2026-049</v>
      </c>
      <c r="C84" t="str">
        <v>A realizar</v>
      </c>
      <c r="D84" t="str">
        <v>TCendo o Futuro</v>
      </c>
      <c r="E84">
        <v>0</v>
      </c>
      <c r="F84" t="str">
        <v>Adriana Cuoco Portugal</v>
      </c>
      <c r="G84">
        <v>6</v>
      </c>
      <c r="H84">
        <v>0</v>
      </c>
      <c r="I84">
        <v>0</v>
      </c>
      <c r="J84">
        <v>0</v>
      </c>
      <c r="R84" t="str">
        <v/>
      </c>
      <c r="S84" t="str">
        <v/>
      </c>
    </row>
    <row r="85" spans="1:19">
      <c r="A85">
        <v>2026</v>
      </c>
      <c r="B85" t="str">
        <v>2026-049</v>
      </c>
      <c r="C85" t="str">
        <v>A realizar</v>
      </c>
      <c r="D85" t="str">
        <v>TCendo o Futuro</v>
      </c>
      <c r="E85">
        <v>0</v>
      </c>
      <c r="F85" t="str">
        <v>Fernanda Viana de Souza</v>
      </c>
      <c r="G85">
        <v>6</v>
      </c>
      <c r="H85">
        <v>0</v>
      </c>
      <c r="I85">
        <v>0</v>
      </c>
      <c r="J85">
        <v>0</v>
      </c>
      <c r="R85" t="str">
        <v/>
      </c>
      <c r="S85" t="str">
        <v/>
      </c>
    </row>
    <row r="86" spans="1:19">
      <c r="A86">
        <v>2026</v>
      </c>
      <c r="B86" t="str">
        <v>2026-049</v>
      </c>
      <c r="C86" t="str">
        <v>A realizar</v>
      </c>
      <c r="D86" t="str">
        <v>TCendo o Futuro</v>
      </c>
      <c r="E86">
        <v>0</v>
      </c>
      <c r="F86" t="str">
        <v>Denise Duarte Guirra Kuhlmann</v>
      </c>
      <c r="G86">
        <v>6</v>
      </c>
      <c r="H86">
        <v>0</v>
      </c>
      <c r="I86">
        <v>0</v>
      </c>
      <c r="J86">
        <v>0</v>
      </c>
      <c r="R86" t="str">
        <v/>
      </c>
      <c r="S86" t="str">
        <v/>
      </c>
    </row>
    <row r="87" spans="1:19">
      <c r="A87">
        <v>2026</v>
      </c>
      <c r="B87" t="str">
        <v>2026-049</v>
      </c>
      <c r="C87" t="str">
        <v>A realizar</v>
      </c>
      <c r="D87" t="str">
        <v>TCendo o Futuro</v>
      </c>
      <c r="E87">
        <v>0</v>
      </c>
      <c r="F87" t="str">
        <v>Priscila Nolasco</v>
      </c>
      <c r="G87">
        <v>6</v>
      </c>
      <c r="H87">
        <v>0</v>
      </c>
      <c r="I87">
        <v>0</v>
      </c>
      <c r="J87">
        <v>0</v>
      </c>
      <c r="R87" t="str">
        <v/>
      </c>
      <c r="S87" t="str">
        <v/>
      </c>
    </row>
    <row r="88" spans="1:19">
      <c r="A88">
        <v>2026</v>
      </c>
      <c r="B88" t="str">
        <v>2026-049</v>
      </c>
      <c r="C88" t="str">
        <v>A realizar</v>
      </c>
      <c r="D88" t="str">
        <v>TCendo o Futuro</v>
      </c>
      <c r="E88">
        <v>0</v>
      </c>
      <c r="F88" t="str">
        <v>Luiz Felipe Tenório de Lima Gondim</v>
      </c>
      <c r="G88">
        <v>6</v>
      </c>
      <c r="H88">
        <v>0</v>
      </c>
      <c r="I88">
        <v>0</v>
      </c>
      <c r="J88">
        <v>0</v>
      </c>
      <c r="R88" t="str">
        <v/>
      </c>
      <c r="S88" t="str">
        <v/>
      </c>
    </row>
    <row r="89" spans="1:19">
      <c r="A89">
        <v>2026</v>
      </c>
      <c r="B89" t="str">
        <v>2026-050</v>
      </c>
      <c r="C89" t="str">
        <v>A realizar</v>
      </c>
      <c r="D89" t="str">
        <v>TCendo o Futuro</v>
      </c>
      <c r="E89">
        <v>0</v>
      </c>
      <c r="F89" t="str">
        <v>Cinthia Thais de Carvalho Luz Thomazi</v>
      </c>
      <c r="G89">
        <v>6</v>
      </c>
      <c r="H89">
        <v>0</v>
      </c>
      <c r="I89">
        <v>0</v>
      </c>
      <c r="J89">
        <v>0</v>
      </c>
      <c r="R89" t="str">
        <v/>
      </c>
      <c r="S89" t="str">
        <v/>
      </c>
    </row>
    <row r="90" spans="1:19">
      <c r="A90">
        <v>2026</v>
      </c>
      <c r="B90" t="str">
        <v>2026-050</v>
      </c>
      <c r="C90" t="str">
        <v>A realizar</v>
      </c>
      <c r="D90" t="str">
        <v>TCendo o Futuro</v>
      </c>
      <c r="E90">
        <v>0</v>
      </c>
      <c r="F90" t="str">
        <v>Adriana Cuoco Portugal</v>
      </c>
      <c r="G90">
        <v>6</v>
      </c>
      <c r="H90">
        <v>0</v>
      </c>
      <c r="I90">
        <v>0</v>
      </c>
      <c r="J90">
        <v>0</v>
      </c>
      <c r="R90" t="str">
        <v/>
      </c>
      <c r="S90" t="str">
        <v/>
      </c>
    </row>
    <row r="91" spans="1:19">
      <c r="A91">
        <v>2026</v>
      </c>
      <c r="B91" t="str">
        <v>2026-050</v>
      </c>
      <c r="C91" t="str">
        <v>A realizar</v>
      </c>
      <c r="D91" t="str">
        <v>TCendo o Futuro</v>
      </c>
      <c r="E91">
        <v>0</v>
      </c>
      <c r="F91" t="str">
        <v>Fernanda Viana de Souza</v>
      </c>
      <c r="G91">
        <v>6</v>
      </c>
      <c r="H91">
        <v>0</v>
      </c>
      <c r="I91">
        <v>0</v>
      </c>
      <c r="J91">
        <v>0</v>
      </c>
      <c r="R91" t="str">
        <v/>
      </c>
      <c r="S91" t="str">
        <v/>
      </c>
    </row>
    <row r="92" spans="1:19">
      <c r="A92">
        <v>2026</v>
      </c>
      <c r="B92" t="str">
        <v>2026-050</v>
      </c>
      <c r="C92" t="str">
        <v>A realizar</v>
      </c>
      <c r="D92" t="str">
        <v>TCendo o Futuro</v>
      </c>
      <c r="E92">
        <v>0</v>
      </c>
      <c r="F92" t="str">
        <v>Denise Duarte Guirra Kuhlmann</v>
      </c>
      <c r="G92">
        <v>6</v>
      </c>
      <c r="H92">
        <v>0</v>
      </c>
      <c r="I92">
        <v>0</v>
      </c>
      <c r="J92">
        <v>0</v>
      </c>
      <c r="R92" t="str">
        <v/>
      </c>
      <c r="S92" t="str">
        <v/>
      </c>
    </row>
    <row r="93" spans="1:19">
      <c r="A93">
        <v>2026</v>
      </c>
      <c r="B93" t="str">
        <v>2026-050</v>
      </c>
      <c r="C93" t="str">
        <v>A realizar</v>
      </c>
      <c r="D93" t="str">
        <v>TCendo o Futuro</v>
      </c>
      <c r="E93">
        <v>0</v>
      </c>
      <c r="F93" t="str">
        <v>Priscila Nolasco</v>
      </c>
      <c r="G93">
        <v>6</v>
      </c>
      <c r="H93">
        <v>0</v>
      </c>
      <c r="I93">
        <v>0</v>
      </c>
      <c r="J93">
        <v>0</v>
      </c>
      <c r="R93" t="str">
        <v/>
      </c>
      <c r="S93" t="str">
        <v/>
      </c>
    </row>
    <row r="94" spans="1:19">
      <c r="A94">
        <v>2026</v>
      </c>
      <c r="B94" t="str">
        <v>2026-050</v>
      </c>
      <c r="C94" t="str">
        <v>A realizar</v>
      </c>
      <c r="D94" t="str">
        <v>TCendo o Futuro</v>
      </c>
      <c r="E94">
        <v>0</v>
      </c>
      <c r="F94" t="str">
        <v>Luiz Felipe Tenório de Lima Gondim</v>
      </c>
      <c r="G94">
        <v>6</v>
      </c>
      <c r="H94">
        <v>0</v>
      </c>
      <c r="I94">
        <v>0</v>
      </c>
      <c r="J94">
        <v>0</v>
      </c>
      <c r="R94" t="str">
        <v/>
      </c>
      <c r="S94" t="str">
        <v/>
      </c>
    </row>
    <row r="95" spans="1:19">
      <c r="A95">
        <v>2026</v>
      </c>
      <c r="B95" t="str">
        <v>2026-051</v>
      </c>
      <c r="C95" t="str">
        <v>A realizar</v>
      </c>
      <c r="D95" t="str">
        <v>TCendo o Futuro</v>
      </c>
      <c r="E95">
        <v>0</v>
      </c>
      <c r="F95" t="str">
        <v>Cinthia Thais de Carvalho Luz Thomazi</v>
      </c>
      <c r="G95">
        <v>6</v>
      </c>
      <c r="H95">
        <v>0</v>
      </c>
      <c r="I95">
        <v>0</v>
      </c>
      <c r="J95">
        <v>0</v>
      </c>
      <c r="R95" t="str">
        <v/>
      </c>
      <c r="S95" t="str">
        <v/>
      </c>
    </row>
    <row r="96" spans="1:19">
      <c r="A96">
        <v>2026</v>
      </c>
      <c r="B96" t="str">
        <v>2026-051</v>
      </c>
      <c r="C96" t="str">
        <v>A realizar</v>
      </c>
      <c r="D96" t="str">
        <v>TCendo o Futuro</v>
      </c>
      <c r="E96">
        <v>0</v>
      </c>
      <c r="F96" t="str">
        <v>Adriana Cuoco Portugal</v>
      </c>
      <c r="G96">
        <v>6</v>
      </c>
      <c r="H96">
        <v>0</v>
      </c>
      <c r="I96">
        <v>0</v>
      </c>
      <c r="J96">
        <v>0</v>
      </c>
      <c r="R96" t="str">
        <v/>
      </c>
      <c r="S96" t="str">
        <v/>
      </c>
    </row>
    <row r="97" spans="1:19">
      <c r="A97">
        <v>2026</v>
      </c>
      <c r="B97" t="str">
        <v>2026-051</v>
      </c>
      <c r="C97" t="str">
        <v>A realizar</v>
      </c>
      <c r="D97" t="str">
        <v>TCendo o Futuro</v>
      </c>
      <c r="E97">
        <v>0</v>
      </c>
      <c r="F97" t="str">
        <v>Fernanda Viana de Souza</v>
      </c>
      <c r="G97">
        <v>6</v>
      </c>
      <c r="H97">
        <v>0</v>
      </c>
      <c r="I97">
        <v>0</v>
      </c>
      <c r="J97">
        <v>0</v>
      </c>
      <c r="R97" t="str">
        <v/>
      </c>
      <c r="S97" t="str">
        <v/>
      </c>
    </row>
    <row r="98" spans="1:19">
      <c r="A98">
        <v>2026</v>
      </c>
      <c r="B98" t="str">
        <v>2026-051</v>
      </c>
      <c r="C98" t="str">
        <v>A realizar</v>
      </c>
      <c r="D98" t="str">
        <v>TCendo o Futuro</v>
      </c>
      <c r="E98">
        <v>0</v>
      </c>
      <c r="F98" t="str">
        <v>Denise Duarte Guirra Kuhlmann</v>
      </c>
      <c r="G98">
        <v>6</v>
      </c>
      <c r="H98">
        <v>0</v>
      </c>
      <c r="I98">
        <v>0</v>
      </c>
      <c r="J98">
        <v>0</v>
      </c>
      <c r="R98" t="str">
        <v/>
      </c>
      <c r="S98" t="str">
        <v/>
      </c>
    </row>
    <row r="99" spans="1:19">
      <c r="A99">
        <v>2026</v>
      </c>
      <c r="B99" t="str">
        <v>2026-051</v>
      </c>
      <c r="C99" t="str">
        <v>A realizar</v>
      </c>
      <c r="D99" t="str">
        <v>TCendo o Futuro</v>
      </c>
      <c r="E99">
        <v>0</v>
      </c>
      <c r="F99" t="str">
        <v>Priscila Nolasco</v>
      </c>
      <c r="G99">
        <v>6</v>
      </c>
      <c r="H99">
        <v>0</v>
      </c>
      <c r="I99">
        <v>0</v>
      </c>
      <c r="J99">
        <v>0</v>
      </c>
      <c r="R99" t="str">
        <v/>
      </c>
      <c r="S99" t="str">
        <v/>
      </c>
    </row>
    <row r="100" spans="1:19">
      <c r="A100">
        <v>2026</v>
      </c>
      <c r="B100" t="str">
        <v>2026-051</v>
      </c>
      <c r="C100" t="str">
        <v>A realizar</v>
      </c>
      <c r="D100" t="str">
        <v>TCendo o Futuro</v>
      </c>
      <c r="E100">
        <v>0</v>
      </c>
      <c r="F100" t="str">
        <v>Luiz Felipe Tenório de Lima Gondim</v>
      </c>
      <c r="G100">
        <v>6</v>
      </c>
      <c r="H100">
        <v>0</v>
      </c>
      <c r="I100">
        <v>0</v>
      </c>
      <c r="J100">
        <v>0</v>
      </c>
      <c r="R100" t="str">
        <v/>
      </c>
      <c r="S100" t="str">
        <v/>
      </c>
    </row>
    <row r="101" spans="1:19">
      <c r="A101">
        <v>2026</v>
      </c>
      <c r="B101" t="str">
        <v>2026-052</v>
      </c>
      <c r="C101" t="str">
        <v>A realizar</v>
      </c>
      <c r="D101" t="str">
        <v>TCendo o Futuro</v>
      </c>
      <c r="E101">
        <v>0</v>
      </c>
      <c r="F101" t="str">
        <v>Cinthia Thais de Carvalho Luz Thomazi</v>
      </c>
      <c r="G101">
        <v>6</v>
      </c>
      <c r="H101">
        <v>0</v>
      </c>
      <c r="I101">
        <v>0</v>
      </c>
      <c r="J101">
        <v>0</v>
      </c>
      <c r="R101" t="str">
        <v/>
      </c>
      <c r="S101" t="str">
        <v/>
      </c>
    </row>
    <row r="102" spans="1:19">
      <c r="A102">
        <v>2026</v>
      </c>
      <c r="B102" t="str">
        <v>2026-052</v>
      </c>
      <c r="C102" t="str">
        <v>A realizar</v>
      </c>
      <c r="D102" t="str">
        <v>TCendo o Futuro</v>
      </c>
      <c r="E102">
        <v>0</v>
      </c>
      <c r="F102" t="str">
        <v>Adriana Cuoco Portugal</v>
      </c>
      <c r="G102">
        <v>6</v>
      </c>
      <c r="H102">
        <v>0</v>
      </c>
      <c r="I102">
        <v>0</v>
      </c>
      <c r="J102">
        <v>0</v>
      </c>
      <c r="R102" t="str">
        <v/>
      </c>
      <c r="S102" t="str">
        <v/>
      </c>
    </row>
    <row r="103" spans="1:19">
      <c r="A103">
        <v>2026</v>
      </c>
      <c r="B103" t="str">
        <v>2026-052</v>
      </c>
      <c r="C103" t="str">
        <v>A realizar</v>
      </c>
      <c r="D103" t="str">
        <v>TCendo o Futuro</v>
      </c>
      <c r="E103">
        <v>0</v>
      </c>
      <c r="F103" t="str">
        <v>Fernanda Viana de Souza</v>
      </c>
      <c r="G103">
        <v>6</v>
      </c>
      <c r="H103">
        <v>0</v>
      </c>
      <c r="I103">
        <v>0</v>
      </c>
      <c r="J103">
        <v>0</v>
      </c>
      <c r="R103" t="str">
        <v/>
      </c>
      <c r="S103" t="str">
        <v/>
      </c>
    </row>
    <row r="104" spans="1:19">
      <c r="A104">
        <v>2026</v>
      </c>
      <c r="B104" t="str">
        <v>2026-052</v>
      </c>
      <c r="C104" t="str">
        <v>A realizar</v>
      </c>
      <c r="D104" t="str">
        <v>TCendo o Futuro</v>
      </c>
      <c r="E104">
        <v>0</v>
      </c>
      <c r="F104" t="str">
        <v>Denise Duarte Guirra Kuhlmann</v>
      </c>
      <c r="G104">
        <v>6</v>
      </c>
      <c r="H104">
        <v>0</v>
      </c>
      <c r="I104">
        <v>0</v>
      </c>
      <c r="J104">
        <v>0</v>
      </c>
      <c r="R104" t="str">
        <v/>
      </c>
      <c r="S104" t="str">
        <v/>
      </c>
    </row>
    <row r="105" spans="1:19">
      <c r="A105">
        <v>2026</v>
      </c>
      <c r="B105" t="str">
        <v>2026-052</v>
      </c>
      <c r="C105" t="str">
        <v>A realizar</v>
      </c>
      <c r="D105" t="str">
        <v>TCendo o Futuro</v>
      </c>
      <c r="E105">
        <v>0</v>
      </c>
      <c r="F105" t="str">
        <v>Priscila Nolasco</v>
      </c>
      <c r="G105">
        <v>6</v>
      </c>
      <c r="H105">
        <v>0</v>
      </c>
      <c r="I105">
        <v>0</v>
      </c>
      <c r="J105">
        <v>0</v>
      </c>
      <c r="R105" t="str">
        <v/>
      </c>
      <c r="S105" t="str">
        <v/>
      </c>
    </row>
    <row r="106" spans="1:19">
      <c r="A106">
        <v>2026</v>
      </c>
      <c r="B106" t="str">
        <v>2026-052</v>
      </c>
      <c r="C106" t="str">
        <v>A realizar</v>
      </c>
      <c r="D106" t="str">
        <v>TCendo o Futuro</v>
      </c>
      <c r="E106">
        <v>0</v>
      </c>
      <c r="F106" t="str">
        <v>Luiz Felipe Tenório de Lima Gondim</v>
      </c>
      <c r="G106">
        <v>6</v>
      </c>
      <c r="H106">
        <v>0</v>
      </c>
      <c r="I106">
        <v>0</v>
      </c>
      <c r="J106">
        <v>0</v>
      </c>
      <c r="R106" t="str">
        <v/>
      </c>
      <c r="S106" t="str">
        <v/>
      </c>
    </row>
    <row r="107" spans="1:19">
      <c r="A107">
        <v>2026</v>
      </c>
      <c r="B107" t="str">
        <v>2026-054</v>
      </c>
      <c r="C107" t="str">
        <v>A realizar</v>
      </c>
      <c r="D107" t="str">
        <v>Oficina Temática – SEMAT: Falhas recorrentes em contratações de TI</v>
      </c>
      <c r="E107">
        <v>8</v>
      </c>
      <c r="F107" t="str">
        <v>Felipe da Costa Malaquias</v>
      </c>
      <c r="G107">
        <v>1</v>
      </c>
      <c r="H107">
        <v>8</v>
      </c>
      <c r="I107">
        <v>2.4</v>
      </c>
      <c r="J107">
        <v>10.4</v>
      </c>
      <c r="R107" t="str">
        <v/>
      </c>
      <c r="S107" t="str">
        <v/>
      </c>
    </row>
    <row r="108" spans="1:19">
      <c r="R108" t="str">
        <v/>
      </c>
      <c r="S108" t="str">
        <v/>
      </c>
    </row>
    <row r="109" spans="1:19">
      <c r="R109" t="str">
        <v/>
      </c>
      <c r="S109" t="str">
        <v/>
      </c>
    </row>
    <row r="110" spans="1:19">
      <c r="R110" t="str">
        <v/>
      </c>
      <c r="S110" t="str">
        <v/>
      </c>
    </row>
    <row r="111" spans="1:19">
      <c r="R111" t="str">
        <v/>
      </c>
      <c r="S111" t="str">
        <v/>
      </c>
    </row>
    <row r="112" spans="1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80" t="s">
        <v>2907</v>
      </c>
      <c r="B1" s="280"/>
      <c r="C1" s="280"/>
      <c r="D1" s="280"/>
      <c r="E1" s="280"/>
      <c r="F1" s="280"/>
      <c r="G1" s="280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81" t="s">
        <v>2908</v>
      </c>
      <c r="B4" s="282"/>
      <c r="D4" s="283" t="s">
        <v>2909</v>
      </c>
      <c r="E4" s="284"/>
      <c r="G4" s="125" t="s">
        <v>2910</v>
      </c>
    </row>
    <row r="5" spans="1:7" ht="54.95" customHeight="1" thickBot="1">
      <c r="A5" s="115">
        <f>COUNTIF('Ações InCompany'!B:B,2026)</f>
        <v>54</v>
      </c>
      <c r="B5" s="116" t="s">
        <v>2911</v>
      </c>
      <c r="D5" s="123">
        <f>COUNTIFS('Ações InCompany'!B:B,2026,'Ações InCompany'!C:C,"Realizado")</f>
        <v>32</v>
      </c>
      <c r="E5" s="124" t="s">
        <v>2911</v>
      </c>
      <c r="G5" s="126">
        <f>COUNTIFS('Ações InCompany'!B:B,2026,'Ações InCompany'!C:C,"A realizar")</f>
        <v>16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9" t="s">
        <v>2912</v>
      </c>
      <c r="B8" s="279"/>
      <c r="D8" s="279" t="s">
        <v>2913</v>
      </c>
      <c r="E8" s="279"/>
    </row>
    <row r="9" spans="1:7" ht="5.0999999999999996" customHeight="1">
      <c r="A9" s="291"/>
      <c r="B9" s="291"/>
      <c r="D9" s="291"/>
      <c r="E9" s="291"/>
    </row>
    <row r="10" spans="1:7" ht="24.95" customHeight="1">
      <c r="A10" s="108" t="s">
        <v>5</v>
      </c>
      <c r="B10" s="108" t="s">
        <v>2914</v>
      </c>
      <c r="D10" s="108" t="s">
        <v>2915</v>
      </c>
      <c r="E10" s="108" t="s">
        <v>2916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2917</v>
      </c>
      <c r="E11" s="110">
        <f>SUMIFS('Ações InCompany'!O:O,'Ações InCompany'!B:B,2026,'Ações InCompany'!C:C,"Realizado")</f>
        <v>461</v>
      </c>
    </row>
    <row r="12" spans="1:7" ht="27.95" customHeight="1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2918</v>
      </c>
      <c r="E12" s="112">
        <f>SUMIFS('Ações InCompany'!P:P,'Ações InCompany'!B:B,2026,'Ações InCompany'!C:C,"Realizado")</f>
        <v>447</v>
      </c>
    </row>
    <row r="13" spans="1:7" ht="27.95" customHeight="1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2919</v>
      </c>
      <c r="E13" s="110">
        <f>SUMIFS('Ações InCompany'!Q:Q,'Ações InCompany'!B:B,2026,'Ações InCompany'!C:C,"Realizado")</f>
        <v>370</v>
      </c>
    </row>
    <row r="14" spans="1:7" ht="27.95" customHeight="1">
      <c r="A14" s="113" t="s">
        <v>2920</v>
      </c>
      <c r="B14" s="114">
        <f>SUM(B11:B13)</f>
        <v>32</v>
      </c>
      <c r="D14" s="113" t="s">
        <v>2921</v>
      </c>
      <c r="E14" s="114">
        <f>SUM(E11:E13)</f>
        <v>1278</v>
      </c>
    </row>
    <row r="30" spans="1:5" ht="17.25">
      <c r="A30" s="279" t="s">
        <v>2922</v>
      </c>
      <c r="B30" s="279"/>
      <c r="C30" s="279"/>
      <c r="D30" s="279"/>
      <c r="E30" s="279"/>
    </row>
    <row r="31" spans="1:5" ht="5.0999999999999996" customHeight="1">
      <c r="A31" s="291"/>
      <c r="B31" s="291"/>
      <c r="C31" s="291"/>
      <c r="D31" s="291"/>
      <c r="E31" s="291"/>
    </row>
    <row r="32" spans="1:5" ht="24.95" customHeight="1">
      <c r="A32" s="108" t="s">
        <v>6</v>
      </c>
      <c r="B32" s="108" t="s">
        <v>2923</v>
      </c>
      <c r="C32" s="108" t="s">
        <v>2924</v>
      </c>
      <c r="D32" s="108" t="s">
        <v>2925</v>
      </c>
      <c r="E32" s="108" t="s">
        <v>2926</v>
      </c>
    </row>
    <row r="33" spans="1:5" ht="24" customHeight="1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0.22916666666666666</v>
      </c>
    </row>
    <row r="34" spans="1:5" ht="24" customHeight="1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6.25E-2</v>
      </c>
    </row>
    <row r="35" spans="1:5" ht="24" customHeight="1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1</v>
      </c>
      <c r="D35" s="117">
        <f t="shared" si="0"/>
        <v>6</v>
      </c>
      <c r="E35" s="118">
        <f t="shared" si="1"/>
        <v>0.125</v>
      </c>
    </row>
    <row r="36" spans="1:5" ht="24" customHeight="1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2.0833333333333332E-2</v>
      </c>
    </row>
    <row r="37" spans="1:5" ht="24" customHeight="1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4.1666666666666664E-2</v>
      </c>
    </row>
    <row r="38" spans="1:5" ht="24" customHeight="1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5</v>
      </c>
      <c r="D38" s="119">
        <f t="shared" si="0"/>
        <v>10</v>
      </c>
      <c r="E38" s="120">
        <f t="shared" si="1"/>
        <v>0.20833333333333334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8.3333333333333329E-2</v>
      </c>
    </row>
    <row r="40" spans="1:5" ht="24" customHeight="1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4.1666666666666664E-2</v>
      </c>
    </row>
    <row r="41" spans="1:5" ht="24" customHeight="1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0.14583333333333334</v>
      </c>
    </row>
    <row r="42" spans="1:5" ht="24" customHeight="1">
      <c r="A42" s="156" t="s">
        <v>2927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4.1666666666666664E-2</v>
      </c>
    </row>
    <row r="44" spans="1:5" ht="24" customHeight="1">
      <c r="A44" s="148" t="s">
        <v>2928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>
      <c r="A45" s="113" t="s">
        <v>2920</v>
      </c>
      <c r="B45" s="121">
        <f>SUM(B33:B44)</f>
        <v>32</v>
      </c>
      <c r="C45" s="121">
        <f>SUM(C33:C44)</f>
        <v>16</v>
      </c>
      <c r="D45" s="121">
        <f>SUM(D33:D44)</f>
        <v>48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2929</v>
      </c>
      <c r="B1" s="12" t="s">
        <v>2930</v>
      </c>
      <c r="C1" s="13" t="s">
        <v>2931</v>
      </c>
      <c r="D1" s="13" t="s">
        <v>2932</v>
      </c>
      <c r="E1" s="13" t="s">
        <v>2933</v>
      </c>
    </row>
    <row r="2" spans="1:5" ht="18" customHeight="1">
      <c r="A2" s="12" t="s">
        <v>2934</v>
      </c>
      <c r="B2" s="12" t="s">
        <v>2935</v>
      </c>
      <c r="C2" s="12" t="s">
        <v>1729</v>
      </c>
      <c r="D2" s="12" t="s">
        <v>2936</v>
      </c>
      <c r="E2" s="12" t="s">
        <v>2937</v>
      </c>
    </row>
    <row r="3" spans="1:5" ht="18" customHeight="1">
      <c r="A3" s="12" t="s">
        <v>2934</v>
      </c>
      <c r="B3" s="12" t="s">
        <v>2935</v>
      </c>
      <c r="C3" s="14" t="s">
        <v>24</v>
      </c>
      <c r="D3" s="12" t="s">
        <v>2938</v>
      </c>
      <c r="E3" s="12" t="s">
        <v>2939</v>
      </c>
    </row>
    <row r="4" spans="1:5" ht="18" customHeight="1">
      <c r="A4" s="12" t="s">
        <v>2934</v>
      </c>
      <c r="B4" s="12" t="s">
        <v>2935</v>
      </c>
      <c r="C4" s="12" t="s">
        <v>68</v>
      </c>
      <c r="D4" s="12" t="s">
        <v>2936</v>
      </c>
      <c r="E4" s="12" t="s">
        <v>2940</v>
      </c>
    </row>
    <row r="5" spans="1:5" ht="18" customHeight="1">
      <c r="A5" s="12" t="s">
        <v>2934</v>
      </c>
      <c r="B5" s="12" t="s">
        <v>2935</v>
      </c>
      <c r="C5" s="12" t="s">
        <v>72</v>
      </c>
      <c r="D5" s="12" t="s">
        <v>2941</v>
      </c>
      <c r="E5" s="12" t="s">
        <v>2942</v>
      </c>
    </row>
    <row r="6" spans="1:5" ht="18" customHeight="1">
      <c r="A6" s="12" t="s">
        <v>2934</v>
      </c>
      <c r="B6" s="12" t="s">
        <v>2935</v>
      </c>
      <c r="C6" s="12" t="s">
        <v>2727</v>
      </c>
      <c r="D6" s="12" t="s">
        <v>2943</v>
      </c>
      <c r="E6" s="12" t="s">
        <v>2944</v>
      </c>
    </row>
    <row r="7" spans="1:5" ht="18" customHeight="1">
      <c r="A7" s="12" t="s">
        <v>2934</v>
      </c>
      <c r="B7" s="12" t="s">
        <v>2945</v>
      </c>
      <c r="C7" s="12" t="s">
        <v>33</v>
      </c>
      <c r="D7" s="12" t="s">
        <v>2946</v>
      </c>
      <c r="E7" s="12" t="s">
        <v>2947</v>
      </c>
    </row>
    <row r="8" spans="1:5" ht="18" customHeight="1">
      <c r="A8" s="12" t="s">
        <v>2934</v>
      </c>
      <c r="B8" s="12" t="s">
        <v>2945</v>
      </c>
      <c r="C8" s="12" t="s">
        <v>38</v>
      </c>
      <c r="D8" s="12" t="s">
        <v>2948</v>
      </c>
      <c r="E8" s="12" t="s">
        <v>2949</v>
      </c>
    </row>
    <row r="9" spans="1:5" ht="18" customHeight="1">
      <c r="A9" s="12" t="s">
        <v>2934</v>
      </c>
      <c r="B9" s="12" t="s">
        <v>2950</v>
      </c>
      <c r="C9" s="12" t="s">
        <v>457</v>
      </c>
      <c r="D9" s="12" t="s">
        <v>2951</v>
      </c>
      <c r="E9" s="12" t="s">
        <v>2952</v>
      </c>
    </row>
    <row r="10" spans="1:5" ht="18" customHeight="1">
      <c r="A10" s="12" t="s">
        <v>2934</v>
      </c>
      <c r="B10" s="12" t="s">
        <v>2950</v>
      </c>
      <c r="C10" s="12" t="s">
        <v>199</v>
      </c>
      <c r="D10" s="12" t="s">
        <v>23</v>
      </c>
      <c r="E10" s="12" t="s">
        <v>2953</v>
      </c>
    </row>
    <row r="11" spans="1:5" ht="18" customHeight="1">
      <c r="A11" s="12" t="s">
        <v>2934</v>
      </c>
      <c r="B11" s="12" t="s">
        <v>2950</v>
      </c>
      <c r="C11" s="12" t="s">
        <v>364</v>
      </c>
      <c r="D11" s="12" t="s">
        <v>23</v>
      </c>
      <c r="E11" s="12" t="s">
        <v>2954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2955</v>
      </c>
      <c r="B1" s="5" t="s">
        <v>10</v>
      </c>
      <c r="C1" s="15" t="s">
        <v>2956</v>
      </c>
      <c r="D1" s="15" t="s">
        <v>2848</v>
      </c>
    </row>
    <row r="2" spans="1:4" ht="21" customHeight="1">
      <c r="A2" s="258" t="s">
        <v>23</v>
      </c>
      <c r="B2" s="258" t="s">
        <v>35</v>
      </c>
      <c r="C2" s="12" t="s">
        <v>2957</v>
      </c>
      <c r="D2" s="12" t="s">
        <v>2765</v>
      </c>
    </row>
    <row r="3" spans="1:4" ht="21" customHeight="1">
      <c r="A3" s="12" t="s">
        <v>62</v>
      </c>
      <c r="B3" s="258" t="s">
        <v>26</v>
      </c>
      <c r="C3" s="12" t="s">
        <v>2958</v>
      </c>
      <c r="D3" s="12" t="s">
        <v>2664</v>
      </c>
    </row>
    <row r="4" spans="1:4" ht="21" customHeight="1">
      <c r="A4" s="14" t="s">
        <v>81</v>
      </c>
      <c r="B4" s="258" t="s">
        <v>220</v>
      </c>
      <c r="D4" s="12" t="s">
        <v>2743</v>
      </c>
    </row>
    <row r="5" spans="1:4" ht="21" customHeight="1">
      <c r="A5" s="12" t="s">
        <v>225</v>
      </c>
      <c r="D5" s="12" t="s">
        <v>21</v>
      </c>
    </row>
    <row r="6" spans="1:4" ht="21" customHeight="1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2929</v>
      </c>
      <c r="B1" s="12" t="s">
        <v>2930</v>
      </c>
      <c r="C1" s="13" t="s">
        <v>2931</v>
      </c>
      <c r="D1" s="13" t="s">
        <v>2932</v>
      </c>
      <c r="E1" s="13" t="s">
        <v>2933</v>
      </c>
    </row>
    <row r="2" spans="1:5" ht="18" customHeight="1">
      <c r="A2" s="12" t="s">
        <v>2959</v>
      </c>
      <c r="B2" s="12" t="s">
        <v>2935</v>
      </c>
      <c r="C2" s="14" t="s">
        <v>24</v>
      </c>
      <c r="D2" s="12" t="s">
        <v>2936</v>
      </c>
      <c r="E2" s="18" t="s">
        <v>2960</v>
      </c>
    </row>
    <row r="3" spans="1:5" ht="18" customHeight="1">
      <c r="A3" s="12" t="s">
        <v>2959</v>
      </c>
      <c r="B3" s="12" t="s">
        <v>2935</v>
      </c>
      <c r="C3" s="12" t="s">
        <v>68</v>
      </c>
      <c r="D3" s="12" t="s">
        <v>2938</v>
      </c>
      <c r="E3" s="12" t="s">
        <v>2961</v>
      </c>
    </row>
    <row r="4" spans="1:5" ht="18" customHeight="1">
      <c r="A4" s="12" t="s">
        <v>2959</v>
      </c>
      <c r="B4" s="12" t="s">
        <v>2935</v>
      </c>
      <c r="C4" s="12" t="s">
        <v>72</v>
      </c>
      <c r="D4" s="12" t="s">
        <v>2941</v>
      </c>
      <c r="E4" s="12" t="s">
        <v>2962</v>
      </c>
    </row>
    <row r="5" spans="1:5" ht="27.75" customHeight="1">
      <c r="A5" s="12" t="s">
        <v>2959</v>
      </c>
      <c r="B5" s="12" t="s">
        <v>2935</v>
      </c>
      <c r="C5" s="12" t="s">
        <v>2690</v>
      </c>
      <c r="D5" s="18" t="s">
        <v>2963</v>
      </c>
      <c r="E5" s="12" t="s">
        <v>2964</v>
      </c>
    </row>
    <row r="6" spans="1:5" ht="18" customHeight="1">
      <c r="A6" s="12" t="s">
        <v>2959</v>
      </c>
      <c r="B6" s="12" t="s">
        <v>2935</v>
      </c>
      <c r="C6" s="12" t="s">
        <v>2727</v>
      </c>
      <c r="D6" s="12" t="s">
        <v>2943</v>
      </c>
      <c r="E6" s="12" t="s">
        <v>2944</v>
      </c>
    </row>
    <row r="7" spans="1:5" ht="18" customHeight="1">
      <c r="A7" s="12" t="s">
        <v>2959</v>
      </c>
      <c r="B7" s="12" t="s">
        <v>2945</v>
      </c>
      <c r="C7" s="12" t="s">
        <v>2711</v>
      </c>
      <c r="D7" s="12" t="s">
        <v>2965</v>
      </c>
      <c r="E7" s="12" t="s">
        <v>2966</v>
      </c>
    </row>
    <row r="8" spans="1:5" ht="18" customHeight="1">
      <c r="A8" s="12" t="s">
        <v>2959</v>
      </c>
      <c r="B8" s="12" t="s">
        <v>2945</v>
      </c>
      <c r="C8" s="12" t="s">
        <v>38</v>
      </c>
      <c r="D8" s="12" t="s">
        <v>2948</v>
      </c>
      <c r="E8" s="12" t="s">
        <v>2949</v>
      </c>
    </row>
    <row r="9" spans="1:5" ht="18" customHeight="1">
      <c r="A9" s="12" t="s">
        <v>2959</v>
      </c>
      <c r="B9" s="12" t="s">
        <v>2945</v>
      </c>
      <c r="C9" s="12" t="s">
        <v>2695</v>
      </c>
      <c r="D9" s="12" t="s">
        <v>2967</v>
      </c>
      <c r="E9" s="18" t="s">
        <v>2968</v>
      </c>
    </row>
    <row r="10" spans="1:5" ht="18" customHeight="1">
      <c r="A10" s="12" t="s">
        <v>2959</v>
      </c>
      <c r="B10" s="12" t="s">
        <v>2969</v>
      </c>
      <c r="C10" s="12" t="s">
        <v>2927</v>
      </c>
      <c r="D10" s="12" t="s">
        <v>2970</v>
      </c>
      <c r="E10" s="18" t="s">
        <v>2971</v>
      </c>
    </row>
    <row r="11" spans="1:5" ht="18" customHeight="1">
      <c r="A11" s="12" t="s">
        <v>2959</v>
      </c>
      <c r="B11" s="12" t="s">
        <v>2969</v>
      </c>
      <c r="C11" s="12" t="s">
        <v>199</v>
      </c>
      <c r="D11" s="12" t="s">
        <v>23</v>
      </c>
      <c r="E11" s="12" t="s">
        <v>2953</v>
      </c>
    </row>
    <row r="12" spans="1:5" ht="18" customHeight="1">
      <c r="A12" s="12" t="s">
        <v>2959</v>
      </c>
      <c r="B12" s="12" t="s">
        <v>2969</v>
      </c>
      <c r="C12" s="12" t="s">
        <v>364</v>
      </c>
      <c r="D12" s="12" t="s">
        <v>23</v>
      </c>
      <c r="E12" s="12" t="s">
        <v>2954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2" t="s">
        <v>2972</v>
      </c>
      <c r="B1" s="292"/>
      <c r="C1" s="292"/>
      <c r="D1" s="292"/>
      <c r="E1" s="292"/>
      <c r="F1" s="292"/>
    </row>
    <row r="2" spans="1:7">
      <c r="A2" s="293" t="s">
        <v>2973</v>
      </c>
      <c r="B2" s="293"/>
      <c r="C2" s="293"/>
      <c r="D2" s="293"/>
      <c r="E2" s="293"/>
      <c r="F2" s="293"/>
    </row>
    <row r="4" spans="1:7">
      <c r="A4" s="102" t="s">
        <v>19</v>
      </c>
      <c r="B4" s="102" t="s">
        <v>2851</v>
      </c>
      <c r="C4" s="102" t="s">
        <v>2852</v>
      </c>
      <c r="D4" s="102" t="s">
        <v>2974</v>
      </c>
      <c r="E4" s="102" t="s">
        <v>2853</v>
      </c>
      <c r="F4" s="102" t="s">
        <v>2975</v>
      </c>
    </row>
    <row r="5" spans="1:7">
      <c r="A5" t="str" cm="1">
        <f t="array" ref="A5:A44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8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10</v>
      </c>
    </row>
    <row r="12" spans="1:7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7</v>
      </c>
    </row>
    <row r="15" spans="1:7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>
      <c r="A17" t="str">
        <v>Felipe da Costa Malaquias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8</v>
      </c>
    </row>
    <row r="20" spans="1:6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>
      <c r="A31" t="str">
        <v>Luiz Felipe Tenório de Lima Gondim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0</v>
      </c>
      <c r="F31" s="101">
        <f>IF($A31="","",COUNTIFS('GECC 2026'!F$2:F$200,$A31))</f>
        <v>4</v>
      </c>
    </row>
    <row r="32" spans="1:6">
      <c r="A32" t="str">
        <v>Marcelo Bálbio Moraes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5">
        <f>IF($A32="","",SUMIFS('GECC 2026'!$AE$3:$AE$32,'GECC 2026'!$AD$3:$AD$32,$A32))</f>
        <v>16</v>
      </c>
      <c r="E32" s="240">
        <f>IF($A32="","",SUMIFS('GECC 2026'!J$2:J$200,'GECC 2026'!F$2:F$200,$A32)+SUMIFS('GECC 2026'!$AE$3:$AE$32,'GECC 2026'!$AD$3:$AD$32,$A32))</f>
        <v>16</v>
      </c>
      <c r="F32" s="101">
        <f>IF($A32="","",COUNTIFS('GECC 2026'!F$2:F$200,$A32))</f>
        <v>0</v>
      </c>
    </row>
    <row r="33" spans="1:6">
      <c r="A33" t="str">
        <v>Marcelo Santana</v>
      </c>
      <c r="B33" s="103">
        <f>IF($A33="","",SUMIFS('GECC 2026'!H$2:H$200,'GECC 2026'!F$2:F$200,$A33))</f>
        <v>1</v>
      </c>
      <c r="C33" s="103">
        <f>IF($A33="","",SUMIFS('GECC 2026'!I$2:I$200,'GECC 2026'!F$2:F$200,$A33))</f>
        <v>0.3</v>
      </c>
      <c r="D33" s="255">
        <f>IF($A33="","",SUMIFS('GECC 2026'!$AE$3:$AE$32,'GECC 2026'!$AD$3:$AD$32,$A33))</f>
        <v>0</v>
      </c>
      <c r="E33" s="240">
        <f>IF($A33="","",SUMIFS('GECC 2026'!J$2:J$200,'GECC 2026'!F$2:F$200,$A33)+SUMIFS('GECC 2026'!$AE$3:$AE$32,'GECC 2026'!$AD$3:$AD$32,$A33))</f>
        <v>1.3</v>
      </c>
      <c r="F33" s="101">
        <f>IF($A33="","",COUNTIFS('GECC 2026'!F$2:F$200,$A33))</f>
        <v>1</v>
      </c>
    </row>
    <row r="34" spans="1:6">
      <c r="A34" t="str">
        <v>Mauri Siqueira Montessi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>
      <c r="A35" t="str">
        <v>Michel Martins de Morais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>
      <c r="A36" t="str">
        <v>Paulo José Góes Daltro</v>
      </c>
      <c r="B36" s="103">
        <f>IF($A36="","",SUMIFS('GECC 2026'!H$2:H$200,'GECC 2026'!F$2:F$200,$A36))</f>
        <v>16</v>
      </c>
      <c r="C36" s="103">
        <f>IF($A36="","",SUMIFS('GECC 2026'!I$2:I$200,'GECC 2026'!F$2:F$200,$A36))</f>
        <v>4.8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20.8</v>
      </c>
      <c r="F36" s="101">
        <f>IF($A36="","",COUNTIFS('GECC 2026'!F$2:F$200,$A36))</f>
        <v>3</v>
      </c>
    </row>
    <row r="37" spans="1:6">
      <c r="A37" t="str">
        <v>Priscila Nolasco</v>
      </c>
      <c r="B37" s="103">
        <f>IF($A37="","",SUMIFS('GECC 2026'!H$2:H$200,'GECC 2026'!F$2:F$200,$A37))</f>
        <v>12</v>
      </c>
      <c r="C37" s="103">
        <f>IF($A37="","",SUMIFS('GECC 2026'!I$2:I$200,'GECC 2026'!F$2:F$200,$A37))</f>
        <v>2.6399999999999997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14.64</v>
      </c>
      <c r="F37" s="101">
        <f>IF($A37="","",COUNTIFS('GECC 2026'!F$2:F$200,$A37))</f>
        <v>7</v>
      </c>
    </row>
    <row r="38" spans="1:6">
      <c r="A38" t="str">
        <v>Reinaldo Alencar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>
      <c r="A39" t="str">
        <v>Rogério Ribeiro</v>
      </c>
      <c r="B39" s="103">
        <f>IF($A39="","",SUMIFS('GECC 2026'!H$2:H$200,'GECC 2026'!F$2:F$200,$A39))</f>
        <v>48</v>
      </c>
      <c r="C39" s="103">
        <f>IF($A39="","",SUMIFS('GECC 2026'!I$2:I$200,'GECC 2026'!F$2:F$200,$A39))</f>
        <v>7.1999999999999993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55.2</v>
      </c>
      <c r="F39" s="101">
        <f>IF($A39="","",COUNTIFS('GECC 2026'!F$2:F$200,$A39))</f>
        <v>3</v>
      </c>
    </row>
    <row r="40" spans="1:6">
      <c r="A40" t="str">
        <v>Rômulo Miranda Alvim</v>
      </c>
      <c r="B40" s="103">
        <f>IF($A40="","",SUMIFS('GECC 2026'!H$2:H$200,'GECC 2026'!F$2:F$200,$A40))</f>
        <v>24</v>
      </c>
      <c r="C40" s="103">
        <f>IF($A40="","",SUMIFS('GECC 2026'!I$2:I$200,'GECC 2026'!F$2:F$200,$A40))</f>
        <v>3.6</v>
      </c>
      <c r="D40" s="255">
        <f>IF($A40="","",SUMIFS('GECC 2026'!$AE$3:$AE$32,'GECC 2026'!$AD$3:$AD$32,$A40))</f>
        <v>16</v>
      </c>
      <c r="E40" s="240">
        <f>IF($A40="","",SUMIFS('GECC 2026'!J$2:J$200,'GECC 2026'!F$2:F$200,$A40)+SUMIFS('GECC 2026'!$AE$3:$AE$32,'GECC 2026'!$AD$3:$AD$32,$A40))</f>
        <v>43.6</v>
      </c>
      <c r="F40" s="101">
        <f>IF($A40="","",COUNTIFS('GECC 2026'!F$2:F$200,$A40))</f>
        <v>2</v>
      </c>
    </row>
    <row r="41" spans="1:6">
      <c r="A41" t="str">
        <v>Servidores, colaboradores e estagiários do TCDF</v>
      </c>
      <c r="B41" s="103">
        <f>IF($A41="","",SUMIFS('GECC 2026'!H$2:H$200,'GECC 2026'!F$2:F$200,$A41))</f>
        <v>0</v>
      </c>
      <c r="C41" s="103">
        <f>IF($A41="","",SUMIFS('GECC 2026'!I$2:I$200,'GECC 2026'!F$2:F$200,$A41))</f>
        <v>0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0</v>
      </c>
      <c r="F41" s="101">
        <f>IF($A41="","",COUNTIFS('GECC 2026'!F$2:F$200,$A41))</f>
        <v>1</v>
      </c>
    </row>
    <row r="42" spans="1:6">
      <c r="A42" t="str">
        <v>Silvia Lima Damasceno Carvalho</v>
      </c>
      <c r="B42" s="103">
        <f>IF($A42="","",SUMIFS('GECC 2026'!H$2:H$200,'GECC 2026'!F$2:F$200,$A42))</f>
        <v>1</v>
      </c>
      <c r="C42" s="103">
        <f>IF($A42="","",SUMIFS('GECC 2026'!I$2:I$200,'GECC 2026'!F$2:F$200,$A42))</f>
        <v>0.3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1.3</v>
      </c>
      <c r="F42" s="101">
        <f>IF($A42="","",COUNTIFS('GECC 2026'!F$2:F$200,$A42))</f>
        <v>1</v>
      </c>
    </row>
    <row r="43" spans="1:6">
      <c r="A43" t="str">
        <v>Tarsila Firmino Ely</v>
      </c>
      <c r="B43" s="103">
        <f>IF($A43="","",SUMIFS('GECC 2026'!H$2:H$200,'GECC 2026'!F$2:F$200,$A43))</f>
        <v>56</v>
      </c>
      <c r="C43" s="103">
        <f>IF($A43="","",SUMIFS('GECC 2026'!I$2:I$200,'GECC 2026'!F$2:F$200,$A43))</f>
        <v>96.4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152.4</v>
      </c>
      <c r="F43" s="101">
        <f>IF($A43="","",COUNTIFS('GECC 2026'!F$2:F$200,$A43))</f>
        <v>5</v>
      </c>
    </row>
    <row r="44" spans="1:6">
      <c r="A44" t="str">
        <v>Túllio Herbeth Teixeira Moraes</v>
      </c>
      <c r="B44" s="103">
        <f>IF($A44="","",SUMIFS('GECC 2026'!H$2:H$200,'GECC 2026'!F$2:F$200,$A44))</f>
        <v>3</v>
      </c>
      <c r="C44" s="103">
        <f>IF($A44="","",SUMIFS('GECC 2026'!I$2:I$200,'GECC 2026'!F$2:F$200,$A44))</f>
        <v>0.44999999999999996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3.45</v>
      </c>
      <c r="F44" s="101">
        <f>IF($A44="","",COUNTIFS('GECC 2026'!F$2:F$200,$A44))</f>
        <v>1</v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>
      <c r="A105" s="241" t="s">
        <v>2921</v>
      </c>
      <c r="B105" s="242">
        <f>SUM(B5:B100)</f>
        <v>576</v>
      </c>
      <c r="C105" s="242">
        <f>SUM(C5:C100)</f>
        <v>382.50000000000006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106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5" t="s">
        <v>2976</v>
      </c>
      <c r="B1" s="285"/>
      <c r="C1" s="285"/>
      <c r="D1" s="285"/>
      <c r="E1" s="285"/>
      <c r="F1" s="285"/>
      <c r="G1" s="285"/>
      <c r="H1" s="285"/>
    </row>
    <row r="2" spans="1:8">
      <c r="A2" s="130" t="s">
        <v>2977</v>
      </c>
    </row>
    <row r="4" spans="1:8" ht="21.95" customHeight="1">
      <c r="A4" s="286" t="s">
        <v>2978</v>
      </c>
      <c r="B4" s="287"/>
      <c r="D4" s="286" t="s">
        <v>2979</v>
      </c>
      <c r="E4" s="287"/>
      <c r="G4" s="286" t="s">
        <v>2980</v>
      </c>
      <c r="H4" s="287"/>
    </row>
    <row r="5" spans="1:8" ht="35.1" customHeight="1">
      <c r="A5" s="290">
        <f>COUNTIF('Ações InCompany'!E:E,"*maratona*")</f>
        <v>13</v>
      </c>
      <c r="B5" s="289"/>
      <c r="D5" s="288">
        <f>SUM(H8:H100)</f>
        <v>1566</v>
      </c>
      <c r="E5" s="289"/>
      <c r="G5" s="288">
        <f>IFERROR(ROUND(D5/A5,0),"-")</f>
        <v>120</v>
      </c>
      <c r="H5" s="289"/>
    </row>
    <row r="6" spans="1:8" ht="9.9499999999999993" customHeight="1"/>
    <row r="7" spans="1:8" ht="24.95" customHeight="1" thickBot="1">
      <c r="A7" s="143" t="s">
        <v>2981</v>
      </c>
      <c r="B7" s="143" t="s">
        <v>2982</v>
      </c>
      <c r="C7" s="143" t="s">
        <v>1</v>
      </c>
      <c r="D7" s="143" t="s">
        <v>2983</v>
      </c>
      <c r="E7" s="143" t="s">
        <v>2984</v>
      </c>
      <c r="F7" s="143" t="s">
        <v>2848</v>
      </c>
      <c r="G7" s="143" t="s">
        <v>5</v>
      </c>
      <c r="H7" s="143" t="s">
        <v>2985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09E963D1-4255-41FD-98AB-5B82B7F67BB4}"/>
</file>

<file path=customXml/itemProps2.xml><?xml version="1.0" encoding="utf-8"?>
<ds:datastoreItem xmlns:ds="http://schemas.openxmlformats.org/officeDocument/2006/customXml" ds:itemID="{54B26992-BCD1-4DF2-A87D-5F3BC1837C0B}"/>
</file>

<file path=customXml/itemProps3.xml><?xml version="1.0" encoding="utf-8"?>
<ds:datastoreItem xmlns:ds="http://schemas.openxmlformats.org/officeDocument/2006/customXml" ds:itemID="{F95AF67B-67F3-479D-896A-04A7BBE7C8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2026-07-01T18:41:45Z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