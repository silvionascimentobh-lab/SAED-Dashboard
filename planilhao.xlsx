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17" documentId="13_ncr:1_{C887EC22-7CD1-4717-84BE-7303F42C5C0A}" xr6:coauthVersionLast="47" xr6:coauthVersionMax="47" xr10:uidLastSave="{2A724CB1-6B24-42D1-B0FF-C1C8628BB335}"/>
  <bookViews>
    <workbookView xWindow="-120" yWindow="-120" windowWidth="29040" windowHeight="15720" activeTab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s="1"/>
  <c r="S4" i="20" s="1" a="1"/>
  <c r="S4" i="20" s="1"/>
  <c r="T4" i="20" l="1" a="1"/>
  <c r="T4" i="20" s="1"/>
  <c r="A2" i="20" s="1" a="1"/>
  <c r="A5" i="23" l="1" a="1"/>
  <c r="E105" i="23"/>
  <c r="A2" i="20"/>
  <c r="D35" i="23" l="1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<sst xmlns="http://schemas.openxmlformats.org/spreadsheetml/2006/main" count="6533" uniqueCount="2961">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</sst>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opLeftCell="A691" zoomScaleNormal="100" workbookViewId="0">
      <pane xSplit="3" topLeftCell="I1" activePane="topRight" state="frozen"/>
      <selection pane="topRight" activeCell="S704" sqref="S70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2953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2822</v>
      </c>
      <c r="E702" s="220" t="s">
        <v>2823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14"/>
        <v>0</v>
      </c>
      <c r="S702" s="219">
        <v>12</v>
      </c>
      <c r="T702" s="218" t="s">
        <v>2824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2954</v>
      </c>
      <c r="E703" s="211" t="s">
        <v>2955</v>
      </c>
      <c r="F703" s="212" t="s">
        <v>61</v>
      </c>
      <c r="G703" s="209" t="s">
        <v>71</v>
      </c>
      <c r="H703" s="213" t="s">
        <v>2800</v>
      </c>
      <c r="I703" s="213" t="s">
        <v>2956</v>
      </c>
      <c r="J703" s="213" t="s">
        <v>2957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2958</v>
      </c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abSelected="1" topLeftCell="G1" workbookViewId="0">
      <pane ySplit="1" topLeftCell="A50" activePane="bottomLeft" state="frozen"/>
      <selection pane="bottomLeft" activeCell="Z62" sqref="Z62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2825</v>
      </c>
      <c r="C1" s="96" t="s">
        <v>2826</v>
      </c>
      <c r="D1" s="96" t="s">
        <v>4</v>
      </c>
      <c r="E1" s="96" t="s">
        <v>2827</v>
      </c>
      <c r="F1" s="96" t="s">
        <v>19</v>
      </c>
      <c r="G1" s="96" t="s">
        <v>2828</v>
      </c>
      <c r="H1" s="96" t="s">
        <v>2829</v>
      </c>
      <c r="I1" s="96" t="s">
        <v>2830</v>
      </c>
      <c r="J1" s="96" t="s">
        <v>2831</v>
      </c>
      <c r="L1" s="129" t="s">
        <v>2832</v>
      </c>
      <c r="M1" s="100">
        <v>2026</v>
      </c>
      <c r="U1" s="162" t="s">
        <v>2833</v>
      </c>
      <c r="V1" s="161"/>
      <c r="X1" s="159" t="s">
        <v>2834</v>
      </c>
      <c r="Y1" s="107"/>
      <c r="Z1" s="107"/>
      <c r="AA1" s="107"/>
      <c r="AC1" s="254" t="s">
        <v>2835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2825</v>
      </c>
      <c r="Y2" s="160" t="s">
        <v>19</v>
      </c>
      <c r="Z2" s="160" t="s">
        <v>2836</v>
      </c>
      <c r="AA2" s="160" t="s">
        <v>2837</v>
      </c>
      <c r="AC2" s="255" t="s">
        <v>1</v>
      </c>
      <c r="AD2" s="255" t="s">
        <v>2838</v>
      </c>
      <c r="AE2" s="255" t="s">
        <v>2839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2840</v>
      </c>
      <c r="M3" s="19" t="s">
        <v>2841</v>
      </c>
      <c r="N3" s="19" t="s">
        <v>2842</v>
      </c>
      <c r="O3" s="19" t="s">
        <v>2843</v>
      </c>
      <c r="P3" s="19" t="s">
        <v>2844</v>
      </c>
      <c r="Q3" s="19" t="s">
        <v>2845</v>
      </c>
      <c r="R3" s="19" t="s">
        <v>2846</v>
      </c>
      <c r="S3" s="19" t="s">
        <v>2847</v>
      </c>
      <c r="T3" s="19" t="s">
        <v>2848</v>
      </c>
      <c r="X3" t="s">
        <v>2849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2850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2851</v>
      </c>
      <c r="Y5" t="s">
        <v>2711</v>
      </c>
      <c r="Z5">
        <v>1</v>
      </c>
      <c r="AA5">
        <v>0.6</v>
      </c>
      <c r="AC5" s="249">
        <v>2026</v>
      </c>
      <c r="AD5" s="95" t="s">
        <v>2852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2851</v>
      </c>
      <c r="Y6" t="s">
        <v>2853</v>
      </c>
      <c r="Z6">
        <v>1</v>
      </c>
      <c r="AA6">
        <v>0</v>
      </c>
      <c r="AC6" s="249">
        <v>2026</v>
      </c>
      <c r="AD6" s="95" t="s">
        <v>2854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2855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2856</v>
      </c>
      <c r="Y11" s="95" t="s">
        <v>2857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2856</v>
      </c>
      <c r="Y12" s="95" t="s">
        <v>2858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2859</v>
      </c>
      <c r="Y16" s="95" t="s">
        <v>2857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2859</v>
      </c>
      <c r="Y17" s="95" t="s">
        <v>2858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2860</v>
      </c>
      <c r="Y21" s="95" t="s">
        <v>2857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2860</v>
      </c>
      <c r="Y22" s="95" t="s">
        <v>2858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2861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2861</v>
      </c>
      <c r="Y24" s="95" t="s">
        <v>2853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2862</v>
      </c>
      <c r="Y26" s="95" t="s">
        <v>2863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2864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2864</v>
      </c>
      <c r="Y28" s="95" t="s">
        <v>2853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2865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2865</v>
      </c>
      <c r="Y30" s="95" t="s">
        <v>2853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2867</v>
      </c>
      <c r="Y33" t="s">
        <v>2868</v>
      </c>
      <c r="Z33">
        <v>4</v>
      </c>
      <c r="AA33">
        <v>0.6</v>
      </c>
      <c r="AC33" s="251"/>
      <c r="AD33" s="252" t="s">
        <v>2869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2867</v>
      </c>
      <c r="Y34" t="s">
        <v>2870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2872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X41" t="s">
        <v>2959</v>
      </c>
      <c r="Y41" t="s">
        <v>1471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2959</v>
      </c>
      <c r="Y42" t="s">
        <v>2960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17.45</v>
      </c>
      <c r="I70">
        <v>2.6174999999999997</v>
      </c>
      <c r="J70">
        <v>20.067499999999999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17.45</v>
      </c>
      <c r="I71">
        <v>2.6174999999999997</v>
      </c>
      <c r="J71">
        <v>20.067499999999999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2874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2875</v>
      </c>
      <c r="B4" s="282"/>
      <c r="D4" s="283" t="s">
        <v>2876</v>
      </c>
      <c r="E4" s="284"/>
      <c r="G4" s="125" t="s">
        <v>2877</v>
      </c>
    </row>
    <row r="5" spans="1:7" ht="54.95" customHeight="1" thickBot="1" x14ac:dyDescent="0.75">
      <c r="A5" s="115">
        <f>COUNTIF('Ações InCompany'!B:B,2026)</f>
        <v>47</v>
      </c>
      <c r="B5" s="116" t="s">
        <v>2878</v>
      </c>
      <c r="D5" s="123">
        <f>COUNTIFS('Ações InCompany'!B:B,2026,'Ações InCompany'!C:C,"Realizado")</f>
        <v>28</v>
      </c>
      <c r="E5" s="124" t="s">
        <v>2878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2879</v>
      </c>
      <c r="B8" s="278"/>
      <c r="D8" s="278" t="s">
        <v>2880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2881</v>
      </c>
      <c r="D10" s="108" t="s">
        <v>2882</v>
      </c>
      <c r="E10" s="108" t="s">
        <v>2883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2884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2885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2886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2887</v>
      </c>
      <c r="B14" s="114">
        <f>SUM(B11:B13)</f>
        <v>28</v>
      </c>
      <c r="D14" s="113" t="s">
        <v>2888</v>
      </c>
      <c r="E14" s="114">
        <f>SUM(E11:E13)</f>
        <v>1190</v>
      </c>
    </row>
    <row r="30" spans="1:5" ht="17.25" x14ac:dyDescent="0.3">
      <c r="A30" s="278" t="s">
        <v>2889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2890</v>
      </c>
      <c r="C32" s="108" t="s">
        <v>2891</v>
      </c>
      <c r="D32" s="108" t="s">
        <v>2892</v>
      </c>
      <c r="E32" s="108" t="s">
        <v>2893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0.24390243902439024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4.878048780487805E-2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2894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2895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2887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2901</v>
      </c>
      <c r="B2" s="12" t="s">
        <v>2902</v>
      </c>
      <c r="C2" s="12" t="s">
        <v>1728</v>
      </c>
      <c r="D2" s="12" t="s">
        <v>2903</v>
      </c>
      <c r="E2" s="12" t="s">
        <v>2904</v>
      </c>
    </row>
    <row r="3" spans="1:5" ht="18" customHeight="1" x14ac:dyDescent="0.25">
      <c r="A3" s="12" t="s">
        <v>2901</v>
      </c>
      <c r="B3" s="12" t="s">
        <v>2902</v>
      </c>
      <c r="C3" s="14" t="s">
        <v>24</v>
      </c>
      <c r="D3" s="12" t="s">
        <v>2905</v>
      </c>
      <c r="E3" s="12" t="s">
        <v>2906</v>
      </c>
    </row>
    <row r="4" spans="1:5" ht="18" customHeight="1" x14ac:dyDescent="0.25">
      <c r="A4" s="12" t="s">
        <v>2901</v>
      </c>
      <c r="B4" s="12" t="s">
        <v>2902</v>
      </c>
      <c r="C4" s="12" t="s">
        <v>67</v>
      </c>
      <c r="D4" s="12" t="s">
        <v>2903</v>
      </c>
      <c r="E4" s="12" t="s">
        <v>2907</v>
      </c>
    </row>
    <row r="5" spans="1:5" ht="18" customHeight="1" x14ac:dyDescent="0.25">
      <c r="A5" s="12" t="s">
        <v>2901</v>
      </c>
      <c r="B5" s="12" t="s">
        <v>2902</v>
      </c>
      <c r="C5" s="12" t="s">
        <v>71</v>
      </c>
      <c r="D5" s="12" t="s">
        <v>2908</v>
      </c>
      <c r="E5" s="12" t="s">
        <v>2909</v>
      </c>
    </row>
    <row r="6" spans="1:5" ht="18" customHeight="1" x14ac:dyDescent="0.25">
      <c r="A6" s="12" t="s">
        <v>2901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2901</v>
      </c>
      <c r="B7" s="12" t="s">
        <v>2912</v>
      </c>
      <c r="C7" s="12" t="s">
        <v>32</v>
      </c>
      <c r="D7" s="12" t="s">
        <v>2913</v>
      </c>
      <c r="E7" s="12" t="s">
        <v>2914</v>
      </c>
    </row>
    <row r="8" spans="1:5" ht="18" customHeight="1" x14ac:dyDescent="0.25">
      <c r="A8" s="12" t="s">
        <v>2901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2901</v>
      </c>
      <c r="B9" s="12" t="s">
        <v>2917</v>
      </c>
      <c r="C9" s="12" t="s">
        <v>456</v>
      </c>
      <c r="D9" s="12" t="s">
        <v>2918</v>
      </c>
      <c r="E9" s="12" t="s">
        <v>2919</v>
      </c>
    </row>
    <row r="10" spans="1:5" ht="18" customHeight="1" x14ac:dyDescent="0.25">
      <c r="A10" s="12" t="s">
        <v>2901</v>
      </c>
      <c r="B10" s="12" t="s">
        <v>2917</v>
      </c>
      <c r="C10" s="12" t="s">
        <v>198</v>
      </c>
      <c r="D10" s="12" t="s">
        <v>23</v>
      </c>
      <c r="E10" s="12" t="s">
        <v>2920</v>
      </c>
    </row>
    <row r="11" spans="1:5" ht="18" customHeight="1" x14ac:dyDescent="0.25">
      <c r="A11" s="12" t="s">
        <v>2901</v>
      </c>
      <c r="B11" s="12" t="s">
        <v>2917</v>
      </c>
      <c r="C11" s="12" t="s">
        <v>363</v>
      </c>
      <c r="D11" s="12" t="s">
        <v>23</v>
      </c>
      <c r="E11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2922</v>
      </c>
      <c r="B1" s="5" t="s">
        <v>10</v>
      </c>
      <c r="C1" s="15" t="s">
        <v>2923</v>
      </c>
      <c r="D1" s="15" t="s">
        <v>2826</v>
      </c>
    </row>
    <row r="2" spans="1:4" ht="21" customHeight="1" x14ac:dyDescent="0.25">
      <c r="A2" s="259" t="s">
        <v>23</v>
      </c>
      <c r="B2" s="259" t="s">
        <v>34</v>
      </c>
      <c r="C2" s="12" t="s">
        <v>2924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2925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2926</v>
      </c>
      <c r="B2" s="12" t="s">
        <v>2902</v>
      </c>
      <c r="C2" s="14" t="s">
        <v>24</v>
      </c>
      <c r="D2" s="12" t="s">
        <v>2903</v>
      </c>
      <c r="E2" s="18" t="s">
        <v>2927</v>
      </c>
    </row>
    <row r="3" spans="1:5" ht="18" customHeight="1" x14ac:dyDescent="0.25">
      <c r="A3" s="12" t="s">
        <v>2926</v>
      </c>
      <c r="B3" s="12" t="s">
        <v>2902</v>
      </c>
      <c r="C3" s="12" t="s">
        <v>67</v>
      </c>
      <c r="D3" s="12" t="s">
        <v>2905</v>
      </c>
      <c r="E3" s="12" t="s">
        <v>2928</v>
      </c>
    </row>
    <row r="4" spans="1:5" ht="18" customHeight="1" x14ac:dyDescent="0.25">
      <c r="A4" s="12" t="s">
        <v>2926</v>
      </c>
      <c r="B4" s="12" t="s">
        <v>2902</v>
      </c>
      <c r="C4" s="12" t="s">
        <v>71</v>
      </c>
      <c r="D4" s="12" t="s">
        <v>2908</v>
      </c>
      <c r="E4" s="12" t="s">
        <v>2929</v>
      </c>
    </row>
    <row r="5" spans="1:5" ht="27.75" customHeight="1" x14ac:dyDescent="0.25">
      <c r="A5" s="12" t="s">
        <v>2926</v>
      </c>
      <c r="B5" s="12" t="s">
        <v>2902</v>
      </c>
      <c r="C5" s="12" t="s">
        <v>2688</v>
      </c>
      <c r="D5" s="18" t="s">
        <v>2930</v>
      </c>
      <c r="E5" s="12" t="s">
        <v>2931</v>
      </c>
    </row>
    <row r="6" spans="1:5" ht="18" customHeight="1" x14ac:dyDescent="0.25">
      <c r="A6" s="12" t="s">
        <v>2926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2926</v>
      </c>
      <c r="B7" s="12" t="s">
        <v>2912</v>
      </c>
      <c r="C7" s="12" t="s">
        <v>2709</v>
      </c>
      <c r="D7" s="12" t="s">
        <v>2932</v>
      </c>
      <c r="E7" s="12" t="s">
        <v>2933</v>
      </c>
    </row>
    <row r="8" spans="1:5" ht="18" customHeight="1" x14ac:dyDescent="0.25">
      <c r="A8" s="12" t="s">
        <v>2926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2926</v>
      </c>
      <c r="B9" s="12" t="s">
        <v>2912</v>
      </c>
      <c r="C9" s="12" t="s">
        <v>2693</v>
      </c>
      <c r="D9" s="12" t="s">
        <v>2934</v>
      </c>
      <c r="E9" s="18" t="s">
        <v>2935</v>
      </c>
    </row>
    <row r="10" spans="1:5" ht="18" customHeight="1" x14ac:dyDescent="0.25">
      <c r="A10" s="12" t="s">
        <v>2926</v>
      </c>
      <c r="B10" s="12" t="s">
        <v>2936</v>
      </c>
      <c r="C10" s="12" t="s">
        <v>2894</v>
      </c>
      <c r="D10" s="12" t="s">
        <v>2937</v>
      </c>
      <c r="E10" s="18" t="s">
        <v>2938</v>
      </c>
    </row>
    <row r="11" spans="1:5" ht="18" customHeight="1" x14ac:dyDescent="0.25">
      <c r="A11" s="12" t="s">
        <v>2926</v>
      </c>
      <c r="B11" s="12" t="s">
        <v>2936</v>
      </c>
      <c r="C11" s="12" t="s">
        <v>198</v>
      </c>
      <c r="D11" s="12" t="s">
        <v>23</v>
      </c>
      <c r="E11" s="12" t="s">
        <v>2920</v>
      </c>
    </row>
    <row r="12" spans="1:5" ht="18" customHeight="1" x14ac:dyDescent="0.25">
      <c r="A12" s="12" t="s">
        <v>2926</v>
      </c>
      <c r="B12" s="12" t="s">
        <v>2936</v>
      </c>
      <c r="C12" s="12" t="s">
        <v>363</v>
      </c>
      <c r="D12" s="12" t="s">
        <v>23</v>
      </c>
      <c r="E12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2939</v>
      </c>
      <c r="B1" s="285"/>
      <c r="C1" s="285"/>
      <c r="D1" s="285"/>
      <c r="E1" s="285"/>
      <c r="F1" s="285"/>
    </row>
    <row r="2" spans="1:7" x14ac:dyDescent="0.25">
      <c r="A2" s="286" t="s">
        <v>2940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2829</v>
      </c>
      <c r="C4" s="102" t="s">
        <v>2830</v>
      </c>
      <c r="D4" s="102" t="s">
        <v>2941</v>
      </c>
      <c r="E4" s="102" t="s">
        <v>2831</v>
      </c>
      <c r="F4" s="102" t="s">
        <v>2942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17.45</v>
      </c>
      <c r="C15" s="103">
        <f>IF($A15="","",SUMIFS('GECC 2026'!I$2:I$200,'GECC 2026'!F$2:F$200,$A15))</f>
        <v>2.6174999999999997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20.067499999999999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25.45</v>
      </c>
      <c r="C17" s="103">
        <f>IF($A17="","",SUMIFS('GECC 2026'!I$2:I$200,'GECC 2026'!F$2:F$200,$A17))</f>
        <v>5.0175000000000001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30.467500000000001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36</v>
      </c>
      <c r="C18" s="103">
        <f>IF($A18="","",SUMIFS('GECC 2026'!I$2:I$200,'GECC 2026'!F$2:F$200,$A18))</f>
        <v>1.2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2888</v>
      </c>
      <c r="B105" s="243">
        <f>SUM(B5:B100)</f>
        <v>618.9</v>
      </c>
      <c r="C105" s="243">
        <f>SUM(C5:C100)</f>
        <v>281.13499999999993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2943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2944</v>
      </c>
    </row>
    <row r="4" spans="1:8" ht="21.95" customHeight="1" x14ac:dyDescent="0.25">
      <c r="A4" s="288" t="s">
        <v>2945</v>
      </c>
      <c r="B4" s="289"/>
      <c r="D4" s="288" t="s">
        <v>2946</v>
      </c>
      <c r="E4" s="289"/>
      <c r="G4" s="288" t="s">
        <v>2947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2948</v>
      </c>
      <c r="B7" s="143" t="s">
        <v>2949</v>
      </c>
      <c r="C7" s="143" t="s">
        <v>1</v>
      </c>
      <c r="D7" s="143" t="s">
        <v>2950</v>
      </c>
      <c r="E7" s="143" t="s">
        <v>2951</v>
      </c>
      <c r="F7" s="143" t="s">
        <v>2826</v>
      </c>
      <c r="G7" s="143" t="s">
        <v>5</v>
      </c>
      <c r="H7" s="143" t="s">
        <v>2952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2026-06-17T17:09:16Z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