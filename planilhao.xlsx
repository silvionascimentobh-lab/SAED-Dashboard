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39" documentId="13_ncr:1_{C887EC22-7CD1-4717-84BE-7303F42C5C0A}" xr6:coauthVersionLast="47" xr6:coauthVersionMax="47" xr10:uidLastSave="{CE0F87CE-CAE1-4E4A-8FEF-B53C03044D13}"/>
  <bookViews>
    <workbookView xWindow="-120" yWindow="-120" windowWidth="29040" windowHeight="1584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E105" i="23" l="1"/>
  <c r="A5" i="23" a="1"/>
  <c r="B44" i="23"/>
  <c r="E44" i="23"/>
  <c r="F44" i="23"/>
  <c r="C44" i="23"/>
  <c r="D44" i="23"/>
  <c r="E43" i="23" l="1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F105" i="23" l="1"/>
  <c r="C105" i="23"/>
  <c r="B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<sst xmlns="http://schemas.openxmlformats.org/spreadsheetml/2006/main" count="6566" uniqueCount="2975">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</sst>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94" zoomScaleNormal="100" workbookViewId="0">
      <pane xSplit="3" topLeftCell="D1" activePane="topRight" state="frozen"/>
      <selection pane="topRight" activeCell="D700" sqref="D700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1</v>
      </c>
      <c r="C32" s="103">
        <f>IF($A32="","",SUMIFS('GECC 2026'!I$2:I$200,'GECC 2026'!F$2:F$200,$A32))</f>
        <v>0.3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1.3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1</v>
      </c>
      <c r="C41" s="103">
        <f>IF($A41="","",SUMIFS('GECC 2026'!I$2:I$200,'GECC 2026'!F$2:F$200,$A41))</f>
        <v>0.3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1.3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568</v>
      </c>
      <c r="C105" s="243">
        <f>SUM(C5:C100)</f>
        <v>380.10000000000008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2026-06-24T18:14:18Z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