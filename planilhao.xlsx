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43" documentId="13_ncr:1_{C887EC22-7CD1-4717-84BE-7303F42C5C0A}" xr6:coauthVersionLast="47" xr6:coauthVersionMax="47" xr10:uidLastSave="{758B20BA-524B-422F-893E-0C4C07DD21D6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B44" i="23"/>
  <c r="E44" i="23"/>
  <c r="F44" i="23"/>
  <c r="C44" i="23"/>
  <c r="D44" i="23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F105" i="23" l="1"/>
  <c r="C105" i="23"/>
  <c r="B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<sst xmlns="http://schemas.openxmlformats.org/spreadsheetml/2006/main" count="6566" uniqueCount="2975">
  <si>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</si>
  <si>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</si>
  <si>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</si>
  <si>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</si>
  <si>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</si>
  <si>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</si>
  <si>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</si>
  <si>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</si>
  <si>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</si>
  <si>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</si>
  <si>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</si>
  <si>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</si>
  <si>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</si>
  <si>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</si>
  <si>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</si>
  <si>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</si>
  <si>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</si>
  <si>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</si>
  <si>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</si>
  <si>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</si>
  <si>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</si>
  <si>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</si>
  <si>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</si>
  <si>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</si>
  <si>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</si>
  <si>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</si>
  <si>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</si>
  <si>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</si>
  <si>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</si>
  <si>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</si>
  <si>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</si>
  <si>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</si>
  <si>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</si>
  <si>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</si>
  <si>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</si>
  <si>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</si>
  <si>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</si>
  <si>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</si>
  <si>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</si>
  <si>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</si>
  <si>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</si>
  <si>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</si>
  <si>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</si>
  <si>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</si>
  <si>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</si>
  <si>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</si>
  <si>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</si>
  <si>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</si>
  <si>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</si>
  <si>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</si>
  <si>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</si>
  <si>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</si>
  <si>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</si>
  <si>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</si>
  <si>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</si>
  <si>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</si>
  <si>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</si>
  <si>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</si>
  <si>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</si>
  <si>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</si>
  <si>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</si>
  <si>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</si>
  <si>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</si>
  <si>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</si>
  <si>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</si>
  <si>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</si>
  <si>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</si>
  <si>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</si>
  <si>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</si>
  <si>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</si>
  <si>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</si>
  <si>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</si>
  <si>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</si>
  <si>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</si>
  <si>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</si>
  <si>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</si>
  <si>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</si>
  <si>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</si>
  <si>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</si>
  <si>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</si>
  <si>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</si>
  <si>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</si>
  <si>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</si>
  <si>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</si>
  <si>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</si>
  <si>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</si>
  <si>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</si>
  <si>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</si>
  <si>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</si>
  <si>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</si>
  <si>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</si>
  <si>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</si>
  <si>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</si>
  <si>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</si>
  <si>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</si>
  <si>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</si>
  <si>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</si>
  <si>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</si>
  <si>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</si>
  <si>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</si>
  <si>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</si>
  <si>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</si>
  <si>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</si>
  <si>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</si>
  <si>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</si>
  <si>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</si>
  <si>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</si>
  <si>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</si>
  <si>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</si>
  <si>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</si>
  <si>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</si>
  <si>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</si>
  <si>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</si>
  <si>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</si>
  <si>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</si>
  <si>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</si>
  <si>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</si>
  <si>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</si>
  <si>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</si>
  <si>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</si>
  <si>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</si>
  <si>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</si>
  <si>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</si>
  <si>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</si>
  <si>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</si>
  <si>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</si>
  <si>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</si>
  <si>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</si>
  <si>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</si>
  <si>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</si>
  <si>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</si>
  <si>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</si>
  <si>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</si>
  <si>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</si>
  <si>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</si>
  <si>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</si>
  <si>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</si>
  <si>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</si>
  <si>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</si>
  <si>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</si>
  <si>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</si>
  <si>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</si>
  <si>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</si>
  <si>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</si>
  <si>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</si>
  <si>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</si>
  <si>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</si>
  <si>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</si>
  <si>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</si>
  <si>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</si>
  <si>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</si>
  <si>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</si>
  <si>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</si>
  <si>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</si>
  <si>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</si>
  <si>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</si>
  <si>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</si>
  <si>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</si>
  <si>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</si>
  <si>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</si>
  <si>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</si>
  <si>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</si>
  <si>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</si>
  <si>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</si>
  <si>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</si>
  <si>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</si>
  <si>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</si>
  <si>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</si>
  <si>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</si>
  <si>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</si>
  <si>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</si>
  <si>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</si>
  <si>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</si>
  <si>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</si>
  <si>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</si>
  <si>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</si>
  <si>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</si>
  <si>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</si>
  <si>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</si>
  <si>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</si>
  <si>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</si>
  <si>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</si>
  <si>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</si>
  <si>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</si>
  <si>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</si>
  <si>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</si>
  <si>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</si>
  <si>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</si>
  <si>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</si>
  <si>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</si>
  <si>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</si>
  <si>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</si>
  <si>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</si>
  <si>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</si>
  <si>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</si>
  <si>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</si>
  <si>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</si>
  <si>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</si>
  <si>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</si>
  <si>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</si>
  <si>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</si>
  <si>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</si>
  <si>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</si>
  <si>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</si>
  <si>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</si>
  <si>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</si>
  <si>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</si>
  <si>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</si>
  <si>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</si>
  <si>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</si>
  <si>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</si>
  <si>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</si>
  <si>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</si>
  <si>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</si>
  <si>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</si>
  <si>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</si>
  <si>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</si>
  <si>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</si>
  <si>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</si>
  <si>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</si>
  <si>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</si>
  <si>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</si>
  <si>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</si>
  <si>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</si>
  <si>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</si>
  <si>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</si>
  <si>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</si>
  <si>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</si>
  <si>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</si>
  <si>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</si>
  <si>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</si>
  <si>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</si>
  <si>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</si>
  <si>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</si>
  <si>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</si>
  <si>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</si>
  <si>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</si>
  <si>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</si>
  <si>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</si>
  <si>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</si>
  <si>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</si>
  <si>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</si>
  <si>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</si>
  <si>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</si>
  <si>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</si>
  <si>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</si>
  <si>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</si>
  <si>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</si>
  <si>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</si>
  <si>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</si>
  <si>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</si>
  <si>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</si>
  <si>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</si>
  <si>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</si>
  <si>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</si>
  <si>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</si>
  <si>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</si>
  <si>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</si>
  <si>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</si>
  <si>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</si>
  <si>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</si>
  <si>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</si>
  <si>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</si>
  <si>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</si>
  <si>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</si>
  <si>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</si>
  <si>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</si>
  <si>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</si>
  <si>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</si>
  <si>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</si>
  <si>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</si>
  <si>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</si>
  <si>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</si>
  <si>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</si>
  <si>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</si>
  <si>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</si>
  <si>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</si>
  <si>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</si>
  <si>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</si>
  <si>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</si>
  <si>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</si>
  <si>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</si>
  <si>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</si>
  <si>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</si>
  <si>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</si>
  <si>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</si>
  <si>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</si>
  <si>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</si>
  <si>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</si>
  <si>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</si>
  <si>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</si>
  <si>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</si>
  <si>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</si>
  <si>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</si>
  <si>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</si>
  <si>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</si>
  <si>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</si>
  <si>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</si>
  <si>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</si>
  <si>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</si>
  <si>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</si>
  <si>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</si>
  <si>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</si>
  <si>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</si>
  <si>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</si>
  <si>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</si>
  <si>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</si>
  <si>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</si>
  <si>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</si>
  <si>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</si>
  <si>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</si>
  <si>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</si>
  <si>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</si>
  <si>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</si>
  <si>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</si>
  <si>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</si>
  <si>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</si>
  <si>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</si>
  <si>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</si>
  <si>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</si>
  <si>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</si>
  <si>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</si>
  <si>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</si>
  <si>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</si>
  <si>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</si>
  <si>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</si>
  <si>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</si>
  <si>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</si>
  <si>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</si>
  <si>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</si>
  <si>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</si>
  <si>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</si>
  <si>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</si>
  <si>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</si>
  <si>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</si>
  <si>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</si>
  <si>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</si>
  <si>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</si>
  <si>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</si>
  <si>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</si>
  <si>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</si>
  <si>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</si>
  <si>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</si>
  <si>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</si>
  <si>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</si>
  <si>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</si>
  <si>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</si>
  <si>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</si>
  <si>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</si>
  <si>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</si>
  <si>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</si>
  <si>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</si>
  <si>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</si>
  <si>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</si>
  <si>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</si>
  <si>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</si>
  <si>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</si>
  <si>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</si>
  <si>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</si>
  <si>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</si>
  <si>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</si>
  <si>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</si>
  <si>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</si>
  <si>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</si>
  <si>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</si>
  <si>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</si>
  <si>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</si>
  <si>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</si>
  <si>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</si>
  <si>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</si>
  <si>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</si>
  <si>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</si>
  <si>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</si>
  <si>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</si>
  <si>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</si>
  <si>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</si>
  <si>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</si>
  <si>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</si>
  <si>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</si>
  <si>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</si>
  <si>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</si>
  <si>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</si>
  <si>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</si>
  <si>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</si>
  <si>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</si>
  <si>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</si>
  <si>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</si>
  <si>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</si>
  <si>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</si>
  <si>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</si>
  <si>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</si>
  <si>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</si>
  <si>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</si>
  <si>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</si>
  <si>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</si>
  <si>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</si>
  <si>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</si>
  <si>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</si>
  <si>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</si>
  <si>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</si>
  <si>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</si>
  <si>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</si>
  <si>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</si>
  <si>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</si>
  <si>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</si>
  <si>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</si>
  <si>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</si>
  <si>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</si>
  <si>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</si>
  <si>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</si>
  <si>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</si>
  <si>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</si>
  <si>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</si>
  <si>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</si>
  <si>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</si>
  <si>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</si>
  <si>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</si>
  <si>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</si>
  <si>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</si>
  <si>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</si>
  <si>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</si>
  <si>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</si>
  <si>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</si>
  <si>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</si>
  <si>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</si>
  <si>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</si>
  <si>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</si>
  <si>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</si>
  <si>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</si>
  <si>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</si>
  <si>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</si>
  <si>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</si>
  <si>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</si>
  <si>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</si>
  <si>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</si>
  <si>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</si>
  <si>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</si>
  <si>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</si>
  <si>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</si>
  <si>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</si>
  <si>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</si>
  <si>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</si>
  <si>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</si>
  <si>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</si>
  <si>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</si>
  <si>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</si>
  <si>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</si>
  <si>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</si>
  <si>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</si>
  <si>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</si>
  <si>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</si>
  <si>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</si>
  <si>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</si>
  <si>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</si>
  <si>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</si>
  <si>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</si>
  <si>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</si>
  <si>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</si>
  <si>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</si>
  <si>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</si>
  <si>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</si>
  <si>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</si>
  <si>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</si>
  <si>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</si>
  <si>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</si>
  <si>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</si>
  <si>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</si>
  <si>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</si>
  <si>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</si>
  <si>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</si>
  <si>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</si>
  <si>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</si>
  <si>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</si>
  <si>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</si>
  <si>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</si>
  <si>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</si>
  <si>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</si>
  <si>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</si>
  <si>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</si>
  <si>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</si>
  <si>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</si>
  <si>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</si>
  <si>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</si>
  <si>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</si>
  <si>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</si>
  <si>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</si>
  <si>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</si>
  <si>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</si>
  <si>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</si>
  <si>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</si>
  <si>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</si>
  <si>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</si>
  <si>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</si>
  <si>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</si>
  <si>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</si>
  <si>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</si>
  <si>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</si>
  <si>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</si>
  <si>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</si>
  <si>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</si>
  <si>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</si>
  <si>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</si>
  <si>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</si>
  <si>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</si>
  <si>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</si>
  <si>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</si>
  <si>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</si>
  <si>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</si>
  <si>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</si>
  <si>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</si>
  <si>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</si>
  <si>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</si>
  <si>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</si>
  <si>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</si>
  <si>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</si>
  <si>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</si>
  <si>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</si>
  <si>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</si>
  <si>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</si>
  <si>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</si>
  <si>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</si>
  <si>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</si>
  <si>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</si>
  <si>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</si>
  <si>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</si>
  <si>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</si>
  <si>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</si>
  <si>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</si>
  <si>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</si>
  <si>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</si>
  <si>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</si>
  <si>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</si>
  <si>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</si>
  <si>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</si>
  <si>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</si>
  <si>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</si>
  <si>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</si>
  <si>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</si>
  <si>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</si>
  <si>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</si>
  <si>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</si>
  <si>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</si>
  <si>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</si>
  <si>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</si>
  <si>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</si>
  <si>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</si>
  <si>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</si>
  <si>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</si>
  <si>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</si>
  <si>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</si>
  <si>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</si>
  <si>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</si>
  <si>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</si>
  <si>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</si>
  <si>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</si>
  <si>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</si>
  <si>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</si>
  <si>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</si>
  <si>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</si>
  <si>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</si>
  <si>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</si>
  <si>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</si>
  <si>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</si>
  <si>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</si>
  <si>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</si>
  <si>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</si>
  <si>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</si>
  <si>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</si>
  <si>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</si>
  <si>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</si>
  <si>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</si>
  <si>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</si>
  <si>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</si>
  <si>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</si>
  <si>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</si>
  <si>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</si>
  <si>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</si>
  <si>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</si>
  <si>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</si>
  <si>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</si>
  <si>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</si>
  <si>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</si>
  <si>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</si>
  <si>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</si>
  <si>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</si>
  <si>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</si>
  <si>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</si>
  <si>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</si>
  <si>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</si>
  <si>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</si>
  <si>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</si>
  <si>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</si>
  <si>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</si>
  <si>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</si>
  <si>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</si>
  <si>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</si>
  <si>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</si>
  <si>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</si>
  <si>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</si>
  <si>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</si>
  <si>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</si>
  <si>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</si>
  <si>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</si>
  <si>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</si>
  <si>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</si>
  <si>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</si>
  <si>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</si>
  <si>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</si>
  <si>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</si>
  <si>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</si>
  <si>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</si>
  <si>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</si>
  <si>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</si>
  <si>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</si>
  <si>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</si>
  <si>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</si>
  <si>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</si>
  <si>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</si>
  <si>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</si>
  <si>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</si>
  <si>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</si>
  <si>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</si>
  <si>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</si>
  <si>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</si>
  <si>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</si>
  <si>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</si>
  <si>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</si>
  <si>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</si>
  <si>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</si>
  <si>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</si>
  <si>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</si>
  <si>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</si>
  <si>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</si>
  <si>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</si>
  <si>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</si>
  <si>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</si>
  <si>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</si>
  <si>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</si>
  <si>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</si>
  <si>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</si>
  <si>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</si>
  <si>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</si>
  <si>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</si>
  <si>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</si>
  <si>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</si>
  <si>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</si>
  <si>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</si>
  <si>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</si>
  <si>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</si>
  <si>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</si>
  <si>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</si>
  <si>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</si>
  <si>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</si>
  <si>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</si>
  <si>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</si>
  <si>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</si>
  <si>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</si>
  <si>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</si>
  <si>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</si>
  <si>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</si>
  <si>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</si>
  <si>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</si>
  <si>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</si>
  <si>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</si>
  <si>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</si>
  <si>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</si>
  <si>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</si>
  <si>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</si>
  <si>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</si>
  <si>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</si>
  <si>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</si>
  <si>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</si>
  <si>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</si>
  <si>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</si>
  <si>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</si>
  <si>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</si>
  <si>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</si>
  <si>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</si>
  <si>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</si>
  <si>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</si>
  <si>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</si>
  <si>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</si>
  <si>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</si>
  <si>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</si>
  <si>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</si>
  <si>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</si>
  <si>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</si>
  <si>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</si>
  <si>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</si>
  <si>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</si>
  <si>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</si>
  <si>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</si>
  <si>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</si>
  <si>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</si>
  <si>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</si>
  <si>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</si>
  <si>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</si>
  <si>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</si>
  <si>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</si>
  <si>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</si>
  <si>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</si>
  <si>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</si>
  <si>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</si>
  <si>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</si>
  <si>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</si>
  <si>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</si>
  <si>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</si>
  <si>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</si>
  <si>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</si>
  <si>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</si>
  <si>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</si>
  <si>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</si>
  <si>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</si>
  <si>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</si>
  <si>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</si>
  <si>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</si>
  <si>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</si>
  <si>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</si>
  <si>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</si>
  <si>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</si>
  <si>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</si>
  <si>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</si>
  <si>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</si>
  <si>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</si>
  <si>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</si>
  <si>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</si>
  <si>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</si>
  <si>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</si>
  <si>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</si>
  <si>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</si>
  <si>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</si>
  <si>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</si>
  <si>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</si>
  <si>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</si>
  <si>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</si>
  <si>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</si>
  <si>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</si>
  <si>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</si>
  <si>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</si>
  <si>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</si>
  <si>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</si>
  <si>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</si>
  <si>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</si>
  <si>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</si>
  <si>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</si>
  <si>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</si>
  <si>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</si>
  <si>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</si>
  <si>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</si>
  <si>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</si>
  <si>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</si>
  <si>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</si>
  <si>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</si>
  <si>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</si>
  <si>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</si>
  <si>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</si>
  <si>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</si>
  <si>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</si>
  <si>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</si>
  <si>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</si>
  <si>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</si>
  <si>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</si>
  <si>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</si>
  <si>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</si>
  <si>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</si>
  <si>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</si>
  <si>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</si>
  <si>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</si>
  <si>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</si>
  <si>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</si>
  <si>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</si>
  <si>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</si>
  <si>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</si>
  <si>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</si>
  <si>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</si>
  <si>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</si>
  <si>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</si>
  <si>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</si>
  <si>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</si>
  <si>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</si>
  <si>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</si>
  <si>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</si>
  <si>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</si>
  <si>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</si>
  <si>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</si>
  <si>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</si>
  <si>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</si>
  <si>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</si>
  <si>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</si>
  <si>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</si>
  <si>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</si>
  <si>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</si>
  <si>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</si>
  <si>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</si>
  <si>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</si>
  <si>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</si>
  <si>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</si>
  <si>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</si>
  <si>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</si>
  <si>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</si>
  <si>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</si>
  <si>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</si>
  <si>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</si>
  <si>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</si>
  <si>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</si>
  <si>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</si>
  <si>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</si>
  <si>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</si>
  <si>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</si>
  <si>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</si>
  <si>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</si>
  <si>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</si>
  <si>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</si>
  <si>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</si>
  <si>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</si>
  <si>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</si>
  <si>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</si>
  <si>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</si>
  <si>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</si>
  <si>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</si>
  <si>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</si>
  <si>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</si>
  <si>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</si>
  <si>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</si>
  <si>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</si>
  <si>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</si>
  <si>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</si>
  <si>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</si>
  <si>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</si>
  <si>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</si>
  <si>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</si>
  <si>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</si>
  <si>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</si>
  <si>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</si>
  <si>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</si>
  <si>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</si>
  <si>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</si>
  <si>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</si>
  <si>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</si>
  <si>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</si>
  <si>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</si>
  <si>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</si>
  <si>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</si>
  <si>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</si>
  <si>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</si>
  <si>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</si>
  <si>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</si>
  <si>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</si>
  <si>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</si>
  <si>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</si>
  <si>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</si>
  <si>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</si>
  <si>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</si>
  <si>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</si>
  <si>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</si>
  <si>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</si>
  <si>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</si>
  <si>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</si>
  <si>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</si>
  <si>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</si>
  <si>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</si>
  <si>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</si>
  <si>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</si>
  <si>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</si>
  <si>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</si>
  <si>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</si>
  <si>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</si>
  <si>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</si>
  <si>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</si>
  <si>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</si>
  <si>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</si>
  <si>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</si>
  <si>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</si>
  <si>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</si>
  <si>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</si>
  <si>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</si>
  <si>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</si>
  <si>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</si>
  <si>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</si>
  <si>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</si>
  <si>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</si>
  <si>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</si>
  <si>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</si>
  <si>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</si>
  <si>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</si>
  <si>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</si>
  <si>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</si>
  <si>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</si>
  <si>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</si>
  <si>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</si>
  <si>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</si>
  <si>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</si>
  <si>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</si>
  <si>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</si>
  <si>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</si>
  <si>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</si>
  <si>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</si>
  <si>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</si>
  <si>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</si>
  <si>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</si>
  <si>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</si>
  <si>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</si>
  <si>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</si>
  <si>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</si>
  <si>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</si>
  <si>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</si>
  <si>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</si>
  <si>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</si>
  <si>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</si>
  <si>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</si>
  <si>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</si>
  <si>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</si>
  <si>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</si>
  <si>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</si>
  <si>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</si>
  <si>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</si>
  <si>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</si>
  <si>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</si>
  <si>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</si>
  <si>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</si>
  <si>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</si>
  <si>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</si>
  <si>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</si>
  <si>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</si>
  <si>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</si>
  <si>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</si>
  <si>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</si>
  <si>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</si>
  <si>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</si>
  <si>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</si>
  <si>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</si>
  <si>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</si>
  <si>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</si>
  <si>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</si>
  <si>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</si>
  <si>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</si>
  <si>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</si>
  <si>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</si>
  <si>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</si>
  <si>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</si>
  <si>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</si>
  <si>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</si>
  <si>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</si>
  <si>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</si>
  <si>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</si>
  <si>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</si>
  <si>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</si>
  <si>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</si>
  <si>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</si>
  <si>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</si>
  <si>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</si>
  <si>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</si>
  <si>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</si>
  <si>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</si>
  <si>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</si>
  <si>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</si>
  <si>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</si>
  <si>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</si>
  <si>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</si>
  <si>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</si>
  <si>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</si>
  <si>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</si>
  <si>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</si>
  <si>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</si>
  <si>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</si>
  <si>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</si>
  <si>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</si>
  <si>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</si>
  <si>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</si>
  <si>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</si>
  <si>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</si>
  <si>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</si>
  <si>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</si>
  <si>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</si>
  <si>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</si>
  <si>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</si>
  <si>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</si>
  <si>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</si>
  <si>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</si>
  <si>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</si>
  <si>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</si>
  <si>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</si>
  <si>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</si>
  <si>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</si>
  <si>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</si>
  <si>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</si>
  <si>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</si>
  <si>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</si>
  <si>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</si>
  <si>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</si>
  <si>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</si>
  <si>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</si>
  <si>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</si>
  <si>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</si>
  <si>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</si>
  <si>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</si>
  <si>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</si>
  <si>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</si>
  <si>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</si>
  <si>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</si>
  <si>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</si>
  <si>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</si>
  <si>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</si>
  <si>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</si>
  <si>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</si>
  <si>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</si>
  <si>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</si>
  <si>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</si>
  <si>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</si>
  <si>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</si>
  <si>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</si>
  <si>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</si>
  <si>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</si>
  <si>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</si>
  <si>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</si>
  <si>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</si>
  <si>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</si>
  <si>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</si>
  <si>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</si>
  <si>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</si>
  <si>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</si>
  <si>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</si>
  <si>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</si>
  <si>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</si>
  <si>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</si>
  <si>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</si>
  <si>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</si>
  <si>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</si>
  <si>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</si>
  <si>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</si>
  <si>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</si>
  <si>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</si>
  <si>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</si>
  <si>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</si>
  <si>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</si>
  <si>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</si>
  <si>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</si>
  <si>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</si>
  <si>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</si>
  <si>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</si>
  <si>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</si>
  <si>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</si>
  <si>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</si>
  <si>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</si>
  <si>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</si>
  <si>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</si>
  <si>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</si>
  <si>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</si>
  <si>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</si>
  <si>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</si>
  <si>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</si>
  <si>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</si>
  <si>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</si>
  <si>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</si>
  <si>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</si>
  <si>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</si>
  <si>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</si>
  <si>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</si>
  <si>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</si>
  <si>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</si>
  <si>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</si>
  <si>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</si>
  <si>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</si>
  <si>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</si>
  <si>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</si>
  <si>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</si>
  <si>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</si>
  <si>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</si>
  <si>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</si>
  <si>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</si>
  <si>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</si>
  <si>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</si>
  <si>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</si>
  <si>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</si>
  <si>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</si>
  <si>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</si>
  <si>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</si>
  <si>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</si>
  <si>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</si>
  <si>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</si>
  <si>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</si>
  <si>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</si>
  <si>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</si>
  <si>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</si>
  <si>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</si>
  <si>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</si>
  <si>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</si>
  <si>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</si>
  <si>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</si>
  <si>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</si>
  <si>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</si>
  <si>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</si>
  <si>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</si>
  <si>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</si>
  <si>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</si>
  <si>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</si>
  <si>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</si>
  <si>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</si>
  <si>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</si>
  <si>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</si>
  <si>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</si>
  <si>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</si>
  <si>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</si>
  <si>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</si>
  <si>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</si>
  <si>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</si>
  <si>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</si>
  <si>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</si>
  <si>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</si>
  <si>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</si>
  <si>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</si>
  <si>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</si>
  <si>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</si>
  <si>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</si>
  <si>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</si>
  <si>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</si>
  <si>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</si>
  <si>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</si>
  <si>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</si>
  <si>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</si>
  <si>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</si>
  <si>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</si>
  <si>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</si>
  <si>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</si>
  <si>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</si>
  <si>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</si>
  <si>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</si>
  <si>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</si>
  <si>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</si>
  <si>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</si>
  <si>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</si>
  <si>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</si>
  <si>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</si>
  <si>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</si>
  <si>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</si>
  <si>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</si>
  <si>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</si>
  <si>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</si>
  <si>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</si>
  <si>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</si>
  <si>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</si>
  <si>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</si>
  <si>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</si>
  <si>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</si>
  <si>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</si>
  <si>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</si>
  <si>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</si>
  <si>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</si>
  <si>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</si>
  <si>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</si>
  <si>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</si>
  <si>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</si>
  <si>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</si>
  <si>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</si>
  <si>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</si>
  <si>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</si>
  <si>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</si>
  <si>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</si>
  <si>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</si>
  <si>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</si>
  <si>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</si>
  <si>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</si>
  <si>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</si>
  <si>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</si>
  <si>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</si>
  <si>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</si>
  <si>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</si>
  <si>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</si>
  <si>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</si>
  <si>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</si>
  <si>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</si>
  <si>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</si>
  <si>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</si>
  <si>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</si>
  <si>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</si>
  <si>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</si>
  <si>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</si>
  <si>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</si>
  <si>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</si>
  <si>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</si>
  <si>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</si>
  <si>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</si>
  <si>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</si>
  <si>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</si>
  <si>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</si>
  <si>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</si>
  <si>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</si>
  <si>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</si>
  <si>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</si>
  <si>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</si>
  <si>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</si>
  <si>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</si>
  <si>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</si>
  <si>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</si>
  <si>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</si>
  <si>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</si>
  <si>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</si>
  <si>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</si>
  <si>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</si>
  <si>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</si>
  <si>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</si>
  <si>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</si>
  <si>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</si>
  <si>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</si>
  <si>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</si>
  <si>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</si>
  <si>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</si>
  <si>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</si>
  <si>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</si>
  <si>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</si>
  <si>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</si>
  <si>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</si>
  <si>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</si>
  <si>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</si>
  <si>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</si>
  <si>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</si>
  <si>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</si>
  <si>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</si>
  <si>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</si>
  <si>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</si>
  <si>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</si>
  <si>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</si>
  <si>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</si>
  <si>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</si>
  <si>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</si>
  <si>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</si>
  <si>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</si>
  <si>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</si>
  <si>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</si>
  <si>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</si>
  <si>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</si>
  <si>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</si>
  <si>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</si>
  <si>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</si>
  <si>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</si>
  <si>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</si>
  <si>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</si>
  <si>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</si>
  <si>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</si>
  <si>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</si>
  <si>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</si>
  <si>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</si>
  <si>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</si>
  <si>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</si>
  <si>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</si>
  <si>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</si>
  <si>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</si>
  <si>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</si>
  <si>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</si>
  <si>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</si>
  <si>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</si>
  <si>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</si>
  <si>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</si>
  <si>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</si>
  <si>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</si>
  <si>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</si>
  <si>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</si>
  <si>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</si>
  <si>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</si>
  <si>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</si>
  <si>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</si>
  <si>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</si>
  <si>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</si>
  <si>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</si>
  <si>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</si>
  <si>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</si>
  <si>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</si>
  <si>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</si>
  <si>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</si>
  <si>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</si>
  <si>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</si>
  <si>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</si>
  <si>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</si>
  <si>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</si>
  <si>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</si>
  <si>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</si>
  <si>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</si>
  <si>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</si>
  <si>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</si>
  <si>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</si>
  <si>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</si>
  <si>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</si>
  <si>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</si>
  <si>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</si>
  <si>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</si>
  <si>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</si>
  <si>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</si>
  <si>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</si>
  <si>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</si>
  <si>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</si>
  <si>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</si>
  <si>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</si>
  <si>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</si>
  <si>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</si>
  <si>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</si>
  <si>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</si>
  <si>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</si>
  <si>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</si>
  <si>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</si>
  <si>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</si>
  <si>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</si>
  <si>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</si>
  <si>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</si>
  <si>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</si>
  <si>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</si>
  <si>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</si>
  <si>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</si>
  <si>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</si>
  <si>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</si>
  <si>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</si>
  <si>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</si>
  <si>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</si>
  <si>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</si>
  <si>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</si>
  <si>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</si>
  <si>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</si>
  <si>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</si>
  <si>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</si>
  <si>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</si>
  <si>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</si>
  <si>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</si>
  <si>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</si>
  <si>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</si>
  <si>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</si>
  <si>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</si>
  <si>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</si>
  <si>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</si>
  <si>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</si>
  <si>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</si>
  <si>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</si>
  <si>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</si>
  <si>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</si>
  <si>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</si>
  <si>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</si>
  <si>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</si>
  <si>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</si>
  <si>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</si>
  <si>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</si>
  <si>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</si>
  <si>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</si>
  <si>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</si>
  <si>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</si>
  <si>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</si>
  <si>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</si>
  <si>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</si>
  <si>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</si>
  <si>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</si>
  <si>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</si>
  <si>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</si>
  <si>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</si>
  <si>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</si>
  <si>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</si>
  <si>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</si>
  <si>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</si>
  <si>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</si>
  <si>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</si>
  <si>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</si>
  <si>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</si>
  <si>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</si>
  <si>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</si>
  <si>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</si>
  <si>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</si>
  <si>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</si>
  <si>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</si>
  <si>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</si>
  <si>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</si>
  <si>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</si>
  <si>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</si>
  <si>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</si>
  <si>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</si>
  <si>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</si>
  <si>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</si>
  <si>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</si>
  <si>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</si>
  <si>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</si>
  <si>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</si>
  <si>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</si>
  <si>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</si>
  <si>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</si>
  <si>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</si>
  <si>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</si>
  <si>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</si>
  <si>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</si>
  <si>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</si>
  <si>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</si>
  <si>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</si>
  <si>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</si>
  <si>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</si>
  <si>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</si>
  <si>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</si>
  <si>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</si>
  <si>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</si>
  <si>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</si>
  <si>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</si>
  <si>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</si>
  <si>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</si>
  <si>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</si>
  <si>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</si>
  <si>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</si>
  <si>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</si>
  <si>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</si>
  <si>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</si>
  <si>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</si>
  <si>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</si>
  <si>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</si>
  <si>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</si>
  <si>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</si>
  <si>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</si>
  <si>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</si>
  <si>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</si>
  <si>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</si>
  <si>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</si>
  <si>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</si>
  <si>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</si>
  <si>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</si>
  <si>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</si>
  <si>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</si>
  <si>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</si>
  <si>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</si>
  <si>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</si>
  <si>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</si>
  <si>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</si>
  <si>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</si>
  <si>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</si>
  <si>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</si>
  <si>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</si>
  <si>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</si>
  <si>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</si>
  <si>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</si>
  <si>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</si>
  <si>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</si>
  <si>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</si>
  <si>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</si>
  <si>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</si>
  <si>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</si>
  <si>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</si>
  <si>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</si>
  <si>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</si>
  <si>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</si>
  <si>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</si>
  <si>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</si>
  <si>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</si>
  <si>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</si>
  <si>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</si>
  <si>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</si>
  <si>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</si>
  <si>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</si>
  <si>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</si>
  <si>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</si>
  <si>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</si>
  <si>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</si>
  <si>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</si>
  <si>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</si>
  <si>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</si>
  <si>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</si>
  <si>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</si>
  <si>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</si>
  <si>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</si>
  <si>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</si>
  <si>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</si>
  <si>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</si>
  <si>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</si>
  <si>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</si>
  <si>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</si>
  <si>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</si>
  <si>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</si>
  <si>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</si>
  <si>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</si>
  <si>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</si>
  <si>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</si>
  <si>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</si>
  <si>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</si>
  <si>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</si>
  <si>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</si>
  <si>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</si>
  <si>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</si>
  <si>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</si>
  <si>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</si>
  <si>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</si>
  <si>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</si>
  <si>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</si>
  <si>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</si>
  <si>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</si>
  <si>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</si>
  <si>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</si>
  <si>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</si>
  <si>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</si>
  <si>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</si>
  <si>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</si>
  <si>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</si>
  <si>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</si>
  <si>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</si>
  <si>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</si>
  <si>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</si>
  <si>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</si>
  <si>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</si>
  <si>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</si>
  <si>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</si>
  <si>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</si>
  <si>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</si>
  <si>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</si>
  <si>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</si>
  <si>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</si>
  <si>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</si>
  <si>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</si>
  <si>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</si>
  <si>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</si>
  <si>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</si>
  <si>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</si>
  <si>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</si>
  <si>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</si>
  <si>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</si>
  <si>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</si>
  <si>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</si>
  <si>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</si>
  <si>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</si>
  <si>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</si>
  <si>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</si>
  <si>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</si>
  <si>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</si>
  <si>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</si>
  <si>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</si>
  <si>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</si>
  <si>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</si>
  <si>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</si>
  <si>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</si>
  <si>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</si>
  <si>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</si>
  <si>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</si>
  <si>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</si>
  <si>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</si>
  <si>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</si>
  <si>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</si>
  <si>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</si>
  <si>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</si>
  <si>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</si>
  <si>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</si>
  <si>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</si>
  <si>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</si>
  <si>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</si>
  <si>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</si>
  <si>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</si>
  <si>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</si>
  <si>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</si>
  <si>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</si>
  <si>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</si>
  <si>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</si>
  <si>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</si>
  <si>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</si>
  <si>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</si>
  <si>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</si>
  <si>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</si>
  <si>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</si>
  <si>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</si>
  <si>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</si>
  <si>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</si>
  <si>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</si>
  <si>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</si>
  <si>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</si>
  <si>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</si>
  <si>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</si>
  <si>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</si>
  <si>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</si>
  <si>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</si>
  <si>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</si>
  <si>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</si>
  <si>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</si>
  <si>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</si>
  <si>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</si>
  <si>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</si>
  <si>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</si>
  <si>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</si>
  <si>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</si>
  <si>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</si>
  <si>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</si>
  <si>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</si>
  <si>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</si>
  <si>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</si>
  <si>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</si>
  <si>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</si>
  <si>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</si>
  <si>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</si>
  <si>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</si>
  <si>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</si>
  <si>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</si>
  <si>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</si>
  <si>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</si>
  <si>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</si>
  <si>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</si>
  <si>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</si>
  <si>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</si>
  <si>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</si>
  <si>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</si>
  <si>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</si>
  <si>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</si>
  <si>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</si>
  <si>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</si>
  <si>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</si>
  <si>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</si>
  <si>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</si>
  <si>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</si>
  <si>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</si>
  <si>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</si>
  <si>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</si>
  <si>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</si>
  <si>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</si>
  <si>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</si>
  <si>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</si>
  <si>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</si>
  <si>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</si>
  <si>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</si>
  <si>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</si>
  <si>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</si>
  <si>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</si>
  <si>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</si>
  <si>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</si>
  <si>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</si>
  <si>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</si>
  <si>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</si>
  <si>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</si>
  <si>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</si>
  <si>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</si>
  <si>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</si>
  <si>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</si>
  <si>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</si>
  <si>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</si>
  <si>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</si>
  <si>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</si>
  <si>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</si>
  <si>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</si>
  <si>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</si>
  <si>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</si>
  <si>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</si>
  <si>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</si>
  <si>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</si>
  <si>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</si>
  <si>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</si>
  <si>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</si>
  <si>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</si>
  <si>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</si>
  <si>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</si>
  <si>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</si>
  <si>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</si>
  <si>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</si>
  <si>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</si>
  <si>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</si>
  <si>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</si>
  <si>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</si>
  <si>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</si>
  <si>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</si>
  <si>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</si>
  <si>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</si>
  <si>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</si>
  <si>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</si>
  <si>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</si>
  <si>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</si>
  <si>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</si>
  <si>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</si>
  <si>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</si>
  <si>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</si>
  <si>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</si>
  <si>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</si>
  <si>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</si>
  <si>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</si>
  <si>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</si>
  <si>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</si>
  <si>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</si>
  <si>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</si>
  <si>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</si>
  <si>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</si>
  <si>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</si>
  <si>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</si>
  <si>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</si>
  <si>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</si>
  <si>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</si>
  <si>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</si>
  <si>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</si>
  <si>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</si>
  <si>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</si>
  <si>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</si>
  <si>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</si>
  <si>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</si>
  <si>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</si>
  <si>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</si>
  <si>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</si>
  <si>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</si>
  <si>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</si>
  <si>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</si>
  <si>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</si>
  <si>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</si>
  <si>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</si>
  <si>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</si>
  <si>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</si>
  <si>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</si>
  <si>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</si>
  <si>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</si>
  <si>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</si>
  <si>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</si>
  <si>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</si>
  <si>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</si>
  <si>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</si>
  <si>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</si>
  <si>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</si>
  <si>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</si>
  <si>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</si>
  <si>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</si>
  <si>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</si>
  <si>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</si>
  <si>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</si>
  <si>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</si>
  <si>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</si>
  <si>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</si>
  <si>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</si>
  <si>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</si>
  <si>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</si>
  <si>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</si>
  <si>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</si>
  <si>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</si>
  <si>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</si>
  <si>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</si>
  <si>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</si>
  <si>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</si>
  <si>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</si>
  <si>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</si>
  <si>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</si>
  <si>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</si>
  <si>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</si>
  <si>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</si>
  <si>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</si>
  <si>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</si>
  <si>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</si>
  <si>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</si>
  <si>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</si>
  <si>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</si>
  <si>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</si>
  <si>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</si>
  <si>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</si>
  <si>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</si>
  <si>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</si>
  <si>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</si>
  <si>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</si>
  <si>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</si>
  <si>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</si>
  <si>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</si>
  <si>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</si>
  <si>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</si>
  <si>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</si>
  <si>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</si>
  <si>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</si>
  <si>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</si>
  <si>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</si>
  <si>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</si>
  <si>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</si>
  <si>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</si>
  <si>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</si>
  <si>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</si>
  <si>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</si>
  <si>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</si>
  <si>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</si>
  <si>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</si>
  <si>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</si>
  <si>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</si>
  <si>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</si>
  <si>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</si>
  <si>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</si>
  <si>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</si>
  <si>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</si>
  <si>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</si>
  <si>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</si>
  <si>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</si>
  <si>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</si>
  <si>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</si>
  <si>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</si>
  <si>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</si>
  <si>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</si>
  <si>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</si>
  <si>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</si>
  <si>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</si>
  <si>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</si>
  <si>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</si>
  <si>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</si>
  <si>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</si>
  <si>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</si>
  <si>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</si>
  <si>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</si>
  <si>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</si>
  <si>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</si>
  <si>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</si>
  <si>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</si>
  <si>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</si>
  <si>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</si>
  <si>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</si>
  <si>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</si>
  <si>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</si>
  <si>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</si>
  <si>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</si>
  <si>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</si>
  <si>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</si>
  <si>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</si>
  <si>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</si>
  <si>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</si>
  <si>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</si>
  <si>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</si>
  <si>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</si>
  <si>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</si>
  <si>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</si>
  <si>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</si>
  <si>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</si>
  <si>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</si>
  <si>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</si>
  <si>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</si>
  <si>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</si>
  <si>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</si>
  <si>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</si>
  <si>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</si>
  <si>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</si>
  <si>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</si>
  <si>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</si>
  <si>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</si>
  <si>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</si>
  <si>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</si>
  <si>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</si>
  <si>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</si>
  <si>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</si>
  <si>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</si>
  <si>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</si>
  <si>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</si>
  <si>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</si>
  <si>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</si>
  <si>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</si>
  <si>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</si>
  <si>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</si>
  <si>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</si>
  <si>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</si>
  <si>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</si>
  <si>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</si>
  <si>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</si>
  <si>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</si>
  <si>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</si>
  <si>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</si>
  <si>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</si>
  <si>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</si>
  <si>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</si>
  <si>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</si>
  <si>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</si>
  <si>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</si>
  <si>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</si>
  <si>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</si>
  <si>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</si>
  <si>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</si>
  <si>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</si>
  <si>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</si>
  <si>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</si>
  <si>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</si>
  <si>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</si>
  <si>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</si>
  <si>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</si>
  <si>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</si>
  <si>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</si>
  <si>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</si>
  <si>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</si>
  <si>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</si>
  <si>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</si>
  <si>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</si>
  <si>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</si>
  <si>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</si>
  <si>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</si>
  <si>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</si>
  <si>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</si>
  <si>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</si>
  <si>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</si>
  <si>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</si>
  <si>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</si>
  <si>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</si>
  <si>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</si>
  <si>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</si>
  <si>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</si>
  <si>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</si>
  <si>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</si>
  <si>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</si>
  <si>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</si>
  <si>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</si>
  <si>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</si>
  <si>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</si>
  <si>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</si>
  <si>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</si>
  <si>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</si>
  <si>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</si>
  <si>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</si>
  <si>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</si>
  <si>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</si>
  <si>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</si>
  <si>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</si>
  <si>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</si>
  <si>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</si>
  <si>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</si>
  <si>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</si>
  <si>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</si>
  <si>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</si>
  <si>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</si>
  <si>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</si>
  <si>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</si>
  <si>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</si>
  <si>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</si>
  <si>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</si>
  <si>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</si>
  <si>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</si>
  <si>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</si>
  <si>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</si>
  <si>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</si>
  <si>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</si>
  <si>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</si>
  <si>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</si>
  <si>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</si>
  <si>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</si>
  <si>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</si>
  <si>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</si>
  <si>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</si>
  <si>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</si>
  <si>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</si>
  <si>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</si>
  <si>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</si>
  <si>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</si>
  <si>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</si>
  <si>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</si>
  <si>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</si>
  <si>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</si>
  <si>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</si>
  <si>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</si>
  <si>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</si>
  <si>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</si>
  <si>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</si>
  <si>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</si>
  <si>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</si>
  <si>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</si>
  <si>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</si>
  <si>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</si>
  <si>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</si>
  <si>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</si>
  <si>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</si>
  <si>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</si>
  <si>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</si>
  <si>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</si>
  <si>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</si>
  <si>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</si>
  <si>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</si>
  <si>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</si>
  <si>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</si>
  <si>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</si>
  <si>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</si>
  <si>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</si>
  <si>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</si>
  <si>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</si>
  <si>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</si>
  <si>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</si>
  <si>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</si>
  <si>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</si>
  <si>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</si>
  <si>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</si>
  <si>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</si>
  <si>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</si>
  <si>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</si>
  <si>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</si>
  <si>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</si>
  <si>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</si>
  <si>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</si>
  <si>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</si>
  <si>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</si>
  <si>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</si>
  <si>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</si>
  <si>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</si>
  <si>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</si>
  <si>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</si>
  <si>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</si>
  <si>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</si>
  <si>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</si>
  <si>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</si>
  <si>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</si>
  <si>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</si>
  <si>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</si>
  <si>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</si>
  <si>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</si>
  <si>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</si>
  <si>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</si>
  <si>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</si>
  <si>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</si>
  <si>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</si>
  <si>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</si>
  <si>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</si>
  <si>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</si>
  <si>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</si>
  <si>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</si>
  <si>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</si>
  <si>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</si>
  <si>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</si>
  <si>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</si>
  <si>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</si>
  <si>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</si>
  <si>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</si>
  <si>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</si>
  <si>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</si>
  <si>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</si>
  <si>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</si>
  <si>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</si>
  <si>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</si>
  <si>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</si>
  <si>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</si>
  <si>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</si>
  <si>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</si>
  <si>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</si>
  <si>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</si>
  <si>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</si>
  <si>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</si>
  <si>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</si>
  <si>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</si>
  <si>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</si>
  <si>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</si>
  <si>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</si>
  <si>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</si>
  <si>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</si>
  <si>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</si>
  <si>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</si>
  <si>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</si>
  <si>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</si>
  <si>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</si>
  <si>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</si>
  <si>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</si>
  <si>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</si>
  <si>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</si>
  <si>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</si>
  <si>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</si>
  <si>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</si>
  <si>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</si>
  <si>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</si>
  <si>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</si>
  <si>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</si>
  <si>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</si>
  <si>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</si>
  <si>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</si>
  <si>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</si>
  <si>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</si>
  <si>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</si>
  <si>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</si>
  <si>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</si>
  <si>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</si>
  <si>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</si>
  <si>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</si>
  <si>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</si>
  <si>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</si>
  <si>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</si>
  <si>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</si>
  <si>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</si>
  <si>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</si>
  <si>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</si>
  <si>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</si>
  <si>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</si>
  <si>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</si>
  <si>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</si>
  <si>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</si>
  <si>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</si>
  <si>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</si>
  <si>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</si>
  <si>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</si>
  <si>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</si>
  <si>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</si>
  <si>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</si>
  <si>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</si>
  <si>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</si>
  <si>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</si>
  <si>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</si>
  <si>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</si>
  <si>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</si>
  <si>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</si>
  <si>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</si>
  <si>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</si>
  <si>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</si>
  <si>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</si>
  <si>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</si>
  <si>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</si>
  <si>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</si>
  <si>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</si>
  <si>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</si>
  <si>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</si>
  <si>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</si>
  <si>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</si>
  <si>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</si>
  <si>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</si>
  <si>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</si>
  <si>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</si>
  <si>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</si>
  <si>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</si>
  <si>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</si>
  <si>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</si>
  <si>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</si>
  <si>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</si>
  <si>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</si>
  <si>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</si>
  <si>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</si>
  <si>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</si>
  <si>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</si>
  <si>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</si>
  <si>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</si>
  <si>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</si>
  <si>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</si>
  <si>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</si>
  <si>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</si>
  <si>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</si>
  <si>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</si>
  <si>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</si>
  <si>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</si>
  <si>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</si>
  <si>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</si>
  <si>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</si>
  <si>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</si>
  <si>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</si>
  <si>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</si>
  <si>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</si>
  <si>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</si>
  <si>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</si>
  <si>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</si>
  <si>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</si>
  <si>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</si>
  <si>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</si>
  <si>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</si>
  <si>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</si>
  <si>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</si>
  <si>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</si>
  <si>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</si>
  <si>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</si>
  <si>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</si>
  <si>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</si>
  <si>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</si>
  <si>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</si>
  <si>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</si>
  <si>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</si>
  <si>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</si>
  <si>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</si>
  <si>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</si>
  <si>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</si>
  <si>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</si>
  <si>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</si>
  <si>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</si>
  <si>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</si>
  <si>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</si>
  <si>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</si>
  <si>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</si>
  <si>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</si>
  <si>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</si>
  <si>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</si>
  <si>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</si>
  <si>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</si>
  <si>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</si>
  <si>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</si>
  <si>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</si>
  <si>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</si>
  <si>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</si>
  <si>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</si>
  <si>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</si>
  <si>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</si>
  <si>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</si>
  <si>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</si>
  <si>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</si>
  <si>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</si>
  <si>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</si>
  <si>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</si>
  <si>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</si>
  <si>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</si>
  <si>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</si>
  <si>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</si>
  <si>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</si>
  <si>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</si>
  <si>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</si>
  <si>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</si>
  <si>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</si>
  <si>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</si>
  <si>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</si>
  <si>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</si>
  <si>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</si>
  <si>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</si>
  <si>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</si>
  <si>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</si>
  <si>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</si>
  <si>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</si>
  <si>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</si>
  <si>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</si>
  <si>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</si>
  <si>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</si>
  <si>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</si>
  <si>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</si>
  <si>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</si>
  <si>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</si>
  <si>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</si>
  <si>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</si>
  <si>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</si>
  <si>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</si>
  <si>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</si>
  <si>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</si>
  <si>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</si>
  <si>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</si>
  <si>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</si>
  <si>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</si>
  <si>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</si>
  <si>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</si>
  <si>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</si>
  <si>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</si>
  <si>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</si>
  <si>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</si>
  <si>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</si>
  <si>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</si>
  <si>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</si>
  <si>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</si>
  <si>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</si>
  <si>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</si>
  <si>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</si>
  <si>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</si>
  <si>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</si>
  <si>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</si>
  <si>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</si>
  <si>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</si>
  <si>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</si>
  <si>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</si>
  <si>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</si>
  <si>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</si>
  <si>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</si>
  <si>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</si>
  <si>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</si>
  <si>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</si>
  <si>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</si>
  <si>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</si>
  <si>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</si>
  <si>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</si>
  <si>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</si>
  <si>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</si>
  <si>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</si>
  <si>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</si>
  <si>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</si>
  <si>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</si>
  <si>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</si>
  <si>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</si>
  <si>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</si>
  <si>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</si>
  <si>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</si>
  <si>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</si>
  <si>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</si>
  <si>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</si>
  <si>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</si>
  <si>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</si>
  <si>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</si>
  <si>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</si>
  <si>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</si>
  <si>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</si>
  <si>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</si>
  <si>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</si>
  <si>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</si>
  <si>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</si>
  <si>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</si>
  <si>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</si>
  <si>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</si>
  <si>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</si>
  <si>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</si>
  <si>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</si>
  <si>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</si>
  <si>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</si>
  <si>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</si>
  <si>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</si>
  <si>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</si>
  <si>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</si>
  <si>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</si>
  <si>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</si>
  <si>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</si>
  <si>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</si>
  <si>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</si>
  <si>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</si>
  <si>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</si>
  <si>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</si>
  <si>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</si>
  <si>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</si>
  <si>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</si>
  <si>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</si>
  <si>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</si>
  <si>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</si>
  <si>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</si>
  <si>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</si>
  <si>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</si>
  <si>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</si>
  <si>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</si>
  <si>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</si>
  <si>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</si>
  <si>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</si>
  <si>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</si>
  <si>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</si>
  <si>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</si>
  <si>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</si>
  <si>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</si>
  <si>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</si>
  <si>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</si>
  <si>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</si>
  <si>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</si>
  <si>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</si>
  <si>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</si>
  <si>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</si>
  <si>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</si>
  <si>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</si>
  <si>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</si>
  <si>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</si>
  <si>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</si>
  <si>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</si>
  <si>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</si>
  <si>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</si>
  <si>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</si>
  <si>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</si>
  <si>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</si>
  <si>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</si>
  <si>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</si>
  <si>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</si>
  <si>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</si>
  <si>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</si>
  <si>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</si>
  <si>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</si>
  <si>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</si>
  <si>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</si>
  <si>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</si>
  <si>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</si>
  <si>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</si>
  <si>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</si>
  <si>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</si>
  <si>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</si>
  <si>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</si>
  <si>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</si>
  <si>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</si>
  <si>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</si>
  <si>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</si>
  <si>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</si>
  <si>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</si>
  <si>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</si>
  <si>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</si>
  <si>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</si>
  <si>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</si>
  <si>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</si>
  <si>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</si>
  <si>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</si>
  <si>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</si>
  <si>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</si>
  <si>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</si>
  <si>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</si>
  <si>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</si>
  <si>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</si>
  <si>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</si>
  <si>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</si>
  <si>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</si>
  <si>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</si>
  <si>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</si>
  <si>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</si>
  <si>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</si>
  <si>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</si>
  <si>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</si>
  <si>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</si>
  <si>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</si>
  <si>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</si>
  <si>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</si>
  <si>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</si>
  <si>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</si>
  <si>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</si>
  <si>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</si>
  <si>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</si>
  <si>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</si>
  <si>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</si>
  <si>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</si>
  <si>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</si>
  <si>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</si>
  <si>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</si>
  <si>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</si>
  <si>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</si>
  <si>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</si>
  <si>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</si>
  <si>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</si>
  <si>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</si>
  <si>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</si>
  <si>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</si>
  <si>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</si>
  <si>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</si>
  <si>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</si>
  <si>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</si>
  <si>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</si>
  <si>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</si>
  <si>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</si>
  <si>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</si>
  <si>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</si>
  <si>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</si>
  <si>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</si>
  <si>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</si>
  <si>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</si>
  <si>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</si>
  <si>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</si>
  <si>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</si>
  <si>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</si>
  <si>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</si>
  <si>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</si>
  <si>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</si>
  <si>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</si>
  <si>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</si>
  <si>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</si>
  <si>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</si>
  <si>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</si>
  <si>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</si>
  <si>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</si>
  <si>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</si>
  <si>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</si>
  <si>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</si>
  <si>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</si>
  <si>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</si>
  <si>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</si>
  <si>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</si>
  <si>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</si>
  <si>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</si>
  <si>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</si>
  <si>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</si>
  <si>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</si>
  <si>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</si>
  <si>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</si>
  <si>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</si>
  <si>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</si>
  <si>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</si>
  <si>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</si>
  <si>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</si>
  <si>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</si>
  <si>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</si>
  <si>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</si>
  <si>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</si>
  <si>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</si>
  <si>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</si>
  <si>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</si>
  <si>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</si>
  <si>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</si>
  <si>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</si>
  <si>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</si>
  <si>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</si>
  <si>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</si>
  <si>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</si>
  <si>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</si>
  <si>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</si>
  <si>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</si>
  <si>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</si>
  <si>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</si>
  <si>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</si>
  <si>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</si>
  <si>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</si>
  <si>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</si>
  <si>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</si>
  <si>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</si>
  <si>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</si>
  <si>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</si>
  <si>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</si>
  <si>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</si>
  <si>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</si>
  <si>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</si>
  <si>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</si>
  <si>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</si>
  <si>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</si>
  <si>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</si>
  <si>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</si>
  <si>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</si>
  <si>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</si>
  <si>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</si>
  <si>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</si>
  <si>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</si>
  <si>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</si>
  <si>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</si>
  <si>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</si>
  <si>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</si>
  <si>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</si>
  <si>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</si>
  <si>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</si>
  <si>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</si>
  <si>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</si>
  <si>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</si>
  <si>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</si>
  <si>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</si>
  <si>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</si>
  <si>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</si>
  <si>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</si>
  <si>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</si>
  <si>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</si>
  <si>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</si>
  <si>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</si>
  <si>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</si>
  <si>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</si>
  <si>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</si>
  <si>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</si>
  <si>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</si>
  <si>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</si>
  <si>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</si>
  <si>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</si>
  <si>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</si>
  <si>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</si>
  <si>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</si>
  <si>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</si>
  <si>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</si>
  <si>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</si>
  <si>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</si>
  <si>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</si>
  <si>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</si>
  <si>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</si>
  <si>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</si>
  <si>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</si>
  <si>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</si>
  <si>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</si>
  <si>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</si>
  <si>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</si>
  <si>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</si>
  <si>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</si>
  <si>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</si>
  <si>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</si>
  <si>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</si>
  <si>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</si>
  <si>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</si>
  <si>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</si>
  <si>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</si>
  <si>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</si>
  <si>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</si>
  <si>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</si>
  <si>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</si>
  <si>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</si>
  <si>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</si>
  <si>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</si>
  <si>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</si>
  <si>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</si>
  <si>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</si>
  <si>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</si>
  <si>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</si>
  <si>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</si>
  <si>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</si>
  <si>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</si>
  <si>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</si>
  <si>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</si>
  <si>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</si>
  <si>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</si>
  <si>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</si>
  <si>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</si>
  <si>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</si>
  <si>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</si>
  <si>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</si>
  <si>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</si>
  <si>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</si>
  <si>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</si>
  <si>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</si>
  <si>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</si>
  <si>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</si>
  <si>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</si>
  <si>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</si>
  <si>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</si>
  <si>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</si>
  <si>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</si>
  <si>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</si>
  <si>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</si>
  <si>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</si>
  <si>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</si>
  <si>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</si>
  <si>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</si>
  <si>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</si>
  <si>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</si>
  <si>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</si>
  <si>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</si>
  <si>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</si>
  <si>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</si>
  <si>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</si>
  <si>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</si>
  <si>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</si>
  <si>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</si>
  <si>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</si>
  <si>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</si>
  <si>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</si>
  <si>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</si>
  <si>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</si>
  <si>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</si>
  <si>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</si>
  <si>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</si>
  <si>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</si>
  <si>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</si>
  <si>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</si>
  <si>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</si>
  <si>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</si>
  <si>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</si>
  <si>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</si>
  <si>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</si>
  <si>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</si>
  <si>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</si>
  <si>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</si>
  <si>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</si>
  <si>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</si>
  <si>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</si>
  <si>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</si>
  <si>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</si>
  <si>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</si>
  <si>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</si>
  <si>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</si>
  <si>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</si>
  <si>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</si>
  <si>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</si>
  <si>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</si>
  <si>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</si>
  <si>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</si>
  <si>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</si>
  <si>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</si>
  <si>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</si>
  <si>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</si>
  <si>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</si>
  <si>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</si>
  <si>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</si>
  <si>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</si>
  <si>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</si>
  <si>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</si>
  <si>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</si>
  <si>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</si>
  <si>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</si>
  <si>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</si>
  <si>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</si>
  <si>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</si>
  <si>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</si>
  <si>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</si>
  <si>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</si>
  <si>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</si>
  <si>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</si>
  <si>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</si>
  <si>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</si>
  <si>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</si>
  <si>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</si>
  <si>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</si>
  <si>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</si>
  <si>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</si>
  <si>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</si>
  <si>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</si>
  <si>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</si>
  <si>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</si>
  <si>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</si>
  <si>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</si>
  <si>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</si>
  <si>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</si>
  <si>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</si>
  <si>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</si>
  <si>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</si>
  <si>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</si>
  <si>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</si>
  <si>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</si>
  <si>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</si>
  <si>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</si>
  <si>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</si>
  <si>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</si>
  <si>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</si>
  <si>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</si>
  <si>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</si>
  <si>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</si>
  <si>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</si>
  <si>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</si>
  <si>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</si>
  <si>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</si>
  <si>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</si>
  <si>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</si>
  <si>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</si>
  <si>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</si>
  <si>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</si>
  <si>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</si>
  <si>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</si>
  <si>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</si>
  <si>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</si>
  <si>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</si>
  <si>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</si>
  <si>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</si>
  <si>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</si>
  <si>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</si>
  <si>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</si>
  <si>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</si>
  <si>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</si>
  <si>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</si>
  <si>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</si>
  <si>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</si>
  <si>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</si>
  <si>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</si>
  <si>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</si>
  <si>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</si>
  <si>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</si>
  <si>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</si>
  <si>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</si>
  <si>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</si>
  <si>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</si>
  <si>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</si>
  <si>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</si>
  <si>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</si>
  <si>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</si>
  <si>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</si>
  <si>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</si>
  <si>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</si>
  <si>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</si>
  <si>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</si>
  <si>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</si>
  <si>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</si>
  <si>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</si>
  <si>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</si>
  <si>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</si>
  <si>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</si>
  <si>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</si>
  <si>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</si>
  <si>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</si>
  <si>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</si>
  <si>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</si>
  <si>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</si>
  <si>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</si>
  <si>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</si>
  <si>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</si>
  <si>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</si>
  <si>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</si>
  <si>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</si>
  <si>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</si>
  <si>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</si>
  <si>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</si>
  <si>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</si>
  <si>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</si>
  <si>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</si>
  <si>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</si>
  <si>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</si>
  <si>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</si>
  <si>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</si>
  <si>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</si>
  <si>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</si>
  <si>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</si>
  <si>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</si>
  <si>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</si>
  <si>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</si>
  <si>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</si>
  <si>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</si>
  <si>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</si>
  <si>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</si>
  <si>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</si>
  <si>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</si>
  <si>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</si>
  <si>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</si>
  <si>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</si>
  <si>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</si>
  <si>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</si>
  <si>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</si>
  <si>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</si>
  <si>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</si>
  <si>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</si>
  <si>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</si>
  <si>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</si>
  <si>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</si>
  <si>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</si>
  <si>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</si>
  <si>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</si>
  <si>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</si>
  <si>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</si>
  <si>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</si>
  <si>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</si>
  <si>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</si>
  <si>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</si>
  <si>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</si>
  <si>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</si>
  <si>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</si>
  <si>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</si>
  <si>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</si>
  <si>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</si>
  <si>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</si>
  <si>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</si>
  <si>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</si>
  <si>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</si>
  <si>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</si>
  <si>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</si>
  <si>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</si>
  <si>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</si>
  <si>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</si>
  <si>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</si>
  <si>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</si>
  <si>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</si>
  <si>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</si>
  <si>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</si>
  <si>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</si>
  <si>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</si>
  <si>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</si>
  <si>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</si>
  <si>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</si>
  <si>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</si>
  <si>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</si>
  <si>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</si>
  <si>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</si>
  <si>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</si>
  <si>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</si>
  <si>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</si>
  <si>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</si>
  <si>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</si>
  <si>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</si>
  <si>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</si>
  <si>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</si>
  <si>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</si>
  <si>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</si>
  <si>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</si>
  <si>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</si>
  <si>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</si>
  <si>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</si>
  <si>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</si>
  <si>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</si>
  <si>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</si>
  <si>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</si>
  <si>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</si>
  <si>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</si>
  <si>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</si>
  <si>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</si>
  <si>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</si>
  <si>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</si>
  <si>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</si>
  <si>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</si>
  <si>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</si>
  <si>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</si>
  <si>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</si>
  <si>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</si>
  <si>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</si>
  <si>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</si>
  <si>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</si>
  <si>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</si>
  <si>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</si>
  <si>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</si>
  <si>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</si>
  <si>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</si>
  <si>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</si>
  <si>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</si>
  <si>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</si>
  <si>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</si>
  <si>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</si>
  <si>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</si>
  <si>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</si>
  <si>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</si>
  <si>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</si>
  <si>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</si>
  <si>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</si>
  <si>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</si>
  <si>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</si>
  <si>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</si>
  <si>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</si>
  <si>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</si>
  <si>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</si>
  <si>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</si>
  <si>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</si>
  <si>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</si>
  <si>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</si>
  <si>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</si>
  <si>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</si>
  <si>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</si>
  <si>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</si>
  <si>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</si>
  <si>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</si>
  <si>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</si>
  <si>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</si>
  <si>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</si>
  <si>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</si>
  <si>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</si>
  <si>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</si>
  <si>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</si>
  <si>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</si>
  <si>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</si>
  <si>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</si>
  <si>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</si>
  <si>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</si>
  <si>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</si>
  <si>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</si>
  <si>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</si>
  <si>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</si>
  <si>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</si>
  <si>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</si>
  <si>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</si>
  <si>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</si>
  <si>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</si>
  <si>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</si>
  <si>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</si>
  <si>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</si>
  <si>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</si>
  <si>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</si>
  <si>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</si>
  <si>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</si>
  <si>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</si>
  <si>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</si>
  <si>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</si>
  <si>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</si>
  <si>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</si>
  <si>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</si>
  <si>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</si>
  <si>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</si>
  <si>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</si>
  <si>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</si>
  <si>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</si>
  <si>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</si>
  <si>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</si>
  <si>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</si>
  <si>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</si>
  <si>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</si>
  <si>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</si>
  <si>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</si>
  <si>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</si>
  <si>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</si>
  <si>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</si>
  <si>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</si>
  <si>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</si>
  <si>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</si>
  <si>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</si>
  <si>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</si>
  <si>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</si>
  <si>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</si>
  <si>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</si>
  <si>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</si>
  <si>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</si>
  <si>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</si>
  <si>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</si>
  <si>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</si>
  <si>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</si>
  <si>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</si>
  <si>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</si>
  <si>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</si>
  <si>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</si>
  <si>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</si>
  <si>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</si>
  <si>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</si>
  <si>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</si>
  <si>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</si>
  <si>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</si>
  <si>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</si>
  <si>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</si>
  <si>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</si>
  <si>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</si>
  <si>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</si>
  <si>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</si>
  <si>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</si>
  <si>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</si>
  <si>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</si>
  <si>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</si>
  <si>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</si>
  <si>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</si>
  <si>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</si>
  <si>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</si>
  <si>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</si>
  <si>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</si>
  <si>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</si>
  <si>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</si>
  <si>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</si>
  <si>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</si>
  <si>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</si>
  <si>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</si>
  <si>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</si>
  <si>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</si>
  <si>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</si>
  <si>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</si>
  <si>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</si>
  <si>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</si>
  <si>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</si>
  <si>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</si>
  <si>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</si>
  <si>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</si>
  <si>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</si>
  <si>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</si>
  <si>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</si>
  <si>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</si>
  <si>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</si>
  <si>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</si>
  <si>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</si>
  <si>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</si>
  <si>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</si>
  <si>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</si>
  <si>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</si>
  <si>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</si>
  <si>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2026-045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</si>
  <si>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</si>
  <si>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</si>
  <si>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</si>
  <si>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</si>
  <si>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</si>
  <si>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</si>
  <si>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</si>
  <si>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José Roberto Alcuri Júnior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</si>
</sst>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6" zoomScaleNormal="100" workbookViewId="0">
      <pane xSplit="3" topLeftCell="G1" activePane="topRight" state="frozen"/>
      <selection pane="topRight" activeCell="O682" sqref="O68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21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2966</v>
      </c>
      <c r="Y45" t="s">
        <v>2974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2966</v>
      </c>
      <c r="Y46" t="s">
        <v>2967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2966</v>
      </c>
      <c r="Y47" t="s">
        <v>2968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2966</v>
      </c>
      <c r="Y48" t="s">
        <v>2969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2966</v>
      </c>
      <c r="Y49" t="s">
        <v>2970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2966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2966</v>
      </c>
      <c r="Y51" t="s">
        <v>2971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2966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2966</v>
      </c>
      <c r="Y53" t="s">
        <v>2972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2966</v>
      </c>
      <c r="Y54" t="s">
        <v>2973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32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2896</v>
      </c>
      <c r="E11" s="110">
        <f>SUMIFS('Ações InCompany'!O:O,'Ações InCompany'!B:B,2026,'Ações InCompany'!C:C,"Realizado")</f>
        <v>461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32</v>
      </c>
      <c r="D14" s="113" t="s">
        <v>2900</v>
      </c>
      <c r="E14" s="114">
        <f>SUM(E11:E13)</f>
        <v>1278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0.15909090909090909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2026-06-26T21:35:59Z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