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253" documentId="13_ncr:1_{C887EC22-7CD1-4717-84BE-7303F42C5C0A}" xr6:coauthVersionLast="47" xr6:coauthVersionMax="47" xr10:uidLastSave="{65B9F98E-F355-4EA5-BD5B-C5525DD4CF1E}"/>
  <bookViews>
    <workbookView xWindow="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InCompany'!#REF!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23" l="1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D35" i="23"/>
  <c r="E35" i="23"/>
  <c r="D34" i="23"/>
  <c r="E34" i="23"/>
  <c r="D33" i="23"/>
  <c r="E33" i="23"/>
  <c r="D32" i="23"/>
  <c r="E32" i="23"/>
  <c r="D31" i="23"/>
  <c r="E31" i="23"/>
  <c r="D30" i="23"/>
  <c r="E30" i="23"/>
  <c r="AE33" i="20"/>
  <c r="F30" i="23"/>
  <c r="F31" i="23"/>
  <c r="F32" i="23"/>
  <c r="F33" i="23"/>
  <c r="F34" i="23"/>
  <c r="F35" i="23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0" i="23"/>
  <c r="C31" i="23"/>
  <c r="C32" i="23"/>
  <c r="C33" i="23"/>
  <c r="C34" i="23"/>
  <c r="C35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0" i="23"/>
  <c r="B31" i="23"/>
  <c r="B32" i="23"/>
  <c r="B33" i="23"/>
  <c r="B34" i="23"/>
  <c r="B35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4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9" i="3"/>
  <c r="R678" i="3"/>
  <c r="R677" i="3"/>
  <c r="R672" i="3"/>
  <c r="C43" i="26"/>
  <c r="B43" i="26"/>
  <c r="C42" i="26"/>
  <c r="B42" i="26"/>
  <c r="C41" i="26"/>
  <c r="B41" i="26"/>
  <c r="C40" i="26"/>
  <c r="B40" i="26"/>
  <c r="A5" i="27"/>
  <c r="A8" i="27" a="1"/>
  <c r="A8" i="27" s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6" i="3"/>
  <c r="R675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B8" i="27" s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4" i="20" s="1"/>
  <c r="R4" i="20" s="1" a="1"/>
  <c r="R4" i="20" s="1"/>
  <c r="S4" i="20" s="1" a="1"/>
  <c r="S4" i="20" s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G5" i="27" l="1"/>
  <c r="E42" i="26"/>
  <c r="E41" i="26"/>
  <c r="E40" i="26"/>
  <c r="E36" i="26"/>
  <c r="E38" i="26"/>
  <c r="E39" i="26"/>
  <c r="E35" i="26"/>
  <c r="E37" i="26"/>
  <c r="E33" i="26"/>
  <c r="E44" i="26"/>
  <c r="E34" i="26"/>
  <c r="T4" i="20" a="1"/>
  <c r="E45" i="26" l="1"/>
  <c r="T4" i="20"/>
  <c r="A2" i="20" s="1" a="1"/>
  <c r="E105" i="23" l="1"/>
  <c r="A5" i="23" a="1"/>
  <c r="A2" i="20"/>
  <c r="F29" i="23" l="1"/>
  <c r="C29" i="23"/>
  <c r="D29" i="23"/>
  <c r="E29" i="23"/>
  <c r="B29" i="23"/>
  <c r="B28" i="23"/>
  <c r="D28" i="23"/>
  <c r="E28" i="23"/>
  <c r="C28" i="23"/>
  <c r="F28" i="23"/>
  <c r="A5" i="23"/>
  <c r="E6" i="23"/>
  <c r="D9" i="23"/>
  <c r="E24" i="23"/>
  <c r="E26" i="23"/>
  <c r="E20" i="23"/>
  <c r="E15" i="23"/>
  <c r="E17" i="23"/>
  <c r="E27" i="23"/>
  <c r="E22" i="23"/>
  <c r="D12" i="23"/>
  <c r="F27" i="23"/>
  <c r="D13" i="23"/>
  <c r="E19" i="23"/>
  <c r="D8" i="23"/>
  <c r="D19" i="23"/>
  <c r="D14" i="23"/>
  <c r="C27" i="23"/>
  <c r="D20" i="23"/>
  <c r="E25" i="23"/>
  <c r="D16" i="23"/>
  <c r="E11" i="23"/>
  <c r="D15" i="23"/>
  <c r="E21" i="23"/>
  <c r="D25" i="23"/>
  <c r="E7" i="23"/>
  <c r="D21" i="23"/>
  <c r="D7" i="23"/>
  <c r="D27" i="23"/>
  <c r="D18" i="23"/>
  <c r="D23" i="23"/>
  <c r="E14" i="23"/>
  <c r="E16" i="23"/>
  <c r="E10" i="23"/>
  <c r="D24" i="23"/>
  <c r="D10" i="23"/>
  <c r="D26" i="23"/>
  <c r="D11" i="23"/>
  <c r="D6" i="23"/>
  <c r="D17" i="23"/>
  <c r="D22" i="23"/>
  <c r="E13" i="23"/>
  <c r="E23" i="23"/>
  <c r="E9" i="23"/>
  <c r="B27" i="23"/>
  <c r="E18" i="23"/>
  <c r="E12" i="23"/>
  <c r="E8" i="23"/>
  <c r="F26" i="23"/>
  <c r="B26" i="23"/>
  <c r="C26" i="23"/>
  <c r="B25" i="23"/>
  <c r="C25" i="23"/>
  <c r="F25" i="23"/>
  <c r="F24" i="23"/>
  <c r="B24" i="23"/>
  <c r="C24" i="23"/>
  <c r="F23" i="23"/>
  <c r="C13" i="23"/>
  <c r="B18" i="23"/>
  <c r="C14" i="23"/>
  <c r="B19" i="23"/>
  <c r="C15" i="23"/>
  <c r="B20" i="23"/>
  <c r="F6" i="23"/>
  <c r="C16" i="23"/>
  <c r="B21" i="23"/>
  <c r="F10" i="23"/>
  <c r="C20" i="23"/>
  <c r="B7" i="23"/>
  <c r="C22" i="23"/>
  <c r="F7" i="23"/>
  <c r="C17" i="23"/>
  <c r="B22" i="23"/>
  <c r="F8" i="23"/>
  <c r="C18" i="23"/>
  <c r="B23" i="23"/>
  <c r="F9" i="23"/>
  <c r="C19" i="23"/>
  <c r="F11" i="23"/>
  <c r="C21" i="23"/>
  <c r="B6" i="23"/>
  <c r="F12" i="23"/>
  <c r="F13" i="23"/>
  <c r="C23" i="23"/>
  <c r="B8" i="23"/>
  <c r="F14" i="23"/>
  <c r="B9" i="23"/>
  <c r="F15" i="23"/>
  <c r="B10" i="23"/>
  <c r="F16" i="23"/>
  <c r="C6" i="23"/>
  <c r="B11" i="23"/>
  <c r="F17" i="23"/>
  <c r="C7" i="23"/>
  <c r="B12" i="23"/>
  <c r="F18" i="23"/>
  <c r="C8" i="23"/>
  <c r="B13" i="23"/>
  <c r="C12" i="23"/>
  <c r="B17" i="23"/>
  <c r="F19" i="23"/>
  <c r="C9" i="23"/>
  <c r="B14" i="23"/>
  <c r="F20" i="23"/>
  <c r="C10" i="23"/>
  <c r="B15" i="23"/>
  <c r="F21" i="23"/>
  <c r="C11" i="23"/>
  <c r="B16" i="23"/>
  <c r="F22" i="23"/>
  <c r="D5" i="23" l="1"/>
  <c r="E5" i="23"/>
  <c r="F5" i="23"/>
  <c r="F105" i="23" s="1"/>
  <c r="C5" i="23"/>
  <c r="C105" i="23" s="1"/>
  <c r="B5" i="23"/>
  <c r="B105" i="23" s="1"/>
  <c r="G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<sst xmlns="http://schemas.openxmlformats.org/spreadsheetml/2006/main" count="6440" uniqueCount="2923">
  <si>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</si>
  <si>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</si>
  <si>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</si>
  <si>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</si>
  <si>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</si>
  <si>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</si>
  <si>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</si>
  <si>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</si>
  <si>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</si>
  <si>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</si>
  <si>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</si>
  <si>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</si>
  <si>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</si>
  <si>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</si>
  <si>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</si>
  <si>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</si>
  <si>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</si>
  <si>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</si>
  <si>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</si>
  <si>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</si>
  <si>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</si>
  <si>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</si>
  <si>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</si>
  <si>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</si>
  <si>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</si>
  <si>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</si>
  <si>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</si>
  <si>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</si>
  <si>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</si>
  <si>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</si>
  <si>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</si>
  <si>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</si>
  <si>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</si>
  <si>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</si>
  <si>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</si>
  <si>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</si>
  <si>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</si>
  <si>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</si>
  <si>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</si>
  <si>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</si>
  <si>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</si>
  <si>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</si>
  <si>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</si>
  <si>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</si>
  <si>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</si>
  <si>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</si>
  <si>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</si>
  <si>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</si>
  <si>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</si>
  <si>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</si>
  <si>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</si>
  <si>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</si>
  <si>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</si>
  <si>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</si>
  <si>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</si>
  <si>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</si>
  <si>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</si>
  <si>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</si>
  <si>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</si>
  <si>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</si>
  <si>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</si>
  <si>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</si>
  <si>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</si>
  <si>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</si>
  <si>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</si>
  <si>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</si>
  <si>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</si>
  <si>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</si>
  <si>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</si>
  <si>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</si>
  <si>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</si>
  <si>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</si>
  <si>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</si>
  <si>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</si>
  <si>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</si>
  <si>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</si>
  <si>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</si>
  <si>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</si>
  <si>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</si>
  <si>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</si>
  <si>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</si>
  <si>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</si>
  <si>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</si>
  <si>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</si>
  <si>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</si>
  <si>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</si>
  <si>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</si>
  <si>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</si>
  <si>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</si>
  <si>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</si>
  <si>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</si>
  <si>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</si>
  <si>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</si>
  <si>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</si>
  <si>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</si>
  <si>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</si>
  <si>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</si>
  <si>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</si>
  <si>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</si>
  <si>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</si>
  <si>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</si>
  <si>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</si>
  <si>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</si>
  <si>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</si>
  <si>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</si>
  <si>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</si>
  <si>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</si>
  <si>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</si>
  <si>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</si>
  <si>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</si>
  <si>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</si>
  <si>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</si>
  <si>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</si>
  <si>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</si>
  <si>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</si>
  <si>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</si>
  <si>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</si>
  <si>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</si>
  <si>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</si>
  <si>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</si>
  <si>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</si>
  <si>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</si>
  <si>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</si>
  <si>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</si>
  <si>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</si>
  <si>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</si>
  <si>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</si>
  <si>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</si>
  <si>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</si>
  <si>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</si>
  <si>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</si>
  <si>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</si>
  <si>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</si>
  <si>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</si>
  <si>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</si>
  <si>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</si>
  <si>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</si>
  <si>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</si>
  <si>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</si>
  <si>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</si>
  <si>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</si>
  <si>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</si>
  <si>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</si>
  <si>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</si>
  <si>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</si>
  <si>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</si>
  <si>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</si>
  <si>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</si>
  <si>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</si>
  <si>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</si>
  <si>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</si>
  <si>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</si>
  <si>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</si>
  <si>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</si>
  <si>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</si>
  <si>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</si>
  <si>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</si>
  <si>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</si>
  <si>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</si>
  <si>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</si>
  <si>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</si>
  <si>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</si>
  <si>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</si>
  <si>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</si>
  <si>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</si>
  <si>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</si>
  <si>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</si>
  <si>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</si>
  <si>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</si>
  <si>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</si>
  <si>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</si>
  <si>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</si>
  <si>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</si>
  <si>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</si>
  <si>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</si>
  <si>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</si>
  <si>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</si>
  <si>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</si>
  <si>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</si>
  <si>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</si>
  <si>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</si>
  <si>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</si>
  <si>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</si>
  <si>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</si>
  <si>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</si>
  <si>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</si>
  <si>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</si>
  <si>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</si>
  <si>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</si>
  <si>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</si>
  <si>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</si>
  <si>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</si>
  <si>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</si>
  <si>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</si>
  <si>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</si>
  <si>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</si>
  <si>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</si>
  <si>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</si>
  <si>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</si>
  <si>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</si>
  <si>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</si>
  <si>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</si>
  <si>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</si>
  <si>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</si>
  <si>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</si>
  <si>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</si>
  <si>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</si>
  <si>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</si>
  <si>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</si>
  <si>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</si>
  <si>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</si>
  <si>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</si>
  <si>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</si>
  <si>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</si>
  <si>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</si>
  <si>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</si>
  <si>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</si>
  <si>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</si>
  <si>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</si>
  <si>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</si>
  <si>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</si>
  <si>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</si>
  <si>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</si>
  <si>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</si>
  <si>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</si>
  <si>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</si>
  <si>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</si>
  <si>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</si>
  <si>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</si>
  <si>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</si>
  <si>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</si>
  <si>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</si>
  <si>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</si>
  <si>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</si>
  <si>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</si>
  <si>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</si>
  <si>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</si>
  <si>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</si>
  <si>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</si>
  <si>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</si>
  <si>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</si>
  <si>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</si>
  <si>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</si>
  <si>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</si>
  <si>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</si>
  <si>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</si>
  <si>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</si>
  <si>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</si>
  <si>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</si>
  <si>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</si>
  <si>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</si>
  <si>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</si>
  <si>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</si>
  <si>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</si>
  <si>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</si>
  <si>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</si>
  <si>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</si>
  <si>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</si>
  <si>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</si>
  <si>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</si>
  <si>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</si>
  <si>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</si>
  <si>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</si>
  <si>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</si>
  <si>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</si>
  <si>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</si>
  <si>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</si>
  <si>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</si>
  <si>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</si>
  <si>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</si>
  <si>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</si>
  <si>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</si>
  <si>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</si>
  <si>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</si>
  <si>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</si>
  <si>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</si>
  <si>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</si>
  <si>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</si>
  <si>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</si>
  <si>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</si>
  <si>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</si>
  <si>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</si>
  <si>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</si>
  <si>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</si>
  <si>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</si>
  <si>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</si>
  <si>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</si>
  <si>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</si>
  <si>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</si>
  <si>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</si>
  <si>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</si>
  <si>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</si>
  <si>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</si>
  <si>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</si>
  <si>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</si>
  <si>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</si>
  <si>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</si>
  <si>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</si>
  <si>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</si>
  <si>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</si>
  <si>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</si>
  <si>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</si>
  <si>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</si>
  <si>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</si>
  <si>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</si>
  <si>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</si>
  <si>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</si>
  <si>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</si>
  <si>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</si>
  <si>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</si>
  <si>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</si>
  <si>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</si>
  <si>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</si>
  <si>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</si>
  <si>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</si>
  <si>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</si>
  <si>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</si>
  <si>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</si>
  <si>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</si>
  <si>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</si>
  <si>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</si>
  <si>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</si>
  <si>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</si>
  <si>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</si>
  <si>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</si>
  <si>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</si>
  <si>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</si>
  <si>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</si>
  <si>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</si>
  <si>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</si>
  <si>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</si>
  <si>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</si>
  <si>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</si>
  <si>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</si>
  <si>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</si>
  <si>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</si>
  <si>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</si>
  <si>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</si>
  <si>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</si>
  <si>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</si>
  <si>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</si>
  <si>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</si>
  <si>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</si>
  <si>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</si>
  <si>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</si>
  <si>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</si>
  <si>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</si>
  <si>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</si>
  <si>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</si>
  <si>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</si>
  <si>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</si>
  <si>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</si>
  <si>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</si>
  <si>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</si>
  <si>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</si>
  <si>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</si>
  <si>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</si>
  <si>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</si>
  <si>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</si>
  <si>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</si>
  <si>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</si>
  <si>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</si>
  <si>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</si>
  <si>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</si>
  <si>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</si>
  <si>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</si>
  <si>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</si>
  <si>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</si>
  <si>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</si>
  <si>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</si>
  <si>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</si>
  <si>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</si>
  <si>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</si>
  <si>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</si>
  <si>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</si>
  <si>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</si>
  <si>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</si>
  <si>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</si>
  <si>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</si>
  <si>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</si>
  <si>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</si>
  <si>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</si>
  <si>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</si>
  <si>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</si>
  <si>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</si>
  <si>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</si>
  <si>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</si>
  <si>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</si>
  <si>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</si>
  <si>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</si>
  <si>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</si>
  <si>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</si>
  <si>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</si>
  <si>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</si>
  <si>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</si>
  <si>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</si>
  <si>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</si>
  <si>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</si>
  <si>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</si>
  <si>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</si>
  <si>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</si>
  <si>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</si>
  <si>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</si>
  <si>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</si>
  <si>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</si>
  <si>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</si>
  <si>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</si>
  <si>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</si>
  <si>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</si>
  <si>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</si>
  <si>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</si>
  <si>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</si>
  <si>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</si>
  <si>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</si>
  <si>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</si>
  <si>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</si>
  <si>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</si>
  <si>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</si>
  <si>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</si>
  <si>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</si>
  <si>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</si>
  <si>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</si>
  <si>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</si>
  <si>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</si>
  <si>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</si>
  <si>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</si>
  <si>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</si>
  <si>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</si>
  <si>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</si>
  <si>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</si>
  <si>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</si>
  <si>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</si>
  <si>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</si>
  <si>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</si>
  <si>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</si>
  <si>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</si>
  <si>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</si>
  <si>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</si>
  <si>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</si>
  <si>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</si>
  <si>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</si>
  <si>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</si>
  <si>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</si>
  <si>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</si>
  <si>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</si>
  <si>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</si>
  <si>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</si>
  <si>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</si>
  <si>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</si>
  <si>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</si>
  <si>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</si>
  <si>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</si>
  <si>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</si>
  <si>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</si>
  <si>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</si>
  <si>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</si>
  <si>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</si>
  <si>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</si>
  <si>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</si>
  <si>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</si>
  <si>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</si>
  <si>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</si>
  <si>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</si>
  <si>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</si>
  <si>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</si>
  <si>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</si>
  <si>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</si>
  <si>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</si>
  <si>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</si>
  <si>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</si>
  <si>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</si>
  <si>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</si>
  <si>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</si>
  <si>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</si>
  <si>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</si>
  <si>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</si>
  <si>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</si>
  <si>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</si>
  <si>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</si>
  <si>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</si>
  <si>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</si>
  <si>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</si>
  <si>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</si>
  <si>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</si>
  <si>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</si>
  <si>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</si>
  <si>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</si>
  <si>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</si>
  <si>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</si>
  <si>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</si>
  <si>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</si>
  <si>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</si>
  <si>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</si>
  <si>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</si>
  <si>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</si>
  <si>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</si>
  <si>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</si>
  <si>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</si>
  <si>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</si>
  <si>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</si>
  <si>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</si>
  <si>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</si>
  <si>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</si>
  <si>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</si>
  <si>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</si>
  <si>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</si>
  <si>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</si>
  <si>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</si>
  <si>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</si>
  <si>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</si>
  <si>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</si>
  <si>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</si>
  <si>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</si>
  <si>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</si>
  <si>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</si>
  <si>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</si>
  <si>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</si>
  <si>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</si>
  <si>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</si>
  <si>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</si>
  <si>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</si>
  <si>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</si>
  <si>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</si>
  <si>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</si>
  <si>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</si>
  <si>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</si>
  <si>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</si>
  <si>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</si>
  <si>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</si>
  <si>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</si>
  <si>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</si>
  <si>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</si>
  <si>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</si>
  <si>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</si>
  <si>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</si>
  <si>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</si>
  <si>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</si>
  <si>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</si>
  <si>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</si>
  <si>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</si>
  <si>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</si>
  <si>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</si>
  <si>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</si>
  <si>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</si>
  <si>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</si>
  <si>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</si>
  <si>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</si>
  <si>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</si>
  <si>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</si>
  <si>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</si>
  <si>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</si>
  <si>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</si>
  <si>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</si>
  <si>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</si>
  <si>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</si>
  <si>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</si>
  <si>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</si>
  <si>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</si>
  <si>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</si>
  <si>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</si>
  <si>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</si>
  <si>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</si>
  <si>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</si>
  <si>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</si>
  <si>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</si>
  <si>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</si>
  <si>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</si>
  <si>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</si>
  <si>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</si>
  <si>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</si>
  <si>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</si>
  <si>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</si>
  <si>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</si>
  <si>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</si>
  <si>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</si>
  <si>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</si>
  <si>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</si>
  <si>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</si>
  <si>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</si>
  <si>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</si>
  <si>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</si>
  <si>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</si>
  <si>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</si>
  <si>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</si>
  <si>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</si>
  <si>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</si>
  <si>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</si>
  <si>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</si>
  <si>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</si>
  <si>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</si>
  <si>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</si>
  <si>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</si>
  <si>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</si>
  <si>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</si>
  <si>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</si>
  <si>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</si>
  <si>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</si>
  <si>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</si>
  <si>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</si>
  <si>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</si>
  <si>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</si>
  <si>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</si>
  <si>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</si>
  <si>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</si>
  <si>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</si>
  <si>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</si>
  <si>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</si>
  <si>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</si>
  <si>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</si>
  <si>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</si>
  <si>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</si>
  <si>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</si>
  <si>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</si>
  <si>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</si>
  <si>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</si>
  <si>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</si>
  <si>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</si>
  <si>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</si>
  <si>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</si>
  <si>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</si>
  <si>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</si>
  <si>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</si>
  <si>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</si>
  <si>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</si>
  <si>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</si>
  <si>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</si>
  <si>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</si>
  <si>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</si>
  <si>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</si>
  <si>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</si>
  <si>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</si>
  <si>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</si>
  <si>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</si>
  <si>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</si>
  <si>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</si>
  <si>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</si>
  <si>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</si>
  <si>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</si>
  <si>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</si>
  <si>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</si>
  <si>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</si>
  <si>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</si>
  <si>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</si>
  <si>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</si>
  <si>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</si>
  <si>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</si>
  <si>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</si>
  <si>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</si>
  <si>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</si>
  <si>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</si>
  <si>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</si>
  <si>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</si>
  <si>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</si>
  <si>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</si>
  <si>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</si>
  <si>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</si>
  <si>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</si>
  <si>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</si>
  <si>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</si>
  <si>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</si>
  <si>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</si>
  <si>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</si>
  <si>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</si>
  <si>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</si>
  <si>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</si>
  <si>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</si>
  <si>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</si>
  <si>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</si>
  <si>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</si>
  <si>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</si>
  <si>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</si>
  <si>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</si>
  <si>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</si>
  <si>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</si>
  <si>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</si>
  <si>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</si>
  <si>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</si>
  <si>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</si>
  <si>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</si>
  <si>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</si>
  <si>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</si>
  <si>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</si>
  <si>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</si>
  <si>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</si>
  <si>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</si>
  <si>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</si>
  <si>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</si>
  <si>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</si>
  <si>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</si>
  <si>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</si>
  <si>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</si>
  <si>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</si>
  <si>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</si>
  <si>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</si>
  <si>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</si>
  <si>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</si>
  <si>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</si>
  <si>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</si>
  <si>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</si>
  <si>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</si>
  <si>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</si>
  <si>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</si>
  <si>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</si>
  <si>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</si>
  <si>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</si>
  <si>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</si>
  <si>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</si>
  <si>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</si>
  <si>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</si>
  <si>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</si>
  <si>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</si>
  <si>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</si>
  <si>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</si>
  <si>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</si>
  <si>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</si>
  <si>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</si>
  <si>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</si>
  <si>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</si>
  <si>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</si>
  <si>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</si>
  <si>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</si>
  <si>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</si>
  <si>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</si>
  <si>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</si>
  <si>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</si>
  <si>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</si>
  <si>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</si>
  <si>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</si>
  <si>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</si>
  <si>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</si>
  <si>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</si>
  <si>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</si>
  <si>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</si>
  <si>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</si>
  <si>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</si>
  <si>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</si>
  <si>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</si>
  <si>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</si>
  <si>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</si>
  <si>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</si>
  <si>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</si>
  <si>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</si>
  <si>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</si>
  <si>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</si>
  <si>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</si>
  <si>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</si>
  <si>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</si>
  <si>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</si>
  <si>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</si>
  <si>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</si>
  <si>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</si>
  <si>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</si>
  <si>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</si>
  <si>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</si>
  <si>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</si>
  <si>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</si>
  <si>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</si>
  <si>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</si>
  <si>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</si>
  <si>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</si>
  <si>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</si>
  <si>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</si>
  <si>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</si>
  <si>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</si>
  <si>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</si>
  <si>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</si>
  <si>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</si>
  <si>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</si>
  <si>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</si>
  <si>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</si>
  <si>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</si>
  <si>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</si>
  <si>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</si>
  <si>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</si>
  <si>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</si>
  <si>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</si>
  <si>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</si>
  <si>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</si>
  <si>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</si>
  <si>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</si>
  <si>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</si>
  <si>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</si>
  <si>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</si>
  <si>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</si>
  <si>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</si>
  <si>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</si>
  <si>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</si>
  <si>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</si>
  <si>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</si>
  <si>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</si>
  <si>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</si>
  <si>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</si>
  <si>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</si>
  <si>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</si>
  <si>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</si>
  <si>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</si>
  <si>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</si>
  <si>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</si>
  <si>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</si>
  <si>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</si>
  <si>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</si>
  <si>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</si>
  <si>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</si>
  <si>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</si>
  <si>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</si>
  <si>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</si>
  <si>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</si>
  <si>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</si>
  <si>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</si>
  <si>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</si>
  <si>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</si>
  <si>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</si>
  <si>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</si>
  <si>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</si>
  <si>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</si>
  <si>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</si>
  <si>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</si>
  <si>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</si>
  <si>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</si>
  <si>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</si>
  <si>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</si>
  <si>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</si>
  <si>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</si>
  <si>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</si>
  <si>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</si>
  <si>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</si>
  <si>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</si>
  <si>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</si>
  <si>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</si>
  <si>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</si>
  <si>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</si>
  <si>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</si>
  <si>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</si>
  <si>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</si>
  <si>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</si>
  <si>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</si>
  <si>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</si>
  <si>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</si>
  <si>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</si>
  <si>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</si>
  <si>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</si>
  <si>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</si>
  <si>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</si>
  <si>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</si>
  <si>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</si>
  <si>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</si>
  <si>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</si>
  <si>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</si>
  <si>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</si>
  <si>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</si>
  <si>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</si>
  <si>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</si>
  <si>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</si>
  <si>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</si>
  <si>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</si>
  <si>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</si>
  <si>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</si>
  <si>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</si>
  <si>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</si>
  <si>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</si>
  <si>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</si>
  <si>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</si>
  <si>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</si>
  <si>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</si>
  <si>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</si>
  <si>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</si>
  <si>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</si>
  <si>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</si>
  <si>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</si>
  <si>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</si>
  <si>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</si>
  <si>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</si>
  <si>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</si>
  <si>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</si>
  <si>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</si>
  <si>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</si>
  <si>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</si>
  <si>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</si>
  <si>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</si>
  <si>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</si>
  <si>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</si>
  <si>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</si>
  <si>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</si>
  <si>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</si>
  <si>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</si>
  <si>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</si>
  <si>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</si>
  <si>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</si>
  <si>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</si>
  <si>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</si>
  <si>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</si>
  <si>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</si>
  <si>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</si>
  <si>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</si>
  <si>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</si>
  <si>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</si>
  <si>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</si>
  <si>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</si>
  <si>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</si>
  <si>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</si>
  <si>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</si>
  <si>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</si>
  <si>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</si>
  <si>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</si>
  <si>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</si>
  <si>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</si>
  <si>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</si>
  <si>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</si>
  <si>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</si>
  <si>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</si>
  <si>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</si>
  <si>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</si>
  <si>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</si>
  <si>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</si>
  <si>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</si>
  <si>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</si>
  <si>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</si>
  <si>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</si>
  <si>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</si>
  <si>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</si>
  <si>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</si>
  <si>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</si>
  <si>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</si>
  <si>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</si>
  <si>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</si>
  <si>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</si>
  <si>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</si>
  <si>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</si>
  <si>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</si>
  <si>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</si>
  <si>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</si>
  <si>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</si>
  <si>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</si>
  <si>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</si>
  <si>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</si>
  <si>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</si>
  <si>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</si>
  <si>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</si>
  <si>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</si>
  <si>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</si>
  <si>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</si>
  <si>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</si>
  <si>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</si>
  <si>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</si>
  <si>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</si>
  <si>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</si>
  <si>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</si>
  <si>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</si>
  <si>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</si>
  <si>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</si>
  <si>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</si>
  <si>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</si>
  <si>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</si>
  <si>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</si>
  <si>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</si>
  <si>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</si>
  <si>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</si>
  <si>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</si>
  <si>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</si>
  <si>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</si>
  <si>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</si>
  <si>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</si>
  <si>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</si>
  <si>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</si>
  <si>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</si>
  <si>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</si>
  <si>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</si>
  <si>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</si>
  <si>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</si>
  <si>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</si>
  <si>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</si>
  <si>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</si>
  <si>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</si>
  <si>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</si>
  <si>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</si>
  <si>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</si>
  <si>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</si>
  <si>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</si>
  <si>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</si>
  <si>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</si>
  <si>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</si>
  <si>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</si>
  <si>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</si>
  <si>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</si>
  <si>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</si>
  <si>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</si>
  <si>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</si>
  <si>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</si>
  <si>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</si>
  <si>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</si>
  <si>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</si>
  <si>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</si>
  <si>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</si>
  <si>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</si>
  <si>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</si>
  <si>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</si>
  <si>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</si>
  <si>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</si>
  <si>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</si>
  <si>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</si>
  <si>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</si>
  <si>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</si>
  <si>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</si>
  <si>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</si>
  <si>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</si>
  <si>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</si>
  <si>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</si>
  <si>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</si>
  <si>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</si>
  <si>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</si>
  <si>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</si>
  <si>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</si>
  <si>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</si>
  <si>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</si>
  <si>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</si>
  <si>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</si>
  <si>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</si>
  <si>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</si>
  <si>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</si>
  <si>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</si>
  <si>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</si>
  <si>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</si>
  <si>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</si>
  <si>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</si>
  <si>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</si>
  <si>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</si>
  <si>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</si>
  <si>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</si>
  <si>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</si>
  <si>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</si>
  <si>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</si>
  <si>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</si>
  <si>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</si>
  <si>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</si>
  <si>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</si>
  <si>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</si>
  <si>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</si>
  <si>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</si>
  <si>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</si>
  <si>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</si>
  <si>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</si>
  <si>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</si>
  <si>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</si>
  <si>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</si>
  <si>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</si>
  <si>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</si>
  <si>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</si>
  <si>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</si>
  <si>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</si>
  <si>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</si>
  <si>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</si>
  <si>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</si>
  <si>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</si>
  <si>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</si>
  <si>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</si>
  <si>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</si>
  <si>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</si>
  <si>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</si>
  <si>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</si>
  <si>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</si>
  <si>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</si>
  <si>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</si>
  <si>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</si>
  <si>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</si>
  <si>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</si>
  <si>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</si>
  <si>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</si>
  <si>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</si>
  <si>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</si>
  <si>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</si>
  <si>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</si>
  <si>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</si>
  <si>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</si>
  <si>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</si>
  <si>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</si>
  <si>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</si>
  <si>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</si>
  <si>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</si>
  <si>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</si>
  <si>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</si>
  <si>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</si>
  <si>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</si>
  <si>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</si>
  <si>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</si>
  <si>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</si>
  <si>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</si>
  <si>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</si>
  <si>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</si>
  <si>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</si>
  <si>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</si>
  <si>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</si>
  <si>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</si>
  <si>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</si>
  <si>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</si>
  <si>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</si>
  <si>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</si>
  <si>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</si>
  <si>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</si>
  <si>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</si>
  <si>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</si>
  <si>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</si>
  <si>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</si>
  <si>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</si>
  <si>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</si>
  <si>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</si>
  <si>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</si>
  <si>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</si>
  <si>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</si>
  <si>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</si>
  <si>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</si>
  <si>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</si>
  <si>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</si>
  <si>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</si>
  <si>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</si>
  <si>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</si>
  <si>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</si>
  <si>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</si>
  <si>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</si>
  <si>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</si>
  <si>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</si>
  <si>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</si>
  <si>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</si>
  <si>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</si>
  <si>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</si>
  <si>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</si>
  <si>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</si>
  <si>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</si>
  <si>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</si>
  <si>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</si>
  <si>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</si>
  <si>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</si>
  <si>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</si>
  <si>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</si>
  <si>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</si>
  <si>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</si>
  <si>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</si>
  <si>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</si>
  <si>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</si>
  <si>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</si>
  <si>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</si>
  <si>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</si>
  <si>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</si>
  <si>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</si>
  <si>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</si>
  <si>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</si>
  <si>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</si>
  <si>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</si>
  <si>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</si>
  <si>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</si>
  <si>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</si>
  <si>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</si>
  <si>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</si>
  <si>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</si>
  <si>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</si>
  <si>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</si>
  <si>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</si>
  <si>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</si>
  <si>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</si>
  <si>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</si>
  <si>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</si>
  <si>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</si>
  <si>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</si>
  <si>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</si>
  <si>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</si>
  <si>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</si>
  <si>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</si>
  <si>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</si>
  <si>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</si>
  <si>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</si>
  <si>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</si>
  <si>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</si>
  <si>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</si>
  <si>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</si>
  <si>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</si>
  <si>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</si>
  <si>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</si>
  <si>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</si>
  <si>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</si>
  <si>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</si>
  <si>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</si>
  <si>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</si>
  <si>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</si>
  <si>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</si>
  <si>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</si>
  <si>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</si>
  <si>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</si>
  <si>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</si>
  <si>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</si>
  <si>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</si>
  <si>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</si>
  <si>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</si>
  <si>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</si>
  <si>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</si>
  <si>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</si>
  <si>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</si>
  <si>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</si>
  <si>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</si>
  <si>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</si>
  <si>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</si>
  <si>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</si>
  <si>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</si>
  <si>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</si>
  <si>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</si>
  <si>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</si>
  <si>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</si>
  <si>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</si>
  <si>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</si>
  <si>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</si>
  <si>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</si>
  <si>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</si>
  <si>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</si>
  <si>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</si>
  <si>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</si>
  <si>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</si>
  <si>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</si>
  <si>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</si>
  <si>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</si>
  <si>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</si>
  <si>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</si>
  <si>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</si>
  <si>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</si>
  <si>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</si>
  <si>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</si>
  <si>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</si>
  <si>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</si>
  <si>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</si>
  <si>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</si>
  <si>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</si>
  <si>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</si>
  <si>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</si>
  <si>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</si>
  <si>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</si>
  <si>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</si>
  <si>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</si>
  <si>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</si>
  <si>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</si>
  <si>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</si>
  <si>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</si>
  <si>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</si>
  <si>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</si>
  <si>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</si>
  <si>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</si>
  <si>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</si>
  <si>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</si>
  <si>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</si>
  <si>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</si>
  <si>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</si>
  <si>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</si>
  <si>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</si>
  <si>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</si>
  <si>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</si>
  <si>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</si>
  <si>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</si>
  <si>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</si>
  <si>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</si>
  <si>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</si>
  <si>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</si>
  <si>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</si>
  <si>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</si>
  <si>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</si>
  <si>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</si>
  <si>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</si>
  <si>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</si>
  <si>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</si>
  <si>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</si>
  <si>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</si>
  <si>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</si>
  <si>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</si>
  <si>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</si>
  <si>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</si>
  <si>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</si>
  <si>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</si>
  <si>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</si>
  <si>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</si>
  <si>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</si>
  <si>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</si>
  <si>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</si>
  <si>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</si>
  <si>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</si>
  <si>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</si>
  <si>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</si>
  <si>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</si>
  <si>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</si>
  <si>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</si>
  <si>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</si>
  <si>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</si>
  <si>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</si>
  <si>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</si>
  <si>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</si>
  <si>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</si>
  <si>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</si>
  <si>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</si>
  <si>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</si>
  <si>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</si>
  <si>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</si>
  <si>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</si>
  <si>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</si>
  <si>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</si>
  <si>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</si>
  <si>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</si>
  <si>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</si>
  <si>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</si>
  <si>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</si>
  <si>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</si>
  <si>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</si>
  <si>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</si>
  <si>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</si>
  <si>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</si>
  <si>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</si>
  <si>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</si>
  <si>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</si>
  <si>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</si>
  <si>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</si>
  <si>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</si>
  <si>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</si>
  <si>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</si>
  <si>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</si>
  <si>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</si>
  <si>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</si>
  <si>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</si>
  <si>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</si>
  <si>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</si>
  <si>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</si>
  <si>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</si>
  <si>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</si>
  <si>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</si>
  <si>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</si>
  <si>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</si>
  <si>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</si>
  <si>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</si>
  <si>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</si>
  <si>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</si>
  <si>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</si>
  <si>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</si>
  <si>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</si>
  <si>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</si>
  <si>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</si>
  <si>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</si>
  <si>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</si>
  <si>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</si>
  <si>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</si>
  <si>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</si>
  <si>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</si>
  <si>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</si>
  <si>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</si>
  <si>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</si>
  <si>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</si>
  <si>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</si>
  <si>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</si>
  <si>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</si>
  <si>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</si>
  <si>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</si>
  <si>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</si>
  <si>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</si>
  <si>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</si>
  <si>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</si>
  <si>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</si>
  <si>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</si>
  <si>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</si>
  <si>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</si>
  <si>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</si>
  <si>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</si>
  <si>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</si>
  <si>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</si>
  <si>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</si>
  <si>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</si>
  <si>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</si>
  <si>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</si>
  <si>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</si>
  <si>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</si>
  <si>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</si>
  <si>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</si>
  <si>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</si>
  <si>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</si>
  <si>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</si>
  <si>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</si>
  <si>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</si>
  <si>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</si>
  <si>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</si>
  <si>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</si>
  <si>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</si>
  <si>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</si>
  <si>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</si>
  <si>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</si>
  <si>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</si>
  <si>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</si>
  <si>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</si>
  <si>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</si>
  <si>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</si>
  <si>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</si>
  <si>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</si>
  <si>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</si>
  <si>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</si>
  <si>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</si>
  <si>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</si>
  <si>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</si>
  <si>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</si>
  <si>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</si>
  <si>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</si>
  <si>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</si>
  <si>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</si>
  <si>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</si>
  <si>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</si>
  <si>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</si>
  <si>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</si>
  <si>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</si>
  <si>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</si>
  <si>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</si>
  <si>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</si>
  <si>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</si>
  <si>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</si>
  <si>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</si>
  <si>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</si>
  <si>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</si>
  <si>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</si>
  <si>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</si>
  <si>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</si>
  <si>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</si>
  <si>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</si>
  <si>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</si>
  <si>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</si>
  <si>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</si>
  <si>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</si>
  <si>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</si>
  <si>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</si>
  <si>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</si>
  <si>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</si>
  <si>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</si>
  <si>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</si>
  <si>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</si>
  <si>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</si>
  <si>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</si>
  <si>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</si>
  <si>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</si>
  <si>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</si>
  <si>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</si>
  <si>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</si>
  <si>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</si>
  <si>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</si>
  <si>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</si>
  <si>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</si>
  <si>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</si>
  <si>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</si>
  <si>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</si>
  <si>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</si>
  <si>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</si>
  <si>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</si>
  <si>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</si>
  <si>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</si>
  <si>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</si>
  <si>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</si>
  <si>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</si>
  <si>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</si>
  <si>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</si>
  <si>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</si>
  <si>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</si>
  <si>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</si>
  <si>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</si>
  <si>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</si>
  <si>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</si>
  <si>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</si>
  <si>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</si>
  <si>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</si>
  <si>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</si>
  <si>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</si>
  <si>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</si>
  <si>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</si>
  <si>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</si>
  <si>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</si>
  <si>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</si>
  <si>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</si>
  <si>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</si>
  <si>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</si>
  <si>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</si>
  <si>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</si>
  <si>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</si>
  <si>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</si>
  <si>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</si>
  <si>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</si>
  <si>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</si>
  <si>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</si>
  <si>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</si>
  <si>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</si>
  <si>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</si>
  <si>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</si>
  <si>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</si>
  <si>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</si>
  <si>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</si>
  <si>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</si>
  <si>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</si>
  <si>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</si>
  <si>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</si>
  <si>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</si>
  <si>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</si>
  <si>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</si>
  <si>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</si>
  <si>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</si>
  <si>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</si>
  <si>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</si>
  <si>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</si>
  <si>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</si>
  <si>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</si>
  <si>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</si>
  <si>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</si>
  <si>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</si>
  <si>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</si>
  <si>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</si>
  <si>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</si>
  <si>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</si>
  <si>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</si>
  <si>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</si>
  <si>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</si>
  <si>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</si>
  <si>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</si>
  <si>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</si>
  <si>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</si>
  <si>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</si>
  <si>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</si>
  <si>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</si>
  <si>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</si>
  <si>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</si>
  <si>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</si>
  <si>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</si>
  <si>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</si>
  <si>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</si>
  <si>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</si>
  <si>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</si>
  <si>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</si>
  <si>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</si>
  <si>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</si>
  <si>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</si>
  <si>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</si>
  <si>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</si>
  <si>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</si>
  <si>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</si>
  <si>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</si>
  <si>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</si>
  <si>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</si>
  <si>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</si>
  <si>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</si>
  <si>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</si>
  <si>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</si>
  <si>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</si>
  <si>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</si>
  <si>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</si>
  <si>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</si>
  <si>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</si>
  <si>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</si>
  <si>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</si>
  <si>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</si>
  <si>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</si>
  <si>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</si>
  <si>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</si>
  <si>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</si>
  <si>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</si>
  <si>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</si>
  <si>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</si>
  <si>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</si>
  <si>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</si>
  <si>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</si>
  <si>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</si>
  <si>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</si>
  <si>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</si>
  <si>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</si>
  <si>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</si>
  <si>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</si>
  <si>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</si>
  <si>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</si>
  <si>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</si>
  <si>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</si>
  <si>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</si>
  <si>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</si>
  <si>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</si>
  <si>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</si>
  <si>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</si>
  <si>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</si>
  <si>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</si>
  <si>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</si>
  <si>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</si>
  <si>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</si>
  <si>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</si>
  <si>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</si>
  <si>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</si>
  <si>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</si>
  <si>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</si>
  <si>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</si>
  <si>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</si>
  <si>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</si>
  <si>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</si>
  <si>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</si>
  <si>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</si>
  <si>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</si>
  <si>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</si>
  <si>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</si>
  <si>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</si>
  <si>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</si>
  <si>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</si>
  <si>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</si>
  <si>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</si>
  <si>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</si>
  <si>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</si>
  <si>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</si>
  <si>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</si>
  <si>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</si>
  <si>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</si>
  <si>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</si>
  <si>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</si>
  <si>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</si>
  <si>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</si>
  <si>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</si>
  <si>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</si>
  <si>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</si>
  <si>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</si>
  <si>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</si>
  <si>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</si>
  <si>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</si>
  <si>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</si>
  <si>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</si>
  <si>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</si>
  <si>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</si>
  <si>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</si>
  <si>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</si>
  <si>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</si>
  <si>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</si>
  <si>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</si>
  <si>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</si>
  <si>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</si>
  <si>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</si>
  <si>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</si>
  <si>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</si>
  <si>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</si>
  <si>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</si>
  <si>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</si>
  <si>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</si>
  <si>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</si>
  <si>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</si>
  <si>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</si>
  <si>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</si>
  <si>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</si>
  <si>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</si>
  <si>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</si>
  <si>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</si>
  <si>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</si>
  <si>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</si>
  <si>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</si>
  <si>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</si>
  <si>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</si>
  <si>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</si>
  <si>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</si>
  <si>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</si>
  <si>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</si>
  <si>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</si>
  <si>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</si>
  <si>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</si>
  <si>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</si>
  <si>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</si>
  <si>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</si>
  <si>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</si>
  <si>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</si>
  <si>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</si>
  <si>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</si>
  <si>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</si>
  <si>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</si>
  <si>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</si>
  <si>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</si>
  <si>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</si>
  <si>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</si>
  <si>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</si>
  <si>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</si>
  <si>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</si>
  <si>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</si>
  <si>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</si>
  <si>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</si>
  <si>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</si>
  <si>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</si>
  <si>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</si>
  <si>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</si>
  <si>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</si>
  <si>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</si>
  <si>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</si>
  <si>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</si>
  <si>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</si>
  <si>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</si>
  <si>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</si>
  <si>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</si>
  <si>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</si>
  <si>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</si>
  <si>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</si>
  <si>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</si>
  <si>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</si>
  <si>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</si>
  <si>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</si>
  <si>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</si>
  <si>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</si>
  <si>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</si>
  <si>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</si>
  <si>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</si>
  <si>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</si>
  <si>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</si>
  <si>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</si>
  <si>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</si>
  <si>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</si>
  <si>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</si>
  <si>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</si>
  <si>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</si>
  <si>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</si>
  <si>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</si>
  <si>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</si>
  <si>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</si>
  <si>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</si>
  <si>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</si>
  <si>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</si>
  <si>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</si>
  <si>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</si>
  <si>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</si>
  <si>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</si>
  <si>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</si>
  <si>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</si>
  <si>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</si>
  <si>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</si>
  <si>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</si>
  <si>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</si>
  <si>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</si>
  <si>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</si>
  <si>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</si>
  <si>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</si>
  <si>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</si>
  <si>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</si>
  <si>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</si>
  <si>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</si>
  <si>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</si>
  <si>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</si>
  <si>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</si>
  <si>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</si>
  <si>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</si>
  <si>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</si>
  <si>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</si>
  <si>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</si>
  <si>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</si>
  <si>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</si>
  <si>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</si>
  <si>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</si>
  <si>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</si>
  <si>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</si>
  <si>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</si>
  <si>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</si>
  <si>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</si>
  <si>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</si>
  <si>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</si>
  <si>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</si>
  <si>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</si>
  <si>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</si>
  <si>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</si>
  <si>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</si>
  <si>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</si>
  <si>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</si>
  <si>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</si>
  <si>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</si>
  <si>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</si>
  <si>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</si>
  <si>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</si>
  <si>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</si>
  <si>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</si>
  <si>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</si>
  <si>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</si>
  <si>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</si>
  <si>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</si>
  <si>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</si>
  <si>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</si>
  <si>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</si>
  <si>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</si>
  <si>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</si>
  <si>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</si>
  <si>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</si>
  <si>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</si>
  <si>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</si>
  <si>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</si>
  <si>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</si>
  <si>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</si>
  <si>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</si>
  <si>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</si>
  <si>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</si>
  <si>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</si>
  <si>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</si>
  <si>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</si>
  <si>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</si>
  <si>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</si>
  <si>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</si>
  <si>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</si>
  <si>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</si>
  <si>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</si>
  <si>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</si>
  <si>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</si>
  <si>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</si>
  <si>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</si>
  <si>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</si>
  <si>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</si>
  <si>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</si>
  <si>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</si>
  <si>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</si>
  <si>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</si>
  <si>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</si>
  <si>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</si>
  <si>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</si>
  <si>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</si>
  <si>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</si>
  <si>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</si>
  <si>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</si>
  <si>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</si>
  <si>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</si>
  <si>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</si>
  <si>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</si>
  <si>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</si>
  <si>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</si>
  <si>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</si>
  <si>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</si>
  <si>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</si>
  <si>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</si>
  <si>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</si>
  <si>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</si>
  <si>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</si>
  <si>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</si>
  <si>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</si>
  <si>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</si>
  <si>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</si>
  <si>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</si>
  <si>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</si>
  <si>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</si>
  <si>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</si>
  <si>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</si>
  <si>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</si>
  <si>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</si>
  <si>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</si>
  <si>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</si>
  <si>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</si>
  <si>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</si>
  <si>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</si>
  <si>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</si>
  <si>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</si>
  <si>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</si>
  <si>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</si>
  <si>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</si>
  <si>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</si>
  <si>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</si>
  <si>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</si>
  <si>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</si>
  <si>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</si>
  <si>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</si>
  <si>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</si>
  <si>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</si>
  <si>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</si>
  <si>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</si>
  <si>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</si>
  <si>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</si>
  <si>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</si>
  <si>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</si>
  <si>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</si>
  <si>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</si>
  <si>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</si>
  <si>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</si>
  <si>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</si>
  <si>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</si>
  <si>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</si>
  <si>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</si>
  <si>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</si>
  <si>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</si>
  <si>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</si>
  <si>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</si>
  <si>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</si>
  <si>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</si>
  <si>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</si>
  <si>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</si>
  <si>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</si>
  <si>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</si>
  <si>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</si>
  <si>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</si>
  <si>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</si>
  <si>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</si>
  <si>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</si>
  <si>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</si>
  <si>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</si>
  <si>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</si>
  <si>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</si>
  <si>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</si>
  <si>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</si>
  <si>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</si>
  <si>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</si>
  <si>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</si>
  <si>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</si>
  <si>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</si>
  <si>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</si>
  <si>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</si>
  <si>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</si>
  <si>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</si>
  <si>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</si>
  <si>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</si>
  <si>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</si>
  <si>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</si>
  <si>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</si>
  <si>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</si>
  <si>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</si>
  <si>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</si>
  <si>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</si>
  <si>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</si>
  <si>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</si>
  <si>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</si>
  <si>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</si>
  <si>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</si>
  <si>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</si>
  <si>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</si>
  <si>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</si>
  <si>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</si>
  <si>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</si>
  <si>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</si>
  <si>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</si>
  <si>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</si>
  <si>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</si>
  <si>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</si>
  <si>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</si>
  <si>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</si>
  <si>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</si>
  <si>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</si>
  <si>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</si>
  <si>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</si>
  <si>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</si>
  <si>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</si>
  <si>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</si>
  <si>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</si>
  <si>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</si>
  <si>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</si>
  <si>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</si>
  <si>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</si>
  <si>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</si>
  <si>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</si>
  <si>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</si>
  <si>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</si>
  <si>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</si>
  <si>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</si>
  <si>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</si>
  <si>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</si>
  <si>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</si>
  <si>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</si>
  <si>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</si>
  <si>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</si>
  <si>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</si>
  <si>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</si>
  <si>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</si>
  <si>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</si>
  <si>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</si>
  <si>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</si>
  <si>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</si>
  <si>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</si>
  <si>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</si>
  <si>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</si>
  <si>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</si>
  <si>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</si>
  <si>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</si>
  <si>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</si>
  <si>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</si>
  <si>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</si>
  <si>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</si>
  <si>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</si>
  <si>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</si>
  <si>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</si>
  <si>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</si>
  <si>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</si>
  <si>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</si>
  <si>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</si>
  <si>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</si>
  <si>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</si>
  <si>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</si>
  <si>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</si>
  <si>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</si>
  <si>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</si>
  <si>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</si>
  <si>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</si>
  <si>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</si>
  <si>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</si>
  <si>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</si>
  <si>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</si>
  <si>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</si>
  <si>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</si>
  <si>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</si>
  <si>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</si>
  <si>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</si>
  <si>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</si>
  <si>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</si>
  <si>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</si>
  <si>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</si>
  <si>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</si>
  <si>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</si>
  <si>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</si>
  <si>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</si>
  <si>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</si>
  <si>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</si>
  <si>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</si>
  <si>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</si>
  <si>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</si>
  <si>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</si>
  <si>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</si>
  <si>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</si>
  <si>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</si>
  <si>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</si>
  <si>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</si>
  <si>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</si>
  <si>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</si>
  <si>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</si>
  <si>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</si>
  <si>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</si>
  <si>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</si>
  <si>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</si>
  <si>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</si>
  <si>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</si>
  <si>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</si>
  <si>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</si>
  <si>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</si>
  <si>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</si>
  <si>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</si>
  <si>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</si>
  <si>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</si>
  <si>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</si>
  <si>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</si>
  <si>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</si>
  <si>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</si>
  <si>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</si>
  <si>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</si>
  <si>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</si>
  <si>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</si>
  <si>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</si>
  <si>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</si>
  <si>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</si>
  <si>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</si>
  <si>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</si>
  <si>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</si>
  <si>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</si>
  <si>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</si>
  <si>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</si>
  <si>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</si>
  <si>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</si>
  <si>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</si>
  <si>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</si>
  <si>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</si>
  <si>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</si>
  <si>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</si>
  <si>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</si>
  <si>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</si>
  <si>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</si>
  <si>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</si>
  <si>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</si>
  <si>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</si>
  <si>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</si>
  <si>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</si>
  <si>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</si>
  <si>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</si>
  <si>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</si>
  <si>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</si>
  <si>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</si>
  <si>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</si>
  <si>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</si>
  <si>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</si>
  <si>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</si>
  <si>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</si>
  <si>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</si>
  <si>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</si>
  <si>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</si>
  <si>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</si>
  <si>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</si>
  <si>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</si>
  <si>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</si>
  <si>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</si>
  <si>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</si>
  <si>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</si>
  <si>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</si>
  <si>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</si>
  <si>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</si>
  <si>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</si>
  <si>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</si>
  <si>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</si>
  <si>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</si>
  <si>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</si>
  <si>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</si>
  <si>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</si>
  <si>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</si>
  <si>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</si>
  <si>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</si>
  <si>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</si>
  <si>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</si>
  <si>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</si>
  <si>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</si>
  <si>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</si>
  <si>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</si>
  <si>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</si>
  <si>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</si>
  <si>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</si>
  <si>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</si>
  <si>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</si>
  <si>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</si>
  <si>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</si>
  <si>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</si>
  <si>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</si>
  <si>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</si>
  <si>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</si>
  <si>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</si>
  <si>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</si>
  <si>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</si>
  <si>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</si>
  <si>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</si>
  <si>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</si>
  <si>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</si>
  <si>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</si>
  <si>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</si>
  <si>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</si>
  <si>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</si>
  <si>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</si>
  <si>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</si>
  <si>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</si>
  <si>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</si>
  <si>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</si>
  <si>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</si>
  <si>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</si>
  <si>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</si>
  <si>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</si>
  <si>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</si>
  <si>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</si>
  <si>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</si>
  <si>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</si>
  <si>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</si>
  <si>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</si>
  <si>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</si>
  <si>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</si>
  <si>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</si>
  <si>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</si>
  <si>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</si>
  <si>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</si>
  <si>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</si>
  <si>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</si>
  <si>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</si>
  <si>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</si>
  <si>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</si>
  <si>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</si>
  <si>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</si>
  <si>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</si>
  <si>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</si>
  <si>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</si>
  <si>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</si>
  <si>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</si>
  <si>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</si>
  <si>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</si>
  <si>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</si>
  <si>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</si>
  <si>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</si>
  <si>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</si>
  <si>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</si>
  <si>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</si>
  <si>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</si>
  <si>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</si>
  <si>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</si>
  <si>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</si>
  <si>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</si>
  <si>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</si>
  <si>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</si>
  <si>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</si>
  <si>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</si>
  <si>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</si>
  <si>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</si>
  <si>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</si>
  <si>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</si>
  <si>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</si>
  <si>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</si>
  <si>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</si>
  <si>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</si>
  <si>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</si>
  <si>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</si>
  <si>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</si>
  <si>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</si>
  <si>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</si>
  <si>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</si>
  <si>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</si>
  <si>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</si>
  <si>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</si>
  <si>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</si>
  <si>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</si>
  <si>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</si>
  <si>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</si>
  <si>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</si>
  <si>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</si>
  <si>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</si>
  <si>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</si>
  <si>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</si>
  <si>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</si>
  <si>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</si>
  <si>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</si>
  <si>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</si>
  <si>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</si>
  <si>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</si>
  <si>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</si>
  <si>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</si>
  <si>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</si>
  <si>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</si>
  <si>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</si>
  <si>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</si>
  <si>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</si>
  <si>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</si>
  <si>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</si>
  <si>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</si>
  <si>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</si>
  <si>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</si>
  <si>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</si>
  <si>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</si>
  <si>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</si>
  <si>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</si>
  <si>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</si>
  <si>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</si>
  <si>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</si>
  <si>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</si>
  <si>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</si>
  <si>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</si>
  <si>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</si>
  <si>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</si>
  <si>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</si>
  <si>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</si>
  <si>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</si>
  <si>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</si>
  <si>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</si>
  <si>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</si>
  <si>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</si>
  <si>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</si>
  <si>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</si>
  <si>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</si>
  <si>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</si>
  <si>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</si>
  <si>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</si>
  <si>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</si>
  <si>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</si>
  <si>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</si>
  <si>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</si>
  <si>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</si>
  <si>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</si>
  <si>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</si>
  <si>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</si>
  <si>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</si>
  <si>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</si>
  <si>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</si>
  <si>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</si>
  <si>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</si>
  <si>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</si>
  <si>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</si>
  <si>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</si>
  <si>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</si>
  <si>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</si>
  <si>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</si>
  <si>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</si>
  <si>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</si>
  <si>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</si>
  <si>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</si>
  <si>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</si>
  <si>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</si>
  <si>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</si>
  <si>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</si>
  <si>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</si>
  <si>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</si>
  <si>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</si>
  <si>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</si>
  <si>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</si>
  <si>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</si>
  <si>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</si>
  <si>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</si>
  <si>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</si>
  <si>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</si>
  <si>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</si>
  <si>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</si>
  <si>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</si>
  <si>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</si>
  <si>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</si>
  <si>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</si>
  <si>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</si>
  <si>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</si>
  <si>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</si>
  <si>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</si>
  <si>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</si>
  <si>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</si>
  <si>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</si>
  <si>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</si>
  <si>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</si>
  <si>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</si>
  <si>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</si>
  <si>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</si>
  <si>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</si>
  <si>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</si>
  <si>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</si>
  <si>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</si>
  <si>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</si>
  <si>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</si>
  <si>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</si>
  <si>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</si>
  <si>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</si>
  <si>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</si>
  <si>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</si>
  <si>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</si>
  <si>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</si>
  <si>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</si>
  <si>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</si>
  <si>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</si>
  <si>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</si>
  <si>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</si>
  <si>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</si>
  <si>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</si>
  <si>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</si>
  <si>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</si>
  <si>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</si>
  <si>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</si>
  <si>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</si>
  <si>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</si>
  <si>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</si>
  <si>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</si>
  <si>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</si>
  <si>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</si>
  <si>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</si>
  <si>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</si>
  <si>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</si>
  <si>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</si>
  <si>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</si>
  <si>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</si>
  <si>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</si>
  <si>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</si>
  <si>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</si>
  <si>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</si>
  <si>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</si>
  <si>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</si>
  <si>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</si>
  <si>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</si>
  <si>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</si>
  <si>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</si>
  <si>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</si>
  <si>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</si>
  <si>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</si>
  <si>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</si>
  <si>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</si>
  <si>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</si>
  <si>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</si>
  <si>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</si>
  <si>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</si>
  <si>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</si>
  <si>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</si>
  <si>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</si>
  <si>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</si>
  <si>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</si>
  <si>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</si>
  <si>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</si>
  <si>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</si>
  <si>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</si>
  <si>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</si>
  <si>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</si>
  <si>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</si>
  <si>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</si>
  <si>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</si>
  <si>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</si>
  <si>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</si>
  <si>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</si>
  <si>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</si>
  <si>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</si>
  <si>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</si>
  <si>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</si>
  <si>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</si>
  <si>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</si>
  <si>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</si>
  <si>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</si>
  <si>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</si>
  <si>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</si>
  <si>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</si>
  <si>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</si>
  <si>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</si>
  <si>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</si>
  <si>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</si>
  <si>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</si>
  <si>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</si>
  <si>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</si>
  <si>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</si>
  <si>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</si>
  <si>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</si>
  <si>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</si>
  <si>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</si>
  <si>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</si>
  <si>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</si>
  <si>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</si>
  <si>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</si>
  <si>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</si>
  <si>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</si>
  <si>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</si>
  <si>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</si>
  <si>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</si>
  <si>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</si>
  <si>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</si>
  <si>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</si>
  <si>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</si>
  <si>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</si>
  <si>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</si>
  <si>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</si>
  <si>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</si>
  <si>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</si>
  <si>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</si>
  <si>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</si>
  <si>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</si>
  <si>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</si>
  <si>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</si>
  <si>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</si>
  <si>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</si>
  <si>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</si>
  <si>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</si>
  <si>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</si>
  <si>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</si>
  <si>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</si>
  <si>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</si>
  <si>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</si>
  <si>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</si>
  <si>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</si>
  <si>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</si>
  <si>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</si>
  <si>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</si>
  <si>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</si>
  <si>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</si>
  <si>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</si>
  <si>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</si>
  <si>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</si>
  <si>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</si>
  <si>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</si>
  <si>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</si>
  <si>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</si>
  <si>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</si>
  <si>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</si>
  <si>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</si>
  <si>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</si>
  <si>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</si>
  <si>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</si>
  <si>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</si>
  <si>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</si>
  <si>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</si>
  <si>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</si>
  <si>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</si>
  <si>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</si>
  <si>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</si>
  <si>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</si>
  <si>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</si>
  <si>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</si>
  <si>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</si>
  <si>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</si>
  <si>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</si>
  <si>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</si>
  <si>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</si>
  <si>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</si>
  <si>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</si>
  <si>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</si>
  <si>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</si>
  <si>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</si>
  <si>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</si>
  <si>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</si>
  <si>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</si>
  <si>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</si>
  <si>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</si>
  <si>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</si>
  <si>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</si>
  <si>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</si>
  <si>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</si>
  <si>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</si>
  <si>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</si>
  <si>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</si>
  <si>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</si>
  <si>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</si>
  <si>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</si>
  <si>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</si>
  <si>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</si>
  <si>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</si>
  <si>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</si>
  <si>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</si>
  <si>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</si>
  <si>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</si>
  <si>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</si>
  <si>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</si>
  <si>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</si>
  <si>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</si>
  <si>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</si>
  <si>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</si>
  <si>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</si>
  <si>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</si>
  <si>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</si>
  <si>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</si>
  <si>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</si>
  <si>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</si>
  <si>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</si>
  <si>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</si>
  <si>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</si>
  <si>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</si>
  <si>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</si>
  <si>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</si>
  <si>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</si>
  <si>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</si>
  <si>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</si>
  <si>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</si>
  <si>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</si>
  <si>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</si>
  <si>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</si>
  <si>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</si>
  <si>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</si>
  <si>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</si>
  <si>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</si>
  <si>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</si>
  <si>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</si>
  <si>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</si>
  <si>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</si>
  <si>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</si>
  <si>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</si>
  <si>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</si>
  <si>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</si>
  <si>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</si>
  <si>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</si>
  <si>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</si>
  <si>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</si>
  <si>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</si>
  <si>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</si>
  <si>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</si>
  <si>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</si>
  <si>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</si>
  <si>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</si>
  <si>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</si>
  <si>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</si>
  <si>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</si>
  <si>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</si>
  <si>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</si>
  <si>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</si>
  <si>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</si>
  <si>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</si>
  <si>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</si>
  <si>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</si>
  <si>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</si>
  <si>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</si>
  <si>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</si>
  <si>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</si>
  <si>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</si>
  <si>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</si>
  <si>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</si>
  <si>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</si>
  <si>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</si>
  <si>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</si>
  <si>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</si>
  <si>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</si>
  <si>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</si>
  <si>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</si>
  <si>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</si>
  <si>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</si>
  <si>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</si>
  <si>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</si>
  <si>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</si>
  <si>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</si>
  <si>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</si>
  <si>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</si>
  <si>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</si>
  <si>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</si>
  <si>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</si>
  <si>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</si>
  <si>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</si>
  <si>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</si>
  <si>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</si>
  <si>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</si>
  <si>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</si>
  <si>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</si>
  <si>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</si>
  <si>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</si>
  <si>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</si>
  <si>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</si>
  <si>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</si>
  <si>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</si>
  <si>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</si>
  <si>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</si>
  <si>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</si>
  <si>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</si>
  <si>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</si>
  <si>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</si>
  <si>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</si>
  <si>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</si>
  <si>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</si>
  <si>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</si>
  <si>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</si>
  <si>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</si>
  <si>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</si>
  <si>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</si>
  <si>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</si>
  <si>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</si>
  <si>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</si>
  <si>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</si>
  <si>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</si>
  <si>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</si>
  <si>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</si>
  <si>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</si>
  <si>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</si>
  <si>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</si>
  <si>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</si>
  <si>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</si>
  <si>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</si>
  <si>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</si>
  <si>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</si>
  <si>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</si>
  <si>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</si>
  <si>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</si>
  <si>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</si>
  <si>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</si>
  <si>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</si>
  <si>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</si>
  <si>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</si>
  <si>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</si>
  <si>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</si>
  <si>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</si>
  <si>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</si>
  <si>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</si>
  <si>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</si>
  <si>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</si>
  <si>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</si>
  <si>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</si>
  <si>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</si>
  <si>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</si>
  <si>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</si>
  <si>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</si>
  <si>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</si>
  <si>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</si>
  <si>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</si>
  <si>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</si>
  <si>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</si>
  <si>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</si>
  <si>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</si>
  <si>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</si>
  <si>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</si>
  <si>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</si>
  <si>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</si>
  <si>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</si>
  <si>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</si>
  <si>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</si>
  <si>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</si>
  <si>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</si>
  <si>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</si>
  <si>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</si>
  <si>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</si>
  <si>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</si>
  <si>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</si>
  <si>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</si>
  <si>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</si>
  <si>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</si>
  <si>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</si>
  <si>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</si>
  <si>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</si>
  <si>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</si>
  <si>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</si>
  <si>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</si>
  <si>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</si>
  <si>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</si>
  <si>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</si>
  <si>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</si>
  <si>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</si>
  <si>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</si>
  <si>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</si>
  <si>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</si>
  <si>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</si>
  <si>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</si>
  <si>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</si>
  <si>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</si>
  <si>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</si>
  <si>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</si>
  <si>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</si>
  <si>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</si>
  <si>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</si>
  <si>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</si>
  <si>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</si>
  <si>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</si>
  <si>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</si>
  <si>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</si>
  <si>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</si>
  <si>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</si>
  <si>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</si>
  <si>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</si>
  <si>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</si>
  <si>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</si>
  <si>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</si>
  <si>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</si>
  <si>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</si>
  <si>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</si>
  <si>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</si>
  <si>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</si>
  <si>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</si>
  <si>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</si>
  <si>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</si>
  <si>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</si>
  <si>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</si>
  <si>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</si>
  <si>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</si>
  <si>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</si>
  <si>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</si>
  <si>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</si>
  <si>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</si>
  <si>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</si>
  <si>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</si>
  <si>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</si>
  <si>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</si>
  <si>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</si>
  <si>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</si>
  <si>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</si>
  <si>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</si>
  <si>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</si>
  <si>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</si>
  <si>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</si>
  <si>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</si>
  <si>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</si>
  <si>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</si>
  <si>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</si>
  <si>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</si>
  <si>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</si>
  <si>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</si>
  <si>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</si>
  <si>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</si>
  <si>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</si>
  <si>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</si>
  <si>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</si>
  <si>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</si>
  <si>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</si>
  <si>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</si>
  <si>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</si>
  <si>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</si>
  <si>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</si>
  <si>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</si>
  <si>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</si>
  <si>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</si>
  <si>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</si>
  <si>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</si>
  <si>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</si>
  <si>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</si>
  <si>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</si>
  <si>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A realizar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</si>
  <si>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</si>
  <si>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</si>
  <si>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</si>
  <si>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</si>
  <si>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</si>
  <si>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Cinthia Thais de Carvalho Luz Thomazi; Adriana Cuoco Portugal; Fernanda Viana de Souza; Denise Duarte Guirra Kuhlmann;  Priscila Nolasco</t>
  </si>
  <si>
    <t>Adiado</t>
  </si>
  <si>
    <t>4141/2026</t>
  </si>
  <si>
    <t>Fiscalizações Baseadas em Risco</t>
  </si>
  <si>
    <t>04, 05, 06, 11 e 12/05/2026</t>
  </si>
  <si>
    <t>Reinaldo Alencar; Rogério Ribeiro</t>
  </si>
  <si>
    <t>08/05/2026</t>
  </si>
  <si>
    <t>3103/2026</t>
  </si>
  <si>
    <t>FIT1: Treinamento e Desenvolvimento (T&amp;D) - T2</t>
  </si>
  <si>
    <t>18 a 21/05/2026</t>
  </si>
  <si>
    <t>3685/2026</t>
  </si>
  <si>
    <t>Curso de formação para gestores e fiscais de Contrato em equipamentos nas unidades hospitalares - T2</t>
  </si>
  <si>
    <t>19, 20 e 21/05/2026</t>
  </si>
  <si>
    <t>2151/2026</t>
  </si>
  <si>
    <t>II Fórum de Educação para a Aposentadoria e Longevidade</t>
  </si>
  <si>
    <t>21 e 22/05/2026</t>
  </si>
  <si>
    <t>FIT1: Treinamento e Desenvolvimento (T&amp;D) - T3</t>
  </si>
  <si>
    <t>15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</si>
  <si>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</si>
  <si>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</si>
  <si>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</si>
  <si>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</si>
  <si>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</si>
  <si>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</si>
  <si>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</si>
  <si>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</si>
  <si>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</si>
  <si>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</si>
  <si>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</si>
  <si>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</si>
  <si>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</si>
  <si>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21 e 22/09/2026</t>
  </si>
  <si>
    <t>4392/2026</t>
  </si>
  <si>
    <t>O novo olhar sobre as políticas públicas para o Controle Externo</t>
  </si>
  <si>
    <t>26 a 27/05/2026; 01 a 03/06/2026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</si>
  <si>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</si>
  <si>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</si>
  <si>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</si>
  <si>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</si>
  <si>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</si>
  <si>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</si>
  <si>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</si>
  <si>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</si>
  <si>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</si>
  <si>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</si>
  <si>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Override Aula (h)</t>
  </si>
  <si>
    <t>Override Material (h)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</si>
  <si>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</si>
  <si>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</si>
  <si>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</si>
  <si>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</si>
  <si>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</si>
  <si>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</si>
  <si>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</si>
  <si>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</si>
  <si>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</si>
  <si>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</si>
  <si>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</si>
  <si>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</si>
  <si>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Gustavo Takahashi</t>
  </si>
  <si>
    <t>2026-005</t>
  </si>
  <si>
    <t>2026-002</t>
  </si>
  <si>
    <t>Denise Duarte Guirra Kuhlmann</t>
  </si>
  <si>
    <t>Priscila Nolasco</t>
  </si>
  <si>
    <t>2026-020</t>
  </si>
  <si>
    <t>2026-018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</si>
  <si>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</si>
  <si>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</si>
  <si>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</si>
  <si>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</si>
  <si>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</si>
  <si>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</si>
  <si>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</si>
  <si>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</si>
  <si>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</si>
  <si>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</si>
  <si>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</si>
  <si>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</si>
  <si>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</si>
  <si>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</si>
  <si>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</si>
  <si>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</si>
  <si>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</si>
  <si>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</si>
  <si>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</si>
  <si>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</si>
  <si>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</si>
  <si>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</si>
  <si>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</si>
  <si>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</si>
  <si>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</si>
  <si>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</si>
  <si>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</si>
  <si>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</si>
  <si>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</si>
  <si>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</si>
  <si>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</si>
  <si>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</si>
  <si>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</si>
  <si>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</si>
  <si>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</si>
  <si>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</si>
  <si>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</si>
  <si>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</si>
  <si>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</si>
  <si>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</si>
  <si>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</si>
  <si>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</si>
  <si>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</si>
  <si>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</si>
  <si>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</si>
  <si>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</si>
  <si>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</si>
  <si>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</si>
  <si>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</si>
  <si>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</si>
  <si>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</si>
  <si>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</si>
  <si>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Em andamento</t>
  </si>
  <si>
    <t xml:space="preserve">Cancelado 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</si>
  <si>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</si>
  <si>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</si>
  <si>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</si>
  <si>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</si>
  <si>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</si>
  <si>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</si>
  <si>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</si>
  <si>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</si>
  <si>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</si>
  <si>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</si>
  <si>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</si>
  <si>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</si>
  <si>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</si>
  <si>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</si>
  <si>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</si>
  <si>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</si>
  <si>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</si>
  <si>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</si>
  <si>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</si>
  <si>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</si>
  <si>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</si>
  <si>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</si>
  <si>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</si>
  <si>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</si>
  <si>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</si>
  <si>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</si>
  <si>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2026-015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</si>
  <si>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</si>
  <si>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</si>
  <si>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</si>
  <si>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</si>
  <si>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</si>
  <si>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</si>
  <si>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</si>
  <si>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2026-032</t>
  </si>
  <si>
    <t>Leonardo de Melo</t>
  </si>
  <si>
    <t>3741/2026</t>
  </si>
  <si>
    <t>Introdução à Engenharia de Prompt - T3</t>
  </si>
  <si>
    <t>Introdução à Engenharia de Prompt - T4</t>
  </si>
  <si>
    <t>12 e 14/05/2026</t>
  </si>
  <si>
    <t>23 e 25/06/2026</t>
  </si>
  <si>
    <t>2026-033</t>
  </si>
  <si>
    <t>2026-034</t>
  </si>
  <si>
    <t>24/04/2026</t>
  </si>
  <si>
    <t>4728/2026</t>
  </si>
  <si>
    <t>18, 20, 22 e 25/05/2026</t>
  </si>
  <si>
    <t>Horas GECC</t>
  </si>
  <si>
    <t>GECC – Examinador</t>
  </si>
  <si>
    <t>Examinador</t>
  </si>
  <si>
    <t>Total:</t>
  </si>
  <si>
    <t>Marcelo Bálbio Moraes</t>
  </si>
  <si>
    <t>Mauri Siqueira Montessi</t>
  </si>
  <si>
    <t>GECC Examinador (h)</t>
  </si>
  <si>
    <t>4663/2026</t>
  </si>
  <si>
    <t>Curso de Ambientação para os novos Auditores de Controle Externo - Área Auditoria</t>
  </si>
  <si>
    <t>28, 29 e 30/04; 04 e 05/05/2026</t>
  </si>
  <si>
    <t>2026-036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</si>
  <si>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</si>
  <si>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</si>
  <si>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</si>
  <si>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</si>
  <si>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2026-037</t>
  </si>
  <si>
    <t>Reinaldo Alencar</t>
  </si>
  <si>
    <t>Rogério Ribeiro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</si>
</sst>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7" fillId="0" borderId="0" applyNumberFormat="0" applyFill="0" applyBorder="0" applyAlignment="0" applyProtection="0"/>
    <xf numFmtId="44" fontId="9" fillId="0" borderId="0" applyFont="0" applyFill="0" applyBorder="0" applyAlignment="0" applyProtection="0"/>
    <xf numFmtId="44" fontId="4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288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14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6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0" fillId="0" borderId="0" xfId="0" applyFont="1"/>
    <xf numFmtId="0" fontId="11" fillId="3" borderId="1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1" fillId="3" borderId="1" xfId="0" applyFont="1" applyFill="1" applyBorder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1" fontId="11" fillId="4" borderId="1" xfId="0" applyNumberFormat="1" applyFont="1" applyFill="1" applyBorder="1" applyAlignment="1">
      <alignment horizontal="center" vertical="center"/>
    </xf>
    <xf numFmtId="165" fontId="11" fillId="4" borderId="1" xfId="2" applyNumberFormat="1" applyFont="1" applyFill="1" applyBorder="1" applyAlignment="1">
      <alignment vertical="center"/>
    </xf>
    <xf numFmtId="49" fontId="12" fillId="3" borderId="1" xfId="0" applyNumberFormat="1" applyFont="1" applyFill="1" applyBorder="1" applyAlignment="1">
      <alignment vertical="center"/>
    </xf>
    <xf numFmtId="165" fontId="11" fillId="3" borderId="1" xfId="2" applyNumberFormat="1" applyFont="1" applyFill="1" applyBorder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49" fontId="12" fillId="4" borderId="1" xfId="0" applyNumberFormat="1" applyFont="1" applyFill="1" applyBorder="1" applyAlignment="1">
      <alignment vertical="center"/>
    </xf>
    <xf numFmtId="0" fontId="12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left" vertical="center"/>
    </xf>
    <xf numFmtId="0" fontId="11" fillId="3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vertical="center"/>
    </xf>
    <xf numFmtId="0" fontId="12" fillId="3" borderId="1" xfId="0" applyFont="1" applyFill="1" applyBorder="1" applyAlignment="1">
      <alignment vertical="center"/>
    </xf>
    <xf numFmtId="49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49" fontId="11" fillId="4" borderId="1" xfId="0" applyNumberFormat="1" applyFont="1" applyFill="1" applyBorder="1" applyAlignment="1">
      <alignment horizontal="center" vertical="center"/>
    </xf>
    <xf numFmtId="166" fontId="11" fillId="4" borderId="1" xfId="0" applyNumberFormat="1" applyFont="1" applyFill="1" applyBorder="1" applyAlignment="1">
      <alignment horizontal="center" vertical="center"/>
    </xf>
    <xf numFmtId="3" fontId="11" fillId="4" borderId="1" xfId="0" applyNumberFormat="1" applyFont="1" applyFill="1" applyBorder="1" applyAlignment="1">
      <alignment horizontal="center" vertical="center"/>
    </xf>
    <xf numFmtId="3" fontId="11" fillId="3" borderId="1" xfId="0" applyNumberFormat="1" applyFont="1" applyFill="1" applyBorder="1" applyAlignment="1">
      <alignment horizontal="center" vertical="center"/>
    </xf>
    <xf numFmtId="49" fontId="12" fillId="3" borderId="1" xfId="0" applyNumberFormat="1" applyFont="1" applyFill="1" applyBorder="1" applyAlignment="1">
      <alignment horizontal="left" vertical="center"/>
    </xf>
    <xf numFmtId="0" fontId="11" fillId="3" borderId="1" xfId="0" applyFont="1" applyFill="1" applyBorder="1" applyAlignment="1">
      <alignment wrapText="1"/>
    </xf>
    <xf numFmtId="0" fontId="11" fillId="4" borderId="1" xfId="0" applyFont="1" applyFill="1" applyBorder="1" applyAlignment="1">
      <alignment wrapText="1"/>
    </xf>
    <xf numFmtId="0" fontId="11" fillId="4" borderId="2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1" fontId="11" fillId="3" borderId="1" xfId="0" applyNumberFormat="1" applyFont="1" applyFill="1" applyBorder="1" applyAlignment="1">
      <alignment vertical="center"/>
    </xf>
    <xf numFmtId="14" fontId="11" fillId="3" borderId="1" xfId="0" applyNumberFormat="1" applyFont="1" applyFill="1" applyBorder="1" applyAlignment="1">
      <alignment horizontal="center" vertical="center"/>
    </xf>
    <xf numFmtId="165" fontId="11" fillId="4" borderId="1" xfId="2" applyNumberFormat="1" applyFont="1" applyFill="1" applyBorder="1" applyAlignment="1">
      <alignment horizontal="right" vertical="center"/>
    </xf>
    <xf numFmtId="165" fontId="11" fillId="3" borderId="1" xfId="2" applyNumberFormat="1" applyFont="1" applyFill="1" applyBorder="1" applyAlignment="1">
      <alignment horizontal="right" vertical="center"/>
    </xf>
    <xf numFmtId="22" fontId="11" fillId="3" borderId="1" xfId="0" applyNumberFormat="1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vertical="center" wrapText="1"/>
    </xf>
    <xf numFmtId="49" fontId="12" fillId="4" borderId="1" xfId="0" applyNumberFormat="1" applyFont="1" applyFill="1" applyBorder="1" applyAlignment="1">
      <alignment horizontal="left" vertical="center"/>
    </xf>
    <xf numFmtId="14" fontId="11" fillId="3" borderId="1" xfId="0" applyNumberFormat="1" applyFont="1" applyFill="1" applyBorder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vertical="center"/>
    </xf>
    <xf numFmtId="0" fontId="11" fillId="3" borderId="1" xfId="0" applyFont="1" applyFill="1" applyBorder="1"/>
    <xf numFmtId="0" fontId="11" fillId="4" borderId="0" xfId="0" applyFont="1" applyFill="1" applyAlignment="1">
      <alignment horizontal="center" vertical="center"/>
    </xf>
    <xf numFmtId="0" fontId="11" fillId="4" borderId="0" xfId="0" applyFont="1" applyFill="1" applyAlignment="1">
      <alignment vertical="center"/>
    </xf>
    <xf numFmtId="49" fontId="11" fillId="4" borderId="0" xfId="0" applyNumberFormat="1" applyFont="1" applyFill="1" applyAlignment="1">
      <alignment horizontal="center" vertical="center"/>
    </xf>
    <xf numFmtId="49" fontId="11" fillId="3" borderId="0" xfId="0" applyNumberFormat="1" applyFont="1" applyFill="1" applyAlignment="1">
      <alignment horizontal="center" vertical="center"/>
    </xf>
    <xf numFmtId="49" fontId="12" fillId="4" borderId="2" xfId="0" applyNumberFormat="1" applyFont="1" applyFill="1" applyBorder="1" applyAlignment="1">
      <alignment vertical="center"/>
    </xf>
    <xf numFmtId="49" fontId="11" fillId="4" borderId="2" xfId="0" applyNumberFormat="1" applyFont="1" applyFill="1" applyBorder="1" applyAlignment="1">
      <alignment horizontal="center" vertical="center"/>
    </xf>
    <xf numFmtId="166" fontId="11" fillId="4" borderId="2" xfId="0" applyNumberFormat="1" applyFont="1" applyFill="1" applyBorder="1" applyAlignment="1">
      <alignment horizontal="center" vertical="center"/>
    </xf>
    <xf numFmtId="165" fontId="11" fillId="4" borderId="2" xfId="2" applyNumberFormat="1" applyFont="1" applyFill="1" applyBorder="1" applyAlignment="1">
      <alignment vertical="center"/>
    </xf>
    <xf numFmtId="3" fontId="11" fillId="4" borderId="2" xfId="0" applyNumberFormat="1" applyFont="1" applyFill="1" applyBorder="1" applyAlignment="1">
      <alignment horizontal="center" vertical="center"/>
    </xf>
    <xf numFmtId="1" fontId="11" fillId="4" borderId="2" xfId="0" applyNumberFormat="1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49" fontId="12" fillId="3" borderId="2" xfId="0" applyNumberFormat="1" applyFont="1" applyFill="1" applyBorder="1" applyAlignment="1">
      <alignment vertical="center"/>
    </xf>
    <xf numFmtId="0" fontId="12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vertical="center"/>
    </xf>
    <xf numFmtId="49" fontId="11" fillId="3" borderId="2" xfId="0" applyNumberFormat="1" applyFont="1" applyFill="1" applyBorder="1" applyAlignment="1">
      <alignment horizontal="center" vertical="center"/>
    </xf>
    <xf numFmtId="166" fontId="11" fillId="3" borderId="2" xfId="0" applyNumberFormat="1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165" fontId="11" fillId="3" borderId="2" xfId="2" applyNumberFormat="1" applyFont="1" applyFill="1" applyBorder="1" applyAlignment="1">
      <alignment vertical="center"/>
    </xf>
    <xf numFmtId="3" fontId="11" fillId="3" borderId="2" xfId="0" applyNumberFormat="1" applyFont="1" applyFill="1" applyBorder="1" applyAlignment="1">
      <alignment horizontal="center" vertical="center"/>
    </xf>
    <xf numFmtId="1" fontId="11" fillId="3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49" fontId="12" fillId="4" borderId="1" xfId="0" applyNumberFormat="1" applyFont="1" applyFill="1" applyBorder="1" applyAlignment="1">
      <alignment vertical="center" wrapText="1"/>
    </xf>
    <xf numFmtId="166" fontId="11" fillId="4" borderId="0" xfId="0" applyNumberFormat="1" applyFont="1" applyFill="1" applyAlignment="1">
      <alignment horizontal="center" vertical="center"/>
    </xf>
    <xf numFmtId="49" fontId="11" fillId="4" borderId="1" xfId="0" applyNumberFormat="1" applyFont="1" applyFill="1" applyBorder="1" applyAlignment="1">
      <alignment horizontal="center" vertical="center" wrapText="1"/>
    </xf>
    <xf numFmtId="49" fontId="11" fillId="3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/>
    <xf numFmtId="0" fontId="11" fillId="3" borderId="2" xfId="0" applyFont="1" applyFill="1" applyBorder="1" applyAlignment="1">
      <alignment vertical="center" wrapText="1"/>
    </xf>
    <xf numFmtId="0" fontId="11" fillId="4" borderId="2" xfId="0" applyFont="1" applyFill="1" applyBorder="1" applyAlignment="1">
      <alignment vertical="center" wrapText="1"/>
    </xf>
    <xf numFmtId="14" fontId="11" fillId="4" borderId="1" xfId="0" applyNumberFormat="1" applyFont="1" applyFill="1" applyBorder="1" applyAlignment="1">
      <alignment horizontal="center" vertical="center"/>
    </xf>
    <xf numFmtId="49" fontId="12" fillId="3" borderId="1" xfId="0" applyNumberFormat="1" applyFont="1" applyFill="1" applyBorder="1" applyAlignment="1">
      <alignment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49" fontId="12" fillId="4" borderId="1" xfId="0" applyNumberFormat="1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4" fontId="11" fillId="4" borderId="1" xfId="0" applyNumberFormat="1" applyFont="1" applyFill="1" applyBorder="1" applyAlignment="1">
      <alignment horizontal="center" vertical="center"/>
    </xf>
    <xf numFmtId="164" fontId="11" fillId="4" borderId="2" xfId="0" applyNumberFormat="1" applyFont="1" applyFill="1" applyBorder="1" applyAlignment="1">
      <alignment horizontal="center" vertical="center"/>
    </xf>
    <xf numFmtId="164" fontId="11" fillId="3" borderId="2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165" fontId="6" fillId="2" borderId="1" xfId="2" applyNumberFormat="1" applyFont="1" applyFill="1" applyBorder="1" applyAlignment="1">
      <alignment horizontal="center" vertical="center" wrapText="1"/>
    </xf>
    <xf numFmtId="0" fontId="13" fillId="0" borderId="0" xfId="0" applyFont="1"/>
    <xf numFmtId="0" fontId="14" fillId="5" borderId="0" xfId="0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0" fontId="13" fillId="0" borderId="0" xfId="0" applyFont="1" applyAlignment="1">
      <alignment horizontal="center"/>
    </xf>
    <xf numFmtId="167" fontId="13" fillId="0" borderId="0" xfId="0" applyNumberFormat="1" applyFont="1" applyAlignment="1">
      <alignment horizontal="center"/>
    </xf>
    <xf numFmtId="0" fontId="15" fillId="0" borderId="0" xfId="0" applyFont="1"/>
    <xf numFmtId="1" fontId="0" fillId="0" borderId="0" xfId="0" applyNumberFormat="1"/>
    <xf numFmtId="0" fontId="18" fillId="6" borderId="3" xfId="0" applyFont="1" applyFill="1" applyBorder="1" applyAlignment="1">
      <alignment horizontal="center"/>
    </xf>
    <xf numFmtId="2" fontId="0" fillId="0" borderId="0" xfId="0" applyNumberFormat="1"/>
    <xf numFmtId="0" fontId="19" fillId="3" borderId="1" xfId="0" applyFont="1" applyFill="1" applyBorder="1" applyAlignment="1">
      <alignment vertical="center"/>
    </xf>
    <xf numFmtId="0" fontId="19" fillId="4" borderId="0" xfId="0" applyFont="1" applyFill="1" applyAlignment="1">
      <alignment vertical="center"/>
    </xf>
    <xf numFmtId="0" fontId="19" fillId="4" borderId="1" xfId="0" applyFont="1" applyFill="1" applyBorder="1" applyAlignment="1">
      <alignment vertical="center"/>
    </xf>
    <xf numFmtId="0" fontId="19" fillId="4" borderId="2" xfId="0" applyFont="1" applyFill="1" applyBorder="1" applyAlignment="1">
      <alignment vertical="center"/>
    </xf>
    <xf numFmtId="0" fontId="0" fillId="8" borderId="0" xfId="0" applyFill="1"/>
    <xf numFmtId="0" fontId="18" fillId="8" borderId="4" xfId="0" applyFont="1" applyFill="1" applyBorder="1" applyAlignment="1">
      <alignment horizontal="center"/>
    </xf>
    <xf numFmtId="0" fontId="21" fillId="9" borderId="4" xfId="0" applyFont="1" applyFill="1" applyBorder="1"/>
    <xf numFmtId="3" fontId="24" fillId="9" borderId="4" xfId="0" applyNumberFormat="1" applyFont="1" applyFill="1" applyBorder="1" applyAlignment="1">
      <alignment horizontal="center"/>
    </xf>
    <xf numFmtId="0" fontId="21" fillId="10" borderId="4" xfId="0" applyFont="1" applyFill="1" applyBorder="1"/>
    <xf numFmtId="3" fontId="24" fillId="10" borderId="4" xfId="0" applyNumberFormat="1" applyFont="1" applyFill="1" applyBorder="1" applyAlignment="1">
      <alignment horizontal="center"/>
    </xf>
    <xf numFmtId="0" fontId="18" fillId="8" borderId="4" xfId="0" applyFont="1" applyFill="1" applyBorder="1"/>
    <xf numFmtId="3" fontId="25" fillId="8" borderId="4" xfId="0" applyNumberFormat="1" applyFont="1" applyFill="1" applyBorder="1" applyAlignment="1">
      <alignment horizontal="center"/>
    </xf>
    <xf numFmtId="3" fontId="22" fillId="9" borderId="6" xfId="0" applyNumberFormat="1" applyFont="1" applyFill="1" applyBorder="1" applyAlignment="1">
      <alignment horizontal="center"/>
    </xf>
    <xf numFmtId="0" fontId="21" fillId="9" borderId="8" xfId="0" applyFont="1" applyFill="1" applyBorder="1" applyAlignment="1">
      <alignment horizontal="left"/>
    </xf>
    <xf numFmtId="3" fontId="26" fillId="9" borderId="4" xfId="0" applyNumberFormat="1" applyFont="1" applyFill="1" applyBorder="1" applyAlignment="1">
      <alignment horizontal="center"/>
    </xf>
    <xf numFmtId="168" fontId="21" fillId="9" borderId="4" xfId="0" applyNumberFormat="1" applyFont="1" applyFill="1" applyBorder="1" applyAlignment="1">
      <alignment horizontal="center"/>
    </xf>
    <xf numFmtId="3" fontId="26" fillId="10" borderId="4" xfId="0" applyNumberFormat="1" applyFont="1" applyFill="1" applyBorder="1" applyAlignment="1">
      <alignment horizontal="center"/>
    </xf>
    <xf numFmtId="168" fontId="21" fillId="10" borderId="4" xfId="0" applyNumberFormat="1" applyFont="1" applyFill="1" applyBorder="1" applyAlignment="1">
      <alignment horizontal="center"/>
    </xf>
    <xf numFmtId="3" fontId="27" fillId="8" borderId="4" xfId="0" applyNumberFormat="1" applyFont="1" applyFill="1" applyBorder="1" applyAlignment="1">
      <alignment horizontal="center"/>
    </xf>
    <xf numFmtId="168" fontId="18" fillId="8" borderId="4" xfId="0" applyNumberFormat="1" applyFont="1" applyFill="1" applyBorder="1" applyAlignment="1">
      <alignment horizontal="center"/>
    </xf>
    <xf numFmtId="3" fontId="30" fillId="12" borderId="6" xfId="0" applyNumberFormat="1" applyFont="1" applyFill="1" applyBorder="1" applyAlignment="1">
      <alignment horizontal="center"/>
    </xf>
    <xf numFmtId="0" fontId="29" fillId="12" borderId="8" xfId="0" applyFont="1" applyFill="1" applyBorder="1" applyAlignment="1">
      <alignment horizontal="left"/>
    </xf>
    <xf numFmtId="0" fontId="18" fillId="13" borderId="9" xfId="0" applyFont="1" applyFill="1" applyBorder="1" applyAlignment="1">
      <alignment horizontal="center"/>
    </xf>
    <xf numFmtId="3" fontId="31" fillId="14" borderId="10" xfId="0" applyNumberFormat="1" applyFont="1" applyFill="1" applyBorder="1" applyAlignment="1">
      <alignment horizontal="center"/>
    </xf>
    <xf numFmtId="3" fontId="32" fillId="9" borderId="4" xfId="0" applyNumberFormat="1" applyFont="1" applyFill="1" applyBorder="1" applyAlignment="1">
      <alignment horizontal="center"/>
    </xf>
    <xf numFmtId="3" fontId="32" fillId="10" borderId="4" xfId="0" applyNumberFormat="1" applyFont="1" applyFill="1" applyBorder="1" applyAlignment="1">
      <alignment horizontal="center"/>
    </xf>
    <xf numFmtId="0" fontId="10" fillId="5" borderId="0" xfId="0" applyFont="1" applyFill="1" applyAlignment="1">
      <alignment horizontal="center"/>
    </xf>
    <xf numFmtId="0" fontId="37" fillId="0" borderId="0" xfId="0" applyFont="1"/>
    <xf numFmtId="0" fontId="41" fillId="15" borderId="11" xfId="0" applyFont="1" applyFill="1" applyBorder="1" applyAlignment="1">
      <alignment horizontal="center" vertical="center"/>
    </xf>
    <xf numFmtId="0" fontId="42" fillId="15" borderId="11" xfId="0" applyFont="1" applyFill="1" applyBorder="1" applyAlignment="1">
      <alignment horizontal="center" vertical="center"/>
    </xf>
    <xf numFmtId="3" fontId="42" fillId="15" borderId="11" xfId="0" applyNumberFormat="1" applyFont="1" applyFill="1" applyBorder="1" applyAlignment="1">
      <alignment horizontal="center" vertical="center"/>
    </xf>
    <xf numFmtId="0" fontId="41" fillId="3" borderId="13" xfId="0" applyFont="1" applyFill="1" applyBorder="1" applyAlignment="1">
      <alignment horizontal="center" vertical="center"/>
    </xf>
    <xf numFmtId="0" fontId="42" fillId="3" borderId="13" xfId="0" applyFont="1" applyFill="1" applyBorder="1" applyAlignment="1">
      <alignment horizontal="center" vertical="center"/>
    </xf>
    <xf numFmtId="3" fontId="42" fillId="3" borderId="13" xfId="0" applyNumberFormat="1" applyFont="1" applyFill="1" applyBorder="1" applyAlignment="1">
      <alignment horizontal="center" vertical="center"/>
    </xf>
    <xf numFmtId="0" fontId="41" fillId="15" borderId="13" xfId="0" applyFont="1" applyFill="1" applyBorder="1" applyAlignment="1">
      <alignment horizontal="center" vertical="center"/>
    </xf>
    <xf numFmtId="0" fontId="42" fillId="15" borderId="13" xfId="0" applyFont="1" applyFill="1" applyBorder="1" applyAlignment="1">
      <alignment horizontal="center" vertical="center"/>
    </xf>
    <xf numFmtId="3" fontId="42" fillId="15" borderId="13" xfId="0" applyNumberFormat="1" applyFont="1" applyFill="1" applyBorder="1" applyAlignment="1">
      <alignment horizontal="center" vertical="center"/>
    </xf>
    <xf numFmtId="0" fontId="42" fillId="15" borderId="11" xfId="0" applyFont="1" applyFill="1" applyBorder="1" applyAlignment="1">
      <alignment vertical="center" wrapText="1"/>
    </xf>
    <xf numFmtId="0" fontId="42" fillId="3" borderId="13" xfId="0" applyFont="1" applyFill="1" applyBorder="1" applyAlignment="1">
      <alignment vertical="center" wrapText="1"/>
    </xf>
    <xf numFmtId="0" fontId="42" fillId="15" borderId="13" xfId="0" applyFont="1" applyFill="1" applyBorder="1" applyAlignment="1">
      <alignment vertical="center" wrapText="1"/>
    </xf>
    <xf numFmtId="0" fontId="40" fillId="8" borderId="0" xfId="0" applyFont="1" applyFill="1" applyAlignment="1">
      <alignment horizontal="center" vertical="center"/>
    </xf>
    <xf numFmtId="0" fontId="21" fillId="9" borderId="18" xfId="0" applyFont="1" applyFill="1" applyBorder="1"/>
    <xf numFmtId="3" fontId="26" fillId="9" borderId="18" xfId="0" applyNumberFormat="1" applyFont="1" applyFill="1" applyBorder="1" applyAlignment="1">
      <alignment horizontal="center"/>
    </xf>
    <xf numFmtId="3" fontId="32" fillId="9" borderId="18" xfId="0" applyNumberFormat="1" applyFont="1" applyFill="1" applyBorder="1" applyAlignment="1">
      <alignment horizontal="center"/>
    </xf>
    <xf numFmtId="168" fontId="21" fillId="9" borderId="18" xfId="0" applyNumberFormat="1" applyFont="1" applyFill="1" applyBorder="1" applyAlignment="1">
      <alignment horizontal="center"/>
    </xf>
    <xf numFmtId="0" fontId="34" fillId="10" borderId="19" xfId="0" applyFont="1" applyFill="1" applyBorder="1"/>
    <xf numFmtId="3" fontId="28" fillId="10" borderId="19" xfId="0" applyNumberFormat="1" applyFont="1" applyFill="1" applyBorder="1" applyAlignment="1">
      <alignment horizontal="center"/>
    </xf>
    <xf numFmtId="168" fontId="33" fillId="10" borderId="19" xfId="0" applyNumberFormat="1" applyFont="1" applyFill="1" applyBorder="1" applyAlignment="1">
      <alignment horizontal="center"/>
    </xf>
    <xf numFmtId="3" fontId="26" fillId="9" borderId="20" xfId="0" applyNumberFormat="1" applyFont="1" applyFill="1" applyBorder="1" applyAlignment="1">
      <alignment horizontal="center"/>
    </xf>
    <xf numFmtId="3" fontId="32" fillId="9" borderId="20" xfId="0" applyNumberFormat="1" applyFont="1" applyFill="1" applyBorder="1" applyAlignment="1">
      <alignment horizontal="center"/>
    </xf>
    <xf numFmtId="3" fontId="26" fillId="10" borderId="20" xfId="0" applyNumberFormat="1" applyFont="1" applyFill="1" applyBorder="1" applyAlignment="1">
      <alignment horizontal="center"/>
    </xf>
    <xf numFmtId="3" fontId="32" fillId="10" borderId="20" xfId="0" applyNumberFormat="1" applyFont="1" applyFill="1" applyBorder="1" applyAlignment="1">
      <alignment horizontal="center"/>
    </xf>
    <xf numFmtId="0" fontId="21" fillId="9" borderId="20" xfId="0" applyFont="1" applyFill="1" applyBorder="1"/>
    <xf numFmtId="0" fontId="21" fillId="10" borderId="20" xfId="0" applyFont="1" applyFill="1" applyBorder="1"/>
    <xf numFmtId="168" fontId="21" fillId="9" borderId="20" xfId="0" applyNumberFormat="1" applyFont="1" applyFill="1" applyBorder="1" applyAlignment="1">
      <alignment horizontal="center"/>
    </xf>
    <xf numFmtId="168" fontId="21" fillId="10" borderId="20" xfId="0" applyNumberFormat="1" applyFont="1" applyFill="1" applyBorder="1" applyAlignment="1">
      <alignment horizontal="center"/>
    </xf>
    <xf numFmtId="0" fontId="27" fillId="8" borderId="0" xfId="0" applyFont="1" applyFill="1"/>
    <xf numFmtId="0" fontId="10" fillId="9" borderId="0" xfId="0" applyFont="1" applyFill="1"/>
    <xf numFmtId="0" fontId="44" fillId="5" borderId="0" xfId="0" applyFont="1" applyFill="1" applyAlignment="1">
      <alignment horizontal="center"/>
    </xf>
    <xf numFmtId="0" fontId="45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2" fillId="3" borderId="2" xfId="0" applyNumberFormat="1" applyFont="1" applyFill="1" applyBorder="1" applyAlignment="1">
      <alignment vertical="center" wrapText="1"/>
    </xf>
    <xf numFmtId="49" fontId="11" fillId="3" borderId="1" xfId="0" quotePrefix="1" applyNumberFormat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vertical="center"/>
    </xf>
    <xf numFmtId="49" fontId="35" fillId="4" borderId="1" xfId="0" applyNumberFormat="1" applyFont="1" applyFill="1" applyBorder="1" applyAlignment="1">
      <alignment horizontal="center" vertical="center"/>
    </xf>
    <xf numFmtId="166" fontId="35" fillId="4" borderId="1" xfId="0" applyNumberFormat="1" applyFont="1" applyFill="1" applyBorder="1" applyAlignment="1">
      <alignment horizontal="center" vertical="center"/>
    </xf>
    <xf numFmtId="3" fontId="35" fillId="4" borderId="1" xfId="0" applyNumberFormat="1" applyFont="1" applyFill="1" applyBorder="1" applyAlignment="1">
      <alignment horizontal="center" vertical="center"/>
    </xf>
    <xf numFmtId="1" fontId="35" fillId="4" borderId="1" xfId="0" applyNumberFormat="1" applyFont="1" applyFill="1" applyBorder="1" applyAlignment="1">
      <alignment horizontal="center" vertical="center"/>
    </xf>
    <xf numFmtId="0" fontId="35" fillId="3" borderId="1" xfId="0" applyFont="1" applyFill="1" applyBorder="1" applyAlignment="1">
      <alignment horizontal="center" vertical="center"/>
    </xf>
    <xf numFmtId="49" fontId="43" fillId="3" borderId="1" xfId="0" applyNumberFormat="1" applyFont="1" applyFill="1" applyBorder="1" applyAlignment="1">
      <alignment vertical="center"/>
    </xf>
    <xf numFmtId="49" fontId="35" fillId="3" borderId="1" xfId="0" applyNumberFormat="1" applyFont="1" applyFill="1" applyBorder="1" applyAlignment="1">
      <alignment horizontal="center" vertical="center"/>
    </xf>
    <xf numFmtId="166" fontId="35" fillId="3" borderId="1" xfId="0" applyNumberFormat="1" applyFont="1" applyFill="1" applyBorder="1" applyAlignment="1">
      <alignment horizontal="center" vertical="center"/>
    </xf>
    <xf numFmtId="165" fontId="35" fillId="3" borderId="1" xfId="2" applyNumberFormat="1" applyFont="1" applyFill="1" applyBorder="1" applyAlignment="1">
      <alignment vertical="center"/>
    </xf>
    <xf numFmtId="3" fontId="35" fillId="3" borderId="1" xfId="0" applyNumberFormat="1" applyFont="1" applyFill="1" applyBorder="1" applyAlignment="1">
      <alignment horizontal="center" vertical="center"/>
    </xf>
    <xf numFmtId="1" fontId="35" fillId="3" borderId="1" xfId="0" applyNumberFormat="1" applyFont="1" applyFill="1" applyBorder="1" applyAlignment="1">
      <alignment horizontal="center" vertical="center"/>
    </xf>
    <xf numFmtId="0" fontId="35" fillId="3" borderId="1" xfId="0" applyFont="1" applyFill="1" applyBorder="1" applyAlignment="1">
      <alignment vertical="center"/>
    </xf>
    <xf numFmtId="49" fontId="35" fillId="4" borderId="0" xfId="0" applyNumberFormat="1" applyFont="1" applyFill="1" applyAlignment="1">
      <alignment horizontal="center" vertical="center"/>
    </xf>
    <xf numFmtId="0" fontId="35" fillId="3" borderId="2" xfId="0" applyFont="1" applyFill="1" applyBorder="1" applyAlignment="1">
      <alignment horizontal="center" vertical="center"/>
    </xf>
    <xf numFmtId="0" fontId="35" fillId="3" borderId="2" xfId="0" applyFont="1" applyFill="1" applyBorder="1" applyAlignment="1">
      <alignment vertical="center"/>
    </xf>
    <xf numFmtId="49" fontId="35" fillId="3" borderId="2" xfId="0" applyNumberFormat="1" applyFont="1" applyFill="1" applyBorder="1" applyAlignment="1">
      <alignment horizontal="center" vertical="center"/>
    </xf>
    <xf numFmtId="166" fontId="35" fillId="3" borderId="2" xfId="0" applyNumberFormat="1" applyFont="1" applyFill="1" applyBorder="1" applyAlignment="1">
      <alignment horizontal="center" vertical="center"/>
    </xf>
    <xf numFmtId="3" fontId="35" fillId="3" borderId="2" xfId="0" applyNumberFormat="1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5" fillId="4" borderId="2" xfId="0" applyFont="1" applyFill="1" applyBorder="1" applyAlignment="1">
      <alignment horizontal="center" vertical="center"/>
    </xf>
    <xf numFmtId="49" fontId="43" fillId="4" borderId="2" xfId="0" applyNumberFormat="1" applyFont="1" applyFill="1" applyBorder="1" applyAlignment="1">
      <alignment vertical="center"/>
    </xf>
    <xf numFmtId="0" fontId="43" fillId="4" borderId="1" xfId="0" applyFont="1" applyFill="1" applyBorder="1" applyAlignment="1">
      <alignment horizontal="center" vertical="center"/>
    </xf>
    <xf numFmtId="49" fontId="35" fillId="4" borderId="2" xfId="0" applyNumberFormat="1" applyFont="1" applyFill="1" applyBorder="1" applyAlignment="1">
      <alignment horizontal="center" vertical="center"/>
    </xf>
    <xf numFmtId="166" fontId="35" fillId="4" borderId="2" xfId="0" applyNumberFormat="1" applyFont="1" applyFill="1" applyBorder="1" applyAlignment="1">
      <alignment horizontal="center" vertical="center"/>
    </xf>
    <xf numFmtId="165" fontId="35" fillId="4" borderId="2" xfId="2" applyNumberFormat="1" applyFont="1" applyFill="1" applyBorder="1" applyAlignment="1">
      <alignment vertical="center"/>
    </xf>
    <xf numFmtId="3" fontId="35" fillId="4" borderId="2" xfId="0" applyNumberFormat="1" applyFont="1" applyFill="1" applyBorder="1" applyAlignment="1">
      <alignment horizontal="center" vertical="center"/>
    </xf>
    <xf numFmtId="1" fontId="35" fillId="4" borderId="2" xfId="0" applyNumberFormat="1" applyFont="1" applyFill="1" applyBorder="1" applyAlignment="1">
      <alignment horizontal="center" vertical="center"/>
    </xf>
    <xf numFmtId="0" fontId="35" fillId="4" borderId="2" xfId="0" applyFont="1" applyFill="1" applyBorder="1" applyAlignment="1">
      <alignment vertical="center"/>
    </xf>
    <xf numFmtId="164" fontId="11" fillId="18" borderId="1" xfId="0" applyNumberFormat="1" applyFont="1" applyFill="1" applyBorder="1" applyAlignment="1">
      <alignment horizontal="center" vertical="center"/>
    </xf>
    <xf numFmtId="164" fontId="35" fillId="18" borderId="1" xfId="0" applyNumberFormat="1" applyFont="1" applyFill="1" applyBorder="1" applyAlignment="1">
      <alignment horizontal="center" vertical="center"/>
    </xf>
    <xf numFmtId="164" fontId="35" fillId="18" borderId="2" xfId="0" applyNumberFormat="1" applyFont="1" applyFill="1" applyBorder="1" applyAlignment="1">
      <alignment horizontal="center" vertical="center"/>
    </xf>
    <xf numFmtId="164" fontId="11" fillId="18" borderId="2" xfId="0" applyNumberFormat="1" applyFont="1" applyFill="1" applyBorder="1" applyAlignment="1">
      <alignment horizontal="center" vertical="center"/>
    </xf>
    <xf numFmtId="165" fontId="11" fillId="18" borderId="1" xfId="2" applyNumberFormat="1" applyFont="1" applyFill="1" applyBorder="1" applyAlignment="1">
      <alignment vertical="center"/>
    </xf>
    <xf numFmtId="165" fontId="35" fillId="18" borderId="1" xfId="2" applyNumberFormat="1" applyFont="1" applyFill="1" applyBorder="1" applyAlignment="1">
      <alignment vertical="center"/>
    </xf>
    <xf numFmtId="165" fontId="11" fillId="18" borderId="1" xfId="0" applyNumberFormat="1" applyFont="1" applyFill="1" applyBorder="1" applyAlignment="1">
      <alignment vertical="center"/>
    </xf>
    <xf numFmtId="165" fontId="11" fillId="18" borderId="2" xfId="2" applyNumberFormat="1" applyFont="1" applyFill="1" applyBorder="1" applyAlignment="1">
      <alignment vertical="center"/>
    </xf>
    <xf numFmtId="165" fontId="35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5" fillId="4" borderId="23" xfId="0" applyFont="1" applyFill="1" applyBorder="1" applyAlignment="1">
      <alignment vertical="center"/>
    </xf>
    <xf numFmtId="0" fontId="35" fillId="4" borderId="23" xfId="0" applyFont="1" applyFill="1" applyBorder="1" applyAlignment="1">
      <alignment horizontal="center" vertical="center"/>
    </xf>
    <xf numFmtId="49" fontId="43" fillId="4" borderId="23" xfId="0" applyNumberFormat="1" applyFont="1" applyFill="1" applyBorder="1" applyAlignment="1">
      <alignment vertical="center"/>
    </xf>
    <xf numFmtId="0" fontId="43" fillId="4" borderId="23" xfId="0" applyFont="1" applyFill="1" applyBorder="1" applyAlignment="1">
      <alignment horizontal="center" vertical="center"/>
    </xf>
    <xf numFmtId="49" fontId="35" fillId="4" borderId="23" xfId="0" applyNumberFormat="1" applyFont="1" applyFill="1" applyBorder="1" applyAlignment="1">
      <alignment horizontal="center" vertical="center"/>
    </xf>
    <xf numFmtId="166" fontId="35" fillId="4" borderId="23" xfId="0" applyNumberFormat="1" applyFont="1" applyFill="1" applyBorder="1" applyAlignment="1">
      <alignment horizontal="center" vertical="center"/>
    </xf>
    <xf numFmtId="164" fontId="35" fillId="18" borderId="23" xfId="0" applyNumberFormat="1" applyFont="1" applyFill="1" applyBorder="1" applyAlignment="1">
      <alignment horizontal="center" vertical="center"/>
    </xf>
    <xf numFmtId="3" fontId="35" fillId="4" borderId="23" xfId="0" applyNumberFormat="1" applyFont="1" applyFill="1" applyBorder="1" applyAlignment="1">
      <alignment horizontal="center" vertical="center"/>
    </xf>
    <xf numFmtId="1" fontId="35" fillId="4" borderId="23" xfId="0" applyNumberFormat="1" applyFont="1" applyFill="1" applyBorder="1" applyAlignment="1">
      <alignment horizontal="center" vertical="center"/>
    </xf>
    <xf numFmtId="0" fontId="35" fillId="3" borderId="23" xfId="0" applyFont="1" applyFill="1" applyBorder="1" applyAlignment="1">
      <alignment vertical="center"/>
    </xf>
    <xf numFmtId="0" fontId="35" fillId="3" borderId="23" xfId="0" applyFont="1" applyFill="1" applyBorder="1" applyAlignment="1">
      <alignment horizontal="center" vertical="center"/>
    </xf>
    <xf numFmtId="49" fontId="43" fillId="3" borderId="23" xfId="0" applyNumberFormat="1" applyFont="1" applyFill="1" applyBorder="1" applyAlignment="1">
      <alignment vertical="center"/>
    </xf>
    <xf numFmtId="0" fontId="43" fillId="3" borderId="23" xfId="0" applyFont="1" applyFill="1" applyBorder="1" applyAlignment="1">
      <alignment horizontal="center" vertical="center"/>
    </xf>
    <xf numFmtId="49" fontId="35" fillId="3" borderId="23" xfId="0" applyNumberFormat="1" applyFont="1" applyFill="1" applyBorder="1" applyAlignment="1">
      <alignment horizontal="center" vertical="center"/>
    </xf>
    <xf numFmtId="166" fontId="35" fillId="3" borderId="23" xfId="0" applyNumberFormat="1" applyFont="1" applyFill="1" applyBorder="1" applyAlignment="1">
      <alignment horizontal="center" vertical="center"/>
    </xf>
    <xf numFmtId="165" fontId="35" fillId="18" borderId="23" xfId="2" applyNumberFormat="1" applyFont="1" applyFill="1" applyBorder="1" applyAlignment="1">
      <alignment vertical="center"/>
    </xf>
    <xf numFmtId="1" fontId="35" fillId="3" borderId="23" xfId="0" applyNumberFormat="1" applyFont="1" applyFill="1" applyBorder="1" applyAlignment="1">
      <alignment horizontal="center" vertical="center"/>
    </xf>
    <xf numFmtId="3" fontId="35" fillId="3" borderId="23" xfId="0" applyNumberFormat="1" applyFont="1" applyFill="1" applyBorder="1" applyAlignment="1">
      <alignment horizontal="center" vertical="center"/>
    </xf>
    <xf numFmtId="0" fontId="11" fillId="17" borderId="1" xfId="0" applyFont="1" applyFill="1" applyBorder="1" applyAlignment="1">
      <alignment horizontal="center" vertical="center"/>
    </xf>
    <xf numFmtId="0" fontId="11" fillId="17" borderId="0" xfId="0" applyFont="1" applyFill="1" applyAlignment="1">
      <alignment horizontal="center" vertical="center"/>
    </xf>
    <xf numFmtId="0" fontId="11" fillId="3" borderId="2" xfId="0" applyFont="1" applyFill="1" applyBorder="1" applyAlignment="1">
      <alignment horizontal="center" vertical="center" wrapText="1"/>
    </xf>
    <xf numFmtId="166" fontId="42" fillId="15" borderId="11" xfId="0" applyNumberFormat="1" applyFont="1" applyFill="1" applyBorder="1" applyAlignment="1">
      <alignment horizontal="center" vertical="center"/>
    </xf>
    <xf numFmtId="166" fontId="42" fillId="3" borderId="13" xfId="0" applyNumberFormat="1" applyFont="1" applyFill="1" applyBorder="1" applyAlignment="1">
      <alignment horizontal="center" vertical="center"/>
    </xf>
    <xf numFmtId="166" fontId="42" fillId="15" borderId="13" xfId="0" applyNumberFormat="1" applyFont="1" applyFill="1" applyBorder="1" applyAlignment="1">
      <alignment horizontal="center" vertical="center"/>
    </xf>
    <xf numFmtId="0" fontId="46" fillId="14" borderId="13" xfId="0" applyFont="1" applyFill="1" applyBorder="1" applyAlignment="1">
      <alignment horizontal="center"/>
    </xf>
    <xf numFmtId="166" fontId="46" fillId="14" borderId="13" xfId="0" applyNumberFormat="1" applyFont="1" applyFill="1" applyBorder="1" applyAlignment="1">
      <alignment horizontal="center"/>
    </xf>
    <xf numFmtId="0" fontId="46" fillId="14" borderId="13" xfId="0" applyFont="1" applyFill="1" applyBorder="1"/>
    <xf numFmtId="3" fontId="46" fillId="14" borderId="13" xfId="0" applyNumberFormat="1" applyFont="1" applyFill="1" applyBorder="1" applyAlignment="1">
      <alignment horizontal="center"/>
    </xf>
    <xf numFmtId="0" fontId="46" fillId="14" borderId="12" xfId="0" applyFont="1" applyFill="1" applyBorder="1" applyAlignment="1">
      <alignment horizontal="center"/>
    </xf>
    <xf numFmtId="166" fontId="46" fillId="14" borderId="12" xfId="0" applyNumberFormat="1" applyFont="1" applyFill="1" applyBorder="1" applyAlignment="1">
      <alignment horizontal="center"/>
    </xf>
    <xf numFmtId="0" fontId="46" fillId="14" borderId="12" xfId="0" applyFont="1" applyFill="1" applyBorder="1"/>
    <xf numFmtId="3" fontId="46" fillId="14" borderId="12" xfId="0" applyNumberFormat="1" applyFont="1" applyFill="1" applyBorder="1" applyAlignment="1">
      <alignment horizontal="center"/>
    </xf>
    <xf numFmtId="49" fontId="43" fillId="16" borderId="23" xfId="0" applyNumberFormat="1" applyFont="1" applyFill="1" applyBorder="1" applyAlignment="1">
      <alignment vertical="center"/>
    </xf>
    <xf numFmtId="0" fontId="11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6" fillId="4" borderId="23" xfId="0" applyNumberFormat="1" applyFont="1" applyFill="1" applyBorder="1" applyAlignment="1">
      <alignment vertical="center"/>
    </xf>
    <xf numFmtId="49" fontId="6" fillId="3" borderId="23" xfId="0" applyNumberFormat="1" applyFont="1" applyFill="1" applyBorder="1" applyAlignment="1">
      <alignment vertical="center"/>
    </xf>
    <xf numFmtId="49" fontId="47" fillId="4" borderId="23" xfId="0" applyNumberFormat="1" applyFont="1" applyFill="1" applyBorder="1" applyAlignment="1">
      <alignment horizontal="center" vertical="center"/>
    </xf>
    <xf numFmtId="49" fontId="47" fillId="3" borderId="23" xfId="0" applyNumberFormat="1" applyFont="1" applyFill="1" applyBorder="1" applyAlignment="1">
      <alignment horizontal="center" vertical="center"/>
    </xf>
    <xf numFmtId="0" fontId="3" fillId="0" borderId="0" xfId="0" applyFont="1"/>
    <xf numFmtId="0" fontId="48" fillId="0" borderId="24" xfId="0" applyFont="1" applyBorder="1" applyAlignment="1">
      <alignment horizontal="center"/>
    </xf>
    <xf numFmtId="167" fontId="48" fillId="0" borderId="24" xfId="0" applyNumberFormat="1" applyFont="1" applyBorder="1" applyAlignment="1">
      <alignment horizontal="center"/>
    </xf>
    <xf numFmtId="0" fontId="0" fillId="0" borderId="24" xfId="0" applyBorder="1"/>
    <xf numFmtId="0" fontId="10" fillId="21" borderId="24" xfId="0" applyFont="1" applyFill="1" applyBorder="1" applyAlignment="1">
      <alignment horizontal="right"/>
    </xf>
    <xf numFmtId="167" fontId="10" fillId="21" borderId="24" xfId="0" applyNumberFormat="1" applyFont="1" applyFill="1" applyBorder="1" applyAlignment="1">
      <alignment horizontal="center"/>
    </xf>
    <xf numFmtId="0" fontId="27" fillId="8" borderId="0" xfId="0" applyFont="1" applyFill="1" applyAlignment="1">
      <alignment horizontal="center"/>
    </xf>
    <xf numFmtId="0" fontId="10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2" fillId="0" borderId="0" xfId="0" applyFont="1"/>
    <xf numFmtId="0" fontId="1" fillId="0" borderId="0" xfId="0" applyFont="1"/>
    <xf numFmtId="0" fontId="23" fillId="6" borderId="0" xfId="0" applyFont="1" applyFill="1" applyAlignment="1">
      <alignment horizontal="center"/>
    </xf>
    <xf numFmtId="0" fontId="0" fillId="0" borderId="0" xfId="0"/>
    <xf numFmtId="0" fontId="20" fillId="8" borderId="0" xfId="0" applyFont="1" applyFill="1" applyAlignment="1">
      <alignment horizontal="center"/>
    </xf>
    <xf numFmtId="0" fontId="18" fillId="6" borderId="5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11" borderId="5" xfId="0" applyFont="1" applyFill="1" applyBorder="1" applyAlignment="1">
      <alignment horizontal="center"/>
    </xf>
    <xf numFmtId="0" fontId="18" fillId="11" borderId="7" xfId="0" applyFont="1" applyFill="1" applyBorder="1" applyAlignment="1">
      <alignment horizontal="center"/>
    </xf>
    <xf numFmtId="0" fontId="16" fillId="0" borderId="0" xfId="0" applyFont="1"/>
    <xf numFmtId="0" fontId="17" fillId="0" borderId="0" xfId="0" applyFont="1"/>
    <xf numFmtId="0" fontId="36" fillId="8" borderId="0" xfId="0" applyFont="1" applyFill="1" applyAlignment="1">
      <alignment horizontal="left"/>
    </xf>
    <xf numFmtId="0" fontId="38" fillId="9" borderId="14" xfId="0" applyFont="1" applyFill="1" applyBorder="1" applyAlignment="1">
      <alignment horizontal="center" vertical="center"/>
    </xf>
    <xf numFmtId="0" fontId="38" fillId="9" borderId="16" xfId="0" applyFont="1" applyFill="1" applyBorder="1" applyAlignment="1">
      <alignment horizontal="center" vertical="center"/>
    </xf>
    <xf numFmtId="3" fontId="39" fillId="3" borderId="15" xfId="0" applyNumberFormat="1" applyFont="1" applyFill="1" applyBorder="1" applyAlignment="1">
      <alignment horizontal="center" vertical="center"/>
    </xf>
    <xf numFmtId="0" fontId="39" fillId="3" borderId="17" xfId="0" applyFont="1" applyFill="1" applyBorder="1" applyAlignment="1">
      <alignment horizontal="center" vertical="center"/>
    </xf>
    <xf numFmtId="0" fontId="39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1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BEFF1"/>
        </patternFill>
      </fill>
    </dxf>
    <dxf>
      <fill>
        <patternFill patternType="solid">
          <fgColor indexed="64"/>
          <bgColor rgb="FFEA9999"/>
        </patternFill>
      </fill>
    </dxf>
    <dxf>
      <fill>
        <patternFill patternType="solid">
          <fgColor indexed="64"/>
          <bgColor rgb="FFF9CB9C"/>
        </patternFill>
      </fill>
    </dxf>
    <dxf>
      <fill>
        <patternFill patternType="solid">
          <fgColor indexed="64"/>
          <bgColor rgb="FFB7E1C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60"/>
      <tableStyleElement type="firstRowStripe" dxfId="59"/>
      <tableStyleElement type="secondRowStripe" dxfId="58"/>
    </tableStyle>
    <tableStyle name="Ações InCompany-style" pivot="0" count="3" xr9:uid="{00000000-0011-0000-FFFF-FFFF01000000}">
      <tableStyleElement type="headerRow" dxfId="57"/>
      <tableStyleElement type="firstRowStripe" dxfId="56"/>
      <tableStyleElement type="secondRowStripe" dxfId="55"/>
    </tableStyle>
    <tableStyle name="Coffee Break-style" pivot="0" count="3" xr9:uid="{00000000-0011-0000-FFFF-FFFF02000000}">
      <tableStyleElement type="headerRow" dxfId="54"/>
      <tableStyleElement type="firstRowStripe" dxfId="53"/>
      <tableStyleElement type="secondRowStripe" dxfId="52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9</c:v>
                </c:pt>
                <c:pt idx="1">
                  <c:v>8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255</c:v>
                </c:pt>
                <c:pt idx="1">
                  <c:v>348</c:v>
                </c:pt>
                <c:pt idx="2">
                  <c:v>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2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1" dataDxfId="50" totalsRowDxfId="49" totalsRowBorderDxfId="48">
  <autoFilter ref="B1:T684" xr:uid="{D1BD5F14-CD6F-4B62-85D2-128A9D3B5FF1}">
    <filterColumn colId="0">
      <filters>
        <filter val="2026"/>
      </filters>
    </filterColumn>
  </autoFilter>
  <sortState xmlns:xlrd2="http://schemas.microsoft.com/office/spreadsheetml/2017/richdata2" ref="B657:T684">
    <sortCondition ref="I1:I684"/>
  </sortState>
  <tableColumns count="19">
    <tableColumn id="2" xr3:uid="{19532738-24D5-4BD5-BE04-C19DCC5894A1}" name="Ano" dataDxfId="47" totalsRowDxfId="46"/>
    <tableColumn id="3" xr3:uid="{8DE0B36A-F0DC-47A1-A74E-F4BE63A4FB1D}" name="Status Evento" dataDxfId="45" totalsRowDxfId="44"/>
    <tableColumn id="4" xr3:uid="{C1159FBD-CCD0-4CA2-BB8C-598E3AB5DDD8}" name="Processo" dataDxfId="43" totalsRowDxfId="42"/>
    <tableColumn id="5" xr3:uid="{A32670A4-BE4F-480D-8DE9-8FF18024C829}" name="Curso" dataDxfId="41" totalsRowDxfId="40"/>
    <tableColumn id="8" xr3:uid="{905DEA0A-D099-47EA-972D-1012D71C7792}" name="Público-Alvo" dataDxfId="39" totalsRowDxfId="38"/>
    <tableColumn id="9" xr3:uid="{7DC0A0BE-8030-47CA-AF56-2C13C9FF7AE5}" name="Programa" dataDxfId="37" totalsRowDxfId="36"/>
    <tableColumn id="11" xr3:uid="{2B799ACD-69E4-46A5-9A4F-F7E3D7A47CE9}" name="Data TXT" dataDxfId="35" totalsRowDxfId="34"/>
    <tableColumn id="12" xr3:uid="{62016C67-3729-4C41-B72D-09D6616B7474}" name="Início" dataDxfId="33" totalsRowDxfId="32"/>
    <tableColumn id="13" xr3:uid="{E4F20518-0042-40C0-B590-B7616F2843A5}" name="Término" dataDxfId="31" totalsRowDxfId="30"/>
    <tableColumn id="14" xr3:uid="{4D6C4412-CFEE-4506-830E-F79FD008371B}" name="Modalidade" dataDxfId="29" totalsRowDxfId="28"/>
    <tableColumn id="15" xr3:uid="{12EC931A-E71B-4AEB-B20B-0F9EA63D0C71}" name="Valor instrutoria" dataDxfId="27" totalsRowDxfId="26" dataCellStyle="Moeda"/>
    <tableColumn id="17" xr3:uid="{8FCDFADA-4FA3-41E0-86FF-E623116BAFEB}" name="Nota Av. Reação" dataDxfId="25" totalsRowDxfId="24"/>
    <tableColumn id="19" xr3:uid="{316EB379-BB97-4F60-9566-576B25A26B0E}" name="Qtd Vagas" dataDxfId="23" totalsRowDxfId="22"/>
    <tableColumn id="20" xr3:uid="{59A9FB16-6726-411C-88B5-8165DD520DA3}" name="P. Servidores" dataDxfId="21" totalsRowDxfId="20"/>
    <tableColumn id="21" xr3:uid="{0246E091-ADCD-4F62-8F95-84B21E8A7BE1}" name="P. Jurisdicionados" dataDxfId="19" totalsRowDxfId="18"/>
    <tableColumn id="22" xr3:uid="{1B6DBD6D-C072-4600-81C1-69D6F4422D7D}" name="P. Sociedade" dataDxfId="17" totalsRowDxfId="16"/>
    <tableColumn id="23" xr3:uid="{109F7E4E-776C-4249-88BE-FEC3A375D7D9}" name="Total Part." dataDxfId="15" totalsRowDxfId="14"/>
    <tableColumn id="24" xr3:uid="{C67AA4C6-834C-4EBB-839B-EF0CDD50F649}" name="C.H." dataDxfId="13" totalsRowDxfId="12"/>
    <tableColumn id="26" xr3:uid="{973608F6-3E97-493C-AC61-980F73C13CD6}" name="Instrutor" dataDxfId="11" totalsRowDxfId="10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78" zoomScaleNormal="100" workbookViewId="0">
      <pane xSplit="3" topLeftCell="D1" activePane="topRight" state="frozen"/>
      <selection pane="topRight" activeCell="L679" sqref="L679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710937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101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hidden="1" customHeight="1" x14ac:dyDescent="0.25">
      <c r="A2" s="20" t="s">
        <v>20</v>
      </c>
      <c r="B2" s="22">
        <v>2014</v>
      </c>
      <c r="C2" s="97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93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2" ht="23.25" hidden="1" customHeight="1" x14ac:dyDescent="0.25">
      <c r="A3" s="21" t="s">
        <v>27</v>
      </c>
      <c r="B3" s="24">
        <v>2014</v>
      </c>
      <c r="C3" s="97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94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2" ht="23.25" hidden="1" customHeight="1" x14ac:dyDescent="0.25">
      <c r="A4" s="20" t="s">
        <v>30</v>
      </c>
      <c r="B4" s="22">
        <v>2014</v>
      </c>
      <c r="C4" s="97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93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2" ht="23.25" hidden="1" customHeight="1" x14ac:dyDescent="0.25">
      <c r="A5" s="21" t="s">
        <v>35</v>
      </c>
      <c r="B5" s="24">
        <v>2014</v>
      </c>
      <c r="C5" s="97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94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2" ht="23.25" hidden="1" customHeight="1" x14ac:dyDescent="0.25">
      <c r="A6" s="20" t="s">
        <v>39</v>
      </c>
      <c r="B6" s="22">
        <v>2014</v>
      </c>
      <c r="C6" s="97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93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2" ht="23.25" hidden="1" customHeight="1" x14ac:dyDescent="0.25">
      <c r="A7" s="21" t="s">
        <v>42</v>
      </c>
      <c r="B7" s="24">
        <v>2014</v>
      </c>
      <c r="C7" s="97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94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2" ht="23.25" hidden="1" customHeight="1" x14ac:dyDescent="0.25">
      <c r="A8" s="20" t="s">
        <v>45</v>
      </c>
      <c r="B8" s="22">
        <v>2014</v>
      </c>
      <c r="C8" s="97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93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2" ht="23.25" hidden="1" customHeight="1" x14ac:dyDescent="0.25">
      <c r="A9" s="21" t="s">
        <v>47</v>
      </c>
      <c r="B9" s="24">
        <v>2014</v>
      </c>
      <c r="C9" s="97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94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2" ht="23.25" hidden="1" customHeight="1" x14ac:dyDescent="0.25">
      <c r="A10" s="20" t="s">
        <v>50</v>
      </c>
      <c r="B10" s="22">
        <v>2014</v>
      </c>
      <c r="C10" s="97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93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2" ht="23.25" hidden="1" customHeight="1" x14ac:dyDescent="0.25">
      <c r="A11" s="21" t="s">
        <v>53</v>
      </c>
      <c r="B11" s="24">
        <v>2015</v>
      </c>
      <c r="C11" s="97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94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57</v>
      </c>
    </row>
    <row r="12" spans="1:22" ht="23.25" hidden="1" customHeight="1" x14ac:dyDescent="0.25">
      <c r="A12" s="20" t="s">
        <v>58</v>
      </c>
      <c r="B12" s="22">
        <v>2015</v>
      </c>
      <c r="C12" s="97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93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63</v>
      </c>
    </row>
    <row r="13" spans="1:22" ht="23.25" hidden="1" customHeight="1" x14ac:dyDescent="0.25">
      <c r="A13" s="21" t="s">
        <v>64</v>
      </c>
      <c r="B13" s="24">
        <v>2015</v>
      </c>
      <c r="C13" s="97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94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68</v>
      </c>
    </row>
    <row r="14" spans="1:22" ht="23.25" hidden="1" customHeight="1" x14ac:dyDescent="0.25">
      <c r="A14" s="20" t="s">
        <v>69</v>
      </c>
      <c r="B14" s="22">
        <v>2015</v>
      </c>
      <c r="C14" s="97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93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73</v>
      </c>
    </row>
    <row r="15" spans="1:22" ht="23.25" hidden="1" customHeight="1" x14ac:dyDescent="0.25">
      <c r="A15" s="21" t="s">
        <v>74</v>
      </c>
      <c r="B15" s="24">
        <v>2015</v>
      </c>
      <c r="C15" s="97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94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73</v>
      </c>
    </row>
    <row r="16" spans="1:22" ht="23.25" hidden="1" customHeight="1" x14ac:dyDescent="0.25">
      <c r="A16" s="20" t="s">
        <v>78</v>
      </c>
      <c r="B16" s="22">
        <v>2015</v>
      </c>
      <c r="C16" s="97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93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hidden="1" customHeight="1" x14ac:dyDescent="0.25">
      <c r="A17" s="21" t="s">
        <v>83</v>
      </c>
      <c r="B17" s="24">
        <v>2015</v>
      </c>
      <c r="C17" s="97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94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87</v>
      </c>
    </row>
    <row r="18" spans="1:20" ht="23.25" hidden="1" customHeight="1" x14ac:dyDescent="0.25">
      <c r="A18" s="20" t="s">
        <v>88</v>
      </c>
      <c r="B18" s="22">
        <v>2015</v>
      </c>
      <c r="C18" s="97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93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92</v>
      </c>
    </row>
    <row r="19" spans="1:20" ht="23.25" hidden="1" customHeight="1" x14ac:dyDescent="0.25">
      <c r="A19" s="21" t="s">
        <v>93</v>
      </c>
      <c r="B19" s="24">
        <v>2015</v>
      </c>
      <c r="C19" s="97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94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97</v>
      </c>
    </row>
    <row r="20" spans="1:20" ht="23.25" hidden="1" customHeight="1" x14ac:dyDescent="0.25">
      <c r="A20" s="20" t="s">
        <v>98</v>
      </c>
      <c r="B20" s="22">
        <v>2015</v>
      </c>
      <c r="C20" s="97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93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102</v>
      </c>
    </row>
    <row r="21" spans="1:20" ht="23.25" hidden="1" customHeight="1" x14ac:dyDescent="0.25">
      <c r="A21" s="21" t="s">
        <v>103</v>
      </c>
      <c r="B21" s="24">
        <v>2015</v>
      </c>
      <c r="C21" s="97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94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107</v>
      </c>
    </row>
    <row r="22" spans="1:20" ht="23.25" hidden="1" customHeight="1" x14ac:dyDescent="0.25">
      <c r="A22" s="20" t="s">
        <v>108</v>
      </c>
      <c r="B22" s="22">
        <v>2015</v>
      </c>
      <c r="C22" s="97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93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112</v>
      </c>
    </row>
    <row r="23" spans="1:20" ht="23.25" hidden="1" customHeight="1" x14ac:dyDescent="0.25">
      <c r="A23" s="21" t="s">
        <v>113</v>
      </c>
      <c r="B23" s="24">
        <v>2015</v>
      </c>
      <c r="C23" s="97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94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117</v>
      </c>
    </row>
    <row r="24" spans="1:20" ht="23.25" hidden="1" customHeight="1" x14ac:dyDescent="0.25">
      <c r="A24" s="20" t="s">
        <v>118</v>
      </c>
      <c r="B24" s="22">
        <v>2015</v>
      </c>
      <c r="C24" s="97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93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122</v>
      </c>
    </row>
    <row r="25" spans="1:20" ht="23.25" hidden="1" customHeight="1" x14ac:dyDescent="0.25">
      <c r="A25" s="21" t="s">
        <v>123</v>
      </c>
      <c r="B25" s="24">
        <v>2015</v>
      </c>
      <c r="C25" s="97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94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127</v>
      </c>
    </row>
    <row r="26" spans="1:20" ht="23.25" hidden="1" customHeight="1" x14ac:dyDescent="0.25">
      <c r="A26" s="20" t="s">
        <v>128</v>
      </c>
      <c r="B26" s="22">
        <v>2015</v>
      </c>
      <c r="C26" s="97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93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132</v>
      </c>
    </row>
    <row r="27" spans="1:20" ht="23.25" hidden="1" customHeight="1" x14ac:dyDescent="0.25">
      <c r="A27" s="21" t="s">
        <v>133</v>
      </c>
      <c r="B27" s="24">
        <v>2015</v>
      </c>
      <c r="C27" s="97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94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hidden="1" customHeight="1" x14ac:dyDescent="0.25">
      <c r="A28" s="20" t="s">
        <v>135</v>
      </c>
      <c r="B28" s="22">
        <v>2015</v>
      </c>
      <c r="C28" s="97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93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139</v>
      </c>
    </row>
    <row r="29" spans="1:20" ht="23.25" hidden="1" customHeight="1" x14ac:dyDescent="0.25">
      <c r="A29" s="21" t="s">
        <v>140</v>
      </c>
      <c r="B29" s="24">
        <v>2015</v>
      </c>
      <c r="C29" s="97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94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144</v>
      </c>
    </row>
    <row r="30" spans="1:20" ht="23.25" hidden="1" customHeight="1" x14ac:dyDescent="0.25">
      <c r="A30" s="20" t="s">
        <v>145</v>
      </c>
      <c r="B30" s="22">
        <v>2015</v>
      </c>
      <c r="C30" s="97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93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112</v>
      </c>
    </row>
    <row r="31" spans="1:20" ht="23.25" hidden="1" customHeight="1" x14ac:dyDescent="0.25">
      <c r="A31" s="21" t="s">
        <v>148</v>
      </c>
      <c r="B31" s="24">
        <v>2015</v>
      </c>
      <c r="C31" s="97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94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hidden="1" customHeight="1" x14ac:dyDescent="0.25">
      <c r="A32" s="20" t="s">
        <v>150</v>
      </c>
      <c r="B32" s="22">
        <v>2015</v>
      </c>
      <c r="C32" s="97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93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139</v>
      </c>
    </row>
    <row r="33" spans="1:20" ht="23.25" hidden="1" customHeight="1" x14ac:dyDescent="0.25">
      <c r="A33" s="21" t="s">
        <v>153</v>
      </c>
      <c r="B33" s="24">
        <v>2016</v>
      </c>
      <c r="C33" s="97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94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156</v>
      </c>
    </row>
    <row r="34" spans="1:20" ht="23.25" hidden="1" customHeight="1" x14ac:dyDescent="0.25">
      <c r="A34" s="20" t="s">
        <v>157</v>
      </c>
      <c r="B34" s="22">
        <v>2016</v>
      </c>
      <c r="C34" s="97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93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hidden="1" customHeight="1" x14ac:dyDescent="0.25">
      <c r="A35" s="21" t="s">
        <v>159</v>
      </c>
      <c r="B35" s="24">
        <v>2016</v>
      </c>
      <c r="C35" s="97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94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162</v>
      </c>
    </row>
    <row r="36" spans="1:20" ht="23.25" hidden="1" customHeight="1" x14ac:dyDescent="0.25">
      <c r="A36" s="20" t="s">
        <v>163</v>
      </c>
      <c r="B36" s="22">
        <v>2016</v>
      </c>
      <c r="C36" s="97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93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73</v>
      </c>
    </row>
    <row r="37" spans="1:20" ht="23.25" hidden="1" customHeight="1" x14ac:dyDescent="0.25">
      <c r="A37" s="21" t="s">
        <v>167</v>
      </c>
      <c r="B37" s="24">
        <v>2016</v>
      </c>
      <c r="C37" s="97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94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171</v>
      </c>
    </row>
    <row r="38" spans="1:20" ht="23.25" hidden="1" customHeight="1" x14ac:dyDescent="0.25">
      <c r="A38" s="20" t="s">
        <v>172</v>
      </c>
      <c r="B38" s="22">
        <v>2016</v>
      </c>
      <c r="C38" s="97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93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176</v>
      </c>
    </row>
    <row r="39" spans="1:20" ht="23.25" hidden="1" customHeight="1" x14ac:dyDescent="0.25">
      <c r="A39" s="21" t="s">
        <v>177</v>
      </c>
      <c r="B39" s="24">
        <v>2016</v>
      </c>
      <c r="C39" s="97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94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112</v>
      </c>
    </row>
    <row r="40" spans="1:20" ht="23.25" hidden="1" customHeight="1" x14ac:dyDescent="0.25">
      <c r="A40" s="20" t="s">
        <v>181</v>
      </c>
      <c r="B40" s="22">
        <v>2016</v>
      </c>
      <c r="C40" s="97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93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185</v>
      </c>
    </row>
    <row r="41" spans="1:20" ht="23.25" hidden="1" customHeight="1" x14ac:dyDescent="0.25">
      <c r="A41" s="21" t="s">
        <v>186</v>
      </c>
      <c r="B41" s="24">
        <v>2016</v>
      </c>
      <c r="C41" s="97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94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189</v>
      </c>
    </row>
    <row r="42" spans="1:20" ht="23.25" hidden="1" customHeight="1" x14ac:dyDescent="0.25">
      <c r="A42" s="20" t="s">
        <v>190</v>
      </c>
      <c r="B42" s="22">
        <v>2016</v>
      </c>
      <c r="C42" s="97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93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194</v>
      </c>
    </row>
    <row r="43" spans="1:20" ht="23.25" hidden="1" customHeight="1" x14ac:dyDescent="0.25">
      <c r="A43" s="21" t="s">
        <v>195</v>
      </c>
      <c r="B43" s="24">
        <v>2016</v>
      </c>
      <c r="C43" s="97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94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200</v>
      </c>
    </row>
    <row r="44" spans="1:20" ht="23.25" hidden="1" customHeight="1" x14ac:dyDescent="0.25">
      <c r="A44" s="20" t="s">
        <v>201</v>
      </c>
      <c r="B44" s="22">
        <v>2016</v>
      </c>
      <c r="C44" s="97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93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205</v>
      </c>
    </row>
    <row r="45" spans="1:20" ht="23.25" hidden="1" customHeight="1" x14ac:dyDescent="0.25">
      <c r="A45" s="21" t="s">
        <v>206</v>
      </c>
      <c r="B45" s="24">
        <v>2016</v>
      </c>
      <c r="C45" s="97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94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210</v>
      </c>
    </row>
    <row r="46" spans="1:20" ht="23.25" hidden="1" customHeight="1" x14ac:dyDescent="0.25">
      <c r="A46" s="20" t="s">
        <v>211</v>
      </c>
      <c r="B46" s="22">
        <v>2016</v>
      </c>
      <c r="C46" s="97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93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215</v>
      </c>
    </row>
    <row r="47" spans="1:20" ht="23.25" hidden="1" customHeight="1" x14ac:dyDescent="0.25">
      <c r="A47" s="21" t="s">
        <v>216</v>
      </c>
      <c r="B47" s="24">
        <v>2016</v>
      </c>
      <c r="C47" s="97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94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220</v>
      </c>
    </row>
    <row r="48" spans="1:20" ht="23.25" hidden="1" customHeight="1" x14ac:dyDescent="0.25">
      <c r="A48" s="20" t="s">
        <v>221</v>
      </c>
      <c r="B48" s="22">
        <v>2016</v>
      </c>
      <c r="C48" s="97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93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226</v>
      </c>
    </row>
    <row r="49" spans="1:20" ht="23.25" hidden="1" customHeight="1" x14ac:dyDescent="0.25">
      <c r="A49" s="21" t="s">
        <v>227</v>
      </c>
      <c r="B49" s="24">
        <v>2016</v>
      </c>
      <c r="C49" s="97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94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231</v>
      </c>
    </row>
    <row r="50" spans="1:20" ht="23.25" hidden="1" customHeight="1" x14ac:dyDescent="0.25">
      <c r="A50" s="20" t="s">
        <v>232</v>
      </c>
      <c r="B50" s="22">
        <v>2016</v>
      </c>
      <c r="C50" s="97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93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236</v>
      </c>
    </row>
    <row r="51" spans="1:20" ht="23.25" hidden="1" customHeight="1" x14ac:dyDescent="0.25">
      <c r="A51" s="21" t="s">
        <v>237</v>
      </c>
      <c r="B51" s="24">
        <v>2016</v>
      </c>
      <c r="C51" s="97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94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112</v>
      </c>
    </row>
    <row r="52" spans="1:20" ht="23.25" hidden="1" customHeight="1" x14ac:dyDescent="0.25">
      <c r="A52" s="20" t="s">
        <v>240</v>
      </c>
      <c r="B52" s="22">
        <v>2016</v>
      </c>
      <c r="C52" s="97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93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112</v>
      </c>
    </row>
    <row r="53" spans="1:20" ht="23.25" hidden="1" customHeight="1" x14ac:dyDescent="0.25">
      <c r="A53" s="21" t="s">
        <v>242</v>
      </c>
      <c r="B53" s="24">
        <v>2016</v>
      </c>
      <c r="C53" s="97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94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246</v>
      </c>
    </row>
    <row r="54" spans="1:20" ht="23.25" hidden="1" customHeight="1" x14ac:dyDescent="0.25">
      <c r="A54" s="20" t="s">
        <v>247</v>
      </c>
      <c r="B54" s="22">
        <v>2016</v>
      </c>
      <c r="C54" s="97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93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251</v>
      </c>
    </row>
    <row r="55" spans="1:20" ht="23.25" hidden="1" customHeight="1" x14ac:dyDescent="0.25">
      <c r="A55" s="21" t="s">
        <v>252</v>
      </c>
      <c r="B55" s="24">
        <v>2016</v>
      </c>
      <c r="C55" s="97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94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162</v>
      </c>
    </row>
    <row r="56" spans="1:20" ht="23.25" hidden="1" customHeight="1" x14ac:dyDescent="0.25">
      <c r="A56" s="20" t="s">
        <v>256</v>
      </c>
      <c r="B56" s="22">
        <v>2016</v>
      </c>
      <c r="C56" s="97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93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260</v>
      </c>
    </row>
    <row r="57" spans="1:20" ht="23.25" hidden="1" customHeight="1" x14ac:dyDescent="0.25">
      <c r="A57" s="21" t="s">
        <v>261</v>
      </c>
      <c r="B57" s="24">
        <v>2016</v>
      </c>
      <c r="C57" s="97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94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210</v>
      </c>
    </row>
    <row r="58" spans="1:20" ht="23.25" hidden="1" customHeight="1" x14ac:dyDescent="0.25">
      <c r="A58" s="20" t="s">
        <v>265</v>
      </c>
      <c r="B58" s="22">
        <v>2016</v>
      </c>
      <c r="C58" s="97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93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268</v>
      </c>
    </row>
    <row r="59" spans="1:20" ht="23.25" hidden="1" customHeight="1" x14ac:dyDescent="0.25">
      <c r="A59" s="21" t="s">
        <v>269</v>
      </c>
      <c r="B59" s="24">
        <v>2016</v>
      </c>
      <c r="C59" s="97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94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273</v>
      </c>
    </row>
    <row r="60" spans="1:20" ht="23.25" hidden="1" customHeight="1" x14ac:dyDescent="0.25">
      <c r="A60" s="20" t="s">
        <v>274</v>
      </c>
      <c r="B60" s="22">
        <v>2016</v>
      </c>
      <c r="C60" s="97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93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112</v>
      </c>
    </row>
    <row r="61" spans="1:20" ht="23.25" hidden="1" customHeight="1" x14ac:dyDescent="0.25">
      <c r="A61" s="21" t="s">
        <v>278</v>
      </c>
      <c r="B61" s="24">
        <v>2016</v>
      </c>
      <c r="C61" s="97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94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112</v>
      </c>
    </row>
    <row r="62" spans="1:20" ht="23.25" hidden="1" customHeight="1" x14ac:dyDescent="0.25">
      <c r="A62" s="20" t="s">
        <v>280</v>
      </c>
      <c r="B62" s="22">
        <v>2016</v>
      </c>
      <c r="C62" s="97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93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284</v>
      </c>
    </row>
    <row r="63" spans="1:20" ht="23.25" hidden="1" customHeight="1" x14ac:dyDescent="0.25">
      <c r="A63" s="21" t="s">
        <v>285</v>
      </c>
      <c r="B63" s="24">
        <v>2017</v>
      </c>
      <c r="C63" s="97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94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288</v>
      </c>
    </row>
    <row r="64" spans="1:20" ht="23.25" hidden="1" customHeight="1" x14ac:dyDescent="0.25">
      <c r="A64" s="20" t="s">
        <v>289</v>
      </c>
      <c r="B64" s="22">
        <v>2017</v>
      </c>
      <c r="C64" s="97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93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162</v>
      </c>
    </row>
    <row r="65" spans="1:20" ht="23.25" hidden="1" customHeight="1" x14ac:dyDescent="0.25">
      <c r="A65" s="21" t="s">
        <v>292</v>
      </c>
      <c r="B65" s="24">
        <v>2017</v>
      </c>
      <c r="C65" s="97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94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112</v>
      </c>
    </row>
    <row r="66" spans="1:20" ht="23.25" hidden="1" customHeight="1" x14ac:dyDescent="0.25">
      <c r="A66" s="20" t="s">
        <v>296</v>
      </c>
      <c r="B66" s="22">
        <v>2017</v>
      </c>
      <c r="C66" s="97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93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210</v>
      </c>
    </row>
    <row r="67" spans="1:20" ht="23.25" hidden="1" customHeight="1" x14ac:dyDescent="0.25">
      <c r="A67" s="21" t="s">
        <v>300</v>
      </c>
      <c r="B67" s="24">
        <v>2017</v>
      </c>
      <c r="C67" s="97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94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73</v>
      </c>
    </row>
    <row r="68" spans="1:20" ht="23.25" hidden="1" customHeight="1" x14ac:dyDescent="0.25">
      <c r="A68" s="20" t="s">
        <v>304</v>
      </c>
      <c r="B68" s="22">
        <v>2017</v>
      </c>
      <c r="C68" s="97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93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246</v>
      </c>
    </row>
    <row r="69" spans="1:20" ht="23.25" hidden="1" customHeight="1" x14ac:dyDescent="0.25">
      <c r="A69" s="21" t="s">
        <v>307</v>
      </c>
      <c r="B69" s="24">
        <v>2017</v>
      </c>
      <c r="C69" s="97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94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311</v>
      </c>
    </row>
    <row r="70" spans="1:20" ht="23.25" hidden="1" customHeight="1" x14ac:dyDescent="0.25">
      <c r="A70" s="20" t="s">
        <v>312</v>
      </c>
      <c r="B70" s="22">
        <v>2017</v>
      </c>
      <c r="C70" s="97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93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112</v>
      </c>
    </row>
    <row r="71" spans="1:20" ht="23.25" hidden="1" customHeight="1" x14ac:dyDescent="0.25">
      <c r="A71" s="21" t="s">
        <v>315</v>
      </c>
      <c r="B71" s="24">
        <v>2017</v>
      </c>
      <c r="C71" s="97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94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318</v>
      </c>
    </row>
    <row r="72" spans="1:20" ht="23.25" hidden="1" customHeight="1" x14ac:dyDescent="0.25">
      <c r="A72" s="20" t="s">
        <v>319</v>
      </c>
      <c r="B72" s="22">
        <v>2017</v>
      </c>
      <c r="C72" s="97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93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156</v>
      </c>
    </row>
    <row r="73" spans="1:20" ht="23.25" hidden="1" customHeight="1" x14ac:dyDescent="0.25">
      <c r="A73" s="21" t="s">
        <v>322</v>
      </c>
      <c r="B73" s="24">
        <v>2017</v>
      </c>
      <c r="C73" s="97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94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210</v>
      </c>
    </row>
    <row r="74" spans="1:20" ht="23.25" hidden="1" customHeight="1" x14ac:dyDescent="0.25">
      <c r="A74" s="20" t="s">
        <v>326</v>
      </c>
      <c r="B74" s="22">
        <v>2017</v>
      </c>
      <c r="C74" s="97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93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87</v>
      </c>
    </row>
    <row r="75" spans="1:20" ht="23.25" hidden="1" customHeight="1" x14ac:dyDescent="0.25">
      <c r="A75" s="21" t="s">
        <v>330</v>
      </c>
      <c r="B75" s="24">
        <v>2017</v>
      </c>
      <c r="C75" s="97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94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334</v>
      </c>
    </row>
    <row r="76" spans="1:20" ht="23.25" hidden="1" customHeight="1" x14ac:dyDescent="0.25">
      <c r="A76" s="20" t="s">
        <v>335</v>
      </c>
      <c r="B76" s="22">
        <v>2017</v>
      </c>
      <c r="C76" s="97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93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268</v>
      </c>
    </row>
    <row r="77" spans="1:20" ht="23.25" hidden="1" customHeight="1" x14ac:dyDescent="0.25">
      <c r="A77" s="21" t="s">
        <v>338</v>
      </c>
      <c r="B77" s="24">
        <v>2017</v>
      </c>
      <c r="C77" s="97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94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342</v>
      </c>
    </row>
    <row r="78" spans="1:20" ht="23.25" hidden="1" customHeight="1" x14ac:dyDescent="0.25">
      <c r="A78" s="20" t="s">
        <v>343</v>
      </c>
      <c r="B78" s="22">
        <v>2017</v>
      </c>
      <c r="C78" s="97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93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273</v>
      </c>
    </row>
    <row r="79" spans="1:20" ht="23.25" hidden="1" customHeight="1" x14ac:dyDescent="0.25">
      <c r="A79" s="21" t="s">
        <v>347</v>
      </c>
      <c r="B79" s="24">
        <v>2017</v>
      </c>
      <c r="C79" s="97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94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351</v>
      </c>
    </row>
    <row r="80" spans="1:20" ht="23.25" hidden="1" customHeight="1" x14ac:dyDescent="0.25">
      <c r="A80" s="20" t="s">
        <v>352</v>
      </c>
      <c r="B80" s="22">
        <v>2017</v>
      </c>
      <c r="C80" s="97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93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273</v>
      </c>
    </row>
    <row r="81" spans="1:20" ht="23.25" hidden="1" customHeight="1" x14ac:dyDescent="0.25">
      <c r="A81" s="21" t="s">
        <v>355</v>
      </c>
      <c r="B81" s="24">
        <v>2017</v>
      </c>
      <c r="C81" s="97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94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359</v>
      </c>
    </row>
    <row r="82" spans="1:20" ht="23.25" hidden="1" customHeight="1" x14ac:dyDescent="0.25">
      <c r="A82" s="20" t="s">
        <v>360</v>
      </c>
      <c r="B82" s="22">
        <v>2017</v>
      </c>
      <c r="C82" s="97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93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365</v>
      </c>
    </row>
    <row r="83" spans="1:20" ht="23.25" hidden="1" customHeight="1" x14ac:dyDescent="0.25">
      <c r="A83" s="21" t="s">
        <v>366</v>
      </c>
      <c r="B83" s="24">
        <v>2017</v>
      </c>
      <c r="C83" s="97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94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231</v>
      </c>
    </row>
    <row r="84" spans="1:20" ht="23.25" hidden="1" customHeight="1" x14ac:dyDescent="0.25">
      <c r="A84" s="20" t="s">
        <v>369</v>
      </c>
      <c r="B84" s="22">
        <v>2017</v>
      </c>
      <c r="C84" s="97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93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73</v>
      </c>
    </row>
    <row r="85" spans="1:20" ht="23.25" hidden="1" customHeight="1" x14ac:dyDescent="0.25">
      <c r="A85" s="21" t="s">
        <v>372</v>
      </c>
      <c r="B85" s="24">
        <v>2017</v>
      </c>
      <c r="C85" s="97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94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139</v>
      </c>
    </row>
    <row r="86" spans="1:20" ht="23.25" hidden="1" customHeight="1" x14ac:dyDescent="0.25">
      <c r="A86" s="20" t="s">
        <v>375</v>
      </c>
      <c r="B86" s="22">
        <v>2017</v>
      </c>
      <c r="C86" s="97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93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73</v>
      </c>
    </row>
    <row r="87" spans="1:20" ht="23.25" hidden="1" customHeight="1" x14ac:dyDescent="0.25">
      <c r="A87" s="21" t="s">
        <v>379</v>
      </c>
      <c r="B87" s="24">
        <v>2017</v>
      </c>
      <c r="C87" s="97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94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210</v>
      </c>
    </row>
    <row r="88" spans="1:20" ht="23.25" hidden="1" customHeight="1" x14ac:dyDescent="0.25">
      <c r="A88" s="20" t="s">
        <v>383</v>
      </c>
      <c r="B88" s="22">
        <v>2017</v>
      </c>
      <c r="C88" s="97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93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387</v>
      </c>
    </row>
    <row r="89" spans="1:20" ht="23.25" hidden="1" customHeight="1" x14ac:dyDescent="0.25">
      <c r="A89" s="21" t="s">
        <v>388</v>
      </c>
      <c r="B89" s="24">
        <v>2017</v>
      </c>
      <c r="C89" s="97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94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112</v>
      </c>
    </row>
    <row r="90" spans="1:20" ht="23.25" hidden="1" customHeight="1" x14ac:dyDescent="0.25">
      <c r="A90" s="20" t="s">
        <v>392</v>
      </c>
      <c r="B90" s="22">
        <v>2017</v>
      </c>
      <c r="C90" s="97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93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112</v>
      </c>
    </row>
    <row r="91" spans="1:20" ht="23.25" hidden="1" customHeight="1" x14ac:dyDescent="0.25">
      <c r="A91" s="21" t="s">
        <v>396</v>
      </c>
      <c r="B91" s="24">
        <v>2017</v>
      </c>
      <c r="C91" s="97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94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68</v>
      </c>
    </row>
    <row r="92" spans="1:20" ht="23.25" hidden="1" customHeight="1" x14ac:dyDescent="0.25">
      <c r="A92" s="20" t="s">
        <v>400</v>
      </c>
      <c r="B92" s="22">
        <v>2017</v>
      </c>
      <c r="C92" s="97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93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404</v>
      </c>
    </row>
    <row r="93" spans="1:20" ht="23.25" hidden="1" customHeight="1" x14ac:dyDescent="0.25">
      <c r="A93" s="21" t="s">
        <v>405</v>
      </c>
      <c r="B93" s="24">
        <v>2017</v>
      </c>
      <c r="C93" s="97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94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408</v>
      </c>
    </row>
    <row r="94" spans="1:20" ht="23.25" hidden="1" customHeight="1" x14ac:dyDescent="0.25">
      <c r="A94" s="20" t="s">
        <v>409</v>
      </c>
      <c r="B94" s="22">
        <v>2017</v>
      </c>
      <c r="C94" s="97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93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413</v>
      </c>
    </row>
    <row r="95" spans="1:20" ht="23.25" hidden="1" customHeight="1" x14ac:dyDescent="0.25">
      <c r="A95" s="21" t="s">
        <v>414</v>
      </c>
      <c r="B95" s="24">
        <v>2018</v>
      </c>
      <c r="C95" s="97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94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417</v>
      </c>
    </row>
    <row r="96" spans="1:20" ht="23.25" hidden="1" customHeight="1" x14ac:dyDescent="0.25">
      <c r="A96" s="20" t="s">
        <v>418</v>
      </c>
      <c r="B96" s="22">
        <v>2018</v>
      </c>
      <c r="C96" s="97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93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107</v>
      </c>
    </row>
    <row r="97" spans="1:20" ht="23.25" hidden="1" customHeight="1" x14ac:dyDescent="0.25">
      <c r="A97" s="21" t="s">
        <v>422</v>
      </c>
      <c r="B97" s="24">
        <v>2018</v>
      </c>
      <c r="C97" s="97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94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112</v>
      </c>
    </row>
    <row r="98" spans="1:20" ht="23.25" hidden="1" customHeight="1" x14ac:dyDescent="0.25">
      <c r="A98" s="20" t="s">
        <v>426</v>
      </c>
      <c r="B98" s="22">
        <v>2018</v>
      </c>
      <c r="C98" s="97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93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107</v>
      </c>
    </row>
    <row r="99" spans="1:20" ht="23.25" hidden="1" customHeight="1" x14ac:dyDescent="0.25">
      <c r="A99" s="21" t="s">
        <v>429</v>
      </c>
      <c r="B99" s="24">
        <v>2018</v>
      </c>
      <c r="C99" s="97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94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273</v>
      </c>
    </row>
    <row r="100" spans="1:20" ht="23.25" hidden="1" customHeight="1" x14ac:dyDescent="0.25">
      <c r="A100" s="20" t="s">
        <v>433</v>
      </c>
      <c r="B100" s="22">
        <v>2018</v>
      </c>
      <c r="C100" s="97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93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107</v>
      </c>
    </row>
    <row r="101" spans="1:20" ht="23.25" hidden="1" customHeight="1" x14ac:dyDescent="0.25">
      <c r="A101" s="21" t="s">
        <v>437</v>
      </c>
      <c r="B101" s="24">
        <v>2018</v>
      </c>
      <c r="C101" s="97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94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441</v>
      </c>
    </row>
    <row r="102" spans="1:20" ht="23.25" hidden="1" customHeight="1" x14ac:dyDescent="0.25">
      <c r="A102" s="20" t="s">
        <v>442</v>
      </c>
      <c r="B102" s="22">
        <v>2018</v>
      </c>
      <c r="C102" s="97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93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189</v>
      </c>
    </row>
    <row r="103" spans="1:20" ht="23.25" hidden="1" customHeight="1" x14ac:dyDescent="0.25">
      <c r="A103" s="21" t="s">
        <v>444</v>
      </c>
      <c r="B103" s="24">
        <v>2018</v>
      </c>
      <c r="C103" s="97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94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448</v>
      </c>
    </row>
    <row r="104" spans="1:20" ht="23.25" hidden="1" customHeight="1" x14ac:dyDescent="0.25">
      <c r="A104" s="20" t="s">
        <v>449</v>
      </c>
      <c r="B104" s="22">
        <v>2018</v>
      </c>
      <c r="C104" s="97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93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268</v>
      </c>
    </row>
    <row r="105" spans="1:20" ht="23.25" hidden="1" customHeight="1" x14ac:dyDescent="0.25">
      <c r="A105" s="21" t="s">
        <v>453</v>
      </c>
      <c r="B105" s="24">
        <v>2018</v>
      </c>
      <c r="C105" s="97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94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458</v>
      </c>
    </row>
    <row r="106" spans="1:20" ht="23.25" hidden="1" customHeight="1" x14ac:dyDescent="0.25">
      <c r="A106" s="20" t="s">
        <v>459</v>
      </c>
      <c r="B106" s="22">
        <v>2018</v>
      </c>
      <c r="C106" s="97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93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463</v>
      </c>
    </row>
    <row r="107" spans="1:20" ht="23.25" hidden="1" customHeight="1" x14ac:dyDescent="0.25">
      <c r="A107" s="21" t="s">
        <v>464</v>
      </c>
      <c r="B107" s="24">
        <v>2018</v>
      </c>
      <c r="C107" s="97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94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273</v>
      </c>
    </row>
    <row r="108" spans="1:20" ht="23.25" hidden="1" customHeight="1" x14ac:dyDescent="0.25">
      <c r="A108" s="20" t="s">
        <v>467</v>
      </c>
      <c r="B108" s="22">
        <v>2018</v>
      </c>
      <c r="C108" s="97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93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471</v>
      </c>
    </row>
    <row r="109" spans="1:20" ht="23.25" hidden="1" customHeight="1" x14ac:dyDescent="0.25">
      <c r="A109" s="21" t="s">
        <v>472</v>
      </c>
      <c r="B109" s="24">
        <v>2018</v>
      </c>
      <c r="C109" s="97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94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448</v>
      </c>
    </row>
    <row r="110" spans="1:20" ht="23.25" hidden="1" customHeight="1" x14ac:dyDescent="0.25">
      <c r="A110" s="20" t="s">
        <v>475</v>
      </c>
      <c r="B110" s="22">
        <v>2018</v>
      </c>
      <c r="C110" s="97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93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479</v>
      </c>
    </row>
    <row r="111" spans="1:20" ht="23.25" hidden="1" customHeight="1" x14ac:dyDescent="0.25">
      <c r="A111" s="21" t="s">
        <v>480</v>
      </c>
      <c r="B111" s="24">
        <v>2018</v>
      </c>
      <c r="C111" s="97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94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484</v>
      </c>
    </row>
    <row r="112" spans="1:20" ht="23.25" hidden="1" customHeight="1" x14ac:dyDescent="0.25">
      <c r="A112" s="20" t="s">
        <v>485</v>
      </c>
      <c r="B112" s="22">
        <v>2018</v>
      </c>
      <c r="C112" s="97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93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489</v>
      </c>
    </row>
    <row r="113" spans="1:20" ht="23.25" hidden="1" customHeight="1" x14ac:dyDescent="0.25">
      <c r="A113" s="21" t="s">
        <v>490</v>
      </c>
      <c r="B113" s="24">
        <v>2018</v>
      </c>
      <c r="C113" s="97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94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494</v>
      </c>
    </row>
    <row r="114" spans="1:20" ht="23.25" hidden="1" customHeight="1" x14ac:dyDescent="0.25">
      <c r="A114" s="20" t="s">
        <v>495</v>
      </c>
      <c r="B114" s="22">
        <v>2018</v>
      </c>
      <c r="C114" s="97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93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498</v>
      </c>
    </row>
    <row r="115" spans="1:20" ht="23.25" hidden="1" customHeight="1" x14ac:dyDescent="0.25">
      <c r="A115" s="21" t="s">
        <v>499</v>
      </c>
      <c r="B115" s="24">
        <v>2018</v>
      </c>
      <c r="C115" s="97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94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503</v>
      </c>
    </row>
    <row r="116" spans="1:20" ht="23.25" hidden="1" customHeight="1" x14ac:dyDescent="0.25">
      <c r="A116" s="20" t="s">
        <v>504</v>
      </c>
      <c r="B116" s="22">
        <v>2019</v>
      </c>
      <c r="C116" s="97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93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508</v>
      </c>
    </row>
    <row r="117" spans="1:20" ht="23.25" hidden="1" customHeight="1" x14ac:dyDescent="0.25">
      <c r="A117" s="21" t="s">
        <v>509</v>
      </c>
      <c r="B117" s="24">
        <v>2019</v>
      </c>
      <c r="C117" s="97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94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513</v>
      </c>
    </row>
    <row r="118" spans="1:20" ht="23.25" hidden="1" customHeight="1" x14ac:dyDescent="0.25">
      <c r="A118" s="20" t="s">
        <v>514</v>
      </c>
      <c r="B118" s="22">
        <v>2019</v>
      </c>
      <c r="C118" s="97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93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518</v>
      </c>
    </row>
    <row r="119" spans="1:20" ht="23.25" hidden="1" customHeight="1" x14ac:dyDescent="0.25">
      <c r="A119" s="21" t="s">
        <v>519</v>
      </c>
      <c r="B119" s="24">
        <v>2019</v>
      </c>
      <c r="C119" s="97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94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523</v>
      </c>
    </row>
    <row r="120" spans="1:20" ht="23.25" hidden="1" customHeight="1" x14ac:dyDescent="0.25">
      <c r="A120" s="20" t="s">
        <v>524</v>
      </c>
      <c r="B120" s="22">
        <v>2019</v>
      </c>
      <c r="C120" s="97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93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528</v>
      </c>
    </row>
    <row r="121" spans="1:20" ht="23.25" hidden="1" customHeight="1" x14ac:dyDescent="0.25">
      <c r="A121" s="21" t="s">
        <v>529</v>
      </c>
      <c r="B121" s="24">
        <v>2019</v>
      </c>
      <c r="C121" s="97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94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532</v>
      </c>
    </row>
    <row r="122" spans="1:20" ht="23.25" hidden="1" customHeight="1" x14ac:dyDescent="0.25">
      <c r="A122" s="20" t="s">
        <v>533</v>
      </c>
      <c r="B122" s="22">
        <v>2019</v>
      </c>
      <c r="C122" s="97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93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528</v>
      </c>
    </row>
    <row r="123" spans="1:20" ht="23.25" hidden="1" customHeight="1" x14ac:dyDescent="0.25">
      <c r="A123" s="21" t="s">
        <v>536</v>
      </c>
      <c r="B123" s="24">
        <v>2019</v>
      </c>
      <c r="C123" s="97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94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528</v>
      </c>
    </row>
    <row r="124" spans="1:20" ht="23.25" hidden="1" customHeight="1" x14ac:dyDescent="0.25">
      <c r="A124" s="20" t="s">
        <v>539</v>
      </c>
      <c r="B124" s="22">
        <v>2019</v>
      </c>
      <c r="C124" s="97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93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543</v>
      </c>
    </row>
    <row r="125" spans="1:20" ht="23.25" hidden="1" customHeight="1" x14ac:dyDescent="0.25">
      <c r="A125" s="21" t="s">
        <v>544</v>
      </c>
      <c r="B125" s="24">
        <v>2019</v>
      </c>
      <c r="C125" s="97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94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548</v>
      </c>
    </row>
    <row r="126" spans="1:20" ht="23.25" hidden="1" customHeight="1" x14ac:dyDescent="0.25">
      <c r="A126" s="20" t="s">
        <v>549</v>
      </c>
      <c r="B126" s="22">
        <v>2019</v>
      </c>
      <c r="C126" s="97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93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553</v>
      </c>
    </row>
    <row r="127" spans="1:20" ht="23.25" hidden="1" customHeight="1" x14ac:dyDescent="0.25">
      <c r="A127" s="21" t="s">
        <v>554</v>
      </c>
      <c r="B127" s="24">
        <v>2019</v>
      </c>
      <c r="C127" s="97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94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548</v>
      </c>
    </row>
    <row r="128" spans="1:20" ht="23.25" hidden="1" customHeight="1" x14ac:dyDescent="0.25">
      <c r="A128" s="20" t="s">
        <v>557</v>
      </c>
      <c r="B128" s="22">
        <v>2019</v>
      </c>
      <c r="C128" s="97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93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543</v>
      </c>
    </row>
    <row r="129" spans="1:20" ht="23.25" hidden="1" customHeight="1" x14ac:dyDescent="0.25">
      <c r="A129" s="21" t="s">
        <v>560</v>
      </c>
      <c r="B129" s="24">
        <v>2019</v>
      </c>
      <c r="C129" s="97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94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528</v>
      </c>
    </row>
    <row r="130" spans="1:20" ht="23.25" hidden="1" customHeight="1" x14ac:dyDescent="0.25">
      <c r="A130" s="20" t="s">
        <v>563</v>
      </c>
      <c r="B130" s="22">
        <v>2019</v>
      </c>
      <c r="C130" s="97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93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73" si="2">SUM(O130:Q130)</f>
        <v>25</v>
      </c>
      <c r="S130" s="22">
        <v>12</v>
      </c>
      <c r="T130" s="20" t="s">
        <v>548</v>
      </c>
    </row>
    <row r="131" spans="1:20" ht="23.25" hidden="1" customHeight="1" x14ac:dyDescent="0.25">
      <c r="A131" s="21" t="s">
        <v>566</v>
      </c>
      <c r="B131" s="24">
        <v>2019</v>
      </c>
      <c r="C131" s="97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94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570</v>
      </c>
    </row>
    <row r="132" spans="1:20" ht="23.25" hidden="1" customHeight="1" x14ac:dyDescent="0.25">
      <c r="A132" s="20" t="s">
        <v>571</v>
      </c>
      <c r="B132" s="22">
        <v>2019</v>
      </c>
      <c r="C132" s="97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93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463</v>
      </c>
    </row>
    <row r="133" spans="1:20" ht="23.25" hidden="1" customHeight="1" x14ac:dyDescent="0.25">
      <c r="A133" s="21" t="s">
        <v>575</v>
      </c>
      <c r="B133" s="24">
        <v>2019</v>
      </c>
      <c r="C133" s="97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94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579</v>
      </c>
    </row>
    <row r="134" spans="1:20" ht="23.25" hidden="1" customHeight="1" x14ac:dyDescent="0.25">
      <c r="A134" s="20" t="s">
        <v>580</v>
      </c>
      <c r="B134" s="22">
        <v>2019</v>
      </c>
      <c r="C134" s="97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93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583</v>
      </c>
    </row>
    <row r="135" spans="1:20" ht="23.25" hidden="1" customHeight="1" x14ac:dyDescent="0.25">
      <c r="A135" s="21" t="s">
        <v>584</v>
      </c>
      <c r="B135" s="24">
        <v>2019</v>
      </c>
      <c r="C135" s="97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94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570</v>
      </c>
    </row>
    <row r="136" spans="1:20" ht="23.25" hidden="1" customHeight="1" x14ac:dyDescent="0.25">
      <c r="A136" s="20" t="s">
        <v>587</v>
      </c>
      <c r="B136" s="22">
        <v>2019</v>
      </c>
      <c r="C136" s="97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93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591</v>
      </c>
    </row>
    <row r="137" spans="1:20" ht="23.25" hidden="1" customHeight="1" x14ac:dyDescent="0.25">
      <c r="A137" s="21" t="s">
        <v>592</v>
      </c>
      <c r="B137" s="24">
        <v>2019</v>
      </c>
      <c r="C137" s="97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94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463</v>
      </c>
    </row>
    <row r="138" spans="1:20" ht="23.25" hidden="1" customHeight="1" x14ac:dyDescent="0.25">
      <c r="A138" s="20" t="s">
        <v>595</v>
      </c>
      <c r="B138" s="22">
        <v>2019</v>
      </c>
      <c r="C138" s="97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93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599</v>
      </c>
    </row>
    <row r="139" spans="1:20" ht="23.25" hidden="1" customHeight="1" x14ac:dyDescent="0.25">
      <c r="A139" s="21" t="s">
        <v>600</v>
      </c>
      <c r="B139" s="24">
        <v>2019</v>
      </c>
      <c r="C139" s="97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94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508</v>
      </c>
    </row>
    <row r="140" spans="1:20" ht="23.25" hidden="1" customHeight="1" x14ac:dyDescent="0.25">
      <c r="A140" s="20" t="s">
        <v>603</v>
      </c>
      <c r="B140" s="22">
        <v>2019</v>
      </c>
      <c r="C140" s="97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93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606</v>
      </c>
    </row>
    <row r="141" spans="1:20" ht="23.25" hidden="1" customHeight="1" x14ac:dyDescent="0.25">
      <c r="A141" s="21" t="s">
        <v>607</v>
      </c>
      <c r="B141" s="24">
        <v>2019</v>
      </c>
      <c r="C141" s="97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94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611</v>
      </c>
    </row>
    <row r="142" spans="1:20" ht="23.25" hidden="1" customHeight="1" x14ac:dyDescent="0.25">
      <c r="A142" s="20" t="s">
        <v>612</v>
      </c>
      <c r="B142" s="22">
        <v>2019</v>
      </c>
      <c r="C142" s="97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93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616</v>
      </c>
    </row>
    <row r="143" spans="1:20" ht="23.25" hidden="1" customHeight="1" x14ac:dyDescent="0.25">
      <c r="A143" s="21" t="s">
        <v>617</v>
      </c>
      <c r="B143" s="24">
        <v>2019</v>
      </c>
      <c r="C143" s="97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94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548</v>
      </c>
    </row>
    <row r="144" spans="1:20" ht="23.25" hidden="1" customHeight="1" x14ac:dyDescent="0.25">
      <c r="A144" s="20" t="s">
        <v>620</v>
      </c>
      <c r="B144" s="22">
        <v>2019</v>
      </c>
      <c r="C144" s="97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93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73</v>
      </c>
    </row>
    <row r="145" spans="1:20" ht="23.25" hidden="1" customHeight="1" x14ac:dyDescent="0.25">
      <c r="A145" s="21" t="s">
        <v>624</v>
      </c>
      <c r="B145" s="24">
        <v>2019</v>
      </c>
      <c r="C145" s="97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94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628</v>
      </c>
    </row>
    <row r="146" spans="1:20" ht="23.25" hidden="1" customHeight="1" x14ac:dyDescent="0.25">
      <c r="A146" s="20" t="s">
        <v>629</v>
      </c>
      <c r="B146" s="22">
        <v>2019</v>
      </c>
      <c r="C146" s="97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93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463</v>
      </c>
    </row>
    <row r="147" spans="1:20" ht="23.25" hidden="1" customHeight="1" x14ac:dyDescent="0.25">
      <c r="A147" s="21" t="s">
        <v>632</v>
      </c>
      <c r="B147" s="24">
        <v>2019</v>
      </c>
      <c r="C147" s="97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94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635</v>
      </c>
    </row>
    <row r="148" spans="1:20" ht="23.25" hidden="1" customHeight="1" x14ac:dyDescent="0.25">
      <c r="A148" s="20" t="s">
        <v>636</v>
      </c>
      <c r="B148" s="22">
        <v>2019</v>
      </c>
      <c r="C148" s="97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93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640</v>
      </c>
    </row>
    <row r="149" spans="1:20" ht="23.25" hidden="1" customHeight="1" x14ac:dyDescent="0.25">
      <c r="A149" s="21" t="s">
        <v>641</v>
      </c>
      <c r="B149" s="24">
        <v>2019</v>
      </c>
      <c r="C149" s="97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94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644</v>
      </c>
    </row>
    <row r="150" spans="1:20" ht="23.25" hidden="1" customHeight="1" x14ac:dyDescent="0.25">
      <c r="A150" s="20" t="s">
        <v>645</v>
      </c>
      <c r="B150" s="22">
        <v>2019</v>
      </c>
      <c r="C150" s="97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93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644</v>
      </c>
    </row>
    <row r="151" spans="1:20" ht="23.25" hidden="1" customHeight="1" x14ac:dyDescent="0.25">
      <c r="A151" s="21" t="s">
        <v>648</v>
      </c>
      <c r="B151" s="24">
        <v>2019</v>
      </c>
      <c r="C151" s="97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94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570</v>
      </c>
    </row>
    <row r="152" spans="1:20" ht="23.25" hidden="1" customHeight="1" x14ac:dyDescent="0.25">
      <c r="A152" s="20" t="s">
        <v>651</v>
      </c>
      <c r="B152" s="22">
        <v>2019</v>
      </c>
      <c r="C152" s="97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93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640</v>
      </c>
    </row>
    <row r="153" spans="1:20" ht="23.25" hidden="1" customHeight="1" x14ac:dyDescent="0.25">
      <c r="A153" s="21" t="s">
        <v>654</v>
      </c>
      <c r="B153" s="24">
        <v>2019</v>
      </c>
      <c r="C153" s="97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94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658</v>
      </c>
    </row>
    <row r="154" spans="1:20" ht="23.25" hidden="1" customHeight="1" x14ac:dyDescent="0.25">
      <c r="A154" s="20" t="s">
        <v>659</v>
      </c>
      <c r="B154" s="22">
        <v>2019</v>
      </c>
      <c r="C154" s="97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93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663</v>
      </c>
    </row>
    <row r="155" spans="1:20" ht="23.25" hidden="1" customHeight="1" x14ac:dyDescent="0.25">
      <c r="A155" s="21" t="s">
        <v>664</v>
      </c>
      <c r="B155" s="24">
        <v>2019</v>
      </c>
      <c r="C155" s="97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94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658</v>
      </c>
    </row>
    <row r="156" spans="1:20" ht="23.25" hidden="1" customHeight="1" x14ac:dyDescent="0.25">
      <c r="A156" s="20" t="s">
        <v>667</v>
      </c>
      <c r="B156" s="22">
        <v>2020</v>
      </c>
      <c r="C156" s="97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93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671</v>
      </c>
    </row>
    <row r="157" spans="1:20" ht="23.25" hidden="1" customHeight="1" x14ac:dyDescent="0.25">
      <c r="A157" s="21" t="s">
        <v>672</v>
      </c>
      <c r="B157" s="24">
        <v>2020</v>
      </c>
      <c r="C157" s="97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94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676</v>
      </c>
    </row>
    <row r="158" spans="1:20" ht="23.25" hidden="1" customHeight="1" x14ac:dyDescent="0.25">
      <c r="A158" s="20" t="s">
        <v>677</v>
      </c>
      <c r="B158" s="22">
        <v>2020</v>
      </c>
      <c r="C158" s="97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93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681</v>
      </c>
    </row>
    <row r="159" spans="1:20" ht="23.25" hidden="1" customHeight="1" x14ac:dyDescent="0.25">
      <c r="A159" s="21" t="s">
        <v>682</v>
      </c>
      <c r="B159" s="24">
        <v>2020</v>
      </c>
      <c r="C159" s="97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94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471</v>
      </c>
    </row>
    <row r="160" spans="1:20" ht="23.25" hidden="1" customHeight="1" x14ac:dyDescent="0.25">
      <c r="A160" s="20" t="s">
        <v>686</v>
      </c>
      <c r="B160" s="22">
        <v>2020</v>
      </c>
      <c r="C160" s="97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93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676</v>
      </c>
    </row>
    <row r="161" spans="1:20" ht="23.25" hidden="1" customHeight="1" x14ac:dyDescent="0.25">
      <c r="A161" s="21" t="s">
        <v>689</v>
      </c>
      <c r="B161" s="24">
        <v>2020</v>
      </c>
      <c r="C161" s="97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94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693</v>
      </c>
    </row>
    <row r="162" spans="1:20" ht="23.25" hidden="1" customHeight="1" x14ac:dyDescent="0.25">
      <c r="A162" s="20" t="s">
        <v>694</v>
      </c>
      <c r="B162" s="22">
        <v>2020</v>
      </c>
      <c r="C162" s="97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93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210</v>
      </c>
    </row>
    <row r="163" spans="1:20" ht="23.25" hidden="1" customHeight="1" x14ac:dyDescent="0.25">
      <c r="A163" s="21" t="s">
        <v>698</v>
      </c>
      <c r="B163" s="24">
        <v>2020</v>
      </c>
      <c r="C163" s="97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94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611</v>
      </c>
    </row>
    <row r="164" spans="1:20" ht="23.25" hidden="1" customHeight="1" x14ac:dyDescent="0.25">
      <c r="A164" s="20" t="s">
        <v>702</v>
      </c>
      <c r="B164" s="22">
        <v>2020</v>
      </c>
      <c r="C164" s="97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93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676</v>
      </c>
    </row>
    <row r="165" spans="1:20" ht="23.25" hidden="1" customHeight="1" x14ac:dyDescent="0.25">
      <c r="A165" s="21" t="s">
        <v>706</v>
      </c>
      <c r="B165" s="24">
        <v>2020</v>
      </c>
      <c r="C165" s="97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94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709</v>
      </c>
    </row>
    <row r="166" spans="1:20" ht="23.25" hidden="1" customHeight="1" x14ac:dyDescent="0.25">
      <c r="A166" s="20" t="s">
        <v>710</v>
      </c>
      <c r="B166" s="22">
        <v>2020</v>
      </c>
      <c r="C166" s="97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93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671</v>
      </c>
    </row>
    <row r="167" spans="1:20" ht="23.25" hidden="1" customHeight="1" x14ac:dyDescent="0.25">
      <c r="A167" s="21" t="s">
        <v>713</v>
      </c>
      <c r="B167" s="24">
        <v>2020</v>
      </c>
      <c r="C167" s="97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94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570</v>
      </c>
    </row>
    <row r="168" spans="1:20" ht="23.25" hidden="1" customHeight="1" x14ac:dyDescent="0.25">
      <c r="A168" s="20" t="s">
        <v>717</v>
      </c>
      <c r="B168" s="22">
        <v>2020</v>
      </c>
      <c r="C168" s="97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93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210</v>
      </c>
    </row>
    <row r="169" spans="1:20" ht="23.25" hidden="1" customHeight="1" x14ac:dyDescent="0.25">
      <c r="A169" s="21" t="s">
        <v>721</v>
      </c>
      <c r="B169" s="24">
        <v>2020</v>
      </c>
      <c r="C169" s="97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94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725</v>
      </c>
    </row>
    <row r="170" spans="1:20" ht="23.25" hidden="1" customHeight="1" x14ac:dyDescent="0.25">
      <c r="A170" s="20" t="s">
        <v>726</v>
      </c>
      <c r="B170" s="22">
        <v>2020</v>
      </c>
      <c r="C170" s="97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93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725</v>
      </c>
    </row>
    <row r="171" spans="1:20" ht="23.25" hidden="1" customHeight="1" x14ac:dyDescent="0.25">
      <c r="A171" s="21" t="s">
        <v>729</v>
      </c>
      <c r="B171" s="24">
        <v>2020</v>
      </c>
      <c r="C171" s="97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94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732</v>
      </c>
    </row>
    <row r="172" spans="1:20" ht="23.25" hidden="1" customHeight="1" x14ac:dyDescent="0.25">
      <c r="A172" s="20" t="s">
        <v>733</v>
      </c>
      <c r="B172" s="22">
        <v>2020</v>
      </c>
      <c r="C172" s="97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93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736</v>
      </c>
    </row>
    <row r="173" spans="1:20" ht="23.25" hidden="1" customHeight="1" x14ac:dyDescent="0.25">
      <c r="A173" s="21" t="s">
        <v>737</v>
      </c>
      <c r="B173" s="24">
        <v>2020</v>
      </c>
      <c r="C173" s="97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94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740</v>
      </c>
    </row>
    <row r="174" spans="1:20" ht="23.25" hidden="1" customHeight="1" x14ac:dyDescent="0.25">
      <c r="A174" s="20" t="s">
        <v>741</v>
      </c>
      <c r="B174" s="22">
        <v>2020</v>
      </c>
      <c r="C174" s="97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93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ref="R174:R237" si="3">SUM(O174:Q174)</f>
        <v>31</v>
      </c>
      <c r="S174" s="22">
        <v>24</v>
      </c>
      <c r="T174" s="20" t="s">
        <v>745</v>
      </c>
    </row>
    <row r="175" spans="1:20" ht="23.25" hidden="1" customHeight="1" x14ac:dyDescent="0.25">
      <c r="A175" s="21" t="s">
        <v>746</v>
      </c>
      <c r="B175" s="24">
        <v>2020</v>
      </c>
      <c r="C175" s="97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94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3"/>
        <v>29</v>
      </c>
      <c r="S175" s="24">
        <v>15</v>
      </c>
      <c r="T175" s="21" t="s">
        <v>73</v>
      </c>
    </row>
    <row r="176" spans="1:20" ht="23.25" hidden="1" customHeight="1" x14ac:dyDescent="0.25">
      <c r="A176" s="20" t="s">
        <v>750</v>
      </c>
      <c r="B176" s="22">
        <v>2020</v>
      </c>
      <c r="C176" s="97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93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3"/>
        <v>119</v>
      </c>
      <c r="S176" s="22">
        <v>10</v>
      </c>
      <c r="T176" s="20" t="s">
        <v>471</v>
      </c>
    </row>
    <row r="177" spans="1:20" ht="23.25" hidden="1" customHeight="1" x14ac:dyDescent="0.25">
      <c r="A177" s="21" t="s">
        <v>754</v>
      </c>
      <c r="B177" s="24">
        <v>2021</v>
      </c>
      <c r="C177" s="97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94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3"/>
        <v>122</v>
      </c>
      <c r="S177" s="24">
        <v>1</v>
      </c>
      <c r="T177" s="21" t="s">
        <v>758</v>
      </c>
    </row>
    <row r="178" spans="1:20" ht="23.25" hidden="1" customHeight="1" x14ac:dyDescent="0.25">
      <c r="A178" s="20" t="s">
        <v>759</v>
      </c>
      <c r="B178" s="22">
        <v>2021</v>
      </c>
      <c r="C178" s="97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93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3"/>
        <v>116</v>
      </c>
      <c r="S178" s="22">
        <v>1</v>
      </c>
      <c r="T178" s="20" t="s">
        <v>758</v>
      </c>
    </row>
    <row r="179" spans="1:20" ht="23.25" hidden="1" customHeight="1" x14ac:dyDescent="0.25">
      <c r="A179" s="21" t="s">
        <v>762</v>
      </c>
      <c r="B179" s="24">
        <v>2021</v>
      </c>
      <c r="C179" s="97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94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3"/>
        <v>83</v>
      </c>
      <c r="S179" s="24">
        <v>1</v>
      </c>
      <c r="T179" s="21" t="s">
        <v>765</v>
      </c>
    </row>
    <row r="180" spans="1:20" ht="23.25" hidden="1" customHeight="1" x14ac:dyDescent="0.25">
      <c r="A180" s="20" t="s">
        <v>766</v>
      </c>
      <c r="B180" s="22">
        <v>2021</v>
      </c>
      <c r="C180" s="97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93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3"/>
        <v>69</v>
      </c>
      <c r="S180" s="22">
        <v>1</v>
      </c>
      <c r="T180" s="20" t="s">
        <v>758</v>
      </c>
    </row>
    <row r="181" spans="1:20" ht="23.25" hidden="1" customHeight="1" x14ac:dyDescent="0.25">
      <c r="A181" s="21" t="s">
        <v>769</v>
      </c>
      <c r="B181" s="24">
        <v>2021</v>
      </c>
      <c r="C181" s="97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94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3"/>
        <v>48</v>
      </c>
      <c r="S181" s="24">
        <v>2.5</v>
      </c>
      <c r="T181" s="21" t="s">
        <v>773</v>
      </c>
    </row>
    <row r="182" spans="1:20" ht="23.25" hidden="1" customHeight="1" x14ac:dyDescent="0.25">
      <c r="A182" s="20" t="s">
        <v>774</v>
      </c>
      <c r="B182" s="22">
        <v>2021</v>
      </c>
      <c r="C182" s="97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93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3"/>
        <v>19</v>
      </c>
      <c r="S182" s="22">
        <v>1.5</v>
      </c>
      <c r="T182" s="33" t="s">
        <v>777</v>
      </c>
    </row>
    <row r="183" spans="1:20" ht="23.25" hidden="1" customHeight="1" x14ac:dyDescent="0.25">
      <c r="A183" s="21" t="s">
        <v>778</v>
      </c>
      <c r="B183" s="24">
        <v>2021</v>
      </c>
      <c r="C183" s="97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94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3"/>
        <v>73</v>
      </c>
      <c r="S183" s="24">
        <v>1.5</v>
      </c>
      <c r="T183" s="21" t="s">
        <v>92</v>
      </c>
    </row>
    <row r="184" spans="1:20" ht="23.25" hidden="1" customHeight="1" x14ac:dyDescent="0.25">
      <c r="A184" s="20" t="s">
        <v>782</v>
      </c>
      <c r="B184" s="22">
        <v>2021</v>
      </c>
      <c r="C184" s="97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93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3"/>
        <v>94</v>
      </c>
      <c r="S184" s="22">
        <v>1</v>
      </c>
      <c r="T184" s="20" t="s">
        <v>786</v>
      </c>
    </row>
    <row r="185" spans="1:20" ht="23.25" hidden="1" customHeight="1" x14ac:dyDescent="0.25">
      <c r="A185" s="21" t="s">
        <v>787</v>
      </c>
      <c r="B185" s="24">
        <v>2021</v>
      </c>
      <c r="C185" s="97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94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3"/>
        <v>42</v>
      </c>
      <c r="S185" s="24">
        <v>20</v>
      </c>
      <c r="T185" s="21" t="s">
        <v>790</v>
      </c>
    </row>
    <row r="186" spans="1:20" ht="23.25" hidden="1" customHeight="1" x14ac:dyDescent="0.25">
      <c r="A186" s="20" t="s">
        <v>791</v>
      </c>
      <c r="B186" s="22">
        <v>2021</v>
      </c>
      <c r="C186" s="97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93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3"/>
        <v>32</v>
      </c>
      <c r="S186" s="22">
        <v>15</v>
      </c>
      <c r="T186" s="20" t="s">
        <v>795</v>
      </c>
    </row>
    <row r="187" spans="1:20" ht="23.25" hidden="1" customHeight="1" x14ac:dyDescent="0.25">
      <c r="A187" s="21" t="s">
        <v>796</v>
      </c>
      <c r="B187" s="24">
        <v>2021</v>
      </c>
      <c r="C187" s="97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94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3"/>
        <v>22</v>
      </c>
      <c r="S187" s="24">
        <v>12</v>
      </c>
      <c r="T187" s="21" t="s">
        <v>548</v>
      </c>
    </row>
    <row r="188" spans="1:20" ht="23.25" hidden="1" customHeight="1" x14ac:dyDescent="0.25">
      <c r="A188" s="20" t="s">
        <v>800</v>
      </c>
      <c r="B188" s="22">
        <v>2021</v>
      </c>
      <c r="C188" s="97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93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3"/>
        <v>590</v>
      </c>
      <c r="S188" s="22">
        <v>20</v>
      </c>
      <c r="T188" s="20" t="s">
        <v>804</v>
      </c>
    </row>
    <row r="189" spans="1:20" ht="23.25" hidden="1" customHeight="1" x14ac:dyDescent="0.25">
      <c r="A189" s="21" t="s">
        <v>805</v>
      </c>
      <c r="B189" s="24">
        <v>2021</v>
      </c>
      <c r="C189" s="97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94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3"/>
        <v>41</v>
      </c>
      <c r="S189" s="24">
        <v>20</v>
      </c>
      <c r="T189" s="21" t="s">
        <v>808</v>
      </c>
    </row>
    <row r="190" spans="1:20" ht="23.25" hidden="1" customHeight="1" x14ac:dyDescent="0.25">
      <c r="A190" s="20" t="s">
        <v>809</v>
      </c>
      <c r="B190" s="22">
        <v>2021</v>
      </c>
      <c r="C190" s="97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93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3"/>
        <v>80</v>
      </c>
      <c r="S190" s="22">
        <v>1.5</v>
      </c>
      <c r="T190" s="20" t="s">
        <v>812</v>
      </c>
    </row>
    <row r="191" spans="1:20" ht="23.25" hidden="1" customHeight="1" x14ac:dyDescent="0.25">
      <c r="A191" s="21" t="s">
        <v>813</v>
      </c>
      <c r="B191" s="24">
        <v>2021</v>
      </c>
      <c r="C191" s="97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94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3"/>
        <v>36</v>
      </c>
      <c r="S191" s="24">
        <v>2</v>
      </c>
      <c r="T191" s="21" t="s">
        <v>817</v>
      </c>
    </row>
    <row r="192" spans="1:20" ht="23.25" hidden="1" customHeight="1" x14ac:dyDescent="0.25">
      <c r="A192" s="20" t="s">
        <v>818</v>
      </c>
      <c r="B192" s="22">
        <v>2021</v>
      </c>
      <c r="C192" s="97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93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3"/>
        <v>70</v>
      </c>
      <c r="S192" s="22">
        <v>8</v>
      </c>
      <c r="T192" s="20" t="s">
        <v>822</v>
      </c>
    </row>
    <row r="193" spans="1:20" ht="23.25" hidden="1" customHeight="1" x14ac:dyDescent="0.25">
      <c r="A193" s="21" t="s">
        <v>823</v>
      </c>
      <c r="B193" s="24">
        <v>2021</v>
      </c>
      <c r="C193" s="97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94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3"/>
        <v>21</v>
      </c>
      <c r="S193" s="24">
        <v>15</v>
      </c>
      <c r="T193" s="21" t="s">
        <v>827</v>
      </c>
    </row>
    <row r="194" spans="1:20" ht="23.25" hidden="1" customHeight="1" x14ac:dyDescent="0.25">
      <c r="A194" s="20" t="s">
        <v>828</v>
      </c>
      <c r="B194" s="22">
        <v>2021</v>
      </c>
      <c r="C194" s="97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93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si="3"/>
        <v>20</v>
      </c>
      <c r="S194" s="22">
        <v>14</v>
      </c>
      <c r="T194" s="20" t="s">
        <v>812</v>
      </c>
    </row>
    <row r="195" spans="1:20" ht="23.25" hidden="1" customHeight="1" x14ac:dyDescent="0.25">
      <c r="A195" s="21" t="s">
        <v>831</v>
      </c>
      <c r="B195" s="24">
        <v>2021</v>
      </c>
      <c r="C195" s="97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94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808</v>
      </c>
    </row>
    <row r="196" spans="1:20" ht="23.25" hidden="1" customHeight="1" x14ac:dyDescent="0.25">
      <c r="A196" s="20" t="s">
        <v>833</v>
      </c>
      <c r="B196" s="22">
        <v>2021</v>
      </c>
      <c r="C196" s="97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93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836</v>
      </c>
    </row>
    <row r="197" spans="1:20" ht="23.25" hidden="1" customHeight="1" x14ac:dyDescent="0.25">
      <c r="A197" s="21" t="s">
        <v>837</v>
      </c>
      <c r="B197" s="24">
        <v>2021</v>
      </c>
      <c r="C197" s="97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94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841</v>
      </c>
    </row>
    <row r="198" spans="1:20" ht="23.25" hidden="1" customHeight="1" x14ac:dyDescent="0.25">
      <c r="A198" s="20" t="s">
        <v>842</v>
      </c>
      <c r="B198" s="22">
        <v>2021</v>
      </c>
      <c r="C198" s="97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93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583</v>
      </c>
    </row>
    <row r="199" spans="1:20" ht="23.25" hidden="1" customHeight="1" x14ac:dyDescent="0.25">
      <c r="A199" s="21" t="s">
        <v>845</v>
      </c>
      <c r="B199" s="24">
        <v>2021</v>
      </c>
      <c r="C199" s="97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94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849</v>
      </c>
    </row>
    <row r="200" spans="1:20" ht="23.25" hidden="1" customHeight="1" x14ac:dyDescent="0.25">
      <c r="A200" s="20" t="s">
        <v>850</v>
      </c>
      <c r="B200" s="22">
        <v>2021</v>
      </c>
      <c r="C200" s="97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93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854</v>
      </c>
    </row>
    <row r="201" spans="1:20" ht="23.25" hidden="1" customHeight="1" x14ac:dyDescent="0.25">
      <c r="A201" s="21" t="s">
        <v>855</v>
      </c>
      <c r="B201" s="24">
        <v>2021</v>
      </c>
      <c r="C201" s="97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94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795</v>
      </c>
    </row>
    <row r="202" spans="1:20" ht="23.25" hidden="1" customHeight="1" x14ac:dyDescent="0.25">
      <c r="A202" s="20" t="s">
        <v>858</v>
      </c>
      <c r="B202" s="22">
        <v>2021</v>
      </c>
      <c r="C202" s="97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93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862</v>
      </c>
    </row>
    <row r="203" spans="1:20" ht="23.25" hidden="1" customHeight="1" x14ac:dyDescent="0.25">
      <c r="A203" s="21" t="s">
        <v>863</v>
      </c>
      <c r="B203" s="24">
        <v>2021</v>
      </c>
      <c r="C203" s="97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94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827</v>
      </c>
    </row>
    <row r="204" spans="1:20" ht="23.25" hidden="1" customHeight="1" x14ac:dyDescent="0.25">
      <c r="A204" s="20" t="s">
        <v>866</v>
      </c>
      <c r="B204" s="22">
        <v>2021</v>
      </c>
      <c r="C204" s="97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93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334</v>
      </c>
    </row>
    <row r="205" spans="1:20" ht="23.25" hidden="1" customHeight="1" x14ac:dyDescent="0.25">
      <c r="A205" s="21" t="s">
        <v>870</v>
      </c>
      <c r="B205" s="24">
        <v>2021</v>
      </c>
      <c r="C205" s="97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94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849</v>
      </c>
    </row>
    <row r="206" spans="1:20" ht="23.25" hidden="1" customHeight="1" x14ac:dyDescent="0.25">
      <c r="A206" s="20" t="s">
        <v>873</v>
      </c>
      <c r="B206" s="22">
        <v>2021</v>
      </c>
      <c r="C206" s="97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93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210</v>
      </c>
    </row>
    <row r="207" spans="1:20" ht="23.25" hidden="1" customHeight="1" x14ac:dyDescent="0.25">
      <c r="A207" s="21" t="s">
        <v>877</v>
      </c>
      <c r="B207" s="24">
        <v>2021</v>
      </c>
      <c r="C207" s="97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94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881</v>
      </c>
    </row>
    <row r="208" spans="1:20" ht="23.25" hidden="1" customHeight="1" x14ac:dyDescent="0.25">
      <c r="A208" s="20" t="s">
        <v>882</v>
      </c>
      <c r="B208" s="22">
        <v>2021</v>
      </c>
      <c r="C208" s="97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93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854</v>
      </c>
    </row>
    <row r="209" spans="1:20" ht="23.25" hidden="1" customHeight="1" x14ac:dyDescent="0.25">
      <c r="A209" s="21" t="s">
        <v>885</v>
      </c>
      <c r="B209" s="24">
        <v>2021</v>
      </c>
      <c r="C209" s="97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94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676</v>
      </c>
    </row>
    <row r="210" spans="1:20" ht="23.25" hidden="1" customHeight="1" x14ac:dyDescent="0.25">
      <c r="A210" s="20" t="s">
        <v>889</v>
      </c>
      <c r="B210" s="22">
        <v>2021</v>
      </c>
      <c r="C210" s="97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93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893</v>
      </c>
    </row>
    <row r="211" spans="1:20" ht="23.25" hidden="1" customHeight="1" x14ac:dyDescent="0.25">
      <c r="A211" s="21" t="s">
        <v>894</v>
      </c>
      <c r="B211" s="24">
        <v>2021</v>
      </c>
      <c r="C211" s="97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94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413</v>
      </c>
    </row>
    <row r="212" spans="1:20" ht="23.25" hidden="1" customHeight="1" x14ac:dyDescent="0.25">
      <c r="A212" s="20" t="s">
        <v>898</v>
      </c>
      <c r="B212" s="22">
        <v>2021</v>
      </c>
      <c r="C212" s="97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93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902</v>
      </c>
    </row>
    <row r="213" spans="1:20" ht="23.25" hidden="1" customHeight="1" x14ac:dyDescent="0.25">
      <c r="A213" s="21" t="s">
        <v>903</v>
      </c>
      <c r="B213" s="24">
        <v>2021</v>
      </c>
      <c r="C213" s="97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94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907</v>
      </c>
    </row>
    <row r="214" spans="1:20" ht="23.25" hidden="1" customHeight="1" x14ac:dyDescent="0.25">
      <c r="A214" s="20" t="s">
        <v>908</v>
      </c>
      <c r="B214" s="22">
        <v>2021</v>
      </c>
      <c r="C214" s="97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93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912</v>
      </c>
    </row>
    <row r="215" spans="1:20" ht="23.25" hidden="1" customHeight="1" x14ac:dyDescent="0.25">
      <c r="A215" s="21" t="s">
        <v>913</v>
      </c>
      <c r="B215" s="24">
        <v>2021</v>
      </c>
      <c r="C215" s="97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94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916</v>
      </c>
    </row>
    <row r="216" spans="1:20" ht="23.25" hidden="1" customHeight="1" x14ac:dyDescent="0.25">
      <c r="A216" s="20" t="s">
        <v>917</v>
      </c>
      <c r="B216" s="22">
        <v>2021</v>
      </c>
      <c r="C216" s="97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93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921</v>
      </c>
    </row>
    <row r="217" spans="1:20" ht="23.25" hidden="1" customHeight="1" x14ac:dyDescent="0.25">
      <c r="A217" s="21" t="s">
        <v>922</v>
      </c>
      <c r="B217" s="24">
        <v>2021</v>
      </c>
      <c r="C217" s="97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94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676</v>
      </c>
    </row>
    <row r="218" spans="1:20" ht="23.25" hidden="1" customHeight="1" x14ac:dyDescent="0.25">
      <c r="A218" s="20" t="s">
        <v>925</v>
      </c>
      <c r="B218" s="22">
        <v>2021</v>
      </c>
      <c r="C218" s="97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93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929</v>
      </c>
    </row>
    <row r="219" spans="1:20" ht="23.25" hidden="1" customHeight="1" x14ac:dyDescent="0.25">
      <c r="A219" s="21" t="s">
        <v>930</v>
      </c>
      <c r="B219" s="24">
        <v>2021</v>
      </c>
      <c r="C219" s="97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94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934</v>
      </c>
    </row>
    <row r="220" spans="1:20" ht="23.25" hidden="1" customHeight="1" x14ac:dyDescent="0.25">
      <c r="A220" s="20" t="s">
        <v>935</v>
      </c>
      <c r="B220" s="22">
        <v>2021</v>
      </c>
      <c r="C220" s="97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93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849</v>
      </c>
    </row>
    <row r="221" spans="1:20" ht="23.25" hidden="1" customHeight="1" x14ac:dyDescent="0.25">
      <c r="A221" s="21" t="s">
        <v>938</v>
      </c>
      <c r="B221" s="24">
        <v>2021</v>
      </c>
      <c r="C221" s="97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94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934</v>
      </c>
    </row>
    <row r="222" spans="1:20" ht="23.25" hidden="1" customHeight="1" x14ac:dyDescent="0.25">
      <c r="A222" s="20" t="s">
        <v>941</v>
      </c>
      <c r="B222" s="22">
        <v>2021</v>
      </c>
      <c r="C222" s="97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93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945</v>
      </c>
    </row>
    <row r="223" spans="1:20" ht="23.25" hidden="1" customHeight="1" x14ac:dyDescent="0.25">
      <c r="A223" s="21" t="s">
        <v>946</v>
      </c>
      <c r="B223" s="24">
        <v>2021</v>
      </c>
      <c r="C223" s="97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94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950</v>
      </c>
    </row>
    <row r="224" spans="1:20" ht="23.25" hidden="1" customHeight="1" x14ac:dyDescent="0.25">
      <c r="A224" s="20" t="s">
        <v>951</v>
      </c>
      <c r="B224" s="22">
        <v>2021</v>
      </c>
      <c r="C224" s="97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93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955</v>
      </c>
    </row>
    <row r="225" spans="1:20" ht="23.25" hidden="1" customHeight="1" x14ac:dyDescent="0.25">
      <c r="A225" s="21" t="s">
        <v>956</v>
      </c>
      <c r="B225" s="24">
        <v>2021</v>
      </c>
      <c r="C225" s="97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94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960</v>
      </c>
    </row>
    <row r="226" spans="1:20" ht="23.25" hidden="1" customHeight="1" x14ac:dyDescent="0.25">
      <c r="A226" s="20" t="s">
        <v>961</v>
      </c>
      <c r="B226" s="22">
        <v>2021</v>
      </c>
      <c r="C226" s="97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93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965</v>
      </c>
    </row>
    <row r="227" spans="1:20" ht="23.25" hidden="1" customHeight="1" x14ac:dyDescent="0.25">
      <c r="A227" s="21" t="s">
        <v>966</v>
      </c>
      <c r="B227" s="24">
        <v>2021</v>
      </c>
      <c r="C227" s="97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94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969</v>
      </c>
    </row>
    <row r="228" spans="1:20" ht="23.25" hidden="1" customHeight="1" x14ac:dyDescent="0.25">
      <c r="A228" s="20" t="s">
        <v>970</v>
      </c>
      <c r="B228" s="22">
        <v>2021</v>
      </c>
      <c r="C228" s="97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93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965</v>
      </c>
    </row>
    <row r="229" spans="1:20" ht="23.25" hidden="1" customHeight="1" x14ac:dyDescent="0.25">
      <c r="A229" s="21" t="s">
        <v>973</v>
      </c>
      <c r="B229" s="24">
        <v>2021</v>
      </c>
      <c r="C229" s="97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94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548</v>
      </c>
    </row>
    <row r="230" spans="1:20" ht="23.25" hidden="1" customHeight="1" x14ac:dyDescent="0.25">
      <c r="A230" s="20" t="s">
        <v>977</v>
      </c>
      <c r="B230" s="22">
        <v>2021</v>
      </c>
      <c r="C230" s="97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93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413</v>
      </c>
    </row>
    <row r="231" spans="1:20" ht="23.25" hidden="1" customHeight="1" x14ac:dyDescent="0.25">
      <c r="A231" s="21" t="s">
        <v>980</v>
      </c>
      <c r="B231" s="24">
        <v>2021</v>
      </c>
      <c r="C231" s="97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94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849</v>
      </c>
    </row>
    <row r="232" spans="1:20" ht="23.25" hidden="1" customHeight="1" x14ac:dyDescent="0.25">
      <c r="A232" s="20" t="s">
        <v>983</v>
      </c>
      <c r="B232" s="22">
        <v>2022</v>
      </c>
      <c r="C232" s="97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93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987</v>
      </c>
    </row>
    <row r="233" spans="1:20" ht="23.25" hidden="1" customHeight="1" x14ac:dyDescent="0.25">
      <c r="A233" s="21" t="s">
        <v>988</v>
      </c>
      <c r="B233" s="24">
        <v>2022</v>
      </c>
      <c r="C233" s="97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94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583</v>
      </c>
    </row>
    <row r="234" spans="1:20" ht="23.25" hidden="1" customHeight="1" x14ac:dyDescent="0.25">
      <c r="A234" s="20" t="s">
        <v>992</v>
      </c>
      <c r="B234" s="22">
        <v>2022</v>
      </c>
      <c r="C234" s="97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93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996</v>
      </c>
    </row>
    <row r="235" spans="1:20" ht="23.25" hidden="1" customHeight="1" x14ac:dyDescent="0.25">
      <c r="A235" s="21" t="s">
        <v>997</v>
      </c>
      <c r="B235" s="24">
        <v>2022</v>
      </c>
      <c r="C235" s="97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94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548</v>
      </c>
    </row>
    <row r="236" spans="1:20" ht="23.25" hidden="1" customHeight="1" x14ac:dyDescent="0.25">
      <c r="A236" s="20" t="s">
        <v>1000</v>
      </c>
      <c r="B236" s="22">
        <v>2022</v>
      </c>
      <c r="C236" s="97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93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1004</v>
      </c>
    </row>
    <row r="237" spans="1:20" ht="23.25" hidden="1" customHeight="1" x14ac:dyDescent="0.25">
      <c r="A237" s="21" t="s">
        <v>1005</v>
      </c>
      <c r="B237" s="24">
        <v>2022</v>
      </c>
      <c r="C237" s="97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94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709</v>
      </c>
    </row>
    <row r="238" spans="1:20" ht="23.25" hidden="1" customHeight="1" x14ac:dyDescent="0.25">
      <c r="A238" s="20" t="s">
        <v>1008</v>
      </c>
      <c r="B238" s="22">
        <v>2022</v>
      </c>
      <c r="C238" s="97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93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ref="R238:R301" si="4">SUM(O238:Q238)</f>
        <v>15</v>
      </c>
      <c r="S238" s="22">
        <v>20</v>
      </c>
      <c r="T238" s="20" t="s">
        <v>1012</v>
      </c>
    </row>
    <row r="239" spans="1:20" ht="23.25" hidden="1" customHeight="1" x14ac:dyDescent="0.25">
      <c r="A239" s="21" t="s">
        <v>1013</v>
      </c>
      <c r="B239" s="24">
        <v>2022</v>
      </c>
      <c r="C239" s="97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94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4"/>
        <v>51</v>
      </c>
      <c r="S239" s="24">
        <v>2</v>
      </c>
      <c r="T239" s="21" t="s">
        <v>1017</v>
      </c>
    </row>
    <row r="240" spans="1:20" ht="23.25" hidden="1" customHeight="1" x14ac:dyDescent="0.25">
      <c r="A240" s="20" t="s">
        <v>1018</v>
      </c>
      <c r="B240" s="22">
        <v>2022</v>
      </c>
      <c r="C240" s="97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93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4"/>
        <v>31</v>
      </c>
      <c r="S240" s="22">
        <v>1</v>
      </c>
      <c r="T240" s="20" t="s">
        <v>1022</v>
      </c>
    </row>
    <row r="241" spans="1:20" ht="23.25" hidden="1" customHeight="1" x14ac:dyDescent="0.25">
      <c r="A241" s="21" t="s">
        <v>1023</v>
      </c>
      <c r="B241" s="24">
        <v>2022</v>
      </c>
      <c r="C241" s="97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94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4"/>
        <v>140</v>
      </c>
      <c r="S241" s="24">
        <v>20</v>
      </c>
      <c r="T241" s="21" t="s">
        <v>1027</v>
      </c>
    </row>
    <row r="242" spans="1:20" ht="23.25" hidden="1" customHeight="1" x14ac:dyDescent="0.25">
      <c r="A242" s="20" t="s">
        <v>1028</v>
      </c>
      <c r="B242" s="22">
        <v>2022</v>
      </c>
      <c r="C242" s="97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93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4"/>
        <v>15</v>
      </c>
      <c r="S242" s="22">
        <v>21</v>
      </c>
      <c r="T242" s="20" t="s">
        <v>827</v>
      </c>
    </row>
    <row r="243" spans="1:20" ht="23.25" hidden="1" customHeight="1" x14ac:dyDescent="0.25">
      <c r="A243" s="21" t="s">
        <v>1032</v>
      </c>
      <c r="B243" s="24">
        <v>2022</v>
      </c>
      <c r="C243" s="97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94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4"/>
        <v>18</v>
      </c>
      <c r="S243" s="24">
        <v>12</v>
      </c>
      <c r="T243" s="21" t="s">
        <v>929</v>
      </c>
    </row>
    <row r="244" spans="1:20" ht="23.25" hidden="1" customHeight="1" x14ac:dyDescent="0.25">
      <c r="A244" s="20" t="s">
        <v>1036</v>
      </c>
      <c r="B244" s="22">
        <v>2022</v>
      </c>
      <c r="C244" s="97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93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4"/>
        <v>55</v>
      </c>
      <c r="S244" s="22">
        <v>2</v>
      </c>
      <c r="T244" s="20" t="s">
        <v>709</v>
      </c>
    </row>
    <row r="245" spans="1:20" ht="23.25" hidden="1" customHeight="1" x14ac:dyDescent="0.25">
      <c r="A245" s="21" t="s">
        <v>1038</v>
      </c>
      <c r="B245" s="24">
        <v>2022</v>
      </c>
      <c r="C245" s="97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94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4"/>
        <v>120</v>
      </c>
      <c r="S245" s="24">
        <v>1</v>
      </c>
      <c r="T245" s="21" t="s">
        <v>1041</v>
      </c>
    </row>
    <row r="246" spans="1:20" ht="23.25" hidden="1" customHeight="1" x14ac:dyDescent="0.25">
      <c r="A246" s="20" t="s">
        <v>1042</v>
      </c>
      <c r="B246" s="22">
        <v>2022</v>
      </c>
      <c r="C246" s="97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93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4"/>
        <v>34</v>
      </c>
      <c r="S246" s="22">
        <v>24</v>
      </c>
      <c r="T246" s="20" t="s">
        <v>1045</v>
      </c>
    </row>
    <row r="247" spans="1:20" ht="23.25" hidden="1" customHeight="1" x14ac:dyDescent="0.25">
      <c r="A247" s="21" t="s">
        <v>1046</v>
      </c>
      <c r="B247" s="24">
        <v>2022</v>
      </c>
      <c r="C247" s="97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94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4"/>
        <v>37</v>
      </c>
      <c r="S247" s="24">
        <v>4</v>
      </c>
      <c r="T247" s="21" t="s">
        <v>548</v>
      </c>
    </row>
    <row r="248" spans="1:20" ht="23.25" hidden="1" customHeight="1" x14ac:dyDescent="0.25">
      <c r="A248" s="20" t="s">
        <v>1050</v>
      </c>
      <c r="B248" s="22">
        <v>2022</v>
      </c>
      <c r="C248" s="97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93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4"/>
        <v>6</v>
      </c>
      <c r="S248" s="22">
        <v>2</v>
      </c>
      <c r="T248" s="20" t="s">
        <v>1054</v>
      </c>
    </row>
    <row r="249" spans="1:20" ht="23.25" hidden="1" customHeight="1" x14ac:dyDescent="0.25">
      <c r="A249" s="21" t="s">
        <v>1055</v>
      </c>
      <c r="B249" s="24">
        <v>2022</v>
      </c>
      <c r="C249" s="97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94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4"/>
        <v>25</v>
      </c>
      <c r="S249" s="24">
        <v>8</v>
      </c>
      <c r="T249" s="21" t="s">
        <v>1059</v>
      </c>
    </row>
    <row r="250" spans="1:20" ht="23.25" hidden="1" customHeight="1" x14ac:dyDescent="0.25">
      <c r="A250" s="20" t="s">
        <v>1060</v>
      </c>
      <c r="B250" s="22">
        <v>2022</v>
      </c>
      <c r="C250" s="97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93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4"/>
        <v>26</v>
      </c>
      <c r="S250" s="22">
        <v>20</v>
      </c>
      <c r="T250" s="20" t="s">
        <v>1064</v>
      </c>
    </row>
    <row r="251" spans="1:20" ht="23.25" hidden="1" customHeight="1" x14ac:dyDescent="0.25">
      <c r="A251" s="21" t="s">
        <v>1065</v>
      </c>
      <c r="B251" s="24">
        <v>2022</v>
      </c>
      <c r="C251" s="97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94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4"/>
        <v>56</v>
      </c>
      <c r="S251" s="24">
        <v>2</v>
      </c>
      <c r="T251" s="21" t="s">
        <v>548</v>
      </c>
    </row>
    <row r="252" spans="1:20" ht="23.25" hidden="1" customHeight="1" x14ac:dyDescent="0.25">
      <c r="A252" s="20" t="s">
        <v>1069</v>
      </c>
      <c r="B252" s="22">
        <v>2022</v>
      </c>
      <c r="C252" s="97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93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4"/>
        <v>26</v>
      </c>
      <c r="S252" s="22">
        <v>4.5</v>
      </c>
      <c r="T252" s="20" t="s">
        <v>1073</v>
      </c>
    </row>
    <row r="253" spans="1:20" ht="23.25" hidden="1" customHeight="1" x14ac:dyDescent="0.25">
      <c r="A253" s="21" t="s">
        <v>1074</v>
      </c>
      <c r="B253" s="24">
        <v>2022</v>
      </c>
      <c r="C253" s="97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94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4"/>
        <v>26</v>
      </c>
      <c r="S253" s="24">
        <v>1</v>
      </c>
      <c r="T253" s="21" t="s">
        <v>583</v>
      </c>
    </row>
    <row r="254" spans="1:20" ht="23.25" hidden="1" customHeight="1" x14ac:dyDescent="0.25">
      <c r="A254" s="20" t="s">
        <v>1078</v>
      </c>
      <c r="B254" s="22">
        <v>2022</v>
      </c>
      <c r="C254" s="97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93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4"/>
        <v>11</v>
      </c>
      <c r="S254" s="22">
        <v>66</v>
      </c>
      <c r="T254" s="20" t="s">
        <v>1082</v>
      </c>
    </row>
    <row r="255" spans="1:20" ht="23.25" hidden="1" customHeight="1" x14ac:dyDescent="0.25">
      <c r="A255" s="21" t="s">
        <v>1083</v>
      </c>
      <c r="B255" s="24">
        <v>2022</v>
      </c>
      <c r="C255" s="97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94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4"/>
        <v>14</v>
      </c>
      <c r="S255" s="24">
        <v>7</v>
      </c>
      <c r="T255" s="21" t="s">
        <v>1086</v>
      </c>
    </row>
    <row r="256" spans="1:20" ht="23.25" hidden="1" customHeight="1" x14ac:dyDescent="0.25">
      <c r="A256" s="20" t="s">
        <v>1087</v>
      </c>
      <c r="B256" s="22">
        <v>2022</v>
      </c>
      <c r="C256" s="97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93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4"/>
        <v>49</v>
      </c>
      <c r="S256" s="22">
        <v>10.5</v>
      </c>
      <c r="T256" s="20" t="s">
        <v>854</v>
      </c>
    </row>
    <row r="257" spans="1:20" ht="23.25" hidden="1" customHeight="1" x14ac:dyDescent="0.25">
      <c r="A257" s="21" t="s">
        <v>1091</v>
      </c>
      <c r="B257" s="24">
        <v>2022</v>
      </c>
      <c r="C257" s="97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94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4"/>
        <v>27</v>
      </c>
      <c r="S257" s="24">
        <v>6</v>
      </c>
      <c r="T257" s="21" t="s">
        <v>1095</v>
      </c>
    </row>
    <row r="258" spans="1:20" ht="23.25" hidden="1" customHeight="1" x14ac:dyDescent="0.25">
      <c r="A258" s="20" t="s">
        <v>1096</v>
      </c>
      <c r="B258" s="22">
        <v>2022</v>
      </c>
      <c r="C258" s="97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93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si="4"/>
        <v>22</v>
      </c>
      <c r="S258" s="22">
        <v>2</v>
      </c>
      <c r="T258" s="20" t="s">
        <v>893</v>
      </c>
    </row>
    <row r="259" spans="1:20" ht="23.25" hidden="1" customHeight="1" x14ac:dyDescent="0.25">
      <c r="A259" s="21" t="s">
        <v>1100</v>
      </c>
      <c r="B259" s="24">
        <v>2022</v>
      </c>
      <c r="C259" s="97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94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1104</v>
      </c>
    </row>
    <row r="260" spans="1:20" ht="23.25" hidden="1" customHeight="1" x14ac:dyDescent="0.25">
      <c r="A260" s="20" t="s">
        <v>1105</v>
      </c>
      <c r="B260" s="22">
        <v>2022</v>
      </c>
      <c r="C260" s="97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93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1109</v>
      </c>
    </row>
    <row r="261" spans="1:20" ht="23.25" hidden="1" customHeight="1" x14ac:dyDescent="0.25">
      <c r="A261" s="21" t="s">
        <v>1110</v>
      </c>
      <c r="B261" s="24">
        <v>2022</v>
      </c>
      <c r="C261" s="97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94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725</v>
      </c>
    </row>
    <row r="262" spans="1:20" ht="23.25" hidden="1" customHeight="1" x14ac:dyDescent="0.25">
      <c r="A262" s="20" t="s">
        <v>1114</v>
      </c>
      <c r="B262" s="22">
        <v>2022</v>
      </c>
      <c r="C262" s="97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93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676</v>
      </c>
    </row>
    <row r="263" spans="1:20" ht="23.25" hidden="1" customHeight="1" x14ac:dyDescent="0.25">
      <c r="A263" s="21" t="s">
        <v>1116</v>
      </c>
      <c r="B263" s="24">
        <v>2022</v>
      </c>
      <c r="C263" s="97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94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1119</v>
      </c>
    </row>
    <row r="264" spans="1:20" ht="23.25" hidden="1" customHeight="1" x14ac:dyDescent="0.25">
      <c r="A264" s="20" t="s">
        <v>1120</v>
      </c>
      <c r="B264" s="22">
        <v>2022</v>
      </c>
      <c r="C264" s="97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93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1022</v>
      </c>
    </row>
    <row r="265" spans="1:20" ht="23.25" hidden="1" customHeight="1" x14ac:dyDescent="0.25">
      <c r="A265" s="21" t="s">
        <v>1124</v>
      </c>
      <c r="B265" s="24">
        <v>2022</v>
      </c>
      <c r="C265" s="97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94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471</v>
      </c>
    </row>
    <row r="266" spans="1:20" ht="23.25" hidden="1" customHeight="1" x14ac:dyDescent="0.25">
      <c r="A266" s="20" t="s">
        <v>1128</v>
      </c>
      <c r="B266" s="22">
        <v>2022</v>
      </c>
      <c r="C266" s="97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93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210</v>
      </c>
    </row>
    <row r="267" spans="1:20" ht="23.25" hidden="1" customHeight="1" x14ac:dyDescent="0.25">
      <c r="A267" s="21" t="s">
        <v>1132</v>
      </c>
      <c r="B267" s="24">
        <v>2022</v>
      </c>
      <c r="C267" s="97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94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1041</v>
      </c>
    </row>
    <row r="268" spans="1:20" ht="23.25" hidden="1" customHeight="1" x14ac:dyDescent="0.25">
      <c r="A268" s="20" t="s">
        <v>1136</v>
      </c>
      <c r="B268" s="22">
        <v>2022</v>
      </c>
      <c r="C268" s="97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93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676</v>
      </c>
    </row>
    <row r="269" spans="1:20" ht="23.25" hidden="1" customHeight="1" x14ac:dyDescent="0.25">
      <c r="A269" s="21" t="s">
        <v>1139</v>
      </c>
      <c r="B269" s="24">
        <v>2022</v>
      </c>
      <c r="C269" s="97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94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1059</v>
      </c>
    </row>
    <row r="270" spans="1:20" ht="23.25" hidden="1" customHeight="1" x14ac:dyDescent="0.25">
      <c r="A270" s="20" t="s">
        <v>1143</v>
      </c>
      <c r="B270" s="22">
        <v>2022</v>
      </c>
      <c r="C270" s="97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93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965</v>
      </c>
    </row>
    <row r="271" spans="1:20" ht="23.25" hidden="1" customHeight="1" x14ac:dyDescent="0.25">
      <c r="A271" s="21" t="s">
        <v>1147</v>
      </c>
      <c r="B271" s="24">
        <v>2022</v>
      </c>
      <c r="C271" s="97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94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543</v>
      </c>
    </row>
    <row r="272" spans="1:20" ht="23.25" hidden="1" customHeight="1" x14ac:dyDescent="0.25">
      <c r="A272" s="20" t="s">
        <v>1151</v>
      </c>
      <c r="B272" s="22">
        <v>2022</v>
      </c>
      <c r="C272" s="97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93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543</v>
      </c>
    </row>
    <row r="273" spans="1:20" ht="23.25" hidden="1" customHeight="1" x14ac:dyDescent="0.25">
      <c r="A273" s="21" t="s">
        <v>1154</v>
      </c>
      <c r="B273" s="24">
        <v>2022</v>
      </c>
      <c r="C273" s="97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94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1158</v>
      </c>
    </row>
    <row r="274" spans="1:20" ht="23.25" hidden="1" customHeight="1" x14ac:dyDescent="0.25">
      <c r="A274" s="20" t="s">
        <v>1159</v>
      </c>
      <c r="B274" s="22">
        <v>2022</v>
      </c>
      <c r="C274" s="97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93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1163</v>
      </c>
    </row>
    <row r="275" spans="1:20" ht="23.25" hidden="1" customHeight="1" x14ac:dyDescent="0.25">
      <c r="A275" s="21" t="s">
        <v>1164</v>
      </c>
      <c r="B275" s="24">
        <v>2022</v>
      </c>
      <c r="C275" s="97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94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676</v>
      </c>
    </row>
    <row r="276" spans="1:20" ht="23.25" hidden="1" customHeight="1" x14ac:dyDescent="0.25">
      <c r="A276" s="20" t="s">
        <v>1167</v>
      </c>
      <c r="B276" s="22">
        <v>2022</v>
      </c>
      <c r="C276" s="97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93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1171</v>
      </c>
    </row>
    <row r="277" spans="1:20" ht="23.25" hidden="1" customHeight="1" x14ac:dyDescent="0.25">
      <c r="A277" s="21" t="s">
        <v>1172</v>
      </c>
      <c r="B277" s="24">
        <v>2022</v>
      </c>
      <c r="C277" s="97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94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1176</v>
      </c>
    </row>
    <row r="278" spans="1:20" ht="23.25" hidden="1" customHeight="1" x14ac:dyDescent="0.25">
      <c r="A278" s="20" t="s">
        <v>1177</v>
      </c>
      <c r="B278" s="22">
        <v>2022</v>
      </c>
      <c r="C278" s="97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93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1181</v>
      </c>
    </row>
    <row r="279" spans="1:20" ht="23.25" hidden="1" customHeight="1" x14ac:dyDescent="0.25">
      <c r="A279" s="21" t="s">
        <v>1182</v>
      </c>
      <c r="B279" s="24">
        <v>2022</v>
      </c>
      <c r="C279" s="97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94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1186</v>
      </c>
    </row>
    <row r="280" spans="1:20" ht="23.25" hidden="1" customHeight="1" x14ac:dyDescent="0.25">
      <c r="A280" s="20" t="s">
        <v>1187</v>
      </c>
      <c r="B280" s="22">
        <v>2022</v>
      </c>
      <c r="C280" s="97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93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1054</v>
      </c>
    </row>
    <row r="281" spans="1:20" ht="23.25" hidden="1" customHeight="1" x14ac:dyDescent="0.25">
      <c r="A281" s="21" t="s">
        <v>1191</v>
      </c>
      <c r="B281" s="24">
        <v>2022</v>
      </c>
      <c r="C281" s="97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94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81</v>
      </c>
    </row>
    <row r="282" spans="1:20" ht="23.25" hidden="1" customHeight="1" x14ac:dyDescent="0.25">
      <c r="A282" s="20" t="s">
        <v>1195</v>
      </c>
      <c r="B282" s="22">
        <v>2022</v>
      </c>
      <c r="C282" s="97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93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965</v>
      </c>
    </row>
    <row r="283" spans="1:20" ht="23.25" hidden="1" customHeight="1" x14ac:dyDescent="0.25">
      <c r="A283" s="21" t="s">
        <v>1198</v>
      </c>
      <c r="B283" s="24">
        <v>2022</v>
      </c>
      <c r="C283" s="97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94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417</v>
      </c>
    </row>
    <row r="284" spans="1:20" ht="23.25" hidden="1" customHeight="1" x14ac:dyDescent="0.25">
      <c r="A284" s="20" t="s">
        <v>1202</v>
      </c>
      <c r="B284" s="22">
        <v>2022</v>
      </c>
      <c r="C284" s="97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93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1206</v>
      </c>
    </row>
    <row r="285" spans="1:20" ht="23.25" hidden="1" customHeight="1" x14ac:dyDescent="0.25">
      <c r="A285" s="21" t="s">
        <v>1207</v>
      </c>
      <c r="B285" s="24">
        <v>2022</v>
      </c>
      <c r="C285" s="97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94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81</v>
      </c>
    </row>
    <row r="286" spans="1:20" ht="23.25" hidden="1" customHeight="1" x14ac:dyDescent="0.25">
      <c r="A286" s="20" t="s">
        <v>1211</v>
      </c>
      <c r="B286" s="22">
        <v>2022</v>
      </c>
      <c r="C286" s="97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93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1215</v>
      </c>
    </row>
    <row r="287" spans="1:20" ht="23.25" hidden="1" customHeight="1" x14ac:dyDescent="0.25">
      <c r="A287" s="21" t="s">
        <v>1216</v>
      </c>
      <c r="B287" s="24">
        <v>2022</v>
      </c>
      <c r="C287" s="97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94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1041</v>
      </c>
    </row>
    <row r="288" spans="1:20" ht="23.25" hidden="1" customHeight="1" x14ac:dyDescent="0.25">
      <c r="A288" s="20" t="s">
        <v>1220</v>
      </c>
      <c r="B288" s="22">
        <v>2022</v>
      </c>
      <c r="C288" s="97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93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hidden="1" customHeight="1" x14ac:dyDescent="0.25">
      <c r="A289" s="21" t="s">
        <v>1222</v>
      </c>
      <c r="B289" s="24">
        <v>2022</v>
      </c>
      <c r="C289" s="97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94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1226</v>
      </c>
    </row>
    <row r="290" spans="1:20" ht="23.25" hidden="1" customHeight="1" x14ac:dyDescent="0.25">
      <c r="A290" s="20" t="s">
        <v>1227</v>
      </c>
      <c r="B290" s="22">
        <v>2022</v>
      </c>
      <c r="C290" s="97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93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1231</v>
      </c>
    </row>
    <row r="291" spans="1:20" ht="23.25" hidden="1" customHeight="1" x14ac:dyDescent="0.25">
      <c r="A291" s="21" t="s">
        <v>1232</v>
      </c>
      <c r="B291" s="24">
        <v>2022</v>
      </c>
      <c r="C291" s="97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94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417</v>
      </c>
    </row>
    <row r="292" spans="1:20" ht="23.25" hidden="1" customHeight="1" x14ac:dyDescent="0.25">
      <c r="A292" s="20" t="s">
        <v>1236</v>
      </c>
      <c r="B292" s="22">
        <v>2022</v>
      </c>
      <c r="C292" s="97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93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1238</v>
      </c>
    </row>
    <row r="293" spans="1:20" ht="23.25" hidden="1" customHeight="1" x14ac:dyDescent="0.25">
      <c r="A293" s="21" t="s">
        <v>1239</v>
      </c>
      <c r="B293" s="24">
        <v>2022</v>
      </c>
      <c r="C293" s="97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94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548</v>
      </c>
    </row>
    <row r="294" spans="1:20" ht="23.25" hidden="1" customHeight="1" x14ac:dyDescent="0.25">
      <c r="A294" s="20" t="s">
        <v>1243</v>
      </c>
      <c r="B294" s="22">
        <v>2022</v>
      </c>
      <c r="C294" s="97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93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1247</v>
      </c>
    </row>
    <row r="295" spans="1:20" ht="23.25" hidden="1" customHeight="1" x14ac:dyDescent="0.25">
      <c r="A295" s="21" t="s">
        <v>1248</v>
      </c>
      <c r="B295" s="24">
        <v>2023</v>
      </c>
      <c r="C295" s="97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94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1252</v>
      </c>
    </row>
    <row r="296" spans="1:20" ht="23.25" hidden="1" customHeight="1" x14ac:dyDescent="0.25">
      <c r="A296" s="20" t="s">
        <v>1253</v>
      </c>
      <c r="B296" s="22">
        <v>2023</v>
      </c>
      <c r="C296" s="97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93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1257</v>
      </c>
    </row>
    <row r="297" spans="1:20" ht="23.25" hidden="1" customHeight="1" x14ac:dyDescent="0.25">
      <c r="A297" s="21" t="s">
        <v>1258</v>
      </c>
      <c r="B297" s="24">
        <v>2023</v>
      </c>
      <c r="C297" s="97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94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73</v>
      </c>
    </row>
    <row r="298" spans="1:20" ht="23.25" hidden="1" customHeight="1" x14ac:dyDescent="0.25">
      <c r="A298" s="20" t="s">
        <v>1262</v>
      </c>
      <c r="B298" s="22">
        <v>2023</v>
      </c>
      <c r="C298" s="97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93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1265</v>
      </c>
    </row>
    <row r="299" spans="1:20" ht="23.25" hidden="1" customHeight="1" x14ac:dyDescent="0.25">
      <c r="A299" s="21" t="s">
        <v>1266</v>
      </c>
      <c r="B299" s="24">
        <v>2023</v>
      </c>
      <c r="C299" s="97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94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1269</v>
      </c>
    </row>
    <row r="300" spans="1:20" ht="23.25" hidden="1" customHeight="1" x14ac:dyDescent="0.25">
      <c r="A300" s="20" t="s">
        <v>1270</v>
      </c>
      <c r="B300" s="22">
        <v>2023</v>
      </c>
      <c r="C300" s="97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93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1274</v>
      </c>
    </row>
    <row r="301" spans="1:20" ht="23.25" hidden="1" customHeight="1" x14ac:dyDescent="0.25">
      <c r="A301" s="21" t="s">
        <v>1275</v>
      </c>
      <c r="B301" s="24">
        <v>2023</v>
      </c>
      <c r="C301" s="97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94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1279</v>
      </c>
    </row>
    <row r="302" spans="1:20" ht="23.25" hidden="1" customHeight="1" x14ac:dyDescent="0.25">
      <c r="A302" s="20" t="s">
        <v>1280</v>
      </c>
      <c r="B302" s="22">
        <v>2023</v>
      </c>
      <c r="C302" s="97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93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ref="R302:R365" si="5">SUM(O302:Q302)</f>
        <v>19</v>
      </c>
      <c r="S302" s="22">
        <v>16</v>
      </c>
      <c r="T302" s="20" t="s">
        <v>548</v>
      </c>
    </row>
    <row r="303" spans="1:20" ht="23.25" hidden="1" customHeight="1" x14ac:dyDescent="0.25">
      <c r="A303" s="21" t="s">
        <v>1284</v>
      </c>
      <c r="B303" s="24">
        <v>2023</v>
      </c>
      <c r="C303" s="97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94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5"/>
        <v>20</v>
      </c>
      <c r="S303" s="24">
        <v>2</v>
      </c>
      <c r="T303" s="21" t="s">
        <v>1288</v>
      </c>
    </row>
    <row r="304" spans="1:20" ht="23.25" hidden="1" customHeight="1" x14ac:dyDescent="0.25">
      <c r="A304" s="20" t="s">
        <v>1289</v>
      </c>
      <c r="B304" s="22">
        <v>2023</v>
      </c>
      <c r="C304" s="97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93"/>
      <c r="N304" s="41">
        <v>80</v>
      </c>
      <c r="O304" s="23">
        <v>25</v>
      </c>
      <c r="P304" s="23"/>
      <c r="Q304" s="23"/>
      <c r="R304" s="23">
        <f t="shared" si="5"/>
        <v>25</v>
      </c>
      <c r="S304" s="22">
        <v>2</v>
      </c>
      <c r="T304" s="20" t="s">
        <v>1292</v>
      </c>
    </row>
    <row r="305" spans="1:20" ht="23.25" hidden="1" customHeight="1" x14ac:dyDescent="0.25">
      <c r="A305" s="21" t="s">
        <v>1293</v>
      </c>
      <c r="B305" s="24">
        <v>2023</v>
      </c>
      <c r="C305" s="97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94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5"/>
        <v>70</v>
      </c>
      <c r="S305" s="24">
        <v>2</v>
      </c>
      <c r="T305" s="21" t="s">
        <v>1297</v>
      </c>
    </row>
    <row r="306" spans="1:20" ht="23.25" hidden="1" customHeight="1" x14ac:dyDescent="0.25">
      <c r="A306" s="20" t="s">
        <v>1298</v>
      </c>
      <c r="B306" s="22">
        <v>2023</v>
      </c>
      <c r="C306" s="97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93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5"/>
        <v>17</v>
      </c>
      <c r="S306" s="22">
        <v>20</v>
      </c>
      <c r="T306" s="20"/>
    </row>
    <row r="307" spans="1:20" ht="23.25" hidden="1" customHeight="1" x14ac:dyDescent="0.25">
      <c r="A307" s="21" t="s">
        <v>1302</v>
      </c>
      <c r="B307" s="24">
        <v>2023</v>
      </c>
      <c r="C307" s="97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94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5"/>
        <v>24</v>
      </c>
      <c r="S307" s="24">
        <v>20</v>
      </c>
      <c r="T307" s="21" t="s">
        <v>725</v>
      </c>
    </row>
    <row r="308" spans="1:20" ht="23.25" hidden="1" customHeight="1" x14ac:dyDescent="0.25">
      <c r="A308" s="20" t="s">
        <v>1306</v>
      </c>
      <c r="B308" s="22">
        <v>2023</v>
      </c>
      <c r="C308" s="97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93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5"/>
        <v>17</v>
      </c>
      <c r="S308" s="22">
        <v>6.5</v>
      </c>
      <c r="T308" s="20" t="s">
        <v>1309</v>
      </c>
    </row>
    <row r="309" spans="1:20" ht="23.25" hidden="1" customHeight="1" x14ac:dyDescent="0.25">
      <c r="A309" s="21" t="s">
        <v>1310</v>
      </c>
      <c r="B309" s="24">
        <v>2023</v>
      </c>
      <c r="C309" s="97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94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5"/>
        <v>17</v>
      </c>
      <c r="S309" s="24">
        <v>16</v>
      </c>
      <c r="T309" s="21" t="s">
        <v>548</v>
      </c>
    </row>
    <row r="310" spans="1:20" ht="23.25" hidden="1" customHeight="1" x14ac:dyDescent="0.25">
      <c r="A310" s="20" t="s">
        <v>1314</v>
      </c>
      <c r="B310" s="22">
        <v>2023</v>
      </c>
      <c r="C310" s="97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93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5"/>
        <v>45</v>
      </c>
      <c r="S310" s="22">
        <v>1</v>
      </c>
      <c r="T310" s="33" t="s">
        <v>144</v>
      </c>
    </row>
    <row r="311" spans="1:20" ht="23.25" hidden="1" customHeight="1" x14ac:dyDescent="0.25">
      <c r="A311" s="21" t="s">
        <v>1318</v>
      </c>
      <c r="B311" s="24">
        <v>2023</v>
      </c>
      <c r="C311" s="97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94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5"/>
        <v>26</v>
      </c>
      <c r="S311" s="24">
        <v>2</v>
      </c>
      <c r="T311" s="21" t="s">
        <v>1322</v>
      </c>
    </row>
    <row r="312" spans="1:20" ht="23.25" hidden="1" customHeight="1" x14ac:dyDescent="0.25">
      <c r="A312" s="20" t="s">
        <v>1323</v>
      </c>
      <c r="B312" s="22">
        <v>2023</v>
      </c>
      <c r="C312" s="97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93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5"/>
        <v>17</v>
      </c>
      <c r="S312" s="22">
        <v>75</v>
      </c>
      <c r="T312" s="20" t="s">
        <v>1326</v>
      </c>
    </row>
    <row r="313" spans="1:20" ht="23.25" hidden="1" customHeight="1" x14ac:dyDescent="0.25">
      <c r="A313" s="21" t="s">
        <v>1327</v>
      </c>
      <c r="B313" s="24">
        <v>2023</v>
      </c>
      <c r="C313" s="97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94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5"/>
        <v>30</v>
      </c>
      <c r="S313" s="24">
        <v>2</v>
      </c>
      <c r="T313" s="21" t="s">
        <v>893</v>
      </c>
    </row>
    <row r="314" spans="1:20" ht="23.25" hidden="1" customHeight="1" x14ac:dyDescent="0.25">
      <c r="A314" s="20" t="s">
        <v>1330</v>
      </c>
      <c r="B314" s="22">
        <v>2023</v>
      </c>
      <c r="C314" s="97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93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5"/>
        <v>20</v>
      </c>
      <c r="S314" s="22">
        <v>20</v>
      </c>
      <c r="T314" s="20" t="s">
        <v>73</v>
      </c>
    </row>
    <row r="315" spans="1:20" ht="23.25" hidden="1" customHeight="1" x14ac:dyDescent="0.25">
      <c r="A315" s="21" t="s">
        <v>1333</v>
      </c>
      <c r="B315" s="24">
        <v>2023</v>
      </c>
      <c r="C315" s="97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94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5"/>
        <v>33</v>
      </c>
      <c r="S315" s="24">
        <v>2</v>
      </c>
      <c r="T315" s="21" t="s">
        <v>1337</v>
      </c>
    </row>
    <row r="316" spans="1:20" ht="23.25" hidden="1" customHeight="1" x14ac:dyDescent="0.25">
      <c r="A316" s="20" t="s">
        <v>1338</v>
      </c>
      <c r="B316" s="22">
        <v>2023</v>
      </c>
      <c r="C316" s="97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93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5"/>
        <v>17</v>
      </c>
      <c r="S316" s="22">
        <v>5</v>
      </c>
      <c r="T316" s="33" t="s">
        <v>1342</v>
      </c>
    </row>
    <row r="317" spans="1:20" ht="23.25" hidden="1" customHeight="1" x14ac:dyDescent="0.25">
      <c r="A317" s="21" t="s">
        <v>1343</v>
      </c>
      <c r="B317" s="24">
        <v>2023</v>
      </c>
      <c r="C317" s="97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94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5"/>
        <v>15</v>
      </c>
      <c r="S317" s="24">
        <v>24</v>
      </c>
      <c r="T317" s="21" t="s">
        <v>1347</v>
      </c>
    </row>
    <row r="318" spans="1:20" ht="23.25" hidden="1" customHeight="1" x14ac:dyDescent="0.25">
      <c r="A318" s="20" t="s">
        <v>1348</v>
      </c>
      <c r="B318" s="22">
        <v>2023</v>
      </c>
      <c r="C318" s="97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93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5"/>
        <v>19</v>
      </c>
      <c r="S318" s="22">
        <v>4</v>
      </c>
      <c r="T318" s="20" t="s">
        <v>417</v>
      </c>
    </row>
    <row r="319" spans="1:20" ht="23.25" hidden="1" customHeight="1" x14ac:dyDescent="0.25">
      <c r="A319" s="21" t="s">
        <v>1352</v>
      </c>
      <c r="B319" s="24">
        <v>2023</v>
      </c>
      <c r="C319" s="97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94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5"/>
        <v>16</v>
      </c>
      <c r="S319" s="24">
        <v>2</v>
      </c>
      <c r="T319" s="21" t="s">
        <v>1357</v>
      </c>
    </row>
    <row r="320" spans="1:20" ht="23.25" hidden="1" customHeight="1" x14ac:dyDescent="0.25">
      <c r="A320" s="20" t="s">
        <v>1358</v>
      </c>
      <c r="B320" s="22">
        <v>2023</v>
      </c>
      <c r="C320" s="97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93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5"/>
        <v>49</v>
      </c>
      <c r="S320" s="22">
        <v>2</v>
      </c>
      <c r="T320" s="20" t="s">
        <v>1357</v>
      </c>
    </row>
    <row r="321" spans="1:20" ht="23.25" hidden="1" customHeight="1" x14ac:dyDescent="0.25">
      <c r="A321" s="21" t="s">
        <v>1361</v>
      </c>
      <c r="B321" s="24">
        <v>2023</v>
      </c>
      <c r="C321" s="97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94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5"/>
        <v>126</v>
      </c>
      <c r="S321" s="24">
        <v>2</v>
      </c>
      <c r="T321" s="21" t="s">
        <v>1357</v>
      </c>
    </row>
    <row r="322" spans="1:20" ht="23.25" hidden="1" customHeight="1" x14ac:dyDescent="0.25">
      <c r="A322" s="20" t="s">
        <v>1363</v>
      </c>
      <c r="B322" s="22">
        <v>2023</v>
      </c>
      <c r="C322" s="97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93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si="5"/>
        <v>40</v>
      </c>
      <c r="S322" s="22">
        <v>1</v>
      </c>
      <c r="T322" s="20" t="s">
        <v>1366</v>
      </c>
    </row>
    <row r="323" spans="1:20" ht="23.25" hidden="1" customHeight="1" x14ac:dyDescent="0.25">
      <c r="A323" s="21" t="s">
        <v>1367</v>
      </c>
      <c r="B323" s="24">
        <v>2023</v>
      </c>
      <c r="C323" s="97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94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1366</v>
      </c>
    </row>
    <row r="324" spans="1:20" ht="23.25" hidden="1" customHeight="1" x14ac:dyDescent="0.25">
      <c r="A324" s="20" t="s">
        <v>1369</v>
      </c>
      <c r="B324" s="22">
        <v>2023</v>
      </c>
      <c r="C324" s="97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93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1366</v>
      </c>
    </row>
    <row r="325" spans="1:20" ht="23.25" hidden="1" customHeight="1" x14ac:dyDescent="0.25">
      <c r="A325" s="21" t="s">
        <v>1372</v>
      </c>
      <c r="B325" s="24">
        <v>2023</v>
      </c>
      <c r="C325" s="97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94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1366</v>
      </c>
    </row>
    <row r="326" spans="1:20" ht="23.25" hidden="1" customHeight="1" x14ac:dyDescent="0.25">
      <c r="A326" s="20" t="s">
        <v>1374</v>
      </c>
      <c r="B326" s="22">
        <v>2023</v>
      </c>
      <c r="C326" s="97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93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965</v>
      </c>
    </row>
    <row r="327" spans="1:20" ht="23.25" hidden="1" customHeight="1" x14ac:dyDescent="0.25">
      <c r="A327" s="21" t="s">
        <v>1378</v>
      </c>
      <c r="B327" s="24">
        <v>2023</v>
      </c>
      <c r="C327" s="97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94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73</v>
      </c>
    </row>
    <row r="328" spans="1:20" ht="23.25" hidden="1" customHeight="1" x14ac:dyDescent="0.25">
      <c r="A328" s="20" t="s">
        <v>1381</v>
      </c>
      <c r="B328" s="22">
        <v>2023</v>
      </c>
      <c r="C328" s="97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93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1385</v>
      </c>
    </row>
    <row r="329" spans="1:20" ht="23.25" hidden="1" customHeight="1" x14ac:dyDescent="0.25">
      <c r="A329" s="21" t="s">
        <v>1386</v>
      </c>
      <c r="B329" s="24">
        <v>2023</v>
      </c>
      <c r="C329" s="97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94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1390</v>
      </c>
    </row>
    <row r="330" spans="1:20" ht="23.25" hidden="1" customHeight="1" x14ac:dyDescent="0.25">
      <c r="A330" s="20" t="s">
        <v>1391</v>
      </c>
      <c r="B330" s="22">
        <v>2023</v>
      </c>
      <c r="C330" s="97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93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548</v>
      </c>
    </row>
    <row r="331" spans="1:20" ht="23.25" hidden="1" customHeight="1" x14ac:dyDescent="0.25">
      <c r="A331" s="21" t="s">
        <v>1395</v>
      </c>
      <c r="B331" s="24">
        <v>2023</v>
      </c>
      <c r="C331" s="97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94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1399</v>
      </c>
    </row>
    <row r="332" spans="1:20" ht="23.25" hidden="1" customHeight="1" x14ac:dyDescent="0.25">
      <c r="A332" s="20" t="s">
        <v>1400</v>
      </c>
      <c r="B332" s="22">
        <v>2023</v>
      </c>
      <c r="C332" s="97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93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1403</v>
      </c>
    </row>
    <row r="333" spans="1:20" ht="23.25" hidden="1" customHeight="1" x14ac:dyDescent="0.25">
      <c r="A333" s="21" t="s">
        <v>1404</v>
      </c>
      <c r="B333" s="24">
        <v>2023</v>
      </c>
      <c r="C333" s="97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94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1408</v>
      </c>
    </row>
    <row r="334" spans="1:20" ht="23.25" hidden="1" customHeight="1" x14ac:dyDescent="0.25">
      <c r="A334" s="20" t="s">
        <v>1409</v>
      </c>
      <c r="B334" s="22">
        <v>2023</v>
      </c>
      <c r="C334" s="97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93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965</v>
      </c>
    </row>
    <row r="335" spans="1:20" ht="23.25" hidden="1" customHeight="1" x14ac:dyDescent="0.25">
      <c r="A335" s="21" t="s">
        <v>1412</v>
      </c>
      <c r="B335" s="24">
        <v>2023</v>
      </c>
      <c r="C335" s="97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94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1416</v>
      </c>
    </row>
    <row r="336" spans="1:20" ht="23.25" hidden="1" customHeight="1" x14ac:dyDescent="0.25">
      <c r="A336" s="20" t="s">
        <v>1417</v>
      </c>
      <c r="B336" s="22">
        <v>2023</v>
      </c>
      <c r="C336" s="97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93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1421</v>
      </c>
    </row>
    <row r="337" spans="1:20" ht="23.25" hidden="1" customHeight="1" x14ac:dyDescent="0.25">
      <c r="A337" s="21" t="s">
        <v>1422</v>
      </c>
      <c r="B337" s="24">
        <v>2023</v>
      </c>
      <c r="C337" s="97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94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1425</v>
      </c>
    </row>
    <row r="338" spans="1:20" ht="23.25" hidden="1" customHeight="1" x14ac:dyDescent="0.25">
      <c r="A338" s="20" t="s">
        <v>1426</v>
      </c>
      <c r="B338" s="22">
        <v>2023</v>
      </c>
      <c r="C338" s="97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93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417</v>
      </c>
    </row>
    <row r="339" spans="1:20" ht="23.25" hidden="1" customHeight="1" x14ac:dyDescent="0.25">
      <c r="A339" s="21" t="s">
        <v>1430</v>
      </c>
      <c r="B339" s="24">
        <v>2023</v>
      </c>
      <c r="C339" s="97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94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1022</v>
      </c>
    </row>
    <row r="340" spans="1:20" ht="23.25" hidden="1" customHeight="1" x14ac:dyDescent="0.25">
      <c r="A340" s="20" t="s">
        <v>1434</v>
      </c>
      <c r="B340" s="22">
        <v>2023</v>
      </c>
      <c r="C340" s="97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93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1438</v>
      </c>
    </row>
    <row r="341" spans="1:20" ht="23.25" hidden="1" customHeight="1" x14ac:dyDescent="0.25">
      <c r="A341" s="21" t="s">
        <v>1439</v>
      </c>
      <c r="B341" s="24">
        <v>2023</v>
      </c>
      <c r="C341" s="97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94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1054</v>
      </c>
    </row>
    <row r="342" spans="1:20" ht="23.25" hidden="1" customHeight="1" x14ac:dyDescent="0.25">
      <c r="A342" s="20" t="s">
        <v>1443</v>
      </c>
      <c r="B342" s="22">
        <v>2023</v>
      </c>
      <c r="C342" s="97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93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1022</v>
      </c>
    </row>
    <row r="343" spans="1:20" ht="23.25" hidden="1" customHeight="1" x14ac:dyDescent="0.25">
      <c r="A343" s="21" t="s">
        <v>1447</v>
      </c>
      <c r="B343" s="24">
        <v>2023</v>
      </c>
      <c r="C343" s="97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94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1451</v>
      </c>
    </row>
    <row r="344" spans="1:20" ht="23.25" hidden="1" customHeight="1" x14ac:dyDescent="0.25">
      <c r="A344" s="20" t="s">
        <v>1452</v>
      </c>
      <c r="B344" s="22">
        <v>2023</v>
      </c>
      <c r="C344" s="97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93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1455</v>
      </c>
    </row>
    <row r="345" spans="1:20" ht="23.25" hidden="1" customHeight="1" x14ac:dyDescent="0.25">
      <c r="A345" s="21" t="s">
        <v>1456</v>
      </c>
      <c r="B345" s="24">
        <v>2023</v>
      </c>
      <c r="C345" s="97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94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1455</v>
      </c>
    </row>
    <row r="346" spans="1:20" ht="23.25" hidden="1" customHeight="1" x14ac:dyDescent="0.25">
      <c r="A346" s="20" t="s">
        <v>1458</v>
      </c>
      <c r="B346" s="22">
        <v>2023</v>
      </c>
      <c r="C346" s="97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93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1461</v>
      </c>
    </row>
    <row r="347" spans="1:20" ht="23.25" hidden="1" customHeight="1" x14ac:dyDescent="0.25">
      <c r="A347" s="21" t="s">
        <v>1462</v>
      </c>
      <c r="B347" s="24">
        <v>2023</v>
      </c>
      <c r="C347" s="97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94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1466</v>
      </c>
    </row>
    <row r="348" spans="1:20" ht="23.25" hidden="1" customHeight="1" x14ac:dyDescent="0.25">
      <c r="A348" s="20" t="s">
        <v>1467</v>
      </c>
      <c r="B348" s="22">
        <v>2023</v>
      </c>
      <c r="C348" s="97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93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1471</v>
      </c>
    </row>
    <row r="349" spans="1:20" ht="23.25" hidden="1" customHeight="1" x14ac:dyDescent="0.25">
      <c r="A349" s="21" t="s">
        <v>1472</v>
      </c>
      <c r="B349" s="24">
        <v>2023</v>
      </c>
      <c r="C349" s="97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94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965</v>
      </c>
    </row>
    <row r="350" spans="1:20" ht="23.25" hidden="1" customHeight="1" x14ac:dyDescent="0.25">
      <c r="A350" s="20" t="s">
        <v>1476</v>
      </c>
      <c r="B350" s="22">
        <v>2023</v>
      </c>
      <c r="C350" s="97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93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934</v>
      </c>
    </row>
    <row r="351" spans="1:20" ht="23.25" hidden="1" customHeight="1" x14ac:dyDescent="0.25">
      <c r="A351" s="21" t="s">
        <v>1480</v>
      </c>
      <c r="B351" s="24">
        <v>2023</v>
      </c>
      <c r="C351" s="97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94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1484</v>
      </c>
    </row>
    <row r="352" spans="1:20" ht="23.25" hidden="1" customHeight="1" x14ac:dyDescent="0.25">
      <c r="A352" s="20" t="s">
        <v>1485</v>
      </c>
      <c r="B352" s="22">
        <v>2023</v>
      </c>
      <c r="C352" s="97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93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1489</v>
      </c>
    </row>
    <row r="353" spans="1:20" ht="23.25" hidden="1" customHeight="1" x14ac:dyDescent="0.25">
      <c r="A353" s="21" t="s">
        <v>1490</v>
      </c>
      <c r="B353" s="24">
        <v>2023</v>
      </c>
      <c r="C353" s="97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94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1403</v>
      </c>
    </row>
    <row r="354" spans="1:20" ht="23.25" hidden="1" customHeight="1" x14ac:dyDescent="0.25">
      <c r="A354" s="20" t="s">
        <v>1493</v>
      </c>
      <c r="B354" s="22">
        <v>2023</v>
      </c>
      <c r="C354" s="97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93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1347</v>
      </c>
    </row>
    <row r="355" spans="1:20" ht="23.25" hidden="1" customHeight="1" x14ac:dyDescent="0.25">
      <c r="A355" s="21" t="s">
        <v>1496</v>
      </c>
      <c r="B355" s="24">
        <v>2023</v>
      </c>
      <c r="C355" s="97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94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1500</v>
      </c>
    </row>
    <row r="356" spans="1:20" ht="23.25" hidden="1" customHeight="1" x14ac:dyDescent="0.25">
      <c r="A356" s="20" t="s">
        <v>1501</v>
      </c>
      <c r="B356" s="22">
        <v>2023</v>
      </c>
      <c r="C356" s="97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93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hidden="1" customHeight="1" x14ac:dyDescent="0.25">
      <c r="A357" s="21" t="s">
        <v>1505</v>
      </c>
      <c r="B357" s="24">
        <v>2023</v>
      </c>
      <c r="C357" s="97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94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1451</v>
      </c>
    </row>
    <row r="358" spans="1:20" ht="23.25" hidden="1" customHeight="1" x14ac:dyDescent="0.25">
      <c r="A358" s="20" t="s">
        <v>1508</v>
      </c>
      <c r="B358" s="22">
        <v>2023</v>
      </c>
      <c r="C358" s="97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93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1512</v>
      </c>
    </row>
    <row r="359" spans="1:20" ht="23.25" hidden="1" customHeight="1" x14ac:dyDescent="0.25">
      <c r="A359" s="21" t="s">
        <v>1513</v>
      </c>
      <c r="B359" s="24">
        <v>2023</v>
      </c>
      <c r="C359" s="97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94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570</v>
      </c>
    </row>
    <row r="360" spans="1:20" ht="23.25" hidden="1" customHeight="1" x14ac:dyDescent="0.25">
      <c r="A360" s="20" t="s">
        <v>1517</v>
      </c>
      <c r="B360" s="22">
        <v>2023</v>
      </c>
      <c r="C360" s="97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93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1421</v>
      </c>
    </row>
    <row r="361" spans="1:20" ht="23.25" hidden="1" customHeight="1" x14ac:dyDescent="0.25">
      <c r="A361" s="21" t="s">
        <v>1521</v>
      </c>
      <c r="B361" s="24">
        <v>2023</v>
      </c>
      <c r="C361" s="97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94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1525</v>
      </c>
    </row>
    <row r="362" spans="1:20" ht="23.25" hidden="1" customHeight="1" x14ac:dyDescent="0.25">
      <c r="A362" s="20" t="s">
        <v>1526</v>
      </c>
      <c r="B362" s="22">
        <v>2023</v>
      </c>
      <c r="C362" s="97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93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965</v>
      </c>
    </row>
    <row r="363" spans="1:20" ht="23.25" hidden="1" customHeight="1" x14ac:dyDescent="0.25">
      <c r="A363" s="21" t="s">
        <v>1529</v>
      </c>
      <c r="B363" s="24">
        <v>2023</v>
      </c>
      <c r="C363" s="97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94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1171</v>
      </c>
    </row>
    <row r="364" spans="1:20" ht="23.25" hidden="1" customHeight="1" x14ac:dyDescent="0.25">
      <c r="A364" s="20" t="s">
        <v>1532</v>
      </c>
      <c r="B364" s="22">
        <v>2023</v>
      </c>
      <c r="C364" s="97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93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1347</v>
      </c>
    </row>
    <row r="365" spans="1:20" ht="23.25" hidden="1" customHeight="1" x14ac:dyDescent="0.25">
      <c r="A365" s="21" t="s">
        <v>1536</v>
      </c>
      <c r="B365" s="24">
        <v>2023</v>
      </c>
      <c r="C365" s="97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94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1539</v>
      </c>
    </row>
    <row r="366" spans="1:20" ht="23.25" hidden="1" customHeight="1" x14ac:dyDescent="0.25">
      <c r="A366" s="20" t="s">
        <v>1540</v>
      </c>
      <c r="B366" s="22">
        <v>2023</v>
      </c>
      <c r="C366" s="97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93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ref="R366:R392" si="6">SUM(O366:Q366)</f>
        <v>57</v>
      </c>
      <c r="S366" s="22">
        <v>16</v>
      </c>
      <c r="T366" s="33" t="s">
        <v>417</v>
      </c>
    </row>
    <row r="367" spans="1:20" ht="23.25" hidden="1" customHeight="1" x14ac:dyDescent="0.25">
      <c r="A367" s="21" t="s">
        <v>1544</v>
      </c>
      <c r="B367" s="24">
        <v>2023</v>
      </c>
      <c r="C367" s="97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94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6"/>
        <v>22</v>
      </c>
      <c r="S367" s="24">
        <v>20</v>
      </c>
      <c r="T367" s="21" t="s">
        <v>1547</v>
      </c>
    </row>
    <row r="368" spans="1:20" ht="23.25" hidden="1" customHeight="1" x14ac:dyDescent="0.25">
      <c r="A368" s="20" t="s">
        <v>1548</v>
      </c>
      <c r="B368" s="22">
        <v>2023</v>
      </c>
      <c r="C368" s="97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93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6"/>
        <v>176</v>
      </c>
      <c r="S368" s="22">
        <v>2</v>
      </c>
      <c r="T368" s="20"/>
    </row>
    <row r="369" spans="1:20" ht="23.25" hidden="1" customHeight="1" x14ac:dyDescent="0.25">
      <c r="A369" s="21" t="s">
        <v>1551</v>
      </c>
      <c r="B369" s="24">
        <v>2023</v>
      </c>
      <c r="C369" s="97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94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6"/>
        <v>56</v>
      </c>
      <c r="S369" s="24">
        <v>4</v>
      </c>
      <c r="T369" s="21" t="s">
        <v>1555</v>
      </c>
    </row>
    <row r="370" spans="1:20" ht="23.25" hidden="1" customHeight="1" x14ac:dyDescent="0.25">
      <c r="A370" s="20" t="s">
        <v>1556</v>
      </c>
      <c r="B370" s="22">
        <v>2023</v>
      </c>
      <c r="C370" s="97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93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6"/>
        <v>23</v>
      </c>
      <c r="S370" s="22">
        <v>8</v>
      </c>
      <c r="T370" s="20" t="s">
        <v>1560</v>
      </c>
    </row>
    <row r="371" spans="1:20" ht="23.25" hidden="1" customHeight="1" x14ac:dyDescent="0.25">
      <c r="A371" s="21" t="s">
        <v>1561</v>
      </c>
      <c r="B371" s="24">
        <v>2023</v>
      </c>
      <c r="C371" s="97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94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6"/>
        <v>39</v>
      </c>
      <c r="S371" s="24">
        <v>1</v>
      </c>
      <c r="T371" s="21" t="s">
        <v>663</v>
      </c>
    </row>
    <row r="372" spans="1:20" ht="23.25" hidden="1" customHeight="1" x14ac:dyDescent="0.25">
      <c r="A372" s="20" t="s">
        <v>1565</v>
      </c>
      <c r="B372" s="22">
        <v>2023</v>
      </c>
      <c r="C372" s="97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93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6"/>
        <v>47</v>
      </c>
      <c r="S372" s="22">
        <v>2</v>
      </c>
      <c r="T372" s="20"/>
    </row>
    <row r="373" spans="1:20" ht="23.25" hidden="1" customHeight="1" x14ac:dyDescent="0.25">
      <c r="A373" s="21" t="s">
        <v>1568</v>
      </c>
      <c r="B373" s="24">
        <v>2023</v>
      </c>
      <c r="C373" s="97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94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6"/>
        <v>53</v>
      </c>
      <c r="S373" s="24">
        <v>16</v>
      </c>
      <c r="T373" s="32" t="s">
        <v>417</v>
      </c>
    </row>
    <row r="374" spans="1:20" ht="23.25" hidden="1" customHeight="1" x14ac:dyDescent="0.25">
      <c r="A374" s="20" t="s">
        <v>1571</v>
      </c>
      <c r="B374" s="22">
        <v>2023</v>
      </c>
      <c r="C374" s="97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93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6"/>
        <v>28</v>
      </c>
      <c r="S374" s="22">
        <v>2</v>
      </c>
      <c r="T374" s="20" t="s">
        <v>1539</v>
      </c>
    </row>
    <row r="375" spans="1:20" ht="23.25" hidden="1" customHeight="1" x14ac:dyDescent="0.25">
      <c r="A375" s="21" t="s">
        <v>1574</v>
      </c>
      <c r="B375" s="24">
        <v>2023</v>
      </c>
      <c r="C375" s="97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94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6"/>
        <v>18</v>
      </c>
      <c r="S375" s="24">
        <v>3</v>
      </c>
      <c r="T375" s="21" t="s">
        <v>1547</v>
      </c>
    </row>
    <row r="376" spans="1:20" ht="23.25" hidden="1" customHeight="1" x14ac:dyDescent="0.25">
      <c r="A376" s="20" t="s">
        <v>1577</v>
      </c>
      <c r="B376" s="22">
        <v>2023</v>
      </c>
      <c r="C376" s="97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93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6"/>
        <v>53</v>
      </c>
      <c r="S376" s="22">
        <v>16</v>
      </c>
      <c r="T376" s="33" t="s">
        <v>417</v>
      </c>
    </row>
    <row r="377" spans="1:20" ht="23.25" hidden="1" customHeight="1" x14ac:dyDescent="0.25">
      <c r="A377" s="21" t="s">
        <v>1580</v>
      </c>
      <c r="B377" s="24">
        <v>2023</v>
      </c>
      <c r="C377" s="97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94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6"/>
        <v>10</v>
      </c>
      <c r="S377" s="24">
        <v>3</v>
      </c>
      <c r="T377" s="21" t="s">
        <v>1547</v>
      </c>
    </row>
    <row r="378" spans="1:20" ht="23.25" hidden="1" customHeight="1" x14ac:dyDescent="0.25">
      <c r="A378" s="20" t="s">
        <v>1583</v>
      </c>
      <c r="B378" s="22">
        <v>2023</v>
      </c>
      <c r="C378" s="97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93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6"/>
        <v>34</v>
      </c>
      <c r="S378" s="22">
        <v>3</v>
      </c>
      <c r="T378" s="20" t="s">
        <v>1547</v>
      </c>
    </row>
    <row r="379" spans="1:20" ht="23.25" hidden="1" customHeight="1" x14ac:dyDescent="0.25">
      <c r="A379" s="21" t="s">
        <v>1586</v>
      </c>
      <c r="B379" s="24">
        <v>2023</v>
      </c>
      <c r="C379" s="97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94"/>
      <c r="N379" s="40"/>
      <c r="O379" s="25">
        <v>0</v>
      </c>
      <c r="P379" s="25">
        <v>0</v>
      </c>
      <c r="Q379" s="25">
        <v>0</v>
      </c>
      <c r="R379" s="25">
        <f t="shared" si="6"/>
        <v>0</v>
      </c>
      <c r="S379" s="24"/>
      <c r="T379" s="21"/>
    </row>
    <row r="380" spans="1:20" ht="23.25" hidden="1" customHeight="1" x14ac:dyDescent="0.25">
      <c r="A380" s="20" t="s">
        <v>1590</v>
      </c>
      <c r="B380" s="22">
        <v>2023</v>
      </c>
      <c r="C380" s="97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93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6"/>
        <v>15</v>
      </c>
      <c r="S380" s="22">
        <v>2</v>
      </c>
      <c r="T380" s="20" t="s">
        <v>1594</v>
      </c>
    </row>
    <row r="381" spans="1:20" ht="23.25" hidden="1" customHeight="1" x14ac:dyDescent="0.25">
      <c r="A381" s="21" t="s">
        <v>1595</v>
      </c>
      <c r="B381" s="24">
        <v>2023</v>
      </c>
      <c r="C381" s="97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94">
        <v>4.9000000000000004</v>
      </c>
      <c r="N381" s="40"/>
      <c r="O381" s="25">
        <v>21</v>
      </c>
      <c r="P381" s="25"/>
      <c r="Q381" s="25"/>
      <c r="R381" s="25">
        <f t="shared" si="6"/>
        <v>21</v>
      </c>
      <c r="S381" s="24">
        <v>3</v>
      </c>
      <c r="T381" s="21"/>
    </row>
    <row r="382" spans="1:20" ht="23.25" hidden="1" customHeight="1" x14ac:dyDescent="0.25">
      <c r="A382" s="20" t="s">
        <v>1599</v>
      </c>
      <c r="B382" s="22">
        <v>2023</v>
      </c>
      <c r="C382" s="97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93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6"/>
        <v>17</v>
      </c>
      <c r="S382" s="22">
        <v>16</v>
      </c>
      <c r="T382" s="33" t="s">
        <v>417</v>
      </c>
    </row>
    <row r="383" spans="1:20" ht="23.25" hidden="1" customHeight="1" x14ac:dyDescent="0.25">
      <c r="A383" s="21" t="s">
        <v>1602</v>
      </c>
      <c r="B383" s="24">
        <v>2023</v>
      </c>
      <c r="C383" s="97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94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6"/>
        <v>13</v>
      </c>
      <c r="S383" s="24">
        <v>3</v>
      </c>
      <c r="T383" s="21" t="s">
        <v>1547</v>
      </c>
    </row>
    <row r="384" spans="1:20" ht="23.25" hidden="1" customHeight="1" x14ac:dyDescent="0.25">
      <c r="A384" s="20" t="s">
        <v>1604</v>
      </c>
      <c r="B384" s="22">
        <v>2023</v>
      </c>
      <c r="C384" s="97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93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6"/>
        <v>114</v>
      </c>
      <c r="S384" s="22">
        <v>2</v>
      </c>
      <c r="T384" s="20"/>
    </row>
    <row r="385" spans="1:20" ht="23.25" hidden="1" customHeight="1" x14ac:dyDescent="0.25">
      <c r="A385" s="21" t="s">
        <v>1608</v>
      </c>
      <c r="B385" s="24">
        <v>2023</v>
      </c>
      <c r="C385" s="97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94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6"/>
        <v>5</v>
      </c>
      <c r="S385" s="24">
        <v>16</v>
      </c>
      <c r="T385" s="21" t="s">
        <v>1399</v>
      </c>
    </row>
    <row r="386" spans="1:20" ht="23.25" hidden="1" customHeight="1" x14ac:dyDescent="0.25">
      <c r="A386" s="20" t="s">
        <v>1611</v>
      </c>
      <c r="B386" s="22">
        <v>2023</v>
      </c>
      <c r="C386" s="97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93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si="6"/>
        <v>49</v>
      </c>
      <c r="S386" s="22">
        <v>2</v>
      </c>
      <c r="T386" s="20" t="s">
        <v>1614</v>
      </c>
    </row>
    <row r="387" spans="1:20" ht="23.25" hidden="1" customHeight="1" x14ac:dyDescent="0.25">
      <c r="A387" s="21" t="s">
        <v>1615</v>
      </c>
      <c r="B387" s="24">
        <v>2023</v>
      </c>
      <c r="C387" s="97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94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471</v>
      </c>
    </row>
    <row r="388" spans="1:20" ht="23.25" hidden="1" customHeight="1" x14ac:dyDescent="0.25">
      <c r="A388" s="20" t="s">
        <v>1618</v>
      </c>
      <c r="B388" s="22">
        <v>2023</v>
      </c>
      <c r="C388" s="97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93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471</v>
      </c>
    </row>
    <row r="389" spans="1:20" ht="23.25" hidden="1" customHeight="1" x14ac:dyDescent="0.25">
      <c r="A389" s="21" t="s">
        <v>1622</v>
      </c>
      <c r="B389" s="24">
        <v>2023</v>
      </c>
      <c r="C389" s="97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94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417</v>
      </c>
    </row>
    <row r="390" spans="1:20" ht="23.25" hidden="1" customHeight="1" x14ac:dyDescent="0.25">
      <c r="A390" s="20" t="s">
        <v>1625</v>
      </c>
      <c r="B390" s="22">
        <v>2023</v>
      </c>
      <c r="C390" s="97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93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73</v>
      </c>
    </row>
    <row r="391" spans="1:20" ht="23.25" hidden="1" customHeight="1" x14ac:dyDescent="0.25">
      <c r="A391" s="21" t="s">
        <v>1629</v>
      </c>
      <c r="B391" s="24">
        <v>2023</v>
      </c>
      <c r="C391" s="97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94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417</v>
      </c>
    </row>
    <row r="392" spans="1:20" ht="23.25" hidden="1" customHeight="1" x14ac:dyDescent="0.25">
      <c r="A392" s="20" t="s">
        <v>1632</v>
      </c>
      <c r="B392" s="22">
        <v>2023</v>
      </c>
      <c r="C392" s="97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93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1636</v>
      </c>
    </row>
    <row r="393" spans="1:20" ht="23.25" hidden="1" customHeight="1" x14ac:dyDescent="0.25">
      <c r="A393" s="21" t="s">
        <v>1637</v>
      </c>
      <c r="B393" s="24">
        <v>2023</v>
      </c>
      <c r="C393" s="97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94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hidden="1" customHeight="1" x14ac:dyDescent="0.25">
      <c r="A394" s="20" t="s">
        <v>1639</v>
      </c>
      <c r="B394" s="22">
        <v>2023</v>
      </c>
      <c r="C394" s="97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93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25" si="7">SUM(O394:Q394)</f>
        <v>31</v>
      </c>
      <c r="S394" s="22">
        <v>16</v>
      </c>
      <c r="T394" s="33" t="s">
        <v>417</v>
      </c>
    </row>
    <row r="395" spans="1:20" ht="23.25" hidden="1" customHeight="1" x14ac:dyDescent="0.25">
      <c r="A395" s="21" t="s">
        <v>1642</v>
      </c>
      <c r="B395" s="24">
        <v>2023</v>
      </c>
      <c r="C395" s="97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94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965</v>
      </c>
    </row>
    <row r="396" spans="1:20" ht="23.25" hidden="1" customHeight="1" x14ac:dyDescent="0.25">
      <c r="A396" s="20" t="s">
        <v>1646</v>
      </c>
      <c r="B396" s="22">
        <v>2023</v>
      </c>
      <c r="C396" s="97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93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1471</v>
      </c>
    </row>
    <row r="397" spans="1:20" ht="23.25" hidden="1" customHeight="1" x14ac:dyDescent="0.25">
      <c r="A397" s="21" t="s">
        <v>1650</v>
      </c>
      <c r="B397" s="24">
        <v>2023</v>
      </c>
      <c r="C397" s="97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94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471</v>
      </c>
    </row>
    <row r="398" spans="1:20" ht="23.25" hidden="1" customHeight="1" x14ac:dyDescent="0.25">
      <c r="A398" s="20" t="s">
        <v>1654</v>
      </c>
      <c r="B398" s="22">
        <v>2023</v>
      </c>
      <c r="C398" s="97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93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471</v>
      </c>
    </row>
    <row r="399" spans="1:20" ht="23.25" hidden="1" customHeight="1" x14ac:dyDescent="0.25">
      <c r="A399" s="21" t="s">
        <v>1658</v>
      </c>
      <c r="B399" s="24">
        <v>2023</v>
      </c>
      <c r="C399" s="97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94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1662</v>
      </c>
    </row>
    <row r="400" spans="1:20" ht="23.25" hidden="1" customHeight="1" x14ac:dyDescent="0.25">
      <c r="A400" s="20" t="s">
        <v>1663</v>
      </c>
      <c r="B400" s="22">
        <v>2023</v>
      </c>
      <c r="C400" s="97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93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hidden="1" customHeight="1" x14ac:dyDescent="0.25">
      <c r="A401" s="21" t="s">
        <v>1666</v>
      </c>
      <c r="B401" s="24">
        <v>2023</v>
      </c>
      <c r="C401" s="97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94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1670</v>
      </c>
    </row>
    <row r="402" spans="1:20" ht="23.25" hidden="1" customHeight="1" x14ac:dyDescent="0.25">
      <c r="A402" s="20" t="s">
        <v>1671</v>
      </c>
      <c r="B402" s="22">
        <v>2023</v>
      </c>
      <c r="C402" s="97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93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1675</v>
      </c>
    </row>
    <row r="403" spans="1:20" ht="23.25" hidden="1" customHeight="1" x14ac:dyDescent="0.25">
      <c r="A403" s="21" t="s">
        <v>1676</v>
      </c>
      <c r="B403" s="24">
        <v>2023</v>
      </c>
      <c r="C403" s="97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94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210</v>
      </c>
    </row>
    <row r="404" spans="1:20" ht="23.25" hidden="1" customHeight="1" x14ac:dyDescent="0.25">
      <c r="A404" s="20" t="s">
        <v>1680</v>
      </c>
      <c r="B404" s="22">
        <v>2024</v>
      </c>
      <c r="C404" s="97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93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1684</v>
      </c>
    </row>
    <row r="405" spans="1:20" ht="23.25" hidden="1" customHeight="1" x14ac:dyDescent="0.25">
      <c r="A405" s="21" t="s">
        <v>1685</v>
      </c>
      <c r="B405" s="24">
        <v>2024</v>
      </c>
      <c r="C405" s="97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94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1455</v>
      </c>
    </row>
    <row r="406" spans="1:20" ht="23.25" hidden="1" customHeight="1" x14ac:dyDescent="0.25">
      <c r="A406" s="20" t="s">
        <v>1689</v>
      </c>
      <c r="B406" s="22">
        <v>2024</v>
      </c>
      <c r="C406" s="97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93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1693</v>
      </c>
    </row>
    <row r="407" spans="1:20" ht="23.25" hidden="1" customHeight="1" x14ac:dyDescent="0.25">
      <c r="A407" s="21" t="s">
        <v>1694</v>
      </c>
      <c r="B407" s="24">
        <v>2024</v>
      </c>
      <c r="C407" s="97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94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73</v>
      </c>
    </row>
    <row r="408" spans="1:20" ht="23.25" hidden="1" customHeight="1" x14ac:dyDescent="0.25">
      <c r="A408" s="20" t="s">
        <v>1698</v>
      </c>
      <c r="B408" s="22">
        <v>2024</v>
      </c>
      <c r="C408" s="97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93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1702</v>
      </c>
    </row>
    <row r="409" spans="1:20" ht="23.25" hidden="1" customHeight="1" x14ac:dyDescent="0.25">
      <c r="A409" s="21" t="s">
        <v>1703</v>
      </c>
      <c r="B409" s="24">
        <v>2024</v>
      </c>
      <c r="C409" s="97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94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1707</v>
      </c>
    </row>
    <row r="410" spans="1:20" ht="23.25" hidden="1" customHeight="1" x14ac:dyDescent="0.25">
      <c r="A410" s="20" t="s">
        <v>1708</v>
      </c>
      <c r="B410" s="22">
        <v>2024</v>
      </c>
      <c r="C410" s="97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93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hidden="1" customHeight="1" x14ac:dyDescent="0.25">
      <c r="A411" s="21" t="s">
        <v>1711</v>
      </c>
      <c r="B411" s="24">
        <v>2024</v>
      </c>
      <c r="C411" s="97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94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1715</v>
      </c>
    </row>
    <row r="412" spans="1:20" ht="23.25" hidden="1" customHeight="1" x14ac:dyDescent="0.25">
      <c r="A412" s="20" t="s">
        <v>1716</v>
      </c>
      <c r="B412" s="22">
        <v>2024</v>
      </c>
      <c r="C412" s="97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93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417</v>
      </c>
    </row>
    <row r="413" spans="1:20" ht="23.25" hidden="1" customHeight="1" x14ac:dyDescent="0.25">
      <c r="A413" s="21" t="s">
        <v>1720</v>
      </c>
      <c r="B413" s="24">
        <v>2024</v>
      </c>
      <c r="C413" s="97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94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1724</v>
      </c>
    </row>
    <row r="414" spans="1:20" ht="23.25" hidden="1" customHeight="1" x14ac:dyDescent="0.25">
      <c r="A414" s="20" t="s">
        <v>1725</v>
      </c>
      <c r="B414" s="22">
        <v>2024</v>
      </c>
      <c r="C414" s="97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93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1730</v>
      </c>
    </row>
    <row r="415" spans="1:20" ht="23.25" hidden="1" customHeight="1" x14ac:dyDescent="0.25">
      <c r="A415" s="21" t="s">
        <v>1731</v>
      </c>
      <c r="B415" s="24">
        <v>2024</v>
      </c>
      <c r="C415" s="97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94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1215</v>
      </c>
    </row>
    <row r="416" spans="1:20" ht="23.25" hidden="1" customHeight="1" x14ac:dyDescent="0.25">
      <c r="A416" s="20" t="s">
        <v>1735</v>
      </c>
      <c r="B416" s="22">
        <v>2024</v>
      </c>
      <c r="C416" s="97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93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1715</v>
      </c>
    </row>
    <row r="417" spans="1:20" ht="23.25" hidden="1" customHeight="1" x14ac:dyDescent="0.25">
      <c r="A417" s="21" t="s">
        <v>1739</v>
      </c>
      <c r="B417" s="24">
        <v>2024</v>
      </c>
      <c r="C417" s="97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94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1742</v>
      </c>
    </row>
    <row r="418" spans="1:20" ht="23.25" hidden="1" customHeight="1" x14ac:dyDescent="0.25">
      <c r="A418" s="20" t="s">
        <v>1743</v>
      </c>
      <c r="B418" s="22">
        <v>2024</v>
      </c>
      <c r="C418" s="97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93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1747</v>
      </c>
    </row>
    <row r="419" spans="1:20" ht="23.25" hidden="1" customHeight="1" x14ac:dyDescent="0.25">
      <c r="A419" s="21" t="s">
        <v>1748</v>
      </c>
      <c r="B419" s="24">
        <v>2024</v>
      </c>
      <c r="C419" s="97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94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1751</v>
      </c>
    </row>
    <row r="420" spans="1:20" ht="23.25" hidden="1" customHeight="1" x14ac:dyDescent="0.25">
      <c r="A420" s="20" t="s">
        <v>1752</v>
      </c>
      <c r="B420" s="22">
        <v>2024</v>
      </c>
      <c r="C420" s="97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93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1756</v>
      </c>
    </row>
    <row r="421" spans="1:20" ht="23.25" hidden="1" customHeight="1" x14ac:dyDescent="0.25">
      <c r="A421" s="21" t="s">
        <v>1757</v>
      </c>
      <c r="B421" s="24">
        <v>2024</v>
      </c>
      <c r="C421" s="97" t="s">
        <v>21</v>
      </c>
      <c r="D421" s="24" t="s">
        <v>1695</v>
      </c>
      <c r="E421" s="30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94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73</v>
      </c>
    </row>
    <row r="422" spans="1:20" ht="23.25" hidden="1" customHeight="1" x14ac:dyDescent="0.25">
      <c r="A422" s="20" t="s">
        <v>1760</v>
      </c>
      <c r="B422" s="22">
        <v>2024</v>
      </c>
      <c r="C422" s="97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93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1764</v>
      </c>
    </row>
    <row r="423" spans="1:20" ht="23.25" hidden="1" customHeight="1" x14ac:dyDescent="0.25">
      <c r="A423" s="21" t="s">
        <v>1765</v>
      </c>
      <c r="B423" s="24">
        <v>2024</v>
      </c>
      <c r="C423" s="97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94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1756</v>
      </c>
    </row>
    <row r="424" spans="1:20" ht="23.25" hidden="1" customHeight="1" x14ac:dyDescent="0.25">
      <c r="A424" s="20" t="s">
        <v>1768</v>
      </c>
      <c r="B424" s="22">
        <v>2024</v>
      </c>
      <c r="C424" s="97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93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1257</v>
      </c>
    </row>
    <row r="425" spans="1:20" ht="23.25" hidden="1" customHeight="1" x14ac:dyDescent="0.25">
      <c r="A425" s="21" t="s">
        <v>1772</v>
      </c>
      <c r="B425" s="24">
        <v>2024</v>
      </c>
      <c r="C425" s="97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94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471</v>
      </c>
    </row>
    <row r="426" spans="1:20" ht="23.25" hidden="1" customHeight="1" x14ac:dyDescent="0.25">
      <c r="A426" s="20" t="s">
        <v>1775</v>
      </c>
      <c r="B426" s="22">
        <v>2024</v>
      </c>
      <c r="C426" s="97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93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ref="R426:R457" si="8">SUM(O426:Q426)</f>
        <v>8</v>
      </c>
      <c r="S426" s="22">
        <v>4</v>
      </c>
      <c r="T426" s="20" t="s">
        <v>1779</v>
      </c>
    </row>
    <row r="427" spans="1:20" ht="23.25" hidden="1" customHeight="1" x14ac:dyDescent="0.25">
      <c r="A427" s="21" t="s">
        <v>1780</v>
      </c>
      <c r="B427" s="24">
        <v>2024</v>
      </c>
      <c r="C427" s="97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94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8"/>
        <v>10</v>
      </c>
      <c r="S427" s="24">
        <v>16</v>
      </c>
      <c r="T427" s="21" t="s">
        <v>1784</v>
      </c>
    </row>
    <row r="428" spans="1:20" ht="23.25" hidden="1" customHeight="1" x14ac:dyDescent="0.25">
      <c r="A428" s="20" t="s">
        <v>1785</v>
      </c>
      <c r="B428" s="22">
        <v>2024</v>
      </c>
      <c r="C428" s="97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93"/>
      <c r="N428" s="23">
        <v>80</v>
      </c>
      <c r="O428" s="23">
        <v>0</v>
      </c>
      <c r="P428" s="23">
        <v>0</v>
      </c>
      <c r="Q428" s="22">
        <v>80</v>
      </c>
      <c r="R428" s="23">
        <f t="shared" si="8"/>
        <v>80</v>
      </c>
      <c r="S428" s="22">
        <v>4</v>
      </c>
      <c r="T428" s="20" t="s">
        <v>1366</v>
      </c>
    </row>
    <row r="429" spans="1:20" ht="23.25" hidden="1" customHeight="1" x14ac:dyDescent="0.25">
      <c r="A429" s="21" t="s">
        <v>1789</v>
      </c>
      <c r="B429" s="24">
        <v>2024</v>
      </c>
      <c r="C429" s="97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94"/>
      <c r="N429" s="25">
        <v>80</v>
      </c>
      <c r="O429" s="25">
        <v>0</v>
      </c>
      <c r="P429" s="25">
        <v>0</v>
      </c>
      <c r="Q429" s="24">
        <v>80</v>
      </c>
      <c r="R429" s="25">
        <f t="shared" si="8"/>
        <v>80</v>
      </c>
      <c r="S429" s="24">
        <v>4</v>
      </c>
      <c r="T429" s="21" t="s">
        <v>1366</v>
      </c>
    </row>
    <row r="430" spans="1:20" ht="23.25" hidden="1" customHeight="1" x14ac:dyDescent="0.25">
      <c r="A430" s="20" t="s">
        <v>1791</v>
      </c>
      <c r="B430" s="22">
        <v>2024</v>
      </c>
      <c r="C430" s="97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93"/>
      <c r="N430" s="23">
        <v>80</v>
      </c>
      <c r="O430" s="23">
        <v>0</v>
      </c>
      <c r="P430" s="23">
        <v>0</v>
      </c>
      <c r="Q430" s="22">
        <v>80</v>
      </c>
      <c r="R430" s="23">
        <f t="shared" si="8"/>
        <v>80</v>
      </c>
      <c r="S430" s="22">
        <v>4</v>
      </c>
      <c r="T430" s="20" t="s">
        <v>1366</v>
      </c>
    </row>
    <row r="431" spans="1:20" ht="23.25" hidden="1" customHeight="1" x14ac:dyDescent="0.25">
      <c r="A431" s="21" t="s">
        <v>1793</v>
      </c>
      <c r="B431" s="24">
        <v>2024</v>
      </c>
      <c r="C431" s="97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94"/>
      <c r="N431" s="25">
        <v>80</v>
      </c>
      <c r="O431" s="25">
        <v>0</v>
      </c>
      <c r="P431" s="25">
        <v>0</v>
      </c>
      <c r="Q431" s="24">
        <v>80</v>
      </c>
      <c r="R431" s="25">
        <f t="shared" si="8"/>
        <v>80</v>
      </c>
      <c r="S431" s="24">
        <v>4</v>
      </c>
      <c r="T431" s="21" t="s">
        <v>1366</v>
      </c>
    </row>
    <row r="432" spans="1:20" ht="23.25" hidden="1" customHeight="1" x14ac:dyDescent="0.25">
      <c r="A432" s="20" t="s">
        <v>1795</v>
      </c>
      <c r="B432" s="22">
        <v>2024</v>
      </c>
      <c r="C432" s="97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93"/>
      <c r="N432" s="23">
        <v>80</v>
      </c>
      <c r="O432" s="23">
        <v>0</v>
      </c>
      <c r="P432" s="23">
        <v>0</v>
      </c>
      <c r="Q432" s="22">
        <v>80</v>
      </c>
      <c r="R432" s="23">
        <f t="shared" si="8"/>
        <v>80</v>
      </c>
      <c r="S432" s="22">
        <v>4</v>
      </c>
      <c r="T432" s="20" t="s">
        <v>1366</v>
      </c>
    </row>
    <row r="433" spans="1:20" ht="23.25" hidden="1" customHeight="1" x14ac:dyDescent="0.25">
      <c r="A433" s="21" t="s">
        <v>1797</v>
      </c>
      <c r="B433" s="24">
        <v>2024</v>
      </c>
      <c r="C433" s="97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94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8"/>
        <v>33</v>
      </c>
      <c r="S433" s="24">
        <v>4</v>
      </c>
      <c r="T433" s="21" t="s">
        <v>1779</v>
      </c>
    </row>
    <row r="434" spans="1:20" ht="23.25" hidden="1" customHeight="1" x14ac:dyDescent="0.25">
      <c r="A434" s="20" t="s">
        <v>1800</v>
      </c>
      <c r="B434" s="22">
        <v>2024</v>
      </c>
      <c r="C434" s="97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93"/>
      <c r="N434" s="41"/>
      <c r="O434" s="23">
        <v>0</v>
      </c>
      <c r="P434" s="23">
        <v>0</v>
      </c>
      <c r="Q434" s="23">
        <v>0</v>
      </c>
      <c r="R434" s="23">
        <f t="shared" si="8"/>
        <v>0</v>
      </c>
      <c r="S434" s="22"/>
      <c r="T434" s="20"/>
    </row>
    <row r="435" spans="1:20" ht="23.25" hidden="1" customHeight="1" x14ac:dyDescent="0.25">
      <c r="A435" s="21" t="s">
        <v>1802</v>
      </c>
      <c r="B435" s="24">
        <v>2024</v>
      </c>
      <c r="C435" s="97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94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8"/>
        <v>62</v>
      </c>
      <c r="S435" s="24">
        <v>20</v>
      </c>
      <c r="T435" s="21" t="s">
        <v>417</v>
      </c>
    </row>
    <row r="436" spans="1:20" ht="23.25" hidden="1" customHeight="1" x14ac:dyDescent="0.25">
      <c r="A436" s="20" t="s">
        <v>1805</v>
      </c>
      <c r="B436" s="22">
        <v>2024</v>
      </c>
      <c r="C436" s="97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93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8"/>
        <v>42</v>
      </c>
      <c r="S436" s="22">
        <v>4</v>
      </c>
      <c r="T436" s="20" t="s">
        <v>1809</v>
      </c>
    </row>
    <row r="437" spans="1:20" ht="23.25" hidden="1" customHeight="1" x14ac:dyDescent="0.25">
      <c r="A437" s="21" t="s">
        <v>1810</v>
      </c>
      <c r="B437" s="24">
        <v>2024</v>
      </c>
      <c r="C437" s="97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94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8"/>
        <v>6</v>
      </c>
      <c r="S437" s="24">
        <v>4</v>
      </c>
      <c r="T437" s="21" t="s">
        <v>1809</v>
      </c>
    </row>
    <row r="438" spans="1:20" ht="23.25" hidden="1" customHeight="1" x14ac:dyDescent="0.25">
      <c r="A438" s="20" t="s">
        <v>1813</v>
      </c>
      <c r="B438" s="22">
        <v>2024</v>
      </c>
      <c r="C438" s="97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93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8"/>
        <v>49</v>
      </c>
      <c r="S438" s="22">
        <v>4</v>
      </c>
      <c r="T438" s="20" t="s">
        <v>1809</v>
      </c>
    </row>
    <row r="439" spans="1:20" ht="23.25" hidden="1" customHeight="1" x14ac:dyDescent="0.25">
      <c r="A439" s="21" t="s">
        <v>1816</v>
      </c>
      <c r="B439" s="24">
        <v>2024</v>
      </c>
      <c r="C439" s="97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94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8"/>
        <v>20</v>
      </c>
      <c r="S439" s="24">
        <v>4</v>
      </c>
      <c r="T439" s="21" t="s">
        <v>1809</v>
      </c>
    </row>
    <row r="440" spans="1:20" ht="23.25" hidden="1" customHeight="1" x14ac:dyDescent="0.25">
      <c r="A440" s="20" t="s">
        <v>1818</v>
      </c>
      <c r="B440" s="22">
        <v>2024</v>
      </c>
      <c r="C440" s="97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93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8"/>
        <v>28</v>
      </c>
      <c r="S440" s="22">
        <v>12</v>
      </c>
      <c r="T440" s="20" t="s">
        <v>548</v>
      </c>
    </row>
    <row r="441" spans="1:20" ht="23.25" hidden="1" customHeight="1" x14ac:dyDescent="0.25">
      <c r="A441" s="21" t="s">
        <v>1822</v>
      </c>
      <c r="B441" s="24">
        <v>2024</v>
      </c>
      <c r="C441" s="97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94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8"/>
        <v>17</v>
      </c>
      <c r="S441" s="24">
        <v>20</v>
      </c>
      <c r="T441" s="21" t="s">
        <v>795</v>
      </c>
    </row>
    <row r="442" spans="1:20" ht="23.25" hidden="1" customHeight="1" x14ac:dyDescent="0.25">
      <c r="A442" s="20" t="s">
        <v>1826</v>
      </c>
      <c r="B442" s="22">
        <v>2024</v>
      </c>
      <c r="C442" s="97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93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8"/>
        <v>17</v>
      </c>
      <c r="S442" s="22">
        <v>20</v>
      </c>
      <c r="T442" s="20" t="s">
        <v>1830</v>
      </c>
    </row>
    <row r="443" spans="1:20" ht="23.25" hidden="1" customHeight="1" x14ac:dyDescent="0.25">
      <c r="A443" s="21" t="s">
        <v>1831</v>
      </c>
      <c r="B443" s="24">
        <v>2024</v>
      </c>
      <c r="C443" s="97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94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8"/>
        <v>24</v>
      </c>
      <c r="S443" s="24">
        <v>20</v>
      </c>
      <c r="T443" s="21" t="s">
        <v>950</v>
      </c>
    </row>
    <row r="444" spans="1:20" ht="23.25" hidden="1" customHeight="1" x14ac:dyDescent="0.25">
      <c r="A444" s="20" t="s">
        <v>1835</v>
      </c>
      <c r="B444" s="22">
        <v>2024</v>
      </c>
      <c r="C444" s="97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93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8"/>
        <v>16</v>
      </c>
      <c r="S444" s="22">
        <v>8</v>
      </c>
      <c r="T444" s="20" t="s">
        <v>1059</v>
      </c>
    </row>
    <row r="445" spans="1:20" ht="23.25" hidden="1" customHeight="1" x14ac:dyDescent="0.25">
      <c r="A445" s="21" t="s">
        <v>1839</v>
      </c>
      <c r="B445" s="24">
        <v>2024</v>
      </c>
      <c r="C445" s="97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94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8"/>
        <v>155</v>
      </c>
      <c r="S445" s="24">
        <v>8</v>
      </c>
      <c r="T445" s="21" t="s">
        <v>471</v>
      </c>
    </row>
    <row r="446" spans="1:20" ht="23.25" hidden="1" customHeight="1" x14ac:dyDescent="0.25">
      <c r="A446" s="20" t="s">
        <v>1843</v>
      </c>
      <c r="B446" s="22">
        <v>2024</v>
      </c>
      <c r="C446" s="97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93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8"/>
        <v>8</v>
      </c>
      <c r="S446" s="22">
        <v>4</v>
      </c>
      <c r="T446" s="20" t="s">
        <v>1779</v>
      </c>
    </row>
    <row r="447" spans="1:20" ht="23.25" hidden="1" customHeight="1" x14ac:dyDescent="0.25">
      <c r="A447" s="21" t="s">
        <v>1846</v>
      </c>
      <c r="B447" s="24">
        <v>2024</v>
      </c>
      <c r="C447" s="97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94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8"/>
        <v>10</v>
      </c>
      <c r="S447" s="24">
        <v>16</v>
      </c>
      <c r="T447" s="21" t="s">
        <v>1742</v>
      </c>
    </row>
    <row r="448" spans="1:20" ht="23.25" hidden="1" customHeight="1" x14ac:dyDescent="0.25">
      <c r="A448" s="20" t="s">
        <v>1850</v>
      </c>
      <c r="B448" s="22">
        <v>2024</v>
      </c>
      <c r="C448" s="97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93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8"/>
        <v>15</v>
      </c>
      <c r="S448" s="22">
        <v>16</v>
      </c>
      <c r="T448" s="20" t="s">
        <v>1784</v>
      </c>
    </row>
    <row r="449" spans="1:20" ht="23.25" hidden="1" customHeight="1" x14ac:dyDescent="0.25">
      <c r="A449" s="21" t="s">
        <v>1852</v>
      </c>
      <c r="B449" s="24">
        <v>2024</v>
      </c>
      <c r="C449" s="97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94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8"/>
        <v>51</v>
      </c>
      <c r="S449" s="24">
        <v>16</v>
      </c>
      <c r="T449" s="21" t="s">
        <v>471</v>
      </c>
    </row>
    <row r="450" spans="1:20" ht="23.25" hidden="1" customHeight="1" x14ac:dyDescent="0.25">
      <c r="A450" s="20" t="s">
        <v>1856</v>
      </c>
      <c r="B450" s="22">
        <v>2024</v>
      </c>
      <c r="C450" s="97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93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8"/>
        <v>52</v>
      </c>
      <c r="S450" s="22">
        <v>16</v>
      </c>
      <c r="T450" s="20" t="s">
        <v>1747</v>
      </c>
    </row>
    <row r="451" spans="1:20" ht="23.25" hidden="1" customHeight="1" x14ac:dyDescent="0.25">
      <c r="A451" s="21" t="s">
        <v>1859</v>
      </c>
      <c r="B451" s="24">
        <v>2024</v>
      </c>
      <c r="C451" s="97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94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8"/>
        <v>13</v>
      </c>
      <c r="S451" s="24">
        <v>4</v>
      </c>
      <c r="T451" s="21" t="s">
        <v>1779</v>
      </c>
    </row>
    <row r="452" spans="1:20" ht="23.25" hidden="1" customHeight="1" x14ac:dyDescent="0.25">
      <c r="A452" s="20" t="s">
        <v>1862</v>
      </c>
      <c r="B452" s="22">
        <v>2024</v>
      </c>
      <c r="C452" s="97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93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8"/>
        <v>90</v>
      </c>
      <c r="S452" s="22">
        <v>3</v>
      </c>
      <c r="T452" s="20" t="s">
        <v>1715</v>
      </c>
    </row>
    <row r="453" spans="1:20" ht="23.25" hidden="1" customHeight="1" x14ac:dyDescent="0.25">
      <c r="A453" s="21" t="s">
        <v>1866</v>
      </c>
      <c r="B453" s="24">
        <v>2024</v>
      </c>
      <c r="C453" s="97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94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8"/>
        <v>11</v>
      </c>
      <c r="S453" s="24">
        <v>2</v>
      </c>
      <c r="T453" s="21" t="s">
        <v>210</v>
      </c>
    </row>
    <row r="454" spans="1:20" ht="23.25" hidden="1" customHeight="1" x14ac:dyDescent="0.25">
      <c r="A454" s="20" t="s">
        <v>1869</v>
      </c>
      <c r="B454" s="22">
        <v>2024</v>
      </c>
      <c r="C454" s="97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93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8"/>
        <v>50</v>
      </c>
      <c r="S454" s="22">
        <v>2</v>
      </c>
      <c r="T454" s="58" t="s">
        <v>1872</v>
      </c>
    </row>
    <row r="455" spans="1:20" ht="23.25" hidden="1" customHeight="1" x14ac:dyDescent="0.25">
      <c r="A455" s="21" t="s">
        <v>1873</v>
      </c>
      <c r="B455" s="24">
        <v>2024</v>
      </c>
      <c r="C455" s="97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94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8"/>
        <v>8</v>
      </c>
      <c r="S455" s="24">
        <v>4</v>
      </c>
      <c r="T455" s="21" t="s">
        <v>1779</v>
      </c>
    </row>
    <row r="456" spans="1:20" ht="23.25" hidden="1" customHeight="1" x14ac:dyDescent="0.25">
      <c r="A456" s="20" t="s">
        <v>1875</v>
      </c>
      <c r="B456" s="22">
        <v>2024</v>
      </c>
      <c r="C456" s="97" t="s">
        <v>21</v>
      </c>
      <c r="D456" s="22"/>
      <c r="E456" s="27" t="s">
        <v>1876</v>
      </c>
      <c r="F456" s="29" t="s">
        <v>23</v>
      </c>
      <c r="G456" s="20" t="s">
        <v>198</v>
      </c>
      <c r="H456" s="59" t="s">
        <v>1871</v>
      </c>
      <c r="I456" s="37">
        <v>45471</v>
      </c>
      <c r="J456" s="37">
        <v>45471</v>
      </c>
      <c r="K456" s="22"/>
      <c r="L456" s="28"/>
      <c r="M456" s="93"/>
      <c r="N456" s="41"/>
      <c r="O456" s="23">
        <v>0</v>
      </c>
      <c r="P456" s="23">
        <v>0</v>
      </c>
      <c r="Q456" s="23">
        <v>0</v>
      </c>
      <c r="R456" s="23">
        <f t="shared" si="8"/>
        <v>0</v>
      </c>
      <c r="S456" s="22"/>
      <c r="T456" s="20"/>
    </row>
    <row r="457" spans="1:20" ht="23.25" hidden="1" customHeight="1" x14ac:dyDescent="0.25">
      <c r="A457" s="21" t="s">
        <v>1877</v>
      </c>
      <c r="B457" s="24">
        <v>2024</v>
      </c>
      <c r="C457" s="97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94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8"/>
        <v>23</v>
      </c>
      <c r="S457" s="24">
        <v>20</v>
      </c>
      <c r="T457" s="21" t="s">
        <v>1784</v>
      </c>
    </row>
    <row r="458" spans="1:20" ht="23.25" hidden="1" customHeight="1" x14ac:dyDescent="0.25">
      <c r="A458" s="20" t="s">
        <v>1881</v>
      </c>
      <c r="B458" s="22">
        <v>2024</v>
      </c>
      <c r="C458" s="97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93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460" si="9">SUM(O458:Q458)</f>
        <v>23</v>
      </c>
      <c r="S458" s="22">
        <v>76</v>
      </c>
      <c r="T458" s="20" t="s">
        <v>471</v>
      </c>
    </row>
    <row r="459" spans="1:20" ht="23.25" hidden="1" customHeight="1" x14ac:dyDescent="0.25">
      <c r="A459" s="21" t="s">
        <v>1885</v>
      </c>
      <c r="B459" s="24">
        <v>2024</v>
      </c>
      <c r="C459" s="97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94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9"/>
        <v>89</v>
      </c>
      <c r="S459" s="24">
        <v>12</v>
      </c>
      <c r="T459" s="61" t="s">
        <v>1889</v>
      </c>
    </row>
    <row r="460" spans="1:20" ht="23.25" hidden="1" customHeight="1" x14ac:dyDescent="0.25">
      <c r="A460" s="20" t="s">
        <v>1890</v>
      </c>
      <c r="B460" s="22">
        <v>2024</v>
      </c>
      <c r="C460" s="97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93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9"/>
        <v>22</v>
      </c>
      <c r="S460" s="22">
        <v>19</v>
      </c>
      <c r="T460" s="20" t="s">
        <v>745</v>
      </c>
    </row>
    <row r="461" spans="1:20" ht="23.25" hidden="1" customHeight="1" x14ac:dyDescent="0.25">
      <c r="A461" s="21" t="s">
        <v>1894</v>
      </c>
      <c r="B461" s="24">
        <v>2024</v>
      </c>
      <c r="C461" s="97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62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94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ref="R461:R521" si="10">SUM(O461:Q461)</f>
        <v>11</v>
      </c>
      <c r="S461" s="24">
        <v>4</v>
      </c>
      <c r="T461" s="21" t="s">
        <v>1779</v>
      </c>
    </row>
    <row r="462" spans="1:20" ht="23.25" hidden="1" customHeight="1" x14ac:dyDescent="0.25">
      <c r="A462" s="20" t="s">
        <v>1897</v>
      </c>
      <c r="B462" s="22">
        <v>2024</v>
      </c>
      <c r="C462" s="97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93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10"/>
        <v>21</v>
      </c>
      <c r="S462" s="22">
        <v>12</v>
      </c>
      <c r="T462" s="20" t="s">
        <v>1901</v>
      </c>
    </row>
    <row r="463" spans="1:20" ht="23.25" hidden="1" customHeight="1" x14ac:dyDescent="0.25">
      <c r="A463" s="21" t="s">
        <v>1902</v>
      </c>
      <c r="B463" s="24">
        <v>2024</v>
      </c>
      <c r="C463" s="97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94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10"/>
        <v>51</v>
      </c>
      <c r="S463" s="24">
        <v>16</v>
      </c>
      <c r="T463" s="61" t="s">
        <v>548</v>
      </c>
    </row>
    <row r="464" spans="1:20" ht="23.25" hidden="1" customHeight="1" x14ac:dyDescent="0.25">
      <c r="A464" s="20" t="s">
        <v>1906</v>
      </c>
      <c r="B464" s="22">
        <v>2024</v>
      </c>
      <c r="C464" s="97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93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10"/>
        <v>7</v>
      </c>
      <c r="S464" s="22">
        <v>4</v>
      </c>
      <c r="T464" s="20" t="s">
        <v>1779</v>
      </c>
    </row>
    <row r="465" spans="1:20" ht="23.25" hidden="1" customHeight="1" x14ac:dyDescent="0.25">
      <c r="A465" s="21" t="s">
        <v>1909</v>
      </c>
      <c r="B465" s="24">
        <v>2024</v>
      </c>
      <c r="C465" s="97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94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10"/>
        <v>22</v>
      </c>
      <c r="S465" s="24">
        <v>12</v>
      </c>
      <c r="T465" s="21" t="s">
        <v>1913</v>
      </c>
    </row>
    <row r="466" spans="1:20" ht="23.25" hidden="1" customHeight="1" x14ac:dyDescent="0.25">
      <c r="A466" s="20" t="s">
        <v>1914</v>
      </c>
      <c r="B466" s="22">
        <v>2024</v>
      </c>
      <c r="C466" s="97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93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10"/>
        <v>213</v>
      </c>
      <c r="S466" s="22">
        <v>24</v>
      </c>
      <c r="T466" s="20" t="s">
        <v>471</v>
      </c>
    </row>
    <row r="467" spans="1:20" ht="23.25" hidden="1" customHeight="1" x14ac:dyDescent="0.25">
      <c r="A467" s="21" t="s">
        <v>1918</v>
      </c>
      <c r="B467" s="24">
        <v>2024</v>
      </c>
      <c r="C467" s="97" t="s">
        <v>21</v>
      </c>
      <c r="D467" s="24" t="s">
        <v>1915</v>
      </c>
      <c r="E467" s="30" t="s">
        <v>1919</v>
      </c>
      <c r="F467" s="92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94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10"/>
        <v>92</v>
      </c>
      <c r="S467" s="24">
        <v>8</v>
      </c>
      <c r="T467" s="21" t="s">
        <v>471</v>
      </c>
    </row>
    <row r="468" spans="1:20" ht="23.25" hidden="1" customHeight="1" x14ac:dyDescent="0.25">
      <c r="A468" s="20" t="s">
        <v>1921</v>
      </c>
      <c r="B468" s="22">
        <v>2024</v>
      </c>
      <c r="C468" s="97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93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10"/>
        <v>18</v>
      </c>
      <c r="S468" s="22">
        <v>4</v>
      </c>
      <c r="T468" s="20" t="s">
        <v>1925</v>
      </c>
    </row>
    <row r="469" spans="1:20" ht="23.25" hidden="1" customHeight="1" x14ac:dyDescent="0.25">
      <c r="A469" s="21" t="s">
        <v>1926</v>
      </c>
      <c r="B469" s="24">
        <v>2024</v>
      </c>
      <c r="C469" s="97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94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10"/>
        <v>8</v>
      </c>
      <c r="S469" s="24">
        <v>4</v>
      </c>
      <c r="T469" s="21" t="s">
        <v>1779</v>
      </c>
    </row>
    <row r="470" spans="1:20" ht="23.25" hidden="1" customHeight="1" x14ac:dyDescent="0.25">
      <c r="A470" s="20" t="s">
        <v>1929</v>
      </c>
      <c r="B470" s="22">
        <v>2024</v>
      </c>
      <c r="C470" s="97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93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10"/>
        <v>8</v>
      </c>
      <c r="S470" s="22">
        <v>4</v>
      </c>
      <c r="T470" s="20" t="s">
        <v>1779</v>
      </c>
    </row>
    <row r="471" spans="1:20" ht="23.25" hidden="1" customHeight="1" x14ac:dyDescent="0.25">
      <c r="A471" s="21" t="s">
        <v>1932</v>
      </c>
      <c r="B471" s="24">
        <v>2024</v>
      </c>
      <c r="C471" s="97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94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10"/>
        <v>384</v>
      </c>
      <c r="S471" s="24">
        <v>8</v>
      </c>
      <c r="T471" s="21" t="s">
        <v>471</v>
      </c>
    </row>
    <row r="472" spans="1:20" ht="23.25" hidden="1" customHeight="1" x14ac:dyDescent="0.25">
      <c r="A472" s="20" t="s">
        <v>1936</v>
      </c>
      <c r="B472" s="22">
        <v>2024</v>
      </c>
      <c r="C472" s="97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93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10"/>
        <v>24</v>
      </c>
      <c r="S472" s="22">
        <v>12</v>
      </c>
      <c r="T472" s="20" t="s">
        <v>1940</v>
      </c>
    </row>
    <row r="473" spans="1:20" ht="23.25" hidden="1" customHeight="1" x14ac:dyDescent="0.25">
      <c r="A473" s="21" t="s">
        <v>1941</v>
      </c>
      <c r="B473" s="24">
        <v>2024</v>
      </c>
      <c r="C473" s="97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94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10"/>
        <v>35</v>
      </c>
      <c r="S473" s="24">
        <v>20</v>
      </c>
      <c r="T473" s="21" t="s">
        <v>1945</v>
      </c>
    </row>
    <row r="474" spans="1:20" ht="23.25" hidden="1" customHeight="1" x14ac:dyDescent="0.25">
      <c r="A474" s="20" t="s">
        <v>1946</v>
      </c>
      <c r="B474" s="22">
        <v>2024</v>
      </c>
      <c r="C474" s="97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93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10"/>
        <v>53</v>
      </c>
      <c r="S474" s="22">
        <v>4</v>
      </c>
      <c r="T474" s="20" t="s">
        <v>1950</v>
      </c>
    </row>
    <row r="475" spans="1:20" ht="23.25" hidden="1" customHeight="1" x14ac:dyDescent="0.25">
      <c r="A475" s="21" t="s">
        <v>1951</v>
      </c>
      <c r="B475" s="24">
        <v>2024</v>
      </c>
      <c r="C475" s="97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94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10"/>
        <v>12</v>
      </c>
      <c r="S475" s="24">
        <v>8</v>
      </c>
      <c r="T475" s="21" t="s">
        <v>1955</v>
      </c>
    </row>
    <row r="476" spans="1:20" ht="23.25" hidden="1" customHeight="1" x14ac:dyDescent="0.25">
      <c r="A476" s="20" t="s">
        <v>1956</v>
      </c>
      <c r="B476" s="22">
        <v>2024</v>
      </c>
      <c r="C476" s="97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93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10"/>
        <v>60</v>
      </c>
      <c r="S476" s="22">
        <v>4</v>
      </c>
      <c r="T476" s="20" t="s">
        <v>1960</v>
      </c>
    </row>
    <row r="477" spans="1:20" ht="23.25" hidden="1" customHeight="1" x14ac:dyDescent="0.25">
      <c r="A477" s="21" t="s">
        <v>1961</v>
      </c>
      <c r="B477" s="24">
        <v>2024</v>
      </c>
      <c r="C477" s="97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94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10"/>
        <v>14</v>
      </c>
      <c r="S477" s="24">
        <v>4</v>
      </c>
      <c r="T477" s="21" t="s">
        <v>1054</v>
      </c>
    </row>
    <row r="478" spans="1:20" ht="23.25" hidden="1" customHeight="1" x14ac:dyDescent="0.25">
      <c r="A478" s="20" t="s">
        <v>1965</v>
      </c>
      <c r="B478" s="22">
        <v>2024</v>
      </c>
      <c r="C478" s="97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93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10"/>
        <v>20</v>
      </c>
      <c r="S478" s="22">
        <v>12</v>
      </c>
      <c r="T478" s="20" t="s">
        <v>1913</v>
      </c>
    </row>
    <row r="479" spans="1:20" ht="23.25" hidden="1" customHeight="1" x14ac:dyDescent="0.25">
      <c r="A479" s="21" t="s">
        <v>1969</v>
      </c>
      <c r="B479" s="24">
        <v>2024</v>
      </c>
      <c r="C479" s="97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94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10"/>
        <v>56</v>
      </c>
      <c r="S479" s="24">
        <v>20</v>
      </c>
      <c r="T479" s="21" t="s">
        <v>1973</v>
      </c>
    </row>
    <row r="480" spans="1:20" ht="23.25" hidden="1" customHeight="1" x14ac:dyDescent="0.25">
      <c r="A480" s="20" t="s">
        <v>1974</v>
      </c>
      <c r="B480" s="22">
        <v>2024</v>
      </c>
      <c r="C480" s="97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93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10"/>
        <v>38</v>
      </c>
      <c r="S480" s="22">
        <v>12</v>
      </c>
      <c r="T480" s="20" t="s">
        <v>1054</v>
      </c>
    </row>
    <row r="481" spans="1:20" ht="23.25" hidden="1" customHeight="1" x14ac:dyDescent="0.25">
      <c r="A481" s="21" t="s">
        <v>1978</v>
      </c>
      <c r="B481" s="24">
        <v>2024</v>
      </c>
      <c r="C481" s="97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94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10"/>
        <v>13</v>
      </c>
      <c r="S481" s="24">
        <v>16</v>
      </c>
      <c r="T481" s="21" t="s">
        <v>1981</v>
      </c>
    </row>
    <row r="482" spans="1:20" ht="23.25" hidden="1" customHeight="1" x14ac:dyDescent="0.25">
      <c r="A482" s="20" t="s">
        <v>1982</v>
      </c>
      <c r="B482" s="22">
        <v>2024</v>
      </c>
      <c r="C482" s="97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93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10"/>
        <v>24</v>
      </c>
      <c r="S482" s="22">
        <v>18</v>
      </c>
      <c r="T482" s="20" t="s">
        <v>1986</v>
      </c>
    </row>
    <row r="483" spans="1:20" ht="23.25" hidden="1" customHeight="1" x14ac:dyDescent="0.25">
      <c r="A483" s="21" t="s">
        <v>1987</v>
      </c>
      <c r="B483" s="24">
        <v>2024</v>
      </c>
      <c r="C483" s="97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94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10"/>
        <v>19</v>
      </c>
      <c r="S483" s="24">
        <v>16</v>
      </c>
      <c r="T483" s="21" t="s">
        <v>1715</v>
      </c>
    </row>
    <row r="484" spans="1:20" ht="23.25" hidden="1" customHeight="1" x14ac:dyDescent="0.25">
      <c r="A484" s="20" t="s">
        <v>1989</v>
      </c>
      <c r="B484" s="22">
        <v>2024</v>
      </c>
      <c r="C484" s="97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93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10"/>
        <v>10</v>
      </c>
      <c r="S484" s="22">
        <v>4</v>
      </c>
      <c r="T484" s="20" t="s">
        <v>1054</v>
      </c>
    </row>
    <row r="485" spans="1:20" ht="23.25" hidden="1" customHeight="1" x14ac:dyDescent="0.25">
      <c r="A485" s="21" t="s">
        <v>1992</v>
      </c>
      <c r="B485" s="24">
        <v>2024</v>
      </c>
      <c r="C485" s="97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94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10"/>
        <v>5</v>
      </c>
      <c r="S485" s="24">
        <v>4</v>
      </c>
      <c r="T485" s="21" t="s">
        <v>1779</v>
      </c>
    </row>
    <row r="486" spans="1:20" ht="23.25" hidden="1" customHeight="1" x14ac:dyDescent="0.25">
      <c r="A486" s="20" t="s">
        <v>1995</v>
      </c>
      <c r="B486" s="22">
        <v>2024</v>
      </c>
      <c r="C486" s="97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93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10"/>
        <v>21</v>
      </c>
      <c r="S486" s="22">
        <v>24</v>
      </c>
      <c r="T486" s="20" t="s">
        <v>1257</v>
      </c>
    </row>
    <row r="487" spans="1:20" ht="23.25" hidden="1" customHeight="1" x14ac:dyDescent="0.25">
      <c r="A487" s="21" t="s">
        <v>1997</v>
      </c>
      <c r="B487" s="24">
        <v>2024</v>
      </c>
      <c r="C487" s="97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94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10"/>
        <v>19</v>
      </c>
      <c r="S487" s="24">
        <v>20</v>
      </c>
      <c r="T487" s="21" t="s">
        <v>210</v>
      </c>
    </row>
    <row r="488" spans="1:20" ht="23.25" hidden="1" customHeight="1" x14ac:dyDescent="0.25">
      <c r="A488" s="20" t="s">
        <v>2001</v>
      </c>
      <c r="B488" s="22">
        <v>2024</v>
      </c>
      <c r="C488" s="97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93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10"/>
        <v>7</v>
      </c>
      <c r="S488" s="22">
        <v>4</v>
      </c>
      <c r="T488" s="20" t="s">
        <v>1779</v>
      </c>
    </row>
    <row r="489" spans="1:20" ht="23.25" hidden="1" customHeight="1" x14ac:dyDescent="0.25">
      <c r="A489" s="21" t="s">
        <v>2004</v>
      </c>
      <c r="B489" s="60">
        <v>2024</v>
      </c>
      <c r="C489" s="98" t="s">
        <v>21</v>
      </c>
      <c r="D489" s="70" t="s">
        <v>1695</v>
      </c>
      <c r="E489" s="64" t="s">
        <v>2005</v>
      </c>
      <c r="F489" s="31" t="s">
        <v>61</v>
      </c>
      <c r="G489" s="45" t="s">
        <v>71</v>
      </c>
      <c r="H489" s="65" t="s">
        <v>2006</v>
      </c>
      <c r="I489" s="66">
        <v>45558</v>
      </c>
      <c r="J489" s="66">
        <v>45562</v>
      </c>
      <c r="K489" s="24" t="s">
        <v>34</v>
      </c>
      <c r="L489" s="67">
        <v>12813.06</v>
      </c>
      <c r="M489" s="95">
        <v>4.8</v>
      </c>
      <c r="N489" s="68">
        <v>20</v>
      </c>
      <c r="O489" s="69">
        <v>4</v>
      </c>
      <c r="P489" s="69">
        <v>15</v>
      </c>
      <c r="Q489" s="69">
        <v>0</v>
      </c>
      <c r="R489" s="25">
        <f t="shared" si="10"/>
        <v>19</v>
      </c>
      <c r="S489" s="70">
        <v>20</v>
      </c>
      <c r="T489" s="45" t="s">
        <v>73</v>
      </c>
    </row>
    <row r="490" spans="1:20" ht="23.25" hidden="1" customHeight="1" x14ac:dyDescent="0.25">
      <c r="A490" s="20" t="s">
        <v>2007</v>
      </c>
      <c r="B490" s="22">
        <v>2024</v>
      </c>
      <c r="C490" s="98" t="s">
        <v>21</v>
      </c>
      <c r="D490" s="76" t="s">
        <v>1970</v>
      </c>
      <c r="E490" s="71" t="s">
        <v>2008</v>
      </c>
      <c r="F490" s="72" t="s">
        <v>80</v>
      </c>
      <c r="G490" s="73" t="s">
        <v>71</v>
      </c>
      <c r="H490" s="74" t="s">
        <v>2006</v>
      </c>
      <c r="I490" s="75">
        <v>45558</v>
      </c>
      <c r="J490" s="75">
        <v>45562</v>
      </c>
      <c r="K490" s="76" t="s">
        <v>34</v>
      </c>
      <c r="L490" s="77">
        <f>9154.9+1027</f>
        <v>10181.9</v>
      </c>
      <c r="M490" s="96">
        <v>4.7</v>
      </c>
      <c r="N490" s="78">
        <v>30</v>
      </c>
      <c r="O490" s="79">
        <v>0</v>
      </c>
      <c r="P490" s="79">
        <v>0</v>
      </c>
      <c r="Q490" s="79">
        <v>61</v>
      </c>
      <c r="R490" s="23">
        <f t="shared" si="10"/>
        <v>61</v>
      </c>
      <c r="S490" s="76">
        <v>20</v>
      </c>
      <c r="T490" s="73" t="s">
        <v>1973</v>
      </c>
    </row>
    <row r="491" spans="1:20" ht="23.25" hidden="1" customHeight="1" x14ac:dyDescent="0.25">
      <c r="A491" s="21" t="s">
        <v>2009</v>
      </c>
      <c r="B491" s="24">
        <v>2024</v>
      </c>
      <c r="C491" s="98" t="s">
        <v>21</v>
      </c>
      <c r="D491" s="70" t="s">
        <v>2010</v>
      </c>
      <c r="E491" s="64" t="s">
        <v>2011</v>
      </c>
      <c r="F491" s="80" t="s">
        <v>23</v>
      </c>
      <c r="G491" s="45" t="s">
        <v>67</v>
      </c>
      <c r="H491" s="65" t="s">
        <v>2012</v>
      </c>
      <c r="I491" s="66">
        <v>45559</v>
      </c>
      <c r="J491" s="66">
        <v>45559</v>
      </c>
      <c r="K491" s="70" t="s">
        <v>34</v>
      </c>
      <c r="L491" s="67">
        <v>4533.88</v>
      </c>
      <c r="M491" s="95">
        <v>4.7</v>
      </c>
      <c r="N491" s="68">
        <v>25</v>
      </c>
      <c r="O491" s="69">
        <v>32</v>
      </c>
      <c r="P491" s="69">
        <v>0</v>
      </c>
      <c r="Q491" s="69">
        <v>0</v>
      </c>
      <c r="R491" s="25">
        <f t="shared" si="10"/>
        <v>32</v>
      </c>
      <c r="S491" s="70">
        <v>8</v>
      </c>
      <c r="T491" s="45" t="s">
        <v>2013</v>
      </c>
    </row>
    <row r="492" spans="1:20" ht="23.25" hidden="1" customHeight="1" x14ac:dyDescent="0.25">
      <c r="A492" s="20" t="s">
        <v>2014</v>
      </c>
      <c r="B492" s="22">
        <v>2024</v>
      </c>
      <c r="C492" s="98" t="s">
        <v>21</v>
      </c>
      <c r="D492" s="76" t="s">
        <v>2015</v>
      </c>
      <c r="E492" s="71" t="s">
        <v>2016</v>
      </c>
      <c r="F492" s="72" t="s">
        <v>61</v>
      </c>
      <c r="G492" s="73" t="s">
        <v>71</v>
      </c>
      <c r="H492" s="74" t="s">
        <v>2017</v>
      </c>
      <c r="I492" s="75">
        <v>45566</v>
      </c>
      <c r="J492" s="75">
        <v>45575</v>
      </c>
      <c r="K492" s="76" t="s">
        <v>34</v>
      </c>
      <c r="L492" s="77">
        <v>16717.68</v>
      </c>
      <c r="M492" s="96">
        <v>4.7</v>
      </c>
      <c r="N492" s="78">
        <v>40</v>
      </c>
      <c r="O492" s="79">
        <v>0</v>
      </c>
      <c r="P492" s="79">
        <v>43</v>
      </c>
      <c r="Q492" s="79">
        <v>0</v>
      </c>
      <c r="R492" s="23">
        <f t="shared" si="10"/>
        <v>43</v>
      </c>
      <c r="S492" s="76">
        <v>20</v>
      </c>
      <c r="T492" s="73" t="s">
        <v>2018</v>
      </c>
    </row>
    <row r="493" spans="1:20" ht="23.25" hidden="1" customHeight="1" x14ac:dyDescent="0.25">
      <c r="A493" s="21" t="s">
        <v>2019</v>
      </c>
      <c r="B493" s="24">
        <v>2024</v>
      </c>
      <c r="C493" s="98" t="s">
        <v>21</v>
      </c>
      <c r="D493" s="70" t="s">
        <v>2020</v>
      </c>
      <c r="E493" s="64" t="s">
        <v>2021</v>
      </c>
      <c r="F493" s="80" t="s">
        <v>23</v>
      </c>
      <c r="G493" s="45" t="s">
        <v>363</v>
      </c>
      <c r="H493" s="65" t="s">
        <v>2022</v>
      </c>
      <c r="I493" s="66">
        <v>45569</v>
      </c>
      <c r="J493" s="66">
        <v>45572</v>
      </c>
      <c r="K493" s="70" t="s">
        <v>34</v>
      </c>
      <c r="L493" s="67">
        <v>0</v>
      </c>
      <c r="M493" s="95">
        <v>5</v>
      </c>
      <c r="N493" s="68">
        <v>10</v>
      </c>
      <c r="O493" s="69">
        <v>8</v>
      </c>
      <c r="P493" s="69">
        <v>0</v>
      </c>
      <c r="Q493" s="69">
        <v>0</v>
      </c>
      <c r="R493" s="25">
        <f t="shared" si="10"/>
        <v>8</v>
      </c>
      <c r="S493" s="70">
        <v>8</v>
      </c>
      <c r="T493" s="45" t="s">
        <v>471</v>
      </c>
    </row>
    <row r="494" spans="1:20" ht="23.25" hidden="1" customHeight="1" x14ac:dyDescent="0.25">
      <c r="A494" s="20" t="s">
        <v>2023</v>
      </c>
      <c r="B494" s="22">
        <v>2024</v>
      </c>
      <c r="C494" s="98" t="s">
        <v>21</v>
      </c>
      <c r="D494" s="76" t="s">
        <v>2024</v>
      </c>
      <c r="E494" s="71" t="s">
        <v>2025</v>
      </c>
      <c r="F494" s="72" t="s">
        <v>23</v>
      </c>
      <c r="G494" s="73" t="s">
        <v>198</v>
      </c>
      <c r="H494" s="74" t="s">
        <v>2026</v>
      </c>
      <c r="I494" s="75">
        <v>45569</v>
      </c>
      <c r="J494" s="75">
        <v>45569</v>
      </c>
      <c r="K494" s="76" t="s">
        <v>26</v>
      </c>
      <c r="L494" s="77">
        <v>2500</v>
      </c>
      <c r="M494" s="96"/>
      <c r="N494" s="78">
        <v>80</v>
      </c>
      <c r="O494" s="79">
        <v>80</v>
      </c>
      <c r="P494" s="79">
        <v>0</v>
      </c>
      <c r="Q494" s="79">
        <v>0</v>
      </c>
      <c r="R494" s="23">
        <f t="shared" si="10"/>
        <v>80</v>
      </c>
      <c r="S494" s="76">
        <v>2</v>
      </c>
      <c r="T494" s="73" t="s">
        <v>2027</v>
      </c>
    </row>
    <row r="495" spans="1:20" ht="23.25" hidden="1" customHeight="1" x14ac:dyDescent="0.25">
      <c r="A495" s="21" t="s">
        <v>2028</v>
      </c>
      <c r="B495" s="24">
        <v>2024</v>
      </c>
      <c r="C495" s="98" t="s">
        <v>21</v>
      </c>
      <c r="D495" s="70" t="s">
        <v>2029</v>
      </c>
      <c r="E495" s="64" t="s">
        <v>2030</v>
      </c>
      <c r="F495" s="80" t="s">
        <v>23</v>
      </c>
      <c r="G495" s="45" t="s">
        <v>198</v>
      </c>
      <c r="H495" s="65" t="s">
        <v>2031</v>
      </c>
      <c r="I495" s="66">
        <v>45572</v>
      </c>
      <c r="J495" s="66">
        <v>45590</v>
      </c>
      <c r="K495" s="24" t="s">
        <v>26</v>
      </c>
      <c r="L495" s="26"/>
      <c r="M495" s="95"/>
      <c r="N495" s="68"/>
      <c r="O495" s="69"/>
      <c r="P495" s="69">
        <v>0</v>
      </c>
      <c r="Q495" s="69">
        <v>0</v>
      </c>
      <c r="R495" s="25">
        <f t="shared" si="10"/>
        <v>0</v>
      </c>
      <c r="S495" s="24"/>
      <c r="T495" s="61"/>
    </row>
    <row r="496" spans="1:20" ht="23.25" hidden="1" customHeight="1" x14ac:dyDescent="0.25">
      <c r="A496" s="20" t="s">
        <v>2032</v>
      </c>
      <c r="B496" s="22">
        <v>2024</v>
      </c>
      <c r="C496" s="98" t="s">
        <v>21</v>
      </c>
      <c r="D496" s="76" t="s">
        <v>2033</v>
      </c>
      <c r="E496" s="71" t="s">
        <v>2034</v>
      </c>
      <c r="F496" s="72" t="s">
        <v>23</v>
      </c>
      <c r="G496" s="73" t="s">
        <v>198</v>
      </c>
      <c r="H496" s="74" t="s">
        <v>2035</v>
      </c>
      <c r="I496" s="75">
        <v>45572</v>
      </c>
      <c r="J496" s="75">
        <v>45572</v>
      </c>
      <c r="K496" s="76" t="s">
        <v>26</v>
      </c>
      <c r="L496" s="77">
        <v>40000</v>
      </c>
      <c r="M496" s="96"/>
      <c r="N496" s="78">
        <v>170</v>
      </c>
      <c r="O496" s="79">
        <v>170</v>
      </c>
      <c r="P496" s="79">
        <v>0</v>
      </c>
      <c r="Q496" s="79">
        <v>0</v>
      </c>
      <c r="R496" s="23">
        <f t="shared" si="10"/>
        <v>170</v>
      </c>
      <c r="S496" s="76">
        <v>1</v>
      </c>
      <c r="T496" s="73" t="s">
        <v>2036</v>
      </c>
    </row>
    <row r="497" spans="1:20" ht="23.25" hidden="1" customHeight="1" x14ac:dyDescent="0.25">
      <c r="A497" s="21" t="s">
        <v>2037</v>
      </c>
      <c r="B497" s="24">
        <v>2024</v>
      </c>
      <c r="C497" s="97" t="s">
        <v>21</v>
      </c>
      <c r="D497" s="70" t="s">
        <v>1922</v>
      </c>
      <c r="E497" s="64" t="s">
        <v>2038</v>
      </c>
      <c r="F497" s="80" t="s">
        <v>61</v>
      </c>
      <c r="G497" s="45" t="s">
        <v>71</v>
      </c>
      <c r="H497" s="65" t="s">
        <v>2039</v>
      </c>
      <c r="I497" s="66">
        <v>45573</v>
      </c>
      <c r="J497" s="66">
        <v>45575</v>
      </c>
      <c r="K497" s="70" t="s">
        <v>34</v>
      </c>
      <c r="L497" s="67">
        <v>2614.2199999999998</v>
      </c>
      <c r="M497" s="95">
        <v>4.8</v>
      </c>
      <c r="N497" s="68">
        <v>20</v>
      </c>
      <c r="O497" s="69">
        <v>9</v>
      </c>
      <c r="P497" s="69">
        <v>22</v>
      </c>
      <c r="Q497" s="69">
        <v>0</v>
      </c>
      <c r="R497" s="25">
        <f t="shared" si="10"/>
        <v>31</v>
      </c>
      <c r="S497" s="70">
        <v>4</v>
      </c>
      <c r="T497" s="45" t="s">
        <v>1925</v>
      </c>
    </row>
    <row r="498" spans="1:20" ht="23.25" hidden="1" customHeight="1" x14ac:dyDescent="0.25">
      <c r="A498" s="20" t="s">
        <v>2040</v>
      </c>
      <c r="B498" s="22">
        <v>2024</v>
      </c>
      <c r="C498" s="97" t="s">
        <v>21</v>
      </c>
      <c r="D498" s="76" t="s">
        <v>1781</v>
      </c>
      <c r="E498" s="71" t="s">
        <v>2041</v>
      </c>
      <c r="F498" s="72" t="s">
        <v>23</v>
      </c>
      <c r="G498" s="73" t="s">
        <v>37</v>
      </c>
      <c r="H498" s="74" t="s">
        <v>2042</v>
      </c>
      <c r="I498" s="75">
        <v>45573</v>
      </c>
      <c r="J498" s="75">
        <v>45576</v>
      </c>
      <c r="K498" s="76" t="s">
        <v>34</v>
      </c>
      <c r="L498" s="77">
        <v>12221.66</v>
      </c>
      <c r="M498" s="96">
        <v>5</v>
      </c>
      <c r="N498" s="78">
        <v>20</v>
      </c>
      <c r="O498" s="79">
        <v>11</v>
      </c>
      <c r="P498" s="79">
        <v>0</v>
      </c>
      <c r="Q498" s="79">
        <v>0</v>
      </c>
      <c r="R498" s="23">
        <f t="shared" si="10"/>
        <v>11</v>
      </c>
      <c r="S498" s="76">
        <v>16</v>
      </c>
      <c r="T498" s="73" t="s">
        <v>1784</v>
      </c>
    </row>
    <row r="499" spans="1:20" ht="23.25" hidden="1" customHeight="1" x14ac:dyDescent="0.25">
      <c r="A499" s="21" t="s">
        <v>2043</v>
      </c>
      <c r="B499" s="24">
        <v>2024</v>
      </c>
      <c r="C499" s="97" t="s">
        <v>21</v>
      </c>
      <c r="D499" s="70" t="s">
        <v>2044</v>
      </c>
      <c r="E499" s="64" t="s">
        <v>2045</v>
      </c>
      <c r="F499" s="80" t="s">
        <v>80</v>
      </c>
      <c r="G499" s="45" t="s">
        <v>71</v>
      </c>
      <c r="H499" s="65" t="s">
        <v>2046</v>
      </c>
      <c r="I499" s="66">
        <v>45573</v>
      </c>
      <c r="J499" s="66">
        <v>45573</v>
      </c>
      <c r="K499" s="70" t="s">
        <v>34</v>
      </c>
      <c r="L499" s="67">
        <v>0</v>
      </c>
      <c r="M499" s="95">
        <v>5</v>
      </c>
      <c r="N499" s="68">
        <v>40</v>
      </c>
      <c r="O499" s="69">
        <v>0</v>
      </c>
      <c r="P499" s="69">
        <v>0</v>
      </c>
      <c r="Q499" s="69">
        <v>45</v>
      </c>
      <c r="R499" s="25">
        <f t="shared" si="10"/>
        <v>45</v>
      </c>
      <c r="S499" s="70">
        <v>1</v>
      </c>
      <c r="T499" s="45" t="s">
        <v>2047</v>
      </c>
    </row>
    <row r="500" spans="1:20" ht="23.25" hidden="1" customHeight="1" x14ac:dyDescent="0.25">
      <c r="A500" s="20" t="s">
        <v>2048</v>
      </c>
      <c r="B500" s="22">
        <v>2024</v>
      </c>
      <c r="C500" s="97" t="s">
        <v>21</v>
      </c>
      <c r="D500" s="76" t="s">
        <v>2049</v>
      </c>
      <c r="E500" s="71" t="s">
        <v>2050</v>
      </c>
      <c r="F500" s="72" t="s">
        <v>23</v>
      </c>
      <c r="G500" s="73" t="s">
        <v>198</v>
      </c>
      <c r="H500" s="74" t="s">
        <v>2051</v>
      </c>
      <c r="I500" s="75">
        <v>45575</v>
      </c>
      <c r="J500" s="75">
        <v>45579</v>
      </c>
      <c r="K500" s="76" t="s">
        <v>26</v>
      </c>
      <c r="L500" s="77">
        <v>6600</v>
      </c>
      <c r="M500" s="96"/>
      <c r="N500" s="78">
        <v>40</v>
      </c>
      <c r="O500" s="79">
        <v>40</v>
      </c>
      <c r="P500" s="79">
        <v>0</v>
      </c>
      <c r="Q500" s="79">
        <v>0</v>
      </c>
      <c r="R500" s="23">
        <f t="shared" si="10"/>
        <v>40</v>
      </c>
      <c r="S500" s="76">
        <v>4</v>
      </c>
      <c r="T500" s="73" t="s">
        <v>2052</v>
      </c>
    </row>
    <row r="501" spans="1:20" ht="23.25" hidden="1" customHeight="1" x14ac:dyDescent="0.25">
      <c r="A501" s="21" t="s">
        <v>2053</v>
      </c>
      <c r="B501" s="24">
        <v>2024</v>
      </c>
      <c r="C501" s="97" t="s">
        <v>21</v>
      </c>
      <c r="D501" s="70" t="s">
        <v>1776</v>
      </c>
      <c r="E501" s="64" t="s">
        <v>2054</v>
      </c>
      <c r="F501" s="80" t="s">
        <v>23</v>
      </c>
      <c r="G501" s="45" t="s">
        <v>456</v>
      </c>
      <c r="H501" s="65" t="s">
        <v>2055</v>
      </c>
      <c r="I501" s="66">
        <v>45576</v>
      </c>
      <c r="J501" s="66">
        <v>45576</v>
      </c>
      <c r="K501" s="70" t="s">
        <v>26</v>
      </c>
      <c r="L501" s="67">
        <f>49600/8</f>
        <v>6200</v>
      </c>
      <c r="M501" s="95">
        <v>5</v>
      </c>
      <c r="N501" s="69">
        <v>5</v>
      </c>
      <c r="O501" s="69">
        <v>0</v>
      </c>
      <c r="P501" s="69">
        <v>0</v>
      </c>
      <c r="Q501" s="69">
        <v>0</v>
      </c>
      <c r="R501" s="25">
        <f t="shared" si="10"/>
        <v>0</v>
      </c>
      <c r="S501" s="70">
        <v>4</v>
      </c>
      <c r="T501" s="45" t="s">
        <v>1779</v>
      </c>
    </row>
    <row r="502" spans="1:20" ht="23.25" hidden="1" customHeight="1" x14ac:dyDescent="0.25">
      <c r="A502" s="20" t="s">
        <v>2056</v>
      </c>
      <c r="B502" s="22">
        <v>2024</v>
      </c>
      <c r="C502" s="97" t="s">
        <v>21</v>
      </c>
      <c r="D502" s="76" t="s">
        <v>2057</v>
      </c>
      <c r="E502" s="71" t="s">
        <v>2058</v>
      </c>
      <c r="F502" s="72" t="s">
        <v>61</v>
      </c>
      <c r="G502" s="73" t="s">
        <v>71</v>
      </c>
      <c r="H502" s="74" t="s">
        <v>2059</v>
      </c>
      <c r="I502" s="75">
        <v>45579</v>
      </c>
      <c r="J502" s="75">
        <v>45582</v>
      </c>
      <c r="K502" s="76" t="s">
        <v>26</v>
      </c>
      <c r="L502" s="77">
        <v>10400</v>
      </c>
      <c r="M502" s="96">
        <v>4.7</v>
      </c>
      <c r="N502" s="78">
        <v>40</v>
      </c>
      <c r="O502" s="79">
        <v>0</v>
      </c>
      <c r="P502" s="79">
        <v>34</v>
      </c>
      <c r="Q502" s="79">
        <v>0</v>
      </c>
      <c r="R502" s="23">
        <f t="shared" si="10"/>
        <v>34</v>
      </c>
      <c r="S502" s="76">
        <v>16</v>
      </c>
      <c r="T502" s="73" t="s">
        <v>2060</v>
      </c>
    </row>
    <row r="503" spans="1:20" ht="23.25" hidden="1" customHeight="1" x14ac:dyDescent="0.25">
      <c r="A503" s="21" t="s">
        <v>2061</v>
      </c>
      <c r="B503" s="24">
        <v>2024</v>
      </c>
      <c r="C503" s="97" t="s">
        <v>21</v>
      </c>
      <c r="D503" s="60" t="s">
        <v>2062</v>
      </c>
      <c r="E503" s="64" t="s">
        <v>2063</v>
      </c>
      <c r="F503" s="80" t="s">
        <v>61</v>
      </c>
      <c r="G503" s="45" t="s">
        <v>71</v>
      </c>
      <c r="H503" s="65" t="s">
        <v>2064</v>
      </c>
      <c r="I503" s="66">
        <v>45579</v>
      </c>
      <c r="J503" s="66">
        <v>45583</v>
      </c>
      <c r="K503" s="70" t="s">
        <v>34</v>
      </c>
      <c r="L503" s="67">
        <v>9067.76</v>
      </c>
      <c r="M503" s="95">
        <v>4.7</v>
      </c>
      <c r="N503" s="68">
        <v>30</v>
      </c>
      <c r="O503" s="69">
        <v>0</v>
      </c>
      <c r="P503" s="69">
        <v>21</v>
      </c>
      <c r="Q503" s="69">
        <v>0</v>
      </c>
      <c r="R503" s="25">
        <f t="shared" si="10"/>
        <v>21</v>
      </c>
      <c r="S503" s="70">
        <v>16</v>
      </c>
      <c r="T503" s="45" t="s">
        <v>1715</v>
      </c>
    </row>
    <row r="504" spans="1:20" ht="23.25" hidden="1" customHeight="1" x14ac:dyDescent="0.25">
      <c r="A504" s="20" t="s">
        <v>2065</v>
      </c>
      <c r="B504" s="22">
        <v>2024</v>
      </c>
      <c r="C504" s="97" t="s">
        <v>21</v>
      </c>
      <c r="D504" s="76" t="s">
        <v>2066</v>
      </c>
      <c r="E504" s="71" t="s">
        <v>2067</v>
      </c>
      <c r="F504" s="72" t="s">
        <v>23</v>
      </c>
      <c r="G504" s="73" t="s">
        <v>32</v>
      </c>
      <c r="H504" s="74" t="s">
        <v>2068</v>
      </c>
      <c r="I504" s="75">
        <v>45579</v>
      </c>
      <c r="J504" s="75">
        <v>45595</v>
      </c>
      <c r="K504" s="76" t="s">
        <v>34</v>
      </c>
      <c r="L504" s="77">
        <v>20061.22</v>
      </c>
      <c r="M504" s="96">
        <v>5</v>
      </c>
      <c r="N504" s="78">
        <v>20</v>
      </c>
      <c r="O504" s="79">
        <v>16</v>
      </c>
      <c r="P504" s="79">
        <v>0</v>
      </c>
      <c r="Q504" s="79">
        <v>0</v>
      </c>
      <c r="R504" s="23">
        <f t="shared" si="10"/>
        <v>16</v>
      </c>
      <c r="S504" s="76">
        <v>24</v>
      </c>
      <c r="T504" s="73" t="s">
        <v>1830</v>
      </c>
    </row>
    <row r="505" spans="1:20" ht="23.25" hidden="1" customHeight="1" x14ac:dyDescent="0.25">
      <c r="A505" s="21" t="s">
        <v>2069</v>
      </c>
      <c r="B505" s="24">
        <v>2024</v>
      </c>
      <c r="C505" s="97" t="s">
        <v>21</v>
      </c>
      <c r="D505" s="24" t="s">
        <v>2070</v>
      </c>
      <c r="E505" s="64" t="s">
        <v>2071</v>
      </c>
      <c r="F505" s="80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70" t="s">
        <v>26</v>
      </c>
      <c r="L505" s="26">
        <v>6500</v>
      </c>
      <c r="M505" s="94"/>
      <c r="N505" s="40">
        <v>20</v>
      </c>
      <c r="O505" s="25">
        <v>20</v>
      </c>
      <c r="P505" s="25">
        <v>0</v>
      </c>
      <c r="Q505" s="25">
        <v>0</v>
      </c>
      <c r="R505" s="25">
        <f t="shared" si="10"/>
        <v>20</v>
      </c>
      <c r="S505" s="24">
        <v>4</v>
      </c>
      <c r="T505" s="21" t="s">
        <v>2073</v>
      </c>
    </row>
    <row r="506" spans="1:20" ht="23.25" hidden="1" customHeight="1" x14ac:dyDescent="0.25">
      <c r="A506" s="20" t="s">
        <v>2074</v>
      </c>
      <c r="B506" s="22">
        <v>2024</v>
      </c>
      <c r="C506" s="97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93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10"/>
        <v>8</v>
      </c>
      <c r="S506" s="22">
        <v>4</v>
      </c>
      <c r="T506" s="20" t="s">
        <v>1779</v>
      </c>
    </row>
    <row r="507" spans="1:20" ht="23.25" hidden="1" customHeight="1" x14ac:dyDescent="0.25">
      <c r="A507" s="21" t="s">
        <v>2077</v>
      </c>
      <c r="B507" s="24">
        <v>2024</v>
      </c>
      <c r="C507" s="97" t="s">
        <v>21</v>
      </c>
      <c r="D507" s="24" t="s">
        <v>2078</v>
      </c>
      <c r="E507" s="30" t="s">
        <v>2079</v>
      </c>
      <c r="F507" s="80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94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10"/>
        <v>0</v>
      </c>
      <c r="S507" s="24">
        <v>20</v>
      </c>
      <c r="T507" s="21" t="s">
        <v>2081</v>
      </c>
    </row>
    <row r="508" spans="1:20" ht="23.25" hidden="1" customHeight="1" x14ac:dyDescent="0.25">
      <c r="A508" s="20" t="s">
        <v>2082</v>
      </c>
      <c r="B508" s="22">
        <v>2024</v>
      </c>
      <c r="C508" s="97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93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10"/>
        <v>13</v>
      </c>
      <c r="S508" s="22">
        <v>48</v>
      </c>
      <c r="T508" s="20" t="s">
        <v>965</v>
      </c>
    </row>
    <row r="509" spans="1:20" ht="23.25" hidden="1" customHeight="1" x14ac:dyDescent="0.25">
      <c r="A509" s="21" t="s">
        <v>2085</v>
      </c>
      <c r="B509" s="24">
        <v>2024</v>
      </c>
      <c r="C509" s="97" t="s">
        <v>21</v>
      </c>
      <c r="D509" s="24" t="s">
        <v>2086</v>
      </c>
      <c r="E509" s="81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94"/>
      <c r="N509" s="40">
        <v>170</v>
      </c>
      <c r="O509" s="25">
        <v>170</v>
      </c>
      <c r="P509" s="25">
        <v>0</v>
      </c>
      <c r="Q509" s="25">
        <v>0</v>
      </c>
      <c r="R509" s="25">
        <f t="shared" si="10"/>
        <v>170</v>
      </c>
      <c r="S509" s="24">
        <v>1</v>
      </c>
      <c r="T509" s="21" t="s">
        <v>2088</v>
      </c>
    </row>
    <row r="510" spans="1:20" ht="23.25" hidden="1" customHeight="1" x14ac:dyDescent="0.25">
      <c r="A510" s="20" t="s">
        <v>2089</v>
      </c>
      <c r="B510" s="22">
        <v>2024</v>
      </c>
      <c r="C510" s="97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93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10"/>
        <v>66</v>
      </c>
      <c r="S510" s="22">
        <v>20</v>
      </c>
      <c r="T510" s="20" t="s">
        <v>1973</v>
      </c>
    </row>
    <row r="511" spans="1:20" ht="23.25" hidden="1" customHeight="1" x14ac:dyDescent="0.25">
      <c r="A511" s="21" t="s">
        <v>2092</v>
      </c>
      <c r="B511" s="24">
        <v>2024</v>
      </c>
      <c r="C511" s="97" t="s">
        <v>21</v>
      </c>
      <c r="D511" s="24" t="s">
        <v>2093</v>
      </c>
      <c r="E511" s="81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94"/>
      <c r="N511" s="40">
        <v>140</v>
      </c>
      <c r="O511" s="25">
        <v>140</v>
      </c>
      <c r="P511" s="25">
        <v>0</v>
      </c>
      <c r="Q511" s="25">
        <v>0</v>
      </c>
      <c r="R511" s="25">
        <f t="shared" si="10"/>
        <v>140</v>
      </c>
      <c r="S511" s="24">
        <v>1</v>
      </c>
      <c r="T511" s="21" t="s">
        <v>2096</v>
      </c>
    </row>
    <row r="512" spans="1:20" ht="23.25" hidden="1" customHeight="1" x14ac:dyDescent="0.25">
      <c r="A512" s="20" t="s">
        <v>2097</v>
      </c>
      <c r="B512" s="22">
        <v>2024</v>
      </c>
      <c r="C512" s="97" t="s">
        <v>21</v>
      </c>
      <c r="D512" s="22" t="s">
        <v>2098</v>
      </c>
      <c r="E512" s="27" t="s">
        <v>2099</v>
      </c>
      <c r="F512" s="72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93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10"/>
        <v>45</v>
      </c>
      <c r="S512" s="22">
        <v>12</v>
      </c>
      <c r="T512" s="20" t="s">
        <v>2101</v>
      </c>
    </row>
    <row r="513" spans="1:20" ht="23.25" hidden="1" customHeight="1" x14ac:dyDescent="0.25">
      <c r="A513" s="21" t="s">
        <v>2102</v>
      </c>
      <c r="B513" s="24">
        <v>2024</v>
      </c>
      <c r="C513" s="97" t="s">
        <v>21</v>
      </c>
      <c r="D513" s="24" t="s">
        <v>2103</v>
      </c>
      <c r="E513" s="30" t="s">
        <v>2104</v>
      </c>
      <c r="F513" s="80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94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10"/>
        <v>19</v>
      </c>
      <c r="S513" s="24">
        <v>4</v>
      </c>
      <c r="T513" s="21" t="s">
        <v>2106</v>
      </c>
    </row>
    <row r="514" spans="1:20" ht="23.25" hidden="1" customHeight="1" x14ac:dyDescent="0.25">
      <c r="A514" s="20" t="s">
        <v>2107</v>
      </c>
      <c r="B514" s="22">
        <v>2024</v>
      </c>
      <c r="C514" s="97" t="s">
        <v>21</v>
      </c>
      <c r="D514" s="22" t="s">
        <v>1998</v>
      </c>
      <c r="E514" s="27" t="s">
        <v>2108</v>
      </c>
      <c r="F514" s="72" t="s">
        <v>23</v>
      </c>
      <c r="G514" s="73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93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10"/>
        <v>15</v>
      </c>
      <c r="S514" s="22">
        <v>20</v>
      </c>
      <c r="T514" s="20" t="s">
        <v>210</v>
      </c>
    </row>
    <row r="515" spans="1:20" ht="23.25" hidden="1" customHeight="1" x14ac:dyDescent="0.25">
      <c r="A515" s="21" t="s">
        <v>2110</v>
      </c>
      <c r="B515" s="24">
        <v>2024</v>
      </c>
      <c r="C515" s="97" t="s">
        <v>21</v>
      </c>
      <c r="D515" s="24" t="s">
        <v>2111</v>
      </c>
      <c r="E515" s="30" t="s">
        <v>2112</v>
      </c>
      <c r="F515" s="80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94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10"/>
        <v>41</v>
      </c>
      <c r="S515" s="24">
        <v>16</v>
      </c>
      <c r="T515" s="21" t="s">
        <v>2114</v>
      </c>
    </row>
    <row r="516" spans="1:20" ht="23.25" hidden="1" customHeight="1" x14ac:dyDescent="0.25">
      <c r="A516" s="20" t="s">
        <v>2115</v>
      </c>
      <c r="B516" s="22">
        <v>2024</v>
      </c>
      <c r="C516" s="97" t="s">
        <v>21</v>
      </c>
      <c r="D516" s="22" t="s">
        <v>2116</v>
      </c>
      <c r="E516" s="27" t="s">
        <v>2117</v>
      </c>
      <c r="F516" s="72" t="s">
        <v>23</v>
      </c>
      <c r="G516" s="73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93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10"/>
        <v>96</v>
      </c>
      <c r="S516" s="22">
        <v>2</v>
      </c>
      <c r="T516" s="20" t="s">
        <v>471</v>
      </c>
    </row>
    <row r="517" spans="1:20" ht="23.25" hidden="1" customHeight="1" x14ac:dyDescent="0.25">
      <c r="A517" s="21" t="s">
        <v>2119</v>
      </c>
      <c r="B517" s="24">
        <v>2024</v>
      </c>
      <c r="C517" s="97" t="s">
        <v>21</v>
      </c>
      <c r="D517" s="24" t="s">
        <v>1776</v>
      </c>
      <c r="E517" s="30" t="s">
        <v>2120</v>
      </c>
      <c r="F517" s="80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94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10"/>
        <v>6</v>
      </c>
      <c r="S517" s="24">
        <v>4</v>
      </c>
      <c r="T517" s="21" t="s">
        <v>2122</v>
      </c>
    </row>
    <row r="518" spans="1:20" ht="23.25" hidden="1" customHeight="1" x14ac:dyDescent="0.25">
      <c r="A518" s="20" t="s">
        <v>2123</v>
      </c>
      <c r="B518" s="22">
        <v>2024</v>
      </c>
      <c r="C518" s="97" t="s">
        <v>21</v>
      </c>
      <c r="D518" s="22" t="s">
        <v>2124</v>
      </c>
      <c r="E518" s="27" t="s">
        <v>2125</v>
      </c>
      <c r="F518" s="29" t="s">
        <v>61</v>
      </c>
      <c r="G518" s="73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93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10"/>
        <v>47</v>
      </c>
      <c r="S518" s="22">
        <v>12</v>
      </c>
      <c r="T518" s="20" t="s">
        <v>2127</v>
      </c>
    </row>
    <row r="519" spans="1:20" ht="23.25" hidden="1" customHeight="1" x14ac:dyDescent="0.25">
      <c r="A519" s="21" t="s">
        <v>2128</v>
      </c>
      <c r="B519" s="24">
        <v>2024</v>
      </c>
      <c r="C519" s="97" t="s">
        <v>21</v>
      </c>
      <c r="D519" s="24" t="s">
        <v>2129</v>
      </c>
      <c r="E519" s="30" t="s">
        <v>2130</v>
      </c>
      <c r="F519" s="80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94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10"/>
        <v>37</v>
      </c>
      <c r="S519" s="24">
        <v>12</v>
      </c>
      <c r="T519" s="21" t="s">
        <v>1471</v>
      </c>
    </row>
    <row r="520" spans="1:20" ht="23.25" hidden="1" customHeight="1" x14ac:dyDescent="0.25">
      <c r="A520" s="20" t="s">
        <v>2132</v>
      </c>
      <c r="B520" s="22">
        <v>2024</v>
      </c>
      <c r="C520" s="97" t="s">
        <v>21</v>
      </c>
      <c r="D520" s="22" t="s">
        <v>2133</v>
      </c>
      <c r="E520" s="27" t="s">
        <v>2134</v>
      </c>
      <c r="F520" s="72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93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10"/>
        <v>20</v>
      </c>
      <c r="S520" s="22">
        <v>16</v>
      </c>
      <c r="T520" s="20" t="s">
        <v>1702</v>
      </c>
    </row>
    <row r="521" spans="1:20" ht="23.25" hidden="1" customHeight="1" x14ac:dyDescent="0.25">
      <c r="A521" s="21" t="s">
        <v>2136</v>
      </c>
      <c r="B521" s="24">
        <v>2024</v>
      </c>
      <c r="C521" s="97" t="s">
        <v>21</v>
      </c>
      <c r="D521" s="24" t="s">
        <v>2137</v>
      </c>
      <c r="E521" s="30" t="s">
        <v>2138</v>
      </c>
      <c r="F521" s="80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94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10"/>
        <v>19</v>
      </c>
      <c r="S521" s="24">
        <v>16</v>
      </c>
      <c r="T521" s="21" t="s">
        <v>548</v>
      </c>
    </row>
    <row r="522" spans="1:20" ht="23.25" hidden="1" customHeight="1" x14ac:dyDescent="0.25">
      <c r="A522" s="20" t="s">
        <v>2140</v>
      </c>
      <c r="B522" s="22">
        <v>2024</v>
      </c>
      <c r="C522" s="98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93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11">SUM(O522:Q522)</f>
        <v>0</v>
      </c>
      <c r="S522" s="22">
        <v>21</v>
      </c>
      <c r="T522" s="20" t="s">
        <v>1366</v>
      </c>
    </row>
    <row r="523" spans="1:20" ht="23.25" hidden="1" customHeight="1" x14ac:dyDescent="0.25">
      <c r="A523" s="21" t="s">
        <v>2144</v>
      </c>
      <c r="B523" s="24">
        <v>2024</v>
      </c>
      <c r="C523" s="98" t="s">
        <v>21</v>
      </c>
      <c r="D523" s="24" t="s">
        <v>2116</v>
      </c>
      <c r="E523" s="30" t="s">
        <v>2145</v>
      </c>
      <c r="F523" s="80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94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11"/>
        <v>0</v>
      </c>
      <c r="S523" s="24">
        <v>6</v>
      </c>
      <c r="T523" s="21" t="s">
        <v>2146</v>
      </c>
    </row>
    <row r="524" spans="1:20" ht="23.25" hidden="1" customHeight="1" x14ac:dyDescent="0.25">
      <c r="A524" s="20" t="s">
        <v>2147</v>
      </c>
      <c r="B524" s="22">
        <v>2024</v>
      </c>
      <c r="C524" s="97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93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11"/>
        <v>6</v>
      </c>
      <c r="S524" s="22"/>
      <c r="T524" s="20"/>
    </row>
    <row r="525" spans="1:20" ht="23.25" hidden="1" customHeight="1" x14ac:dyDescent="0.25">
      <c r="A525" s="21" t="s">
        <v>2150</v>
      </c>
      <c r="B525" s="24">
        <v>2024</v>
      </c>
      <c r="C525" s="97" t="s">
        <v>21</v>
      </c>
      <c r="D525" s="24" t="s">
        <v>2057</v>
      </c>
      <c r="E525" s="30" t="s">
        <v>2151</v>
      </c>
      <c r="F525" s="80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94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11"/>
        <v>46</v>
      </c>
      <c r="S525" s="24">
        <v>16</v>
      </c>
      <c r="T525" s="21" t="s">
        <v>2153</v>
      </c>
    </row>
    <row r="526" spans="1:20" ht="23.25" hidden="1" customHeight="1" x14ac:dyDescent="0.25">
      <c r="A526" s="20" t="s">
        <v>2154</v>
      </c>
      <c r="B526" s="22">
        <v>2024</v>
      </c>
      <c r="C526" s="97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93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11"/>
        <v>20</v>
      </c>
      <c r="S526" s="22">
        <v>16</v>
      </c>
      <c r="T526" s="20" t="s">
        <v>1715</v>
      </c>
    </row>
    <row r="527" spans="1:20" ht="23.25" hidden="1" customHeight="1" x14ac:dyDescent="0.25">
      <c r="A527" s="21" t="s">
        <v>2156</v>
      </c>
      <c r="B527" s="24">
        <v>2024</v>
      </c>
      <c r="C527" s="97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94"/>
      <c r="N527" s="40"/>
      <c r="O527" s="25">
        <v>0</v>
      </c>
      <c r="P527" s="25">
        <v>0</v>
      </c>
      <c r="Q527" s="25">
        <v>0</v>
      </c>
      <c r="R527" s="25">
        <f t="shared" si="11"/>
        <v>0</v>
      </c>
      <c r="S527" s="24"/>
      <c r="T527" s="21" t="s">
        <v>2158</v>
      </c>
    </row>
    <row r="528" spans="1:20" ht="23.25" hidden="1" customHeight="1" x14ac:dyDescent="0.25">
      <c r="A528" s="20" t="s">
        <v>2159</v>
      </c>
      <c r="B528" s="22">
        <v>2024</v>
      </c>
      <c r="C528" s="97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93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11"/>
        <v>20</v>
      </c>
      <c r="S528" s="22">
        <v>8</v>
      </c>
      <c r="T528" s="20" t="s">
        <v>2163</v>
      </c>
    </row>
    <row r="529" spans="1:20" ht="23.25" hidden="1" customHeight="1" x14ac:dyDescent="0.25">
      <c r="A529" s="21" t="s">
        <v>2164</v>
      </c>
      <c r="B529" s="24">
        <v>2024</v>
      </c>
      <c r="C529" s="97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94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11"/>
        <v>28</v>
      </c>
      <c r="S529" s="24">
        <v>20</v>
      </c>
      <c r="T529" s="21"/>
    </row>
    <row r="530" spans="1:20" ht="23.25" hidden="1" customHeight="1" x14ac:dyDescent="0.25">
      <c r="A530" s="20" t="s">
        <v>2168</v>
      </c>
      <c r="B530" s="22">
        <v>2024</v>
      </c>
      <c r="C530" s="97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93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11"/>
        <v>138</v>
      </c>
      <c r="S530" s="22">
        <v>8</v>
      </c>
      <c r="T530" s="20" t="s">
        <v>471</v>
      </c>
    </row>
    <row r="531" spans="1:20" ht="23.25" hidden="1" customHeight="1" x14ac:dyDescent="0.25">
      <c r="A531" s="21" t="s">
        <v>2172</v>
      </c>
      <c r="B531" s="24">
        <v>2024</v>
      </c>
      <c r="C531" s="97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94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11"/>
        <v>19</v>
      </c>
      <c r="S531" s="24">
        <v>12</v>
      </c>
      <c r="T531" s="21" t="s">
        <v>1889</v>
      </c>
    </row>
    <row r="532" spans="1:20" ht="23.25" hidden="1" customHeight="1" x14ac:dyDescent="0.25">
      <c r="A532" s="20" t="s">
        <v>2175</v>
      </c>
      <c r="B532" s="22">
        <v>2024</v>
      </c>
      <c r="C532" s="97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93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11"/>
        <v>118</v>
      </c>
      <c r="S532" s="22">
        <v>1</v>
      </c>
      <c r="T532" s="20" t="s">
        <v>2179</v>
      </c>
    </row>
    <row r="533" spans="1:20" ht="23.25" hidden="1" customHeight="1" x14ac:dyDescent="0.25">
      <c r="A533" s="21" t="s">
        <v>2180</v>
      </c>
      <c r="B533" s="24">
        <v>2024</v>
      </c>
      <c r="C533" s="97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94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11"/>
        <v>4</v>
      </c>
      <c r="S533" s="24">
        <v>4</v>
      </c>
      <c r="T533" s="21" t="s">
        <v>1779</v>
      </c>
    </row>
    <row r="534" spans="1:20" ht="23.25" hidden="1" customHeight="1" x14ac:dyDescent="0.25">
      <c r="A534" s="20" t="s">
        <v>2183</v>
      </c>
      <c r="B534" s="22">
        <v>2024</v>
      </c>
      <c r="C534" s="97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93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11"/>
        <v>49</v>
      </c>
      <c r="S534" s="22">
        <v>4</v>
      </c>
      <c r="T534" s="20" t="s">
        <v>2186</v>
      </c>
    </row>
    <row r="535" spans="1:20" ht="23.25" hidden="1" customHeight="1" x14ac:dyDescent="0.25">
      <c r="A535" s="21" t="s">
        <v>2187</v>
      </c>
      <c r="B535" s="24">
        <v>2024</v>
      </c>
      <c r="C535" s="97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94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11"/>
        <v>94</v>
      </c>
      <c r="S535" s="24">
        <v>20</v>
      </c>
      <c r="T535" s="21" t="s">
        <v>1973</v>
      </c>
    </row>
    <row r="536" spans="1:20" ht="23.25" hidden="1" customHeight="1" x14ac:dyDescent="0.25">
      <c r="A536" s="20" t="s">
        <v>2190</v>
      </c>
      <c r="B536" s="22">
        <v>2024</v>
      </c>
      <c r="C536" s="97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93"/>
      <c r="N536" s="41"/>
      <c r="O536" s="23">
        <v>0</v>
      </c>
      <c r="P536" s="23">
        <v>0</v>
      </c>
      <c r="Q536" s="23">
        <v>0</v>
      </c>
      <c r="R536" s="23">
        <f t="shared" si="11"/>
        <v>0</v>
      </c>
      <c r="S536" s="22"/>
      <c r="T536" s="20"/>
    </row>
    <row r="537" spans="1:20" ht="23.25" hidden="1" customHeight="1" x14ac:dyDescent="0.25">
      <c r="A537" s="21" t="s">
        <v>2194</v>
      </c>
      <c r="B537" s="24">
        <v>2025</v>
      </c>
      <c r="C537" s="97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82">
        <v>45684</v>
      </c>
      <c r="J537" s="39">
        <v>45688</v>
      </c>
      <c r="K537" s="24" t="s">
        <v>34</v>
      </c>
      <c r="L537" s="26">
        <v>12813.06</v>
      </c>
      <c r="M537" s="94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11"/>
        <v>21</v>
      </c>
      <c r="S537" s="24">
        <v>20</v>
      </c>
      <c r="T537" s="21" t="s">
        <v>73</v>
      </c>
    </row>
    <row r="538" spans="1:20" ht="23.25" hidden="1" customHeight="1" x14ac:dyDescent="0.25">
      <c r="A538" s="20" t="s">
        <v>2198</v>
      </c>
      <c r="B538" s="22">
        <v>2025</v>
      </c>
      <c r="C538" s="97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93"/>
      <c r="N538" s="41">
        <v>49</v>
      </c>
      <c r="O538" s="23">
        <v>49</v>
      </c>
      <c r="P538" s="23">
        <v>0</v>
      </c>
      <c r="Q538" s="23">
        <v>0</v>
      </c>
      <c r="R538" s="23">
        <f t="shared" si="11"/>
        <v>49</v>
      </c>
      <c r="S538" s="22"/>
      <c r="T538" s="20"/>
    </row>
    <row r="539" spans="1:20" ht="23.25" hidden="1" customHeight="1" x14ac:dyDescent="0.25">
      <c r="A539" s="21" t="s">
        <v>2201</v>
      </c>
      <c r="B539" s="24">
        <v>2025</v>
      </c>
      <c r="C539" s="99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94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11"/>
        <v>26</v>
      </c>
      <c r="S539" s="24">
        <v>16</v>
      </c>
      <c r="T539" s="21" t="s">
        <v>1715</v>
      </c>
    </row>
    <row r="540" spans="1:20" ht="23.25" hidden="1" customHeight="1" x14ac:dyDescent="0.25">
      <c r="A540" s="20" t="s">
        <v>2205</v>
      </c>
      <c r="B540" s="22">
        <v>2025</v>
      </c>
      <c r="C540" s="97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93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11"/>
        <v>8</v>
      </c>
      <c r="S540" s="22">
        <v>8</v>
      </c>
      <c r="T540" s="20" t="s">
        <v>471</v>
      </c>
    </row>
    <row r="541" spans="1:20" ht="23.25" hidden="1" customHeight="1" x14ac:dyDescent="0.25">
      <c r="A541" s="21" t="s">
        <v>2209</v>
      </c>
      <c r="B541" s="24">
        <v>2025</v>
      </c>
      <c r="C541" s="97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94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11"/>
        <v>14</v>
      </c>
      <c r="S541" s="24">
        <v>12</v>
      </c>
      <c r="T541" s="21" t="s">
        <v>1913</v>
      </c>
    </row>
    <row r="542" spans="1:20" ht="23.25" hidden="1" customHeight="1" x14ac:dyDescent="0.25">
      <c r="A542" s="20" t="s">
        <v>2213</v>
      </c>
      <c r="B542" s="22">
        <v>2025</v>
      </c>
      <c r="C542" s="99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93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11"/>
        <v>30</v>
      </c>
      <c r="S542" s="22">
        <v>20</v>
      </c>
      <c r="T542" s="20" t="s">
        <v>1742</v>
      </c>
    </row>
    <row r="543" spans="1:20" ht="23.25" hidden="1" customHeight="1" x14ac:dyDescent="0.25">
      <c r="A543" s="21" t="s">
        <v>2217</v>
      </c>
      <c r="B543" s="24">
        <v>2025</v>
      </c>
      <c r="C543" s="99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94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11"/>
        <v>11</v>
      </c>
      <c r="S543" s="24">
        <v>20</v>
      </c>
      <c r="T543" s="21" t="s">
        <v>1784</v>
      </c>
    </row>
    <row r="544" spans="1:20" ht="23.25" hidden="1" customHeight="1" x14ac:dyDescent="0.25">
      <c r="A544" s="20" t="s">
        <v>2221</v>
      </c>
      <c r="B544" s="22">
        <v>2025</v>
      </c>
      <c r="C544" s="99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93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11"/>
        <v>43</v>
      </c>
      <c r="S544" s="22">
        <v>12</v>
      </c>
      <c r="T544" s="20" t="s">
        <v>1751</v>
      </c>
    </row>
    <row r="545" spans="1:20" ht="23.25" hidden="1" customHeight="1" x14ac:dyDescent="0.25">
      <c r="A545" s="21" t="s">
        <v>2225</v>
      </c>
      <c r="B545" s="24">
        <v>2025</v>
      </c>
      <c r="C545" s="99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94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11"/>
        <v>54</v>
      </c>
      <c r="S545" s="24">
        <v>20</v>
      </c>
      <c r="T545" s="21" t="s">
        <v>950</v>
      </c>
    </row>
    <row r="546" spans="1:20" ht="23.25" hidden="1" customHeight="1" x14ac:dyDescent="0.25">
      <c r="A546" s="20" t="s">
        <v>2229</v>
      </c>
      <c r="B546" s="22">
        <v>2025</v>
      </c>
      <c r="C546" s="97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93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11"/>
        <v>3</v>
      </c>
      <c r="S546" s="22">
        <v>16</v>
      </c>
      <c r="T546" s="20" t="s">
        <v>1399</v>
      </c>
    </row>
    <row r="547" spans="1:20" ht="23.25" hidden="1" customHeight="1" x14ac:dyDescent="0.25">
      <c r="A547" s="21" t="s">
        <v>2233</v>
      </c>
      <c r="B547" s="24">
        <v>2025</v>
      </c>
      <c r="C547" s="97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94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11"/>
        <v>21</v>
      </c>
      <c r="S547" s="24">
        <v>8</v>
      </c>
      <c r="T547" s="21" t="s">
        <v>2013</v>
      </c>
    </row>
    <row r="548" spans="1:20" ht="23.25" hidden="1" customHeight="1" x14ac:dyDescent="0.25">
      <c r="A548" s="20" t="s">
        <v>2237</v>
      </c>
      <c r="B548" s="22">
        <v>2025</v>
      </c>
      <c r="C548" s="97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93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11"/>
        <v>44</v>
      </c>
      <c r="S548" s="22">
        <v>4</v>
      </c>
      <c r="T548" s="20" t="s">
        <v>471</v>
      </c>
    </row>
    <row r="549" spans="1:20" ht="23.25" hidden="1" customHeight="1" x14ac:dyDescent="0.25">
      <c r="A549" s="21" t="s">
        <v>2241</v>
      </c>
      <c r="B549" s="24">
        <v>2025</v>
      </c>
      <c r="C549" s="99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94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11"/>
        <v>49</v>
      </c>
      <c r="S549" s="24">
        <v>20</v>
      </c>
      <c r="T549" s="21" t="s">
        <v>73</v>
      </c>
    </row>
    <row r="550" spans="1:20" ht="23.25" hidden="1" customHeight="1" x14ac:dyDescent="0.25">
      <c r="A550" s="20" t="s">
        <v>2245</v>
      </c>
      <c r="B550" s="22">
        <v>2025</v>
      </c>
      <c r="C550" s="97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93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11"/>
        <v>16</v>
      </c>
      <c r="S550" s="22">
        <v>16</v>
      </c>
      <c r="T550" s="20" t="s">
        <v>2249</v>
      </c>
    </row>
    <row r="551" spans="1:20" ht="23.25" hidden="1" customHeight="1" x14ac:dyDescent="0.25">
      <c r="A551" s="21" t="s">
        <v>2250</v>
      </c>
      <c r="B551" s="24">
        <v>2025</v>
      </c>
      <c r="C551" s="99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83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94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11"/>
        <v>27</v>
      </c>
      <c r="S551" s="24">
        <v>40</v>
      </c>
      <c r="T551" s="21" t="s">
        <v>2254</v>
      </c>
    </row>
    <row r="552" spans="1:20" ht="23.25" hidden="1" customHeight="1" x14ac:dyDescent="0.25">
      <c r="A552" s="20" t="s">
        <v>2255</v>
      </c>
      <c r="B552" s="22">
        <v>2025</v>
      </c>
      <c r="C552" s="97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93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11"/>
        <v>114</v>
      </c>
      <c r="S552" s="22">
        <v>2</v>
      </c>
      <c r="T552" s="20" t="s">
        <v>471</v>
      </c>
    </row>
    <row r="553" spans="1:20" ht="23.25" hidden="1" customHeight="1" x14ac:dyDescent="0.25">
      <c r="A553" s="21" t="s">
        <v>2259</v>
      </c>
      <c r="B553" s="24">
        <v>2025</v>
      </c>
      <c r="C553" s="97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94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11"/>
        <v>24</v>
      </c>
      <c r="S553" s="24">
        <v>8</v>
      </c>
      <c r="T553" s="21" t="s">
        <v>2013</v>
      </c>
    </row>
    <row r="554" spans="1:20" ht="23.25" hidden="1" customHeight="1" x14ac:dyDescent="0.25">
      <c r="A554" s="20" t="s">
        <v>2262</v>
      </c>
      <c r="B554" s="22">
        <v>2025</v>
      </c>
      <c r="C554" s="99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93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11"/>
        <v>21</v>
      </c>
      <c r="S554" s="22">
        <v>20</v>
      </c>
      <c r="T554" s="20" t="s">
        <v>210</v>
      </c>
    </row>
    <row r="555" spans="1:20" ht="23.25" hidden="1" customHeight="1" x14ac:dyDescent="0.25">
      <c r="A555" s="21" t="s">
        <v>2266</v>
      </c>
      <c r="B555" s="24">
        <v>2025</v>
      </c>
      <c r="C555" s="99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94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11"/>
        <v>38</v>
      </c>
      <c r="S555" s="24">
        <v>12</v>
      </c>
      <c r="T555" s="21" t="s">
        <v>2158</v>
      </c>
    </row>
    <row r="556" spans="1:20" ht="23.25" hidden="1" customHeight="1" x14ac:dyDescent="0.25">
      <c r="A556" s="20" t="s">
        <v>2270</v>
      </c>
      <c r="B556" s="22">
        <v>2025</v>
      </c>
      <c r="C556" s="97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93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11"/>
        <v>97</v>
      </c>
      <c r="S556" s="22">
        <v>16</v>
      </c>
      <c r="T556" s="20" t="s">
        <v>2273</v>
      </c>
    </row>
    <row r="557" spans="1:20" ht="23.25" hidden="1" customHeight="1" x14ac:dyDescent="0.25">
      <c r="A557" s="21" t="s">
        <v>2274</v>
      </c>
      <c r="B557" s="24">
        <v>2025</v>
      </c>
      <c r="C557" s="97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94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11"/>
        <v>38</v>
      </c>
      <c r="S557" s="24">
        <v>12</v>
      </c>
      <c r="T557" s="21" t="s">
        <v>2158</v>
      </c>
    </row>
    <row r="558" spans="1:20" ht="23.25" hidden="1" customHeight="1" x14ac:dyDescent="0.25">
      <c r="A558" s="20" t="s">
        <v>2278</v>
      </c>
      <c r="B558" s="22">
        <v>2025</v>
      </c>
      <c r="C558" s="99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93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11"/>
        <v>8</v>
      </c>
      <c r="S558" s="22">
        <v>8</v>
      </c>
      <c r="T558" s="20" t="s">
        <v>471</v>
      </c>
    </row>
    <row r="559" spans="1:20" ht="23.25" hidden="1" customHeight="1" x14ac:dyDescent="0.25">
      <c r="A559" s="21" t="s">
        <v>2282</v>
      </c>
      <c r="B559" s="24">
        <v>2025</v>
      </c>
      <c r="C559" s="99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94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11"/>
        <v>23</v>
      </c>
      <c r="S559" s="24">
        <v>20</v>
      </c>
      <c r="T559" s="21" t="s">
        <v>73</v>
      </c>
    </row>
    <row r="560" spans="1:20" ht="23.25" hidden="1" customHeight="1" x14ac:dyDescent="0.25">
      <c r="A560" s="20" t="s">
        <v>2284</v>
      </c>
      <c r="B560" s="22">
        <v>2025</v>
      </c>
      <c r="C560" s="99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93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11"/>
        <v>20</v>
      </c>
      <c r="S560" s="22">
        <v>16</v>
      </c>
      <c r="T560" s="20" t="s">
        <v>2288</v>
      </c>
    </row>
    <row r="561" spans="1:20" ht="23.25" hidden="1" customHeight="1" x14ac:dyDescent="0.25">
      <c r="A561" s="21" t="s">
        <v>2289</v>
      </c>
      <c r="B561" s="24">
        <v>2025</v>
      </c>
      <c r="C561" s="97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94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11"/>
        <v>13</v>
      </c>
      <c r="S561" s="24">
        <v>16</v>
      </c>
      <c r="T561" s="21" t="s">
        <v>2293</v>
      </c>
    </row>
    <row r="562" spans="1:20" ht="23.25" hidden="1" customHeight="1" x14ac:dyDescent="0.25">
      <c r="A562" s="20" t="s">
        <v>2294</v>
      </c>
      <c r="B562" s="22">
        <v>2025</v>
      </c>
      <c r="C562" s="97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93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11"/>
        <v>250</v>
      </c>
      <c r="S562" s="22">
        <v>12</v>
      </c>
      <c r="T562" s="20" t="s">
        <v>471</v>
      </c>
    </row>
    <row r="563" spans="1:20" ht="23.25" hidden="1" customHeight="1" x14ac:dyDescent="0.25">
      <c r="A563" s="21" t="s">
        <v>2298</v>
      </c>
      <c r="B563" s="24">
        <v>2025</v>
      </c>
      <c r="C563" s="97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94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11"/>
        <v>32</v>
      </c>
      <c r="S563" s="24">
        <v>16</v>
      </c>
      <c r="T563" s="21" t="s">
        <v>709</v>
      </c>
    </row>
    <row r="564" spans="1:20" ht="23.25" hidden="1" customHeight="1" x14ac:dyDescent="0.25">
      <c r="A564" s="20" t="s">
        <v>2301</v>
      </c>
      <c r="B564" s="22">
        <v>2025</v>
      </c>
      <c r="C564" s="97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84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93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11"/>
        <v>41</v>
      </c>
      <c r="S564" s="22">
        <v>16</v>
      </c>
      <c r="T564" s="20" t="s">
        <v>2153</v>
      </c>
    </row>
    <row r="565" spans="1:20" ht="23.25" hidden="1" customHeight="1" x14ac:dyDescent="0.25">
      <c r="A565" s="21" t="s">
        <v>2305</v>
      </c>
      <c r="B565" s="24">
        <v>2025</v>
      </c>
      <c r="C565" s="97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94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11"/>
        <v>75</v>
      </c>
      <c r="S565" s="24">
        <v>2</v>
      </c>
      <c r="T565" s="21" t="s">
        <v>2309</v>
      </c>
    </row>
    <row r="566" spans="1:20" ht="23.25" hidden="1" customHeight="1" x14ac:dyDescent="0.25">
      <c r="A566" s="20" t="s">
        <v>2310</v>
      </c>
      <c r="B566" s="22">
        <v>2025</v>
      </c>
      <c r="C566" s="99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93"/>
      <c r="N566" s="41">
        <v>150</v>
      </c>
      <c r="O566" s="23">
        <v>0</v>
      </c>
      <c r="P566" s="23">
        <v>100</v>
      </c>
      <c r="Q566" s="23">
        <v>0</v>
      </c>
      <c r="R566" s="23">
        <f t="shared" si="11"/>
        <v>100</v>
      </c>
      <c r="S566" s="22">
        <v>1</v>
      </c>
      <c r="T566" s="20" t="s">
        <v>2314</v>
      </c>
    </row>
    <row r="567" spans="1:20" ht="23.25" hidden="1" customHeight="1" x14ac:dyDescent="0.25">
      <c r="A567" s="21" t="s">
        <v>2315</v>
      </c>
      <c r="B567" s="24">
        <v>2025</v>
      </c>
      <c r="C567" s="97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94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11"/>
        <v>20</v>
      </c>
      <c r="S567" s="24">
        <v>8</v>
      </c>
      <c r="T567" s="21" t="s">
        <v>2249</v>
      </c>
    </row>
    <row r="568" spans="1:20" ht="23.25" hidden="1" customHeight="1" x14ac:dyDescent="0.25">
      <c r="A568" s="20" t="s">
        <v>2318</v>
      </c>
      <c r="B568" s="22">
        <v>2025</v>
      </c>
      <c r="C568" s="97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84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93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11"/>
        <v>40</v>
      </c>
      <c r="S568" s="22">
        <v>16</v>
      </c>
      <c r="T568" s="20" t="s">
        <v>2153</v>
      </c>
    </row>
    <row r="569" spans="1:20" ht="23.25" hidden="1" customHeight="1" x14ac:dyDescent="0.25">
      <c r="A569" s="21" t="s">
        <v>2321</v>
      </c>
      <c r="B569" s="24">
        <v>2025</v>
      </c>
      <c r="C569" s="97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94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11"/>
        <v>48</v>
      </c>
      <c r="S569" s="24">
        <v>12</v>
      </c>
      <c r="T569" s="21" t="s">
        <v>1054</v>
      </c>
    </row>
    <row r="570" spans="1:20" ht="23.25" hidden="1" customHeight="1" x14ac:dyDescent="0.25">
      <c r="A570" s="20" t="s">
        <v>2325</v>
      </c>
      <c r="B570" s="22">
        <v>2025</v>
      </c>
      <c r="C570" s="99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93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11"/>
        <v>16</v>
      </c>
      <c r="S570" s="22">
        <v>20</v>
      </c>
      <c r="T570" s="20" t="s">
        <v>1784</v>
      </c>
    </row>
    <row r="571" spans="1:20" ht="23.25" hidden="1" customHeight="1" x14ac:dyDescent="0.25">
      <c r="A571" s="21" t="s">
        <v>2329</v>
      </c>
      <c r="B571" s="24">
        <v>2025</v>
      </c>
      <c r="C571" s="97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94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11"/>
        <v>170</v>
      </c>
      <c r="S571" s="24">
        <v>2</v>
      </c>
      <c r="T571" s="20" t="s">
        <v>2333</v>
      </c>
    </row>
    <row r="572" spans="1:20" ht="23.25" hidden="1" customHeight="1" x14ac:dyDescent="0.25">
      <c r="A572" s="20" t="s">
        <v>2334</v>
      </c>
      <c r="B572" s="22">
        <v>2025</v>
      </c>
      <c r="C572" s="97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93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11"/>
        <v>80</v>
      </c>
      <c r="S572" s="22">
        <v>1</v>
      </c>
      <c r="T572" s="20"/>
    </row>
    <row r="573" spans="1:20" ht="23.25" hidden="1" customHeight="1" x14ac:dyDescent="0.25">
      <c r="A573" s="21" t="s">
        <v>2338</v>
      </c>
      <c r="B573" s="24">
        <v>2025</v>
      </c>
      <c r="C573" s="97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94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11"/>
        <v>176</v>
      </c>
      <c r="S573" s="24">
        <v>4</v>
      </c>
      <c r="T573" s="21" t="s">
        <v>471</v>
      </c>
    </row>
    <row r="574" spans="1:20" ht="24.75" hidden="1" customHeight="1" x14ac:dyDescent="0.25">
      <c r="A574" s="20" t="s">
        <v>2341</v>
      </c>
      <c r="B574" s="22">
        <v>2025</v>
      </c>
      <c r="C574" s="99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93"/>
      <c r="N574" s="41"/>
      <c r="O574" s="23">
        <v>0</v>
      </c>
      <c r="P574" s="23">
        <v>0</v>
      </c>
      <c r="Q574" s="23">
        <v>0</v>
      </c>
      <c r="R574" s="23">
        <f t="shared" si="11"/>
        <v>0</v>
      </c>
      <c r="S574" s="22"/>
      <c r="T574" s="20" t="s">
        <v>965</v>
      </c>
    </row>
    <row r="575" spans="1:20" ht="23.25" hidden="1" customHeight="1" x14ac:dyDescent="0.25">
      <c r="A575" s="21" t="s">
        <v>2345</v>
      </c>
      <c r="B575" s="24">
        <v>2025</v>
      </c>
      <c r="C575" s="97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94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11"/>
        <v>44</v>
      </c>
      <c r="S575" s="24">
        <v>20</v>
      </c>
      <c r="T575" s="21" t="s">
        <v>73</v>
      </c>
    </row>
    <row r="576" spans="1:20" ht="23.25" hidden="1" customHeight="1" x14ac:dyDescent="0.25">
      <c r="A576" s="20" t="s">
        <v>2348</v>
      </c>
      <c r="B576" s="22">
        <v>2025</v>
      </c>
      <c r="C576" s="97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93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11"/>
        <v>41</v>
      </c>
      <c r="S576" s="22">
        <v>12</v>
      </c>
      <c r="T576" s="20" t="s">
        <v>2158</v>
      </c>
    </row>
    <row r="577" spans="1:20" ht="23.25" hidden="1" customHeight="1" x14ac:dyDescent="0.25">
      <c r="A577" s="21" t="s">
        <v>2352</v>
      </c>
      <c r="B577" s="24">
        <v>2025</v>
      </c>
      <c r="C577" s="97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94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11"/>
        <v>170</v>
      </c>
      <c r="S577" s="24">
        <v>2</v>
      </c>
      <c r="T577" s="21" t="s">
        <v>2356</v>
      </c>
    </row>
    <row r="578" spans="1:20" ht="23.25" hidden="1" customHeight="1" x14ac:dyDescent="0.25">
      <c r="A578" s="20" t="s">
        <v>2357</v>
      </c>
      <c r="B578" s="22">
        <v>2025</v>
      </c>
      <c r="C578" s="97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93"/>
      <c r="N578" s="41">
        <v>40</v>
      </c>
      <c r="O578" s="23">
        <v>0</v>
      </c>
      <c r="P578" s="23">
        <v>0</v>
      </c>
      <c r="Q578" s="23">
        <v>40</v>
      </c>
      <c r="R578" s="23">
        <f t="shared" si="11"/>
        <v>40</v>
      </c>
      <c r="S578" s="22">
        <v>3</v>
      </c>
      <c r="T578" s="43" t="s">
        <v>2361</v>
      </c>
    </row>
    <row r="579" spans="1:20" ht="23.25" hidden="1" customHeight="1" x14ac:dyDescent="0.25">
      <c r="A579" s="21" t="s">
        <v>2362</v>
      </c>
      <c r="B579" s="24">
        <v>2025</v>
      </c>
      <c r="C579" s="97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83" t="s">
        <v>2364</v>
      </c>
      <c r="I579" s="39">
        <v>45800</v>
      </c>
      <c r="J579" s="39">
        <v>45800</v>
      </c>
      <c r="K579" s="24" t="s">
        <v>34</v>
      </c>
      <c r="L579" s="26"/>
      <c r="M579" s="94"/>
      <c r="N579" s="40">
        <v>40</v>
      </c>
      <c r="O579" s="25">
        <v>0</v>
      </c>
      <c r="P579" s="25">
        <v>0</v>
      </c>
      <c r="Q579" s="25">
        <v>40</v>
      </c>
      <c r="R579" s="25">
        <f t="shared" si="11"/>
        <v>40</v>
      </c>
      <c r="S579" s="24">
        <v>3</v>
      </c>
      <c r="T579" s="44" t="s">
        <v>2361</v>
      </c>
    </row>
    <row r="580" spans="1:20" ht="23.25" hidden="1" customHeight="1" x14ac:dyDescent="0.25">
      <c r="A580" s="20" t="s">
        <v>2365</v>
      </c>
      <c r="B580" s="22">
        <v>2025</v>
      </c>
      <c r="C580" s="97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93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11"/>
        <v>18</v>
      </c>
      <c r="S580" s="22">
        <v>12</v>
      </c>
      <c r="T580" s="20" t="s">
        <v>2369</v>
      </c>
    </row>
    <row r="581" spans="1:20" ht="23.25" hidden="1" customHeight="1" x14ac:dyDescent="0.25">
      <c r="A581" s="21" t="s">
        <v>2370</v>
      </c>
      <c r="B581" s="24">
        <v>2025</v>
      </c>
      <c r="C581" s="99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94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11"/>
        <v>18</v>
      </c>
      <c r="S581" s="24">
        <v>12</v>
      </c>
      <c r="T581" s="21" t="s">
        <v>2101</v>
      </c>
    </row>
    <row r="582" spans="1:20" ht="23.25" hidden="1" customHeight="1" x14ac:dyDescent="0.25">
      <c r="A582" s="20" t="s">
        <v>2374</v>
      </c>
      <c r="B582" s="22">
        <v>2025</v>
      </c>
      <c r="C582" s="97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93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11"/>
        <v>38</v>
      </c>
      <c r="S582" s="22">
        <v>16</v>
      </c>
      <c r="T582" s="20" t="s">
        <v>965</v>
      </c>
    </row>
    <row r="583" spans="1:20" ht="23.25" hidden="1" customHeight="1" x14ac:dyDescent="0.25">
      <c r="A583" s="21" t="s">
        <v>2378</v>
      </c>
      <c r="B583" s="24">
        <v>2025</v>
      </c>
      <c r="C583" s="99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94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11"/>
        <v>15</v>
      </c>
      <c r="S583" s="24">
        <v>12</v>
      </c>
      <c r="T583" s="21" t="s">
        <v>1751</v>
      </c>
    </row>
    <row r="584" spans="1:20" ht="36" hidden="1" customHeight="1" x14ac:dyDescent="0.25">
      <c r="A584" s="20" t="s">
        <v>2381</v>
      </c>
      <c r="B584" s="22">
        <v>2025</v>
      </c>
      <c r="C584" s="97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93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11"/>
        <v>31</v>
      </c>
      <c r="S584" s="22">
        <v>12</v>
      </c>
      <c r="T584" s="20" t="s">
        <v>2158</v>
      </c>
    </row>
    <row r="585" spans="1:20" ht="23.25" hidden="1" customHeight="1" x14ac:dyDescent="0.25">
      <c r="A585" s="21" t="s">
        <v>2385</v>
      </c>
      <c r="B585" s="24">
        <v>2025</v>
      </c>
      <c r="C585" s="99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94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11"/>
        <v>29</v>
      </c>
      <c r="S585" s="24">
        <v>25</v>
      </c>
      <c r="T585" s="21" t="s">
        <v>68</v>
      </c>
    </row>
    <row r="586" spans="1:20" ht="23.25" hidden="1" customHeight="1" x14ac:dyDescent="0.25">
      <c r="A586" s="20" t="s">
        <v>2389</v>
      </c>
      <c r="B586" s="22">
        <v>2025</v>
      </c>
      <c r="C586" s="97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93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2">SUM(O586:Q586)</f>
        <v>30</v>
      </c>
      <c r="S586" s="22">
        <v>3</v>
      </c>
      <c r="T586" s="58" t="s">
        <v>2047</v>
      </c>
    </row>
    <row r="587" spans="1:20" ht="23.25" hidden="1" customHeight="1" x14ac:dyDescent="0.25">
      <c r="A587" s="21" t="s">
        <v>2392</v>
      </c>
      <c r="B587" s="24">
        <v>2025</v>
      </c>
      <c r="C587" s="99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94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2"/>
        <v>14</v>
      </c>
      <c r="S587" s="24">
        <v>20</v>
      </c>
      <c r="T587" s="61" t="s">
        <v>1784</v>
      </c>
    </row>
    <row r="588" spans="1:20" ht="23.25" hidden="1" customHeight="1" x14ac:dyDescent="0.25">
      <c r="A588" s="20" t="s">
        <v>2395</v>
      </c>
      <c r="B588" s="22">
        <v>2025</v>
      </c>
      <c r="C588" s="99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93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2"/>
        <v>27</v>
      </c>
      <c r="S588" s="22">
        <v>8</v>
      </c>
      <c r="T588" s="58" t="s">
        <v>2399</v>
      </c>
    </row>
    <row r="589" spans="1:20" ht="23.25" hidden="1" customHeight="1" x14ac:dyDescent="0.25">
      <c r="A589" s="21" t="s">
        <v>2400</v>
      </c>
      <c r="B589" s="24">
        <v>2025</v>
      </c>
      <c r="C589" s="99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94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2"/>
        <v>14</v>
      </c>
      <c r="S589" s="24">
        <v>8</v>
      </c>
      <c r="T589" s="61" t="s">
        <v>210</v>
      </c>
    </row>
    <row r="590" spans="1:20" ht="23.25" hidden="1" customHeight="1" x14ac:dyDescent="0.25">
      <c r="A590" s="20" t="s">
        <v>2404</v>
      </c>
      <c r="B590" s="22">
        <v>2025</v>
      </c>
      <c r="C590" s="99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93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2"/>
        <v>33</v>
      </c>
      <c r="S590" s="22">
        <v>15</v>
      </c>
      <c r="T590" s="20" t="s">
        <v>2408</v>
      </c>
    </row>
    <row r="591" spans="1:20" ht="23.25" hidden="1" customHeight="1" x14ac:dyDescent="0.25">
      <c r="A591" s="21" t="s">
        <v>2409</v>
      </c>
      <c r="B591" s="24">
        <v>2025</v>
      </c>
      <c r="C591" s="97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94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2"/>
        <v>42</v>
      </c>
      <c r="S591" s="24">
        <v>20</v>
      </c>
      <c r="T591" s="21" t="s">
        <v>417</v>
      </c>
    </row>
    <row r="592" spans="1:20" ht="23.25" hidden="1" customHeight="1" x14ac:dyDescent="0.25">
      <c r="A592" s="20" t="s">
        <v>2413</v>
      </c>
      <c r="B592" s="22">
        <v>2025</v>
      </c>
      <c r="C592" s="99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93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2"/>
        <v>22</v>
      </c>
      <c r="S592" s="22">
        <v>8</v>
      </c>
      <c r="T592" s="20" t="s">
        <v>2417</v>
      </c>
    </row>
    <row r="593" spans="1:20" ht="23.25" hidden="1" customHeight="1" x14ac:dyDescent="0.25">
      <c r="A593" s="21" t="s">
        <v>2418</v>
      </c>
      <c r="B593" s="24">
        <v>2025</v>
      </c>
      <c r="C593" s="97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85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94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2"/>
        <v>9</v>
      </c>
      <c r="S593" s="24">
        <v>16</v>
      </c>
      <c r="T593" s="21" t="s">
        <v>2422</v>
      </c>
    </row>
    <row r="594" spans="1:20" ht="23.25" hidden="1" customHeight="1" x14ac:dyDescent="0.25">
      <c r="A594" s="20" t="s">
        <v>2423</v>
      </c>
      <c r="B594" s="22">
        <v>2025</v>
      </c>
      <c r="C594" s="99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93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2"/>
        <v>20</v>
      </c>
      <c r="S594" s="22">
        <v>4</v>
      </c>
      <c r="T594" s="20" t="s">
        <v>2427</v>
      </c>
    </row>
    <row r="595" spans="1:20" ht="23.25" hidden="1" customHeight="1" x14ac:dyDescent="0.25">
      <c r="A595" s="21" t="s">
        <v>2428</v>
      </c>
      <c r="B595" s="24">
        <v>2025</v>
      </c>
      <c r="C595" s="97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94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2"/>
        <v>25</v>
      </c>
      <c r="S595" s="24">
        <v>5</v>
      </c>
      <c r="T595" s="21" t="s">
        <v>1022</v>
      </c>
    </row>
    <row r="596" spans="1:20" ht="23.25" hidden="1" customHeight="1" x14ac:dyDescent="0.25">
      <c r="A596" s="20" t="s">
        <v>2432</v>
      </c>
      <c r="B596" s="22">
        <v>2025</v>
      </c>
      <c r="C596" s="98" t="s">
        <v>21</v>
      </c>
      <c r="D596" s="76" t="s">
        <v>2433</v>
      </c>
      <c r="E596" s="71" t="s">
        <v>2185</v>
      </c>
      <c r="F596" s="29" t="s">
        <v>80</v>
      </c>
      <c r="G596" s="73" t="s">
        <v>71</v>
      </c>
      <c r="H596" s="74" t="s">
        <v>2434</v>
      </c>
      <c r="I596" s="75">
        <v>45842</v>
      </c>
      <c r="J596" s="75">
        <v>45842</v>
      </c>
      <c r="K596" s="76" t="s">
        <v>34</v>
      </c>
      <c r="L596" s="77">
        <v>5834.98</v>
      </c>
      <c r="M596" s="96">
        <v>4.87</v>
      </c>
      <c r="N596" s="78">
        <v>30</v>
      </c>
      <c r="O596" s="79">
        <v>0</v>
      </c>
      <c r="P596" s="79">
        <v>0</v>
      </c>
      <c r="Q596" s="79">
        <v>24</v>
      </c>
      <c r="R596" s="79">
        <f t="shared" si="12"/>
        <v>24</v>
      </c>
      <c r="S596" s="76">
        <v>4</v>
      </c>
      <c r="T596" s="86" t="s">
        <v>2435</v>
      </c>
    </row>
    <row r="597" spans="1:20" ht="23.25" hidden="1" customHeight="1" x14ac:dyDescent="0.25">
      <c r="A597" s="21" t="s">
        <v>2436</v>
      </c>
      <c r="B597" s="24">
        <v>2025</v>
      </c>
      <c r="C597" s="98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94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2"/>
        <v>46</v>
      </c>
      <c r="S597" s="24">
        <v>12</v>
      </c>
      <c r="T597" s="21" t="s">
        <v>1471</v>
      </c>
    </row>
    <row r="598" spans="1:20" ht="23.25" hidden="1" customHeight="1" x14ac:dyDescent="0.25">
      <c r="A598" s="20" t="s">
        <v>2440</v>
      </c>
      <c r="B598" s="22">
        <v>2025</v>
      </c>
      <c r="C598" s="100" t="s">
        <v>21</v>
      </c>
      <c r="D598" s="76" t="s">
        <v>2441</v>
      </c>
      <c r="E598" s="71" t="s">
        <v>2442</v>
      </c>
      <c r="F598" s="72" t="s">
        <v>80</v>
      </c>
      <c r="G598" s="73" t="s">
        <v>71</v>
      </c>
      <c r="H598" s="74" t="s">
        <v>2443</v>
      </c>
      <c r="I598" s="75">
        <v>45845</v>
      </c>
      <c r="J598" s="75">
        <v>45849</v>
      </c>
      <c r="K598" s="76" t="s">
        <v>34</v>
      </c>
      <c r="L598" s="77">
        <v>7687.84</v>
      </c>
      <c r="M598" s="96">
        <v>4.9000000000000004</v>
      </c>
      <c r="N598" s="78">
        <v>30</v>
      </c>
      <c r="O598" s="79">
        <v>0</v>
      </c>
      <c r="P598" s="79">
        <v>37</v>
      </c>
      <c r="Q598" s="79">
        <v>0</v>
      </c>
      <c r="R598" s="23">
        <f t="shared" si="12"/>
        <v>37</v>
      </c>
      <c r="S598" s="76">
        <v>12</v>
      </c>
      <c r="T598" s="73" t="s">
        <v>2444</v>
      </c>
    </row>
    <row r="599" spans="1:20" ht="23.25" hidden="1" customHeight="1" x14ac:dyDescent="0.25">
      <c r="A599" s="21" t="s">
        <v>2445</v>
      </c>
      <c r="B599" s="24">
        <v>2025</v>
      </c>
      <c r="C599" s="98" t="s">
        <v>21</v>
      </c>
      <c r="D599" s="70" t="s">
        <v>2446</v>
      </c>
      <c r="E599" s="64" t="s">
        <v>2447</v>
      </c>
      <c r="F599" s="80" t="s">
        <v>23</v>
      </c>
      <c r="G599" s="87" t="s">
        <v>67</v>
      </c>
      <c r="H599" s="65" t="s">
        <v>2448</v>
      </c>
      <c r="I599" s="66">
        <v>45848</v>
      </c>
      <c r="J599" s="66">
        <v>45945</v>
      </c>
      <c r="K599" s="70" t="s">
        <v>26</v>
      </c>
      <c r="L599" s="67"/>
      <c r="M599" s="95">
        <v>4.63</v>
      </c>
      <c r="N599" s="68">
        <v>30</v>
      </c>
      <c r="O599" s="69">
        <v>20</v>
      </c>
      <c r="P599" s="69">
        <v>4</v>
      </c>
      <c r="Q599" s="69">
        <v>0</v>
      </c>
      <c r="R599" s="25">
        <f t="shared" si="12"/>
        <v>24</v>
      </c>
      <c r="S599" s="70">
        <v>20</v>
      </c>
      <c r="T599" s="114" t="s">
        <v>2449</v>
      </c>
    </row>
    <row r="600" spans="1:20" ht="23.25" hidden="1" customHeight="1" x14ac:dyDescent="0.25">
      <c r="A600" s="20" t="s">
        <v>2450</v>
      </c>
      <c r="B600" s="22">
        <v>2025</v>
      </c>
      <c r="C600" s="100" t="s">
        <v>21</v>
      </c>
      <c r="D600" s="76" t="s">
        <v>2451</v>
      </c>
      <c r="E600" s="71" t="s">
        <v>2452</v>
      </c>
      <c r="F600" s="72" t="s">
        <v>61</v>
      </c>
      <c r="G600" s="73" t="s">
        <v>71</v>
      </c>
      <c r="H600" s="63" t="s">
        <v>2453</v>
      </c>
      <c r="I600" s="75">
        <v>45859</v>
      </c>
      <c r="J600" s="75">
        <v>45867</v>
      </c>
      <c r="K600" s="76" t="s">
        <v>34</v>
      </c>
      <c r="L600" s="77">
        <v>12555.28</v>
      </c>
      <c r="M600" s="96">
        <v>4.8</v>
      </c>
      <c r="N600" s="78">
        <v>30</v>
      </c>
      <c r="O600" s="79">
        <v>0</v>
      </c>
      <c r="P600" s="79">
        <v>30</v>
      </c>
      <c r="Q600" s="79">
        <v>0</v>
      </c>
      <c r="R600" s="23">
        <f t="shared" si="12"/>
        <v>30</v>
      </c>
      <c r="S600" s="76">
        <v>16</v>
      </c>
      <c r="T600" s="73" t="s">
        <v>2454</v>
      </c>
    </row>
    <row r="601" spans="1:20" ht="23.25" hidden="1" customHeight="1" x14ac:dyDescent="0.25">
      <c r="A601" s="21" t="s">
        <v>2455</v>
      </c>
      <c r="B601" s="24">
        <v>2025</v>
      </c>
      <c r="C601" s="100" t="s">
        <v>21</v>
      </c>
      <c r="D601" s="70" t="s">
        <v>2414</v>
      </c>
      <c r="E601" s="64" t="s">
        <v>2456</v>
      </c>
      <c r="F601" s="80" t="s">
        <v>23</v>
      </c>
      <c r="G601" s="45" t="s">
        <v>32</v>
      </c>
      <c r="H601" s="65" t="s">
        <v>2457</v>
      </c>
      <c r="I601" s="66">
        <v>45860</v>
      </c>
      <c r="J601" s="66">
        <v>45862</v>
      </c>
      <c r="K601" s="70" t="s">
        <v>34</v>
      </c>
      <c r="L601" s="67">
        <v>4533.88</v>
      </c>
      <c r="M601" s="95">
        <v>4.87</v>
      </c>
      <c r="N601" s="68">
        <v>20</v>
      </c>
      <c r="O601" s="69">
        <v>21</v>
      </c>
      <c r="P601" s="69">
        <v>0</v>
      </c>
      <c r="Q601" s="69">
        <v>0</v>
      </c>
      <c r="R601" s="25">
        <f t="shared" si="12"/>
        <v>21</v>
      </c>
      <c r="S601" s="70">
        <v>8</v>
      </c>
      <c r="T601" s="45" t="s">
        <v>2417</v>
      </c>
    </row>
    <row r="602" spans="1:20" ht="23.25" hidden="1" customHeight="1" x14ac:dyDescent="0.25">
      <c r="A602" s="20" t="s">
        <v>2458</v>
      </c>
      <c r="B602" s="22">
        <v>2025</v>
      </c>
      <c r="C602" s="100" t="s">
        <v>21</v>
      </c>
      <c r="D602" s="22" t="s">
        <v>2459</v>
      </c>
      <c r="E602" s="27" t="s">
        <v>2460</v>
      </c>
      <c r="F602" s="72" t="s">
        <v>23</v>
      </c>
      <c r="G602" s="86" t="s">
        <v>67</v>
      </c>
      <c r="H602" s="36" t="s">
        <v>2461</v>
      </c>
      <c r="I602" s="37">
        <v>45869</v>
      </c>
      <c r="J602" s="37">
        <v>45870</v>
      </c>
      <c r="K602" s="76" t="s">
        <v>34</v>
      </c>
      <c r="L602" s="28">
        <v>4533.88</v>
      </c>
      <c r="M602" s="93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2"/>
        <v>27</v>
      </c>
      <c r="S602" s="22">
        <v>8</v>
      </c>
      <c r="T602" s="20" t="s">
        <v>2013</v>
      </c>
    </row>
    <row r="603" spans="1:20" ht="23.25" hidden="1" customHeight="1" x14ac:dyDescent="0.25">
      <c r="A603" s="21" t="s">
        <v>2462</v>
      </c>
      <c r="B603" s="24">
        <v>2025</v>
      </c>
      <c r="C603" s="100" t="s">
        <v>21</v>
      </c>
      <c r="D603" s="24" t="s">
        <v>2463</v>
      </c>
      <c r="E603" s="30" t="s">
        <v>2464</v>
      </c>
      <c r="F603" s="80" t="s">
        <v>23</v>
      </c>
      <c r="G603" s="45" t="s">
        <v>67</v>
      </c>
      <c r="H603" s="83" t="s">
        <v>2465</v>
      </c>
      <c r="I603" s="39">
        <v>45873</v>
      </c>
      <c r="J603" s="39">
        <v>45898</v>
      </c>
      <c r="K603" s="70" t="s">
        <v>34</v>
      </c>
      <c r="L603" s="26"/>
      <c r="M603" s="94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2"/>
        <v>26</v>
      </c>
      <c r="S603" s="24">
        <v>36</v>
      </c>
      <c r="T603" s="21" t="s">
        <v>570</v>
      </c>
    </row>
    <row r="604" spans="1:20" ht="23.25" hidden="1" customHeight="1" x14ac:dyDescent="0.25">
      <c r="A604" s="20" t="s">
        <v>2466</v>
      </c>
      <c r="B604" s="22">
        <v>2025</v>
      </c>
      <c r="C604" s="100" t="s">
        <v>21</v>
      </c>
      <c r="D604" s="22" t="s">
        <v>2467</v>
      </c>
      <c r="E604" s="27" t="s">
        <v>2468</v>
      </c>
      <c r="F604" s="72" t="s">
        <v>23</v>
      </c>
      <c r="G604" s="73" t="s">
        <v>37</v>
      </c>
      <c r="H604" s="84" t="s">
        <v>2469</v>
      </c>
      <c r="I604" s="37">
        <v>45874</v>
      </c>
      <c r="J604" s="37">
        <v>45904</v>
      </c>
      <c r="K604" s="76" t="s">
        <v>26</v>
      </c>
      <c r="L604" s="28">
        <v>37800</v>
      </c>
      <c r="M604" s="93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2"/>
        <v>28</v>
      </c>
      <c r="S604" s="22">
        <v>40</v>
      </c>
      <c r="T604" s="20" t="s">
        <v>2470</v>
      </c>
    </row>
    <row r="605" spans="1:20" ht="23.25" hidden="1" customHeight="1" x14ac:dyDescent="0.25">
      <c r="A605" s="21" t="s">
        <v>2471</v>
      </c>
      <c r="B605" s="24">
        <v>2025</v>
      </c>
      <c r="C605" s="99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70" t="s">
        <v>34</v>
      </c>
      <c r="L605" s="26">
        <v>0</v>
      </c>
      <c r="M605" s="94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2"/>
        <v>20</v>
      </c>
      <c r="S605" s="24">
        <v>4</v>
      </c>
      <c r="T605" s="21" t="s">
        <v>2474</v>
      </c>
    </row>
    <row r="606" spans="1:20" ht="23.25" hidden="1" customHeight="1" x14ac:dyDescent="0.25">
      <c r="A606" s="20" t="s">
        <v>2475</v>
      </c>
      <c r="B606" s="22">
        <v>2025</v>
      </c>
      <c r="C606" s="99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6" t="s">
        <v>34</v>
      </c>
      <c r="L606" s="28"/>
      <c r="M606" s="93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2"/>
        <v>170</v>
      </c>
      <c r="S606" s="22">
        <v>2</v>
      </c>
      <c r="T606" s="54" t="s">
        <v>2479</v>
      </c>
    </row>
    <row r="607" spans="1:20" ht="23.25" hidden="1" customHeight="1" x14ac:dyDescent="0.25">
      <c r="A607" s="21" t="s">
        <v>2480</v>
      </c>
      <c r="B607" s="24">
        <v>2025</v>
      </c>
      <c r="C607" s="99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8">
        <v>45877</v>
      </c>
      <c r="I607" s="39">
        <v>45877</v>
      </c>
      <c r="J607" s="39">
        <v>45877</v>
      </c>
      <c r="K607" s="24" t="s">
        <v>34</v>
      </c>
      <c r="L607" s="26"/>
      <c r="M607" s="94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2"/>
        <v>170</v>
      </c>
      <c r="S607" s="24">
        <v>2</v>
      </c>
      <c r="T607" s="46" t="s">
        <v>2482</v>
      </c>
    </row>
    <row r="608" spans="1:20" ht="23.25" hidden="1" customHeight="1" x14ac:dyDescent="0.25">
      <c r="A608" s="20" t="s">
        <v>2483</v>
      </c>
      <c r="B608" s="22">
        <v>2025</v>
      </c>
      <c r="C608" s="99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6" t="s">
        <v>26</v>
      </c>
      <c r="L608" s="28">
        <v>16500</v>
      </c>
      <c r="M608" s="93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2"/>
        <v>19</v>
      </c>
      <c r="S608" s="22">
        <v>20</v>
      </c>
      <c r="T608" s="20" t="s">
        <v>795</v>
      </c>
    </row>
    <row r="609" spans="1:20" ht="23.25" hidden="1" customHeight="1" x14ac:dyDescent="0.25">
      <c r="A609" s="21" t="s">
        <v>2487</v>
      </c>
      <c r="B609" s="24">
        <v>2025</v>
      </c>
      <c r="C609" s="99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70" t="s">
        <v>34</v>
      </c>
      <c r="L609" s="26">
        <v>10030.61</v>
      </c>
      <c r="M609" s="94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2"/>
        <v>19</v>
      </c>
      <c r="S609" s="24">
        <v>12</v>
      </c>
      <c r="T609" s="21" t="s">
        <v>2491</v>
      </c>
    </row>
    <row r="610" spans="1:20" ht="23.25" hidden="1" customHeight="1" x14ac:dyDescent="0.25">
      <c r="A610" s="20" t="s">
        <v>2492</v>
      </c>
      <c r="B610" s="22">
        <v>2025</v>
      </c>
      <c r="C610" s="97" t="s">
        <v>21</v>
      </c>
      <c r="D610" s="22" t="s">
        <v>2390</v>
      </c>
      <c r="E610" s="89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93"/>
      <c r="N610" s="41">
        <v>0</v>
      </c>
      <c r="O610" s="23">
        <v>0</v>
      </c>
      <c r="P610" s="23">
        <v>0</v>
      </c>
      <c r="Q610" s="23">
        <v>31</v>
      </c>
      <c r="R610" s="23">
        <f t="shared" si="12"/>
        <v>31</v>
      </c>
      <c r="S610" s="22">
        <v>3</v>
      </c>
      <c r="T610" s="20" t="s">
        <v>2047</v>
      </c>
    </row>
    <row r="611" spans="1:20" ht="23.25" hidden="1" customHeight="1" x14ac:dyDescent="0.25">
      <c r="A611" s="21" t="s">
        <v>2495</v>
      </c>
      <c r="B611" s="24">
        <v>2025</v>
      </c>
      <c r="C611" s="97" t="s">
        <v>21</v>
      </c>
      <c r="D611" s="24" t="s">
        <v>2496</v>
      </c>
      <c r="E611" s="30" t="s">
        <v>2497</v>
      </c>
      <c r="F611" s="80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94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2"/>
        <v>15</v>
      </c>
      <c r="S611" s="24">
        <v>16</v>
      </c>
      <c r="T611" s="61" t="s">
        <v>2499</v>
      </c>
    </row>
    <row r="612" spans="1:20" ht="23.25" hidden="1" customHeight="1" x14ac:dyDescent="0.25">
      <c r="A612" s="20" t="s">
        <v>2500</v>
      </c>
      <c r="B612" s="22">
        <v>2025</v>
      </c>
      <c r="C612" s="99" t="s">
        <v>21</v>
      </c>
      <c r="D612" s="22" t="s">
        <v>2501</v>
      </c>
      <c r="E612" s="27" t="s">
        <v>2502</v>
      </c>
      <c r="F612" s="90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93"/>
      <c r="N612" s="41">
        <v>100</v>
      </c>
      <c r="O612" s="23">
        <v>100</v>
      </c>
      <c r="P612" s="23">
        <v>0</v>
      </c>
      <c r="Q612" s="23">
        <v>0</v>
      </c>
      <c r="R612" s="23">
        <f t="shared" si="12"/>
        <v>100</v>
      </c>
      <c r="S612" s="22">
        <v>1.5</v>
      </c>
      <c r="T612" s="20" t="s">
        <v>2504</v>
      </c>
    </row>
    <row r="613" spans="1:20" ht="23.25" hidden="1" customHeight="1" x14ac:dyDescent="0.25">
      <c r="A613" s="21" t="s">
        <v>2505</v>
      </c>
      <c r="B613" s="24">
        <v>2025</v>
      </c>
      <c r="C613" s="99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94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2"/>
        <v>114</v>
      </c>
      <c r="S613" s="24">
        <v>3</v>
      </c>
      <c r="T613" s="46" t="s">
        <v>2507</v>
      </c>
    </row>
    <row r="614" spans="1:20" ht="23.25" hidden="1" customHeight="1" x14ac:dyDescent="0.25">
      <c r="A614" s="20" t="s">
        <v>2508</v>
      </c>
      <c r="B614" s="22">
        <v>2025</v>
      </c>
      <c r="C614" s="99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93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2"/>
        <v>491</v>
      </c>
      <c r="S614" s="22">
        <v>8</v>
      </c>
      <c r="T614" s="20" t="s">
        <v>471</v>
      </c>
    </row>
    <row r="615" spans="1:20" ht="23.25" hidden="1" customHeight="1" x14ac:dyDescent="0.25">
      <c r="A615" s="21" t="s">
        <v>2512</v>
      </c>
      <c r="B615" s="24">
        <v>2025</v>
      </c>
      <c r="C615" s="99" t="s">
        <v>21</v>
      </c>
      <c r="D615" s="24" t="s">
        <v>2513</v>
      </c>
      <c r="E615" s="81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94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2"/>
        <v>27</v>
      </c>
      <c r="S615" s="24">
        <v>8</v>
      </c>
      <c r="T615" s="21" t="s">
        <v>1471</v>
      </c>
    </row>
    <row r="616" spans="1:20" ht="23.25" hidden="1" customHeight="1" x14ac:dyDescent="0.25">
      <c r="A616" s="20" t="s">
        <v>2516</v>
      </c>
      <c r="B616" s="22">
        <v>2025</v>
      </c>
      <c r="C616" s="99" t="s">
        <v>21</v>
      </c>
      <c r="D616" s="22" t="s">
        <v>2451</v>
      </c>
      <c r="E616" s="89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93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2"/>
        <v>63</v>
      </c>
      <c r="S616" s="22">
        <v>16</v>
      </c>
      <c r="T616" s="111" t="s">
        <v>2454</v>
      </c>
    </row>
    <row r="617" spans="1:20" ht="23.25" hidden="1" customHeight="1" x14ac:dyDescent="0.25">
      <c r="A617" s="21" t="s">
        <v>2519</v>
      </c>
      <c r="B617" s="24">
        <v>2025</v>
      </c>
      <c r="C617" s="99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94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2"/>
        <v>42</v>
      </c>
      <c r="S617" s="24">
        <v>4</v>
      </c>
      <c r="T617" s="21" t="s">
        <v>2523</v>
      </c>
    </row>
    <row r="618" spans="1:20" ht="23.25" hidden="1" customHeight="1" x14ac:dyDescent="0.25">
      <c r="A618" s="20" t="s">
        <v>2524</v>
      </c>
      <c r="B618" s="22">
        <v>2025</v>
      </c>
      <c r="C618" s="97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93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2"/>
        <v>27</v>
      </c>
      <c r="S618" s="22">
        <v>4</v>
      </c>
      <c r="T618" s="111" t="s">
        <v>2528</v>
      </c>
    </row>
    <row r="619" spans="1:20" ht="23.25" hidden="1" customHeight="1" x14ac:dyDescent="0.25">
      <c r="A619" s="21" t="s">
        <v>2529</v>
      </c>
      <c r="B619" s="24">
        <v>2025</v>
      </c>
      <c r="C619" s="99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94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2"/>
        <v>40</v>
      </c>
      <c r="S619" s="24">
        <v>4</v>
      </c>
      <c r="T619" s="21" t="s">
        <v>1950</v>
      </c>
    </row>
    <row r="620" spans="1:20" ht="23.25" hidden="1" customHeight="1" x14ac:dyDescent="0.25">
      <c r="A620" s="20" t="s">
        <v>2532</v>
      </c>
      <c r="B620" s="22">
        <v>2025</v>
      </c>
      <c r="C620" s="99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93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2"/>
        <v>47</v>
      </c>
      <c r="S620" s="22">
        <v>12</v>
      </c>
      <c r="T620" s="20" t="s">
        <v>2101</v>
      </c>
    </row>
    <row r="621" spans="1:20" ht="23.25" hidden="1" customHeight="1" x14ac:dyDescent="0.25">
      <c r="A621" s="21" t="s">
        <v>2536</v>
      </c>
      <c r="B621" s="24">
        <v>2025</v>
      </c>
      <c r="C621" s="97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94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2"/>
        <v>23</v>
      </c>
      <c r="S621" s="24">
        <v>4</v>
      </c>
      <c r="T621" s="46" t="s">
        <v>2540</v>
      </c>
    </row>
    <row r="622" spans="1:20" ht="23.25" hidden="1" customHeight="1" x14ac:dyDescent="0.25">
      <c r="A622" s="20" t="s">
        <v>2541</v>
      </c>
      <c r="B622" s="22">
        <v>2025</v>
      </c>
      <c r="C622" s="99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93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2"/>
        <v>21</v>
      </c>
      <c r="S622" s="22">
        <v>8</v>
      </c>
      <c r="T622" s="20" t="s">
        <v>2399</v>
      </c>
    </row>
    <row r="623" spans="1:20" ht="23.25" hidden="1" customHeight="1" x14ac:dyDescent="0.25">
      <c r="A623" s="21" t="s">
        <v>2544</v>
      </c>
      <c r="B623" s="24">
        <v>2025</v>
      </c>
      <c r="C623" s="99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94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2"/>
        <v>26</v>
      </c>
      <c r="S623" s="24">
        <v>6</v>
      </c>
      <c r="T623" s="21" t="s">
        <v>2548</v>
      </c>
    </row>
    <row r="624" spans="1:20" ht="23.25" hidden="1" customHeight="1" x14ac:dyDescent="0.25">
      <c r="A624" s="20" t="s">
        <v>2549</v>
      </c>
      <c r="B624" s="22">
        <v>2025</v>
      </c>
      <c r="C624" s="99" t="s">
        <v>21</v>
      </c>
      <c r="D624" s="22" t="s">
        <v>2358</v>
      </c>
      <c r="E624" s="27" t="s">
        <v>2550</v>
      </c>
      <c r="F624" s="90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93"/>
      <c r="N624" s="41">
        <v>88</v>
      </c>
      <c r="O624" s="23">
        <v>0</v>
      </c>
      <c r="P624" s="23">
        <v>0</v>
      </c>
      <c r="Q624" s="23">
        <v>88</v>
      </c>
      <c r="R624" s="23">
        <f t="shared" si="12"/>
        <v>88</v>
      </c>
      <c r="S624" s="22">
        <v>3</v>
      </c>
      <c r="T624" s="43" t="s">
        <v>2361</v>
      </c>
    </row>
    <row r="625" spans="1:20" ht="23.25" hidden="1" customHeight="1" x14ac:dyDescent="0.25">
      <c r="A625" s="21" t="s">
        <v>2552</v>
      </c>
      <c r="B625" s="24">
        <v>2025</v>
      </c>
      <c r="C625" s="97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94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2"/>
        <v>33</v>
      </c>
      <c r="S625" s="24">
        <v>4</v>
      </c>
      <c r="T625" s="46" t="s">
        <v>2435</v>
      </c>
    </row>
    <row r="626" spans="1:20" ht="23.25" hidden="1" customHeight="1" x14ac:dyDescent="0.25">
      <c r="A626" s="20" t="s">
        <v>2555</v>
      </c>
      <c r="B626" s="22">
        <v>2025</v>
      </c>
      <c r="C626" s="99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93"/>
      <c r="N626" s="41">
        <v>128</v>
      </c>
      <c r="O626" s="23">
        <v>0</v>
      </c>
      <c r="P626" s="23">
        <v>0</v>
      </c>
      <c r="Q626" s="23">
        <v>128</v>
      </c>
      <c r="R626" s="23">
        <f t="shared" si="12"/>
        <v>128</v>
      </c>
      <c r="S626" s="22">
        <v>3</v>
      </c>
      <c r="T626" s="43" t="s">
        <v>2361</v>
      </c>
    </row>
    <row r="627" spans="1:20" ht="23.25" hidden="1" customHeight="1" x14ac:dyDescent="0.25">
      <c r="A627" s="21" t="s">
        <v>2557</v>
      </c>
      <c r="B627" s="24">
        <v>2025</v>
      </c>
      <c r="C627" s="99" t="s">
        <v>21</v>
      </c>
      <c r="D627" s="24" t="s">
        <v>2558</v>
      </c>
      <c r="E627" s="30" t="s">
        <v>2559</v>
      </c>
      <c r="F627" s="91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94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2"/>
        <v>80</v>
      </c>
      <c r="S627" s="24">
        <v>2</v>
      </c>
      <c r="T627" s="21"/>
    </row>
    <row r="628" spans="1:20" ht="23.25" hidden="1" customHeight="1" x14ac:dyDescent="0.25">
      <c r="A628" s="20" t="s">
        <v>2561</v>
      </c>
      <c r="B628" s="22">
        <v>2025</v>
      </c>
      <c r="C628" s="97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93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2"/>
        <v>23</v>
      </c>
      <c r="S628" s="22" t="s">
        <v>2565</v>
      </c>
      <c r="T628" s="20" t="s">
        <v>2566</v>
      </c>
    </row>
    <row r="629" spans="1:20" ht="23.25" hidden="1" customHeight="1" x14ac:dyDescent="0.25">
      <c r="A629" s="21" t="s">
        <v>2567</v>
      </c>
      <c r="B629" s="24">
        <v>2025</v>
      </c>
      <c r="C629" s="99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94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2"/>
        <v>49</v>
      </c>
      <c r="S629" s="24">
        <v>16</v>
      </c>
      <c r="T629" s="21" t="s">
        <v>2571</v>
      </c>
    </row>
    <row r="630" spans="1:20" ht="23.25" hidden="1" customHeight="1" x14ac:dyDescent="0.25">
      <c r="A630" s="20" t="s">
        <v>2572</v>
      </c>
      <c r="B630" s="22">
        <v>2025</v>
      </c>
      <c r="C630" s="99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93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2"/>
        <v>228</v>
      </c>
      <c r="S630" s="22">
        <v>14</v>
      </c>
      <c r="T630" s="20" t="s">
        <v>471</v>
      </c>
    </row>
    <row r="631" spans="1:20" ht="23.25" hidden="1" customHeight="1" x14ac:dyDescent="0.25">
      <c r="A631" s="21" t="s">
        <v>2576</v>
      </c>
      <c r="B631" s="24">
        <v>2025</v>
      </c>
      <c r="C631" s="99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94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2"/>
        <v>28</v>
      </c>
      <c r="S631" s="24">
        <v>8</v>
      </c>
      <c r="T631" s="21" t="s">
        <v>2013</v>
      </c>
    </row>
    <row r="632" spans="1:20" ht="23.25" hidden="1" customHeight="1" x14ac:dyDescent="0.25">
      <c r="A632" s="20" t="s">
        <v>2579</v>
      </c>
      <c r="B632" s="22">
        <v>2025</v>
      </c>
      <c r="C632" s="97" t="s">
        <v>21</v>
      </c>
      <c r="D632" s="22" t="s">
        <v>2580</v>
      </c>
      <c r="E632" s="89" t="s">
        <v>2581</v>
      </c>
      <c r="F632" s="29" t="s">
        <v>23</v>
      </c>
      <c r="G632" s="20" t="s">
        <v>37</v>
      </c>
      <c r="H632" s="84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93"/>
      <c r="N632" s="41">
        <v>20</v>
      </c>
      <c r="O632" s="23">
        <v>16</v>
      </c>
      <c r="P632" s="23">
        <v>0</v>
      </c>
      <c r="Q632" s="23">
        <v>0</v>
      </c>
      <c r="R632" s="23">
        <f t="shared" si="12"/>
        <v>16</v>
      </c>
      <c r="S632" s="22">
        <v>48</v>
      </c>
      <c r="T632" s="54" t="s">
        <v>2583</v>
      </c>
    </row>
    <row r="633" spans="1:20" ht="23.25" hidden="1" customHeight="1" x14ac:dyDescent="0.25">
      <c r="A633" s="21" t="s">
        <v>2584</v>
      </c>
      <c r="B633" s="24">
        <v>2025</v>
      </c>
      <c r="C633" s="97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94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2"/>
        <v>40</v>
      </c>
      <c r="S633" s="24">
        <v>12</v>
      </c>
      <c r="T633" s="21" t="s">
        <v>2444</v>
      </c>
    </row>
    <row r="634" spans="1:20" ht="23.25" hidden="1" customHeight="1" x14ac:dyDescent="0.25">
      <c r="A634" s="20" t="s">
        <v>2588</v>
      </c>
      <c r="B634" s="22">
        <v>2025</v>
      </c>
      <c r="C634" s="99" t="s">
        <v>21</v>
      </c>
      <c r="D634" s="22" t="s">
        <v>2589</v>
      </c>
      <c r="E634" s="27" t="s">
        <v>2590</v>
      </c>
      <c r="F634" s="90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93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2"/>
        <v>80</v>
      </c>
      <c r="S634" s="22">
        <v>4</v>
      </c>
      <c r="T634" s="20"/>
    </row>
    <row r="635" spans="1:20" ht="23.25" hidden="1" customHeight="1" x14ac:dyDescent="0.25">
      <c r="A635" s="21" t="s">
        <v>2592</v>
      </c>
      <c r="B635" s="24">
        <v>2025</v>
      </c>
      <c r="C635" s="99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94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2"/>
        <v>70</v>
      </c>
      <c r="S635" s="24">
        <v>1</v>
      </c>
      <c r="T635" s="112" t="s">
        <v>2314</v>
      </c>
    </row>
    <row r="636" spans="1:20" ht="31.5" hidden="1" customHeight="1" x14ac:dyDescent="0.25">
      <c r="A636" s="20" t="s">
        <v>2595</v>
      </c>
      <c r="B636" s="22">
        <v>2025</v>
      </c>
      <c r="C636" s="97" t="s">
        <v>21</v>
      </c>
      <c r="D636" s="22" t="s">
        <v>2596</v>
      </c>
      <c r="E636" s="89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93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2"/>
        <v>28</v>
      </c>
      <c r="S636" s="22">
        <v>12</v>
      </c>
      <c r="T636" s="20" t="s">
        <v>2599</v>
      </c>
    </row>
    <row r="637" spans="1:20" ht="23.25" hidden="1" customHeight="1" x14ac:dyDescent="0.25">
      <c r="A637" s="21" t="s">
        <v>2600</v>
      </c>
      <c r="B637" s="24">
        <v>2025</v>
      </c>
      <c r="C637" s="97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62" t="s">
        <v>2603</v>
      </c>
      <c r="I637" s="39">
        <v>45944</v>
      </c>
      <c r="J637" s="39">
        <v>45946</v>
      </c>
      <c r="K637" s="24" t="s">
        <v>34</v>
      </c>
      <c r="L637" s="26"/>
      <c r="M637" s="94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2"/>
        <v>30</v>
      </c>
      <c r="S637" s="24">
        <v>12</v>
      </c>
      <c r="T637" s="21" t="s">
        <v>2604</v>
      </c>
    </row>
    <row r="638" spans="1:20" ht="23.25" hidden="1" customHeight="1" x14ac:dyDescent="0.25">
      <c r="A638" s="20" t="s">
        <v>2605</v>
      </c>
      <c r="B638" s="22">
        <v>2025</v>
      </c>
      <c r="C638" s="97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93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2"/>
        <v>21</v>
      </c>
      <c r="S638" s="22" t="s">
        <v>2565</v>
      </c>
      <c r="T638" s="20" t="s">
        <v>2566</v>
      </c>
    </row>
    <row r="639" spans="1:20" ht="23.25" hidden="1" customHeight="1" x14ac:dyDescent="0.25">
      <c r="A639" s="21" t="s">
        <v>2609</v>
      </c>
      <c r="B639" s="24">
        <v>2025</v>
      </c>
      <c r="C639" s="97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94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2"/>
        <v>179</v>
      </c>
      <c r="S639" s="24">
        <v>14</v>
      </c>
      <c r="T639" s="21" t="s">
        <v>471</v>
      </c>
    </row>
    <row r="640" spans="1:20" ht="23.25" hidden="1" customHeight="1" x14ac:dyDescent="0.25">
      <c r="A640" s="20" t="s">
        <v>2613</v>
      </c>
      <c r="B640" s="22">
        <v>2025</v>
      </c>
      <c r="C640" s="99" t="s">
        <v>21</v>
      </c>
      <c r="D640" s="22" t="s">
        <v>2614</v>
      </c>
      <c r="E640" s="27" t="s">
        <v>2615</v>
      </c>
      <c r="F640" s="90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93"/>
      <c r="N640" s="41"/>
      <c r="O640" s="23">
        <v>0</v>
      </c>
      <c r="P640" s="23">
        <v>0</v>
      </c>
      <c r="Q640" s="23">
        <v>0</v>
      </c>
      <c r="R640" s="23">
        <f t="shared" si="12"/>
        <v>0</v>
      </c>
      <c r="S640" s="22">
        <v>2</v>
      </c>
      <c r="T640" s="20"/>
    </row>
    <row r="641" spans="1:20" ht="23.25" hidden="1" customHeight="1" x14ac:dyDescent="0.25">
      <c r="A641" s="21" t="s">
        <v>2617</v>
      </c>
      <c r="B641" s="24">
        <v>2025</v>
      </c>
      <c r="C641" s="97" t="s">
        <v>21</v>
      </c>
      <c r="D641" s="24" t="s">
        <v>2618</v>
      </c>
      <c r="E641" s="30" t="s">
        <v>2430</v>
      </c>
      <c r="F641" s="31" t="s">
        <v>80</v>
      </c>
      <c r="G641" s="85" t="s">
        <v>71</v>
      </c>
      <c r="H641" s="83" t="s">
        <v>2619</v>
      </c>
      <c r="I641" s="39">
        <v>45954</v>
      </c>
      <c r="J641" s="39">
        <v>45989</v>
      </c>
      <c r="K641" s="24" t="s">
        <v>34</v>
      </c>
      <c r="L641" s="26"/>
      <c r="M641" s="94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13" t="s">
        <v>2620</v>
      </c>
    </row>
    <row r="642" spans="1:20" ht="23.25" hidden="1" customHeight="1" x14ac:dyDescent="0.25">
      <c r="A642" s="20" t="s">
        <v>2621</v>
      </c>
      <c r="B642" s="22">
        <v>2025</v>
      </c>
      <c r="C642" s="97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93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3">SUM(O642:Q642)</f>
        <v>33</v>
      </c>
      <c r="S642" s="22">
        <v>20</v>
      </c>
      <c r="T642" s="20" t="s">
        <v>2158</v>
      </c>
    </row>
    <row r="643" spans="1:20" ht="23.25" hidden="1" customHeight="1" x14ac:dyDescent="0.25">
      <c r="A643" s="21" t="s">
        <v>2624</v>
      </c>
      <c r="B643" s="24">
        <v>2025</v>
      </c>
      <c r="C643" s="99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94"/>
      <c r="N643" s="40">
        <v>39</v>
      </c>
      <c r="O643" s="25">
        <v>0</v>
      </c>
      <c r="P643" s="25">
        <v>0</v>
      </c>
      <c r="Q643" s="25">
        <v>39</v>
      </c>
      <c r="R643" s="25">
        <f t="shared" si="13"/>
        <v>39</v>
      </c>
      <c r="S643" s="24">
        <v>4</v>
      </c>
      <c r="T643" s="44" t="s">
        <v>2361</v>
      </c>
    </row>
    <row r="644" spans="1:20" ht="23.25" hidden="1" customHeight="1" x14ac:dyDescent="0.25">
      <c r="A644" s="20" t="s">
        <v>2627</v>
      </c>
      <c r="B644" s="22">
        <v>2025</v>
      </c>
      <c r="C644" s="97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93"/>
      <c r="N644" s="41">
        <v>39</v>
      </c>
      <c r="O644" s="23">
        <v>0</v>
      </c>
      <c r="P644" s="23">
        <v>0</v>
      </c>
      <c r="Q644" s="23">
        <v>39</v>
      </c>
      <c r="R644" s="23">
        <f t="shared" si="13"/>
        <v>39</v>
      </c>
      <c r="S644" s="22">
        <v>4</v>
      </c>
      <c r="T644" s="43" t="s">
        <v>2629</v>
      </c>
    </row>
    <row r="645" spans="1:20" ht="32.25" hidden="1" customHeight="1" x14ac:dyDescent="0.25">
      <c r="A645" s="21" t="s">
        <v>2630</v>
      </c>
      <c r="B645" s="24">
        <v>2025</v>
      </c>
      <c r="C645" s="99" t="s">
        <v>21</v>
      </c>
      <c r="D645" s="24" t="s">
        <v>2631</v>
      </c>
      <c r="E645" s="30" t="s">
        <v>2632</v>
      </c>
      <c r="F645" s="91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94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3"/>
        <v>170</v>
      </c>
      <c r="S645" s="24">
        <v>2</v>
      </c>
      <c r="T645" s="46" t="s">
        <v>2604</v>
      </c>
    </row>
    <row r="646" spans="1:20" ht="23.25" hidden="1" customHeight="1" x14ac:dyDescent="0.25">
      <c r="A646" s="20" t="s">
        <v>2634</v>
      </c>
      <c r="B646" s="22">
        <v>2025</v>
      </c>
      <c r="C646" s="99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93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3"/>
        <v>13</v>
      </c>
      <c r="S646" s="22">
        <v>20</v>
      </c>
      <c r="T646" s="20" t="s">
        <v>795</v>
      </c>
    </row>
    <row r="647" spans="1:20" ht="23.25" hidden="1" customHeight="1" x14ac:dyDescent="0.25">
      <c r="A647" s="21" t="s">
        <v>2637</v>
      </c>
      <c r="B647" s="24">
        <v>2025</v>
      </c>
      <c r="C647" s="97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83" t="s">
        <v>2639</v>
      </c>
      <c r="I647" s="39">
        <v>45972</v>
      </c>
      <c r="J647" s="39">
        <v>45980</v>
      </c>
      <c r="K647" s="24" t="s">
        <v>34</v>
      </c>
      <c r="L647" s="26"/>
      <c r="M647" s="94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3"/>
        <v>34</v>
      </c>
      <c r="S647" s="24">
        <v>20</v>
      </c>
      <c r="T647" s="21" t="s">
        <v>2018</v>
      </c>
    </row>
    <row r="648" spans="1:20" ht="23.25" hidden="1" customHeight="1" x14ac:dyDescent="0.25">
      <c r="A648" s="20" t="s">
        <v>2640</v>
      </c>
      <c r="B648" s="22">
        <v>2025</v>
      </c>
      <c r="C648" s="97" t="s">
        <v>21</v>
      </c>
      <c r="D648" s="57" t="s">
        <v>2641</v>
      </c>
      <c r="E648" s="27" t="s">
        <v>2642</v>
      </c>
      <c r="F648" s="29" t="s">
        <v>61</v>
      </c>
      <c r="G648" s="20" t="s">
        <v>71</v>
      </c>
      <c r="H648" s="63" t="s">
        <v>2643</v>
      </c>
      <c r="I648" s="37">
        <v>45978</v>
      </c>
      <c r="J648" s="37">
        <v>45980</v>
      </c>
      <c r="K648" s="22" t="s">
        <v>34</v>
      </c>
      <c r="L648" s="28"/>
      <c r="M648" s="93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3"/>
        <v>45</v>
      </c>
      <c r="S648" s="22">
        <v>12</v>
      </c>
      <c r="T648" s="20" t="s">
        <v>2454</v>
      </c>
    </row>
    <row r="649" spans="1:20" ht="23.25" hidden="1" customHeight="1" x14ac:dyDescent="0.25">
      <c r="A649" s="21" t="s">
        <v>2644</v>
      </c>
      <c r="B649" s="24">
        <v>2025</v>
      </c>
      <c r="C649" s="99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62" t="s">
        <v>2647</v>
      </c>
      <c r="I649" s="39">
        <v>45978</v>
      </c>
      <c r="J649" s="39">
        <v>45979</v>
      </c>
      <c r="K649" s="24" t="s">
        <v>34</v>
      </c>
      <c r="L649" s="26"/>
      <c r="M649" s="94">
        <v>4.82</v>
      </c>
      <c r="N649" s="40"/>
      <c r="O649" s="25">
        <v>72</v>
      </c>
      <c r="P649" s="25">
        <v>0</v>
      </c>
      <c r="Q649" s="25">
        <v>0</v>
      </c>
      <c r="R649" s="25">
        <f t="shared" si="13"/>
        <v>72</v>
      </c>
      <c r="S649" s="24">
        <v>8</v>
      </c>
      <c r="T649" s="46" t="s">
        <v>2648</v>
      </c>
    </row>
    <row r="650" spans="1:20" ht="23.25" hidden="1" customHeight="1" x14ac:dyDescent="0.25">
      <c r="A650" s="20" t="s">
        <v>2649</v>
      </c>
      <c r="B650" s="22">
        <v>2025</v>
      </c>
      <c r="C650" s="99" t="s">
        <v>21</v>
      </c>
      <c r="D650" s="22" t="s">
        <v>2650</v>
      </c>
      <c r="E650" s="89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93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hidden="1" customHeight="1" x14ac:dyDescent="0.25">
      <c r="A651" s="21" t="s">
        <v>2654</v>
      </c>
      <c r="B651" s="24">
        <v>2025</v>
      </c>
      <c r="C651" s="99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83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94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85" t="s">
        <v>2658</v>
      </c>
    </row>
    <row r="652" spans="1:20" ht="23.25" hidden="1" customHeight="1" x14ac:dyDescent="0.25">
      <c r="A652" s="20" t="s">
        <v>2659</v>
      </c>
      <c r="B652" s="22">
        <v>2025</v>
      </c>
      <c r="C652" s="97" t="s">
        <v>21</v>
      </c>
      <c r="D652" s="22" t="s">
        <v>2660</v>
      </c>
      <c r="E652" s="89" t="s">
        <v>2661</v>
      </c>
      <c r="F652" s="29" t="s">
        <v>80</v>
      </c>
      <c r="G652" s="20" t="s">
        <v>71</v>
      </c>
      <c r="H652" s="84" t="s">
        <v>2657</v>
      </c>
      <c r="I652" s="37">
        <v>45985</v>
      </c>
      <c r="J652" s="37">
        <v>45989</v>
      </c>
      <c r="K652" s="22" t="s">
        <v>34</v>
      </c>
      <c r="L652" s="28"/>
      <c r="M652" s="93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hidden="1" customHeight="1" x14ac:dyDescent="0.25">
      <c r="A653" s="21" t="s">
        <v>2662</v>
      </c>
      <c r="B653" s="24">
        <v>2025</v>
      </c>
      <c r="C653" s="99" t="s">
        <v>21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94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hidden="1" customHeight="1" x14ac:dyDescent="0.25">
      <c r="A654" s="20" t="s">
        <v>2665</v>
      </c>
      <c r="B654" s="22">
        <v>2025</v>
      </c>
      <c r="C654" s="97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84" t="s">
        <v>2668</v>
      </c>
      <c r="I654" s="37">
        <v>45994</v>
      </c>
      <c r="J654" s="37">
        <v>46001</v>
      </c>
      <c r="K654" s="22" t="s">
        <v>34</v>
      </c>
      <c r="L654" s="28"/>
      <c r="M654" s="93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hidden="1" customHeight="1" x14ac:dyDescent="0.25">
      <c r="A655" s="21" t="s">
        <v>2669</v>
      </c>
      <c r="B655" s="24">
        <v>2025</v>
      </c>
      <c r="C655" s="97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94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hidden="1" customHeight="1" x14ac:dyDescent="0.25">
      <c r="A656" s="20" t="s">
        <v>2673</v>
      </c>
      <c r="B656" s="22">
        <v>2025</v>
      </c>
      <c r="C656" s="97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93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3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94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3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204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3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83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94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3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93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3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208">
        <v>0</v>
      </c>
      <c r="M661" s="94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3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73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93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3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94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3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93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3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94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3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93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3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208">
        <v>0</v>
      </c>
      <c r="M667" s="204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38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208"/>
      <c r="M668" s="93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37" t="s">
        <v>21</v>
      </c>
      <c r="D669" s="174" t="s">
        <v>2720</v>
      </c>
      <c r="E669" s="30" t="s">
        <v>2721</v>
      </c>
      <c r="F669" s="31" t="s">
        <v>61</v>
      </c>
      <c r="G669" s="175" t="s">
        <v>2688</v>
      </c>
      <c r="H669" s="176" t="s">
        <v>2722</v>
      </c>
      <c r="I669" s="177">
        <v>46120</v>
      </c>
      <c r="J669" s="177">
        <v>46122</v>
      </c>
      <c r="K669" s="24" t="s">
        <v>34</v>
      </c>
      <c r="L669" s="26">
        <v>9211.69</v>
      </c>
      <c r="M669" s="205">
        <v>4.95</v>
      </c>
      <c r="N669" s="178">
        <v>20</v>
      </c>
      <c r="O669" s="179">
        <v>0</v>
      </c>
      <c r="P669" s="179">
        <v>27</v>
      </c>
      <c r="Q669" s="179">
        <v>0</v>
      </c>
      <c r="R669" s="179">
        <v>27</v>
      </c>
      <c r="S669" s="174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37" t="s">
        <v>21</v>
      </c>
      <c r="D670" s="180" t="s">
        <v>2723</v>
      </c>
      <c r="E670" s="181" t="s">
        <v>2724</v>
      </c>
      <c r="F670" s="29" t="s">
        <v>80</v>
      </c>
      <c r="G670" s="20" t="s">
        <v>2725</v>
      </c>
      <c r="H670" s="182" t="s">
        <v>2726</v>
      </c>
      <c r="I670" s="183">
        <v>46125</v>
      </c>
      <c r="J670" s="183">
        <v>46128</v>
      </c>
      <c r="K670" s="22" t="s">
        <v>26</v>
      </c>
      <c r="L670" s="184">
        <v>10500</v>
      </c>
      <c r="M670" s="205">
        <v>4.75</v>
      </c>
      <c r="N670" s="185">
        <v>80</v>
      </c>
      <c r="O670" s="186">
        <v>0</v>
      </c>
      <c r="P670" s="186">
        <v>0</v>
      </c>
      <c r="Q670" s="186">
        <v>57</v>
      </c>
      <c r="R670" s="186">
        <v>57</v>
      </c>
      <c r="S670" s="180">
        <v>16</v>
      </c>
      <c r="T670" s="187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3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204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37" t="s">
        <v>21</v>
      </c>
      <c r="D672" s="180" t="s">
        <v>2730</v>
      </c>
      <c r="E672" s="181" t="s">
        <v>2731</v>
      </c>
      <c r="F672" s="29" t="s">
        <v>23</v>
      </c>
      <c r="G672" s="54" t="s">
        <v>2709</v>
      </c>
      <c r="H672" s="182" t="s">
        <v>2732</v>
      </c>
      <c r="I672" s="183">
        <v>46128</v>
      </c>
      <c r="J672" s="183">
        <v>46128</v>
      </c>
      <c r="K672" s="22" t="s">
        <v>34</v>
      </c>
      <c r="L672" s="209">
        <v>1133.47</v>
      </c>
      <c r="M672" s="205">
        <v>5</v>
      </c>
      <c r="N672" s="185">
        <v>1</v>
      </c>
      <c r="O672" s="186">
        <v>1</v>
      </c>
      <c r="P672" s="186">
        <v>0</v>
      </c>
      <c r="Q672" s="186">
        <v>0</v>
      </c>
      <c r="R672" s="186">
        <f>SUM(O672:Q672)</f>
        <v>1</v>
      </c>
      <c r="S672" s="180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37" t="s">
        <v>21</v>
      </c>
      <c r="D673" s="24" t="s">
        <v>2734</v>
      </c>
      <c r="E673" s="30" t="s">
        <v>2735</v>
      </c>
      <c r="F673" s="31" t="s">
        <v>23</v>
      </c>
      <c r="G673" s="21" t="s">
        <v>198</v>
      </c>
      <c r="H673" s="65" t="s">
        <v>2736</v>
      </c>
      <c r="I673" s="39">
        <v>46132</v>
      </c>
      <c r="J673" s="39">
        <v>46142</v>
      </c>
      <c r="K673" s="24" t="s">
        <v>34</v>
      </c>
      <c r="L673" s="208"/>
      <c r="M673" s="204"/>
      <c r="N673" s="40"/>
      <c r="O673" s="25"/>
      <c r="P673" s="25"/>
      <c r="Q673" s="25"/>
      <c r="R673" s="25">
        <f>SUM(O673:Q673)</f>
        <v>0</v>
      </c>
      <c r="S673" s="24"/>
      <c r="T673" s="46" t="s">
        <v>2737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2738</v>
      </c>
      <c r="E674" s="27" t="s">
        <v>2625</v>
      </c>
      <c r="F674" s="29" t="s">
        <v>80</v>
      </c>
      <c r="G674" s="48" t="s">
        <v>2725</v>
      </c>
      <c r="H674" s="36" t="s">
        <v>2902</v>
      </c>
      <c r="I674" s="37">
        <v>46136</v>
      </c>
      <c r="J674" s="37">
        <v>46136</v>
      </c>
      <c r="K674" s="22" t="s">
        <v>34</v>
      </c>
      <c r="L674" s="210"/>
      <c r="M674" s="204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4">
        <v>2026</v>
      </c>
      <c r="C675" s="252" t="s">
        <v>2740</v>
      </c>
      <c r="D675" s="24" t="s">
        <v>2741</v>
      </c>
      <c r="E675" s="30" t="s">
        <v>2742</v>
      </c>
      <c r="F675" s="31" t="s">
        <v>23</v>
      </c>
      <c r="G675" s="21" t="s">
        <v>24</v>
      </c>
      <c r="H675" s="188" t="s">
        <v>2743</v>
      </c>
      <c r="I675" s="82">
        <v>46146</v>
      </c>
      <c r="J675" s="82">
        <v>46154</v>
      </c>
      <c r="K675" s="24" t="s">
        <v>34</v>
      </c>
      <c r="L675" s="208">
        <v>16717.689999999999</v>
      </c>
      <c r="M675" s="204"/>
      <c r="N675" s="40">
        <v>20</v>
      </c>
      <c r="O675" s="25"/>
      <c r="P675" s="25"/>
      <c r="Q675" s="25"/>
      <c r="R675" s="25">
        <f>SUM(O675:Q675)</f>
        <v>0</v>
      </c>
      <c r="S675" s="24">
        <v>20</v>
      </c>
      <c r="T675" s="46" t="s">
        <v>2744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2">
        <v>2026</v>
      </c>
      <c r="C676" s="22" t="s">
        <v>2733</v>
      </c>
      <c r="D676" s="22" t="s">
        <v>2738</v>
      </c>
      <c r="E676" s="27" t="s">
        <v>2625</v>
      </c>
      <c r="F676" s="29" t="s">
        <v>80</v>
      </c>
      <c r="G676" s="48" t="s">
        <v>2725</v>
      </c>
      <c r="H676" s="36" t="s">
        <v>2745</v>
      </c>
      <c r="I676" s="37">
        <v>46150</v>
      </c>
      <c r="J676" s="37">
        <v>46150</v>
      </c>
      <c r="K676" s="22" t="s">
        <v>34</v>
      </c>
      <c r="L676" s="210"/>
      <c r="M676" s="204"/>
      <c r="N676" s="22">
        <v>80</v>
      </c>
      <c r="O676" s="23">
        <v>0</v>
      </c>
      <c r="P676" s="48">
        <v>0</v>
      </c>
      <c r="Q676" s="22">
        <v>80</v>
      </c>
      <c r="R676" s="23">
        <f>SUM(O676:Q676)</f>
        <v>80</v>
      </c>
      <c r="S676" s="22">
        <v>4</v>
      </c>
      <c r="T676" s="43" t="s">
        <v>2739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239" t="s">
        <v>2733</v>
      </c>
      <c r="D677" s="70" t="s">
        <v>2746</v>
      </c>
      <c r="E677" s="30" t="s">
        <v>2747</v>
      </c>
      <c r="F677" s="31" t="s">
        <v>23</v>
      </c>
      <c r="G677" s="45" t="s">
        <v>2693</v>
      </c>
      <c r="H677" s="65" t="s">
        <v>2748</v>
      </c>
      <c r="I677" s="66">
        <v>46160</v>
      </c>
      <c r="J677" s="66">
        <v>46163</v>
      </c>
      <c r="K677" s="24" t="s">
        <v>34</v>
      </c>
      <c r="L677" s="211"/>
      <c r="M677" s="207"/>
      <c r="N677" s="69"/>
      <c r="O677" s="69"/>
      <c r="P677" s="69"/>
      <c r="Q677" s="69"/>
      <c r="R677" s="69">
        <f>SUM(O677:Q677)</f>
        <v>0</v>
      </c>
      <c r="S677" s="70">
        <v>16</v>
      </c>
      <c r="T677" s="21" t="s">
        <v>2695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2">
        <v>2026</v>
      </c>
      <c r="C678" s="76" t="s">
        <v>2733</v>
      </c>
      <c r="D678" s="189" t="s">
        <v>2749</v>
      </c>
      <c r="E678" s="181" t="s">
        <v>2750</v>
      </c>
      <c r="F678" s="29" t="s">
        <v>61</v>
      </c>
      <c r="G678" s="190" t="s">
        <v>2688</v>
      </c>
      <c r="H678" s="191" t="s">
        <v>2751</v>
      </c>
      <c r="I678" s="192">
        <v>46161</v>
      </c>
      <c r="J678" s="192">
        <v>46163</v>
      </c>
      <c r="K678" s="22" t="s">
        <v>34</v>
      </c>
      <c r="L678" s="28">
        <v>9211.69</v>
      </c>
      <c r="M678" s="206"/>
      <c r="N678" s="193"/>
      <c r="O678" s="194"/>
      <c r="P678" s="194"/>
      <c r="Q678" s="194"/>
      <c r="R678" s="194">
        <f>SUM(O678:Q678)</f>
        <v>0</v>
      </c>
      <c r="S678" s="189">
        <v>12</v>
      </c>
      <c r="T678" s="20" t="s">
        <v>2690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4">
        <v>2026</v>
      </c>
      <c r="C679" s="76" t="s">
        <v>2733</v>
      </c>
      <c r="D679" s="195" t="s">
        <v>2752</v>
      </c>
      <c r="E679" s="196" t="s">
        <v>2753</v>
      </c>
      <c r="F679" s="197" t="s">
        <v>23</v>
      </c>
      <c r="G679" s="175" t="s">
        <v>37</v>
      </c>
      <c r="H679" s="198" t="s">
        <v>2754</v>
      </c>
      <c r="I679" s="199">
        <v>46163</v>
      </c>
      <c r="J679" s="199">
        <v>46164</v>
      </c>
      <c r="K679" s="174" t="s">
        <v>26</v>
      </c>
      <c r="L679" s="200">
        <v>72500</v>
      </c>
      <c r="M679" s="206"/>
      <c r="N679" s="201">
        <v>150</v>
      </c>
      <c r="O679" s="202"/>
      <c r="P679" s="202"/>
      <c r="Q679" s="202"/>
      <c r="R679" s="202">
        <f>SUM(O679:Q679)</f>
        <v>0</v>
      </c>
      <c r="S679" s="195">
        <v>8</v>
      </c>
      <c r="T679" s="203" t="s">
        <v>471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39" t="s">
        <v>2733</v>
      </c>
      <c r="D680" s="76" t="s">
        <v>2746</v>
      </c>
      <c r="E680" s="71" t="s">
        <v>2755</v>
      </c>
      <c r="F680" s="29" t="s">
        <v>23</v>
      </c>
      <c r="G680" s="20" t="s">
        <v>2693</v>
      </c>
      <c r="H680" s="74" t="s">
        <v>2756</v>
      </c>
      <c r="I680" s="75">
        <v>46188</v>
      </c>
      <c r="J680" s="75">
        <v>46191</v>
      </c>
      <c r="K680" s="22" t="s">
        <v>34</v>
      </c>
      <c r="L680" s="208"/>
      <c r="M680" s="207"/>
      <c r="N680" s="79"/>
      <c r="O680" s="79"/>
      <c r="P680" s="79"/>
      <c r="Q680" s="79"/>
      <c r="R680" s="79">
        <f>SUM(O680:Q680)</f>
        <v>0</v>
      </c>
      <c r="S680" s="76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6" t="s">
        <v>2733</v>
      </c>
      <c r="D681" s="195" t="s">
        <v>2749</v>
      </c>
      <c r="E681" s="196" t="s">
        <v>2757</v>
      </c>
      <c r="F681" s="31" t="s">
        <v>61</v>
      </c>
      <c r="G681" s="203" t="s">
        <v>2688</v>
      </c>
      <c r="H681" s="198" t="s">
        <v>2758</v>
      </c>
      <c r="I681" s="199">
        <v>46189</v>
      </c>
      <c r="J681" s="199">
        <v>46191</v>
      </c>
      <c r="K681" s="24" t="s">
        <v>34</v>
      </c>
      <c r="L681" s="67">
        <v>9211.69</v>
      </c>
      <c r="M681" s="206"/>
      <c r="N681" s="201"/>
      <c r="O681" s="202"/>
      <c r="P681" s="202"/>
      <c r="Q681" s="202"/>
      <c r="R681" s="202">
        <f>SUM(O681:Q681)</f>
        <v>0</v>
      </c>
      <c r="S681" s="195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6" t="s">
        <v>2733</v>
      </c>
      <c r="D682" s="189" t="s">
        <v>2759</v>
      </c>
      <c r="E682" s="172" t="s">
        <v>2760</v>
      </c>
      <c r="F682" s="29" t="s">
        <v>61</v>
      </c>
      <c r="G682" s="190" t="s">
        <v>2688</v>
      </c>
      <c r="H682" s="191" t="s">
        <v>2761</v>
      </c>
      <c r="I682" s="192">
        <v>46195</v>
      </c>
      <c r="J682" s="192">
        <v>46196</v>
      </c>
      <c r="K682" s="22" t="s">
        <v>26</v>
      </c>
      <c r="L682" s="212"/>
      <c r="M682" s="206"/>
      <c r="N682" s="193">
        <v>200</v>
      </c>
      <c r="O682" s="194"/>
      <c r="P682" s="194"/>
      <c r="Q682" s="194"/>
      <c r="R682" s="194">
        <f>SUM(O682:Q682)</f>
        <v>0</v>
      </c>
      <c r="S682" s="189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6" t="s">
        <v>2733</v>
      </c>
      <c r="D683" s="195" t="s">
        <v>2762</v>
      </c>
      <c r="E683" s="196" t="s">
        <v>2763</v>
      </c>
      <c r="F683" s="31" t="s">
        <v>61</v>
      </c>
      <c r="G683" s="21" t="s">
        <v>71</v>
      </c>
      <c r="H683" s="198" t="s">
        <v>2764</v>
      </c>
      <c r="I683" s="199">
        <v>46335</v>
      </c>
      <c r="J683" s="199">
        <v>46335</v>
      </c>
      <c r="K683" s="24" t="s">
        <v>26</v>
      </c>
      <c r="L683" s="212"/>
      <c r="M683" s="206"/>
      <c r="N683" s="201">
        <v>170</v>
      </c>
      <c r="O683" s="202"/>
      <c r="P683" s="202"/>
      <c r="Q683" s="202"/>
      <c r="R683" s="202">
        <f>SUM(O683:Q683)</f>
        <v>0</v>
      </c>
      <c r="S683" s="195">
        <v>14</v>
      </c>
      <c r="T683" s="21" t="s">
        <v>471</v>
      </c>
    </row>
    <row r="684" spans="1:21" ht="23.25" customHeight="1" x14ac:dyDescent="0.25">
      <c r="A684" s="73" t="str">
        <f>IF(B684="","",B684&amp;"-"&amp;TEXT(COUNTIF(B$2:B684,B684),"000"))</f>
        <v>2026-028</v>
      </c>
      <c r="B684" s="76">
        <v>2026</v>
      </c>
      <c r="C684" s="239" t="s">
        <v>2740</v>
      </c>
      <c r="D684" s="76" t="s">
        <v>2765</v>
      </c>
      <c r="E684" s="172" t="s">
        <v>2766</v>
      </c>
      <c r="F684" s="72" t="s">
        <v>80</v>
      </c>
      <c r="G684" s="73" t="s">
        <v>2725</v>
      </c>
      <c r="H684" s="74"/>
      <c r="I684" s="75"/>
      <c r="J684" s="75"/>
      <c r="K684" s="76" t="s">
        <v>26</v>
      </c>
      <c r="L684" s="77">
        <v>25200</v>
      </c>
      <c r="M684" s="207"/>
      <c r="N684" s="78">
        <v>60</v>
      </c>
      <c r="O684" s="79"/>
      <c r="P684" s="79"/>
      <c r="Q684" s="79"/>
      <c r="R684" s="79">
        <f>SUM(O684:Q684)</f>
        <v>0</v>
      </c>
      <c r="S684" s="76">
        <v>32</v>
      </c>
      <c r="T684" s="73" t="s">
        <v>2767</v>
      </c>
    </row>
    <row r="685" spans="1:21" ht="23.25" customHeight="1" x14ac:dyDescent="0.25">
      <c r="A685" s="219" t="str">
        <f>IF(B685="","",B685&amp;"-"&amp;TEXT(COUNTIF(B$2:B685,B685),"000"))</f>
        <v>2026-029</v>
      </c>
      <c r="B685" s="220">
        <v>2026</v>
      </c>
      <c r="C685" s="229" t="s">
        <v>2733</v>
      </c>
      <c r="D685" s="220" t="s">
        <v>2768</v>
      </c>
      <c r="E685" s="221" t="s">
        <v>2769</v>
      </c>
      <c r="F685" s="222" t="s">
        <v>61</v>
      </c>
      <c r="G685" s="219" t="s">
        <v>71</v>
      </c>
      <c r="H685" s="223" t="s">
        <v>2770</v>
      </c>
      <c r="I685" s="224">
        <v>46286</v>
      </c>
      <c r="J685" s="224">
        <v>46287</v>
      </c>
      <c r="K685" s="24" t="s">
        <v>26</v>
      </c>
      <c r="L685" s="234"/>
      <c r="M685" s="225"/>
      <c r="N685" s="226">
        <v>170</v>
      </c>
      <c r="O685" s="227"/>
      <c r="P685" s="227"/>
      <c r="Q685" s="227"/>
      <c r="R685" s="227">
        <f t="shared" ref="R685:R747" si="14">IF(B685="","",SUM(O685:Q685))</f>
        <v>0</v>
      </c>
      <c r="S685" s="220">
        <v>14</v>
      </c>
      <c r="T685" s="21" t="s">
        <v>471</v>
      </c>
      <c r="U685" s="213"/>
    </row>
    <row r="686" spans="1:21" ht="23.25" customHeight="1" x14ac:dyDescent="0.25">
      <c r="A686" s="228" t="str">
        <f>IF(B686="","",B686&amp;"-"&amp;TEXT(COUNTIF(B$2:B686,B686),"000"))</f>
        <v>2026-030</v>
      </c>
      <c r="B686" s="229">
        <v>2026</v>
      </c>
      <c r="C686" s="229" t="s">
        <v>2740</v>
      </c>
      <c r="D686" s="229" t="s">
        <v>2771</v>
      </c>
      <c r="E686" s="251" t="s">
        <v>2772</v>
      </c>
      <c r="F686" s="231" t="s">
        <v>23</v>
      </c>
      <c r="G686" s="228" t="s">
        <v>67</v>
      </c>
      <c r="H686" s="232" t="s">
        <v>2773</v>
      </c>
      <c r="I686" s="233">
        <v>46167</v>
      </c>
      <c r="J686" s="233">
        <v>46176</v>
      </c>
      <c r="K686" s="229" t="s">
        <v>34</v>
      </c>
      <c r="L686" s="234">
        <v>20061.23</v>
      </c>
      <c r="M686" s="225"/>
      <c r="N686" s="236">
        <v>20</v>
      </c>
      <c r="O686" s="235"/>
      <c r="P686" s="235"/>
      <c r="Q686" s="235"/>
      <c r="R686" s="235">
        <f t="shared" si="14"/>
        <v>0</v>
      </c>
      <c r="S686" s="229">
        <v>24</v>
      </c>
      <c r="T686" s="228" t="s">
        <v>2744</v>
      </c>
      <c r="U686" s="213"/>
    </row>
    <row r="687" spans="1:21" ht="23.25" customHeight="1" x14ac:dyDescent="0.25">
      <c r="A687" s="219" t="str">
        <f>IF(B687="","",B687&amp;"-"&amp;TEXT(COUNTIF(B$2:B687,B687),"000"))</f>
        <v>2026-031</v>
      </c>
      <c r="B687" s="220">
        <v>2026</v>
      </c>
      <c r="C687" s="229" t="s">
        <v>2733</v>
      </c>
      <c r="D687" s="220" t="s">
        <v>2886</v>
      </c>
      <c r="E687" s="221" t="s">
        <v>2887</v>
      </c>
      <c r="F687" s="222" t="s">
        <v>23</v>
      </c>
      <c r="G687" s="219" t="s">
        <v>67</v>
      </c>
      <c r="H687" s="223" t="s">
        <v>2888</v>
      </c>
      <c r="I687" s="224">
        <v>46174</v>
      </c>
      <c r="J687" s="224">
        <v>46387</v>
      </c>
      <c r="K687" s="220" t="s">
        <v>26</v>
      </c>
      <c r="L687" s="234">
        <v>105000</v>
      </c>
      <c r="M687" s="225"/>
      <c r="N687" s="226"/>
      <c r="O687" s="227"/>
      <c r="P687" s="227"/>
      <c r="Q687" s="227"/>
      <c r="R687" s="227">
        <f t="shared" si="14"/>
        <v>0</v>
      </c>
      <c r="S687" s="220">
        <v>25</v>
      </c>
      <c r="T687" t="s">
        <v>2889</v>
      </c>
      <c r="U687" s="213"/>
    </row>
    <row r="688" spans="1:21" ht="23.25" customHeight="1" x14ac:dyDescent="0.25">
      <c r="A688" s="228" t="str">
        <f>IF(B688="","",B688&amp;"-"&amp;TEXT(COUNTIF(B$2:B688,B688),"000"))</f>
        <v>2026-032</v>
      </c>
      <c r="B688" s="229">
        <v>2026</v>
      </c>
      <c r="C688" s="229" t="s">
        <v>2733</v>
      </c>
      <c r="D688" s="229" t="s">
        <v>2890</v>
      </c>
      <c r="E688" s="251" t="s">
        <v>2891</v>
      </c>
      <c r="F688" s="231" t="s">
        <v>80</v>
      </c>
      <c r="G688" s="228" t="s">
        <v>2725</v>
      </c>
      <c r="H688" s="232" t="s">
        <v>2892</v>
      </c>
      <c r="I688" s="233">
        <v>46204</v>
      </c>
      <c r="J688" s="233">
        <v>46206</v>
      </c>
      <c r="K688" s="229" t="s">
        <v>34</v>
      </c>
      <c r="L688" s="234"/>
      <c r="M688" s="225"/>
      <c r="N688" s="236">
        <v>30</v>
      </c>
      <c r="O688" s="235"/>
      <c r="P688" s="235"/>
      <c r="Q688" s="235"/>
      <c r="R688" s="235">
        <f t="shared" si="14"/>
        <v>0</v>
      </c>
      <c r="S688" s="229">
        <v>12</v>
      </c>
      <c r="T688" s="228" t="s">
        <v>2444</v>
      </c>
      <c r="U688" s="213"/>
    </row>
    <row r="689" spans="1:21" ht="23.25" customHeight="1" x14ac:dyDescent="0.25">
      <c r="A689" s="219" t="str">
        <f>IF(B689="","",B689&amp;"-"&amp;TEXT(COUNTIF(B$2:B689,B689),"000"))</f>
        <v>2026-033</v>
      </c>
      <c r="B689" s="220">
        <v>2026</v>
      </c>
      <c r="C689" s="229" t="s">
        <v>2733</v>
      </c>
      <c r="D689" s="220" t="s">
        <v>2895</v>
      </c>
      <c r="E689" s="258" t="s">
        <v>2896</v>
      </c>
      <c r="F689" s="222" t="s">
        <v>23</v>
      </c>
      <c r="G689" s="219" t="s">
        <v>2709</v>
      </c>
      <c r="H689" s="260" t="s">
        <v>2898</v>
      </c>
      <c r="I689" s="224">
        <v>46154</v>
      </c>
      <c r="J689" s="224">
        <v>46156</v>
      </c>
      <c r="K689" s="220" t="s">
        <v>34</v>
      </c>
      <c r="L689" s="26">
        <v>9067.76</v>
      </c>
      <c r="M689" s="225"/>
      <c r="N689" s="226">
        <v>20</v>
      </c>
      <c r="O689" s="227"/>
      <c r="P689" s="227"/>
      <c r="Q689" s="227"/>
      <c r="R689" s="227">
        <f t="shared" si="14"/>
        <v>0</v>
      </c>
      <c r="S689" s="220">
        <v>8</v>
      </c>
      <c r="T689" s="113" t="s">
        <v>2729</v>
      </c>
      <c r="U689" s="213"/>
    </row>
    <row r="690" spans="1:21" ht="23.25" customHeight="1" x14ac:dyDescent="0.25">
      <c r="A690" s="228" t="str">
        <f>IF(B690="","",B690&amp;"-"&amp;TEXT(COUNTIF(B$2:B690,B690),"000"))</f>
        <v>2026-034</v>
      </c>
      <c r="B690" s="229">
        <v>2026</v>
      </c>
      <c r="C690" s="229" t="s">
        <v>2733</v>
      </c>
      <c r="D690" s="229" t="s">
        <v>2895</v>
      </c>
      <c r="E690" s="259" t="s">
        <v>2897</v>
      </c>
      <c r="F690" s="231" t="s">
        <v>23</v>
      </c>
      <c r="G690" s="228" t="s">
        <v>2709</v>
      </c>
      <c r="H690" s="261" t="s">
        <v>2899</v>
      </c>
      <c r="I690" s="233">
        <v>46196</v>
      </c>
      <c r="J690" s="233">
        <v>46198</v>
      </c>
      <c r="K690" s="229" t="s">
        <v>34</v>
      </c>
      <c r="L690" s="26">
        <v>9067.76</v>
      </c>
      <c r="M690" s="225"/>
      <c r="N690" s="236">
        <v>20</v>
      </c>
      <c r="O690" s="235"/>
      <c r="P690" s="235"/>
      <c r="Q690" s="235"/>
      <c r="R690" s="235">
        <f t="shared" si="14"/>
        <v>0</v>
      </c>
      <c r="S690" s="229">
        <v>8</v>
      </c>
      <c r="T690" s="111" t="s">
        <v>2729</v>
      </c>
      <c r="U690" s="213"/>
    </row>
    <row r="691" spans="1:21" ht="23.25" customHeight="1" x14ac:dyDescent="0.25">
      <c r="A691" s="219" t="str">
        <f>IF(B691="","",B691&amp;"-"&amp;TEXT(COUNTIF(B$2:B691,B691),"000"))</f>
        <v>2026-035</v>
      </c>
      <c r="B691" s="220">
        <v>2026</v>
      </c>
      <c r="C691" s="229" t="s">
        <v>2733</v>
      </c>
      <c r="D691" s="220" t="s">
        <v>2903</v>
      </c>
      <c r="E691" s="258" t="s">
        <v>2667</v>
      </c>
      <c r="F691" s="222" t="s">
        <v>23</v>
      </c>
      <c r="G691" s="219" t="s">
        <v>37</v>
      </c>
      <c r="H691" s="223" t="s">
        <v>2904</v>
      </c>
      <c r="I691" s="224">
        <v>46160</v>
      </c>
      <c r="J691" s="224">
        <v>46167</v>
      </c>
      <c r="K691" s="220" t="s">
        <v>34</v>
      </c>
      <c r="L691" s="234"/>
      <c r="M691" s="225"/>
      <c r="N691" s="226">
        <v>20</v>
      </c>
      <c r="O691" s="227"/>
      <c r="P691" s="227"/>
      <c r="Q691" s="227"/>
      <c r="R691" s="227">
        <f t="shared" si="14"/>
        <v>0</v>
      </c>
      <c r="S691" s="220">
        <v>16</v>
      </c>
      <c r="T691" s="219" t="s">
        <v>1784</v>
      </c>
      <c r="U691" s="213"/>
    </row>
    <row r="692" spans="1:21" ht="23.25" customHeight="1" x14ac:dyDescent="0.25">
      <c r="A692" s="228" t="str">
        <f>IF(B692="","",B692&amp;"-"&amp;TEXT(COUNTIF(B$2:B692,B692),"000"))</f>
        <v>2026-036</v>
      </c>
      <c r="B692" s="229">
        <v>2026</v>
      </c>
      <c r="C692" s="229" t="s">
        <v>21</v>
      </c>
      <c r="D692" s="229" t="s">
        <v>2912</v>
      </c>
      <c r="E692" s="259" t="s">
        <v>2913</v>
      </c>
      <c r="F692" s="231" t="s">
        <v>23</v>
      </c>
      <c r="G692" s="228" t="s">
        <v>363</v>
      </c>
      <c r="H692" s="232" t="s">
        <v>2914</v>
      </c>
      <c r="I692" s="233">
        <v>46140</v>
      </c>
      <c r="J692" s="233">
        <v>46147</v>
      </c>
      <c r="K692" s="229" t="s">
        <v>34</v>
      </c>
      <c r="L692" s="234">
        <v>0</v>
      </c>
      <c r="M692" s="225"/>
      <c r="N692" s="236">
        <v>30</v>
      </c>
      <c r="O692" s="235">
        <v>30</v>
      </c>
      <c r="P692" s="235">
        <v>0</v>
      </c>
      <c r="Q692" s="235">
        <v>0</v>
      </c>
      <c r="R692" s="235">
        <f t="shared" si="14"/>
        <v>30</v>
      </c>
      <c r="S692" s="229">
        <v>20</v>
      </c>
      <c r="T692" s="228" t="s">
        <v>471</v>
      </c>
      <c r="U692" s="213"/>
    </row>
    <row r="693" spans="1:21" ht="23.25" customHeight="1" x14ac:dyDescent="0.25">
      <c r="A693" s="219" t="str">
        <f>IF(B693="","",B693&amp;"-"&amp;TEXT(COUNTIF(B$2:B693,B693),"000"))</f>
        <v>2026-037</v>
      </c>
      <c r="B693" s="220">
        <v>2026</v>
      </c>
      <c r="C693" s="229" t="s">
        <v>2733</v>
      </c>
      <c r="D693" s="220" t="s">
        <v>2916</v>
      </c>
      <c r="E693" s="258" t="s">
        <v>2917</v>
      </c>
      <c r="F693" s="222" t="s">
        <v>23</v>
      </c>
      <c r="G693" s="219" t="s">
        <v>24</v>
      </c>
      <c r="H693" s="223" t="s">
        <v>2918</v>
      </c>
      <c r="I693" s="224">
        <v>46148</v>
      </c>
      <c r="J693" s="224">
        <v>46150</v>
      </c>
      <c r="K693" s="220" t="s">
        <v>34</v>
      </c>
      <c r="L693" s="234"/>
      <c r="M693" s="225"/>
      <c r="N693" s="226">
        <v>30</v>
      </c>
      <c r="O693" s="227"/>
      <c r="P693" s="227"/>
      <c r="Q693" s="227"/>
      <c r="R693" s="227">
        <f t="shared" si="14"/>
        <v>0</v>
      </c>
      <c r="S693" s="220">
        <v>12</v>
      </c>
      <c r="T693" s="219" t="s">
        <v>2919</v>
      </c>
      <c r="U693" s="213"/>
    </row>
    <row r="694" spans="1:21" ht="23.25" customHeight="1" x14ac:dyDescent="0.25">
      <c r="A694" s="228" t="str">
        <f>IF(B694="","",B694&amp;"-"&amp;TEXT(COUNTIF(B$2:B694,B694),"000"))</f>
        <v/>
      </c>
      <c r="B694" s="229"/>
      <c r="C694" s="229"/>
      <c r="D694" s="229"/>
      <c r="E694" s="230"/>
      <c r="F694" s="231"/>
      <c r="G694" s="228"/>
      <c r="H694" s="232"/>
      <c r="I694" s="233"/>
      <c r="J694" s="233"/>
      <c r="K694" s="229"/>
      <c r="L694" s="234"/>
      <c r="M694" s="225"/>
      <c r="N694" s="236"/>
      <c r="O694" s="235"/>
      <c r="P694" s="235"/>
      <c r="Q694" s="235"/>
      <c r="R694" s="235" t="str">
        <f t="shared" si="14"/>
        <v/>
      </c>
      <c r="S694" s="229"/>
      <c r="T694" s="228"/>
      <c r="U694" s="213"/>
    </row>
    <row r="695" spans="1:21" ht="23.25" customHeight="1" x14ac:dyDescent="0.25">
      <c r="A695" s="219" t="str">
        <f>IF(B695="","",B695&amp;"-"&amp;TEXT(COUNTIF(B$2:B695,B695),"000"))</f>
        <v/>
      </c>
      <c r="B695" s="220"/>
      <c r="C695" s="229"/>
      <c r="D695" s="220"/>
      <c r="E695" s="221"/>
      <c r="F695" s="222"/>
      <c r="G695" s="219"/>
      <c r="H695" s="223"/>
      <c r="I695" s="224"/>
      <c r="J695" s="224"/>
      <c r="K695" s="220"/>
      <c r="L695" s="234"/>
      <c r="M695" s="225"/>
      <c r="N695" s="226"/>
      <c r="O695" s="227"/>
      <c r="P695" s="227"/>
      <c r="Q695" s="227"/>
      <c r="R695" s="227" t="str">
        <f t="shared" si="14"/>
        <v/>
      </c>
      <c r="S695" s="220"/>
      <c r="T695" s="219"/>
      <c r="U695" s="213"/>
    </row>
    <row r="696" spans="1:21" ht="23.25" customHeight="1" x14ac:dyDescent="0.25">
      <c r="A696" s="228" t="str">
        <f>IF(B696="","",B696&amp;"-"&amp;TEXT(COUNTIF(B$2:B696,B696),"000"))</f>
        <v/>
      </c>
      <c r="B696" s="229"/>
      <c r="C696" s="229"/>
      <c r="D696" s="229"/>
      <c r="E696" s="230"/>
      <c r="F696" s="231"/>
      <c r="G696" s="228"/>
      <c r="H696" s="232"/>
      <c r="I696" s="233"/>
      <c r="J696" s="233"/>
      <c r="K696" s="229"/>
      <c r="L696" s="234"/>
      <c r="M696" s="225"/>
      <c r="N696" s="236"/>
      <c r="O696" s="235"/>
      <c r="P696" s="235"/>
      <c r="Q696" s="235"/>
      <c r="R696" s="235" t="str">
        <f t="shared" si="14"/>
        <v/>
      </c>
      <c r="S696" s="229"/>
      <c r="T696" s="228"/>
      <c r="U696" s="213"/>
    </row>
    <row r="697" spans="1:21" ht="23.25" customHeight="1" x14ac:dyDescent="0.25">
      <c r="A697" s="219" t="str">
        <f>IF(B697="","",B697&amp;"-"&amp;TEXT(COUNTIF(B$2:B697,B697),"000"))</f>
        <v/>
      </c>
      <c r="B697" s="220"/>
      <c r="C697" s="229"/>
      <c r="D697" s="220"/>
      <c r="E697" s="221"/>
      <c r="F697" s="222"/>
      <c r="G697" s="219"/>
      <c r="H697" s="223"/>
      <c r="I697" s="224"/>
      <c r="J697" s="224"/>
      <c r="K697" s="220"/>
      <c r="L697" s="234"/>
      <c r="M697" s="225"/>
      <c r="N697" s="226"/>
      <c r="O697" s="227"/>
      <c r="P697" s="227"/>
      <c r="Q697" s="227"/>
      <c r="R697" s="227" t="str">
        <f t="shared" si="14"/>
        <v/>
      </c>
      <c r="S697" s="220"/>
      <c r="T697" s="219"/>
      <c r="U697" s="213"/>
    </row>
    <row r="698" spans="1:21" ht="23.25" customHeight="1" x14ac:dyDescent="0.25">
      <c r="A698" s="228" t="str">
        <f>IF(B698="","",B698&amp;"-"&amp;TEXT(COUNTIF(B$2:B698,B698),"000"))</f>
        <v/>
      </c>
      <c r="B698" s="229"/>
      <c r="C698" s="229"/>
      <c r="D698" s="229"/>
      <c r="E698" s="230"/>
      <c r="F698" s="231"/>
      <c r="G698" s="228"/>
      <c r="H698" s="232"/>
      <c r="I698" s="233"/>
      <c r="J698" s="233"/>
      <c r="K698" s="229"/>
      <c r="L698" s="234"/>
      <c r="M698" s="225"/>
      <c r="N698" s="236"/>
      <c r="O698" s="235"/>
      <c r="P698" s="235"/>
      <c r="Q698" s="235"/>
      <c r="R698" s="235" t="str">
        <f t="shared" si="14"/>
        <v/>
      </c>
      <c r="S698" s="229"/>
      <c r="T698" s="228"/>
      <c r="U698" s="213"/>
    </row>
    <row r="699" spans="1:21" ht="23.25" customHeight="1" x14ac:dyDescent="0.25">
      <c r="A699" s="219" t="str">
        <f>IF(B699="","",B699&amp;"-"&amp;TEXT(COUNTIF(B$2:B699,B699),"000"))</f>
        <v/>
      </c>
      <c r="B699" s="220"/>
      <c r="C699" s="229"/>
      <c r="D699" s="220"/>
      <c r="E699" s="221"/>
      <c r="F699" s="222"/>
      <c r="G699" s="219"/>
      <c r="H699" s="223"/>
      <c r="I699" s="224"/>
      <c r="J699" s="224"/>
      <c r="K699" s="220"/>
      <c r="L699" s="234"/>
      <c r="M699" s="225"/>
      <c r="N699" s="226"/>
      <c r="O699" s="227"/>
      <c r="P699" s="227"/>
      <c r="Q699" s="227"/>
      <c r="R699" s="227" t="str">
        <f t="shared" si="14"/>
        <v/>
      </c>
      <c r="S699" s="220"/>
      <c r="T699" s="219"/>
      <c r="U699" s="213"/>
    </row>
    <row r="700" spans="1:21" ht="23.25" customHeight="1" x14ac:dyDescent="0.25">
      <c r="A700" s="228" t="str">
        <f>IF(B700="","",B700&amp;"-"&amp;TEXT(COUNTIF(B$2:B700,B700),"000"))</f>
        <v/>
      </c>
      <c r="B700" s="229"/>
      <c r="C700" s="229"/>
      <c r="D700" s="229"/>
      <c r="E700" s="230"/>
      <c r="F700" s="231"/>
      <c r="G700" s="228"/>
      <c r="H700" s="232"/>
      <c r="I700" s="233"/>
      <c r="J700" s="233"/>
      <c r="K700" s="229"/>
      <c r="L700" s="234"/>
      <c r="M700" s="225"/>
      <c r="N700" s="236"/>
      <c r="O700" s="235"/>
      <c r="P700" s="235"/>
      <c r="Q700" s="235"/>
      <c r="R700" s="235" t="str">
        <f t="shared" si="14"/>
        <v/>
      </c>
      <c r="S700" s="229"/>
      <c r="T700" s="228"/>
      <c r="U700" s="213"/>
    </row>
    <row r="701" spans="1:21" ht="23.25" customHeight="1" x14ac:dyDescent="0.25">
      <c r="A701" s="219" t="str">
        <f>IF(B701="","",B701&amp;"-"&amp;TEXT(COUNTIF(B$2:B701,B701),"000"))</f>
        <v/>
      </c>
      <c r="B701" s="220"/>
      <c r="C701" s="229"/>
      <c r="D701" s="220"/>
      <c r="E701" s="221"/>
      <c r="F701" s="222"/>
      <c r="G701" s="219"/>
      <c r="H701" s="223"/>
      <c r="I701" s="224"/>
      <c r="J701" s="224"/>
      <c r="K701" s="220"/>
      <c r="L701" s="234"/>
      <c r="M701" s="225"/>
      <c r="N701" s="226"/>
      <c r="O701" s="227"/>
      <c r="P701" s="227"/>
      <c r="Q701" s="227"/>
      <c r="R701" s="227" t="str">
        <f t="shared" si="14"/>
        <v/>
      </c>
      <c r="S701" s="220"/>
      <c r="T701" s="219"/>
      <c r="U701" s="213"/>
    </row>
    <row r="702" spans="1:21" ht="23.25" customHeight="1" x14ac:dyDescent="0.25">
      <c r="A702" s="228" t="str">
        <f>IF(B702="","",B702&amp;"-"&amp;TEXT(COUNTIF(B$2:B702,B702),"000"))</f>
        <v/>
      </c>
      <c r="B702" s="229"/>
      <c r="C702" s="229"/>
      <c r="D702" s="229"/>
      <c r="E702" s="230"/>
      <c r="F702" s="231"/>
      <c r="G702" s="228"/>
      <c r="H702" s="232"/>
      <c r="I702" s="233"/>
      <c r="J702" s="233"/>
      <c r="K702" s="229"/>
      <c r="L702" s="234"/>
      <c r="M702" s="225"/>
      <c r="N702" s="236"/>
      <c r="O702" s="235"/>
      <c r="P702" s="235"/>
      <c r="Q702" s="235"/>
      <c r="R702" s="235" t="str">
        <f t="shared" si="14"/>
        <v/>
      </c>
      <c r="S702" s="229"/>
      <c r="T702" s="228"/>
      <c r="U702" s="213"/>
    </row>
    <row r="703" spans="1:21" ht="23.25" customHeight="1" x14ac:dyDescent="0.25">
      <c r="A703" s="219" t="str">
        <f>IF(B703="","",B703&amp;"-"&amp;TEXT(COUNTIF(B$2:B703,B703),"000"))</f>
        <v/>
      </c>
      <c r="B703" s="220"/>
      <c r="C703" s="229"/>
      <c r="D703" s="220"/>
      <c r="E703" s="221"/>
      <c r="F703" s="222"/>
      <c r="G703" s="219"/>
      <c r="H703" s="223"/>
      <c r="I703" s="224"/>
      <c r="J703" s="224"/>
      <c r="K703" s="220"/>
      <c r="L703" s="234"/>
      <c r="M703" s="225"/>
      <c r="N703" s="226"/>
      <c r="O703" s="227"/>
      <c r="P703" s="227"/>
      <c r="Q703" s="227"/>
      <c r="R703" s="227" t="str">
        <f t="shared" si="14"/>
        <v/>
      </c>
      <c r="S703" s="220"/>
      <c r="T703" s="219"/>
      <c r="U703" s="213"/>
    </row>
    <row r="704" spans="1:21" ht="23.25" customHeight="1" x14ac:dyDescent="0.25">
      <c r="A704" s="228" t="str">
        <f>IF(B704="","",B704&amp;"-"&amp;TEXT(COUNTIF(B$2:B704,B704),"000"))</f>
        <v/>
      </c>
      <c r="B704" s="229"/>
      <c r="C704" s="229"/>
      <c r="D704" s="229"/>
      <c r="E704" s="230"/>
      <c r="F704" s="231"/>
      <c r="G704" s="228"/>
      <c r="H704" s="232"/>
      <c r="I704" s="233"/>
      <c r="J704" s="233"/>
      <c r="K704" s="229"/>
      <c r="L704" s="234"/>
      <c r="M704" s="225"/>
      <c r="N704" s="236"/>
      <c r="O704" s="235"/>
      <c r="P704" s="235"/>
      <c r="Q704" s="235"/>
      <c r="R704" s="235" t="str">
        <f t="shared" si="14"/>
        <v/>
      </c>
      <c r="S704" s="229"/>
      <c r="T704" s="228"/>
      <c r="U704" s="213"/>
    </row>
    <row r="705" spans="1:21" ht="23.25" customHeight="1" x14ac:dyDescent="0.25">
      <c r="A705" s="219" t="str">
        <f>IF(B705="","",B705&amp;"-"&amp;TEXT(COUNTIF(B$2:B705,B705),"000"))</f>
        <v/>
      </c>
      <c r="B705" s="220"/>
      <c r="C705" s="229"/>
      <c r="D705" s="220"/>
      <c r="E705" s="221"/>
      <c r="F705" s="222"/>
      <c r="G705" s="219"/>
      <c r="H705" s="223"/>
      <c r="I705" s="224"/>
      <c r="J705" s="224"/>
      <c r="K705" s="220"/>
      <c r="L705" s="234"/>
      <c r="M705" s="225"/>
      <c r="N705" s="226"/>
      <c r="O705" s="227"/>
      <c r="P705" s="227"/>
      <c r="Q705" s="227"/>
      <c r="R705" s="227" t="str">
        <f t="shared" si="14"/>
        <v/>
      </c>
      <c r="S705" s="220"/>
      <c r="T705" s="219"/>
      <c r="U705" s="213"/>
    </row>
    <row r="706" spans="1:21" ht="23.25" customHeight="1" x14ac:dyDescent="0.25">
      <c r="A706" s="228" t="str">
        <f>IF(B706="","",B706&amp;"-"&amp;TEXT(COUNTIF(B$2:B706,B706),"000"))</f>
        <v/>
      </c>
      <c r="B706" s="229"/>
      <c r="C706" s="229"/>
      <c r="D706" s="229"/>
      <c r="E706" s="230"/>
      <c r="F706" s="231"/>
      <c r="G706" s="228"/>
      <c r="H706" s="232"/>
      <c r="I706" s="233"/>
      <c r="J706" s="233"/>
      <c r="K706" s="229"/>
      <c r="L706" s="234"/>
      <c r="M706" s="225"/>
      <c r="N706" s="236"/>
      <c r="O706" s="235"/>
      <c r="P706" s="235"/>
      <c r="Q706" s="235"/>
      <c r="R706" s="235" t="str">
        <f t="shared" si="14"/>
        <v/>
      </c>
      <c r="S706" s="229"/>
      <c r="T706" s="228"/>
      <c r="U706" s="213"/>
    </row>
    <row r="707" spans="1:21" ht="23.25" customHeight="1" x14ac:dyDescent="0.25">
      <c r="A707" s="219" t="str">
        <f>IF(B707="","",B707&amp;"-"&amp;TEXT(COUNTIF(B$2:B707,B707),"000"))</f>
        <v/>
      </c>
      <c r="B707" s="220"/>
      <c r="C707" s="229"/>
      <c r="D707" s="220"/>
      <c r="E707" s="221"/>
      <c r="F707" s="222"/>
      <c r="G707" s="219"/>
      <c r="H707" s="223"/>
      <c r="I707" s="224"/>
      <c r="J707" s="224"/>
      <c r="K707" s="220"/>
      <c r="L707" s="234"/>
      <c r="M707" s="225"/>
      <c r="N707" s="226"/>
      <c r="O707" s="227"/>
      <c r="P707" s="227"/>
      <c r="Q707" s="227"/>
      <c r="R707" s="227" t="str">
        <f t="shared" si="14"/>
        <v/>
      </c>
      <c r="S707" s="220"/>
      <c r="T707" s="219"/>
      <c r="U707" s="213"/>
    </row>
    <row r="708" spans="1:21" ht="23.25" customHeight="1" x14ac:dyDescent="0.25">
      <c r="A708" s="228" t="str">
        <f>IF(B708="","",B708&amp;"-"&amp;TEXT(COUNTIF(B$2:B708,B708),"000"))</f>
        <v/>
      </c>
      <c r="B708" s="229"/>
      <c r="C708" s="229"/>
      <c r="D708" s="229"/>
      <c r="E708" s="230"/>
      <c r="F708" s="231"/>
      <c r="G708" s="228"/>
      <c r="H708" s="232"/>
      <c r="I708" s="233"/>
      <c r="J708" s="233"/>
      <c r="K708" s="229"/>
      <c r="L708" s="234"/>
      <c r="M708" s="225"/>
      <c r="N708" s="236"/>
      <c r="O708" s="235"/>
      <c r="P708" s="235"/>
      <c r="Q708" s="235"/>
      <c r="R708" s="235" t="str">
        <f t="shared" si="14"/>
        <v/>
      </c>
      <c r="S708" s="229"/>
      <c r="T708" s="228"/>
      <c r="U708" s="213"/>
    </row>
    <row r="709" spans="1:21" ht="23.25" customHeight="1" x14ac:dyDescent="0.25">
      <c r="A709" s="219" t="str">
        <f>IF(B709="","",B709&amp;"-"&amp;TEXT(COUNTIF(B$2:B709,B709),"000"))</f>
        <v/>
      </c>
      <c r="B709" s="220"/>
      <c r="C709" s="229"/>
      <c r="D709" s="220"/>
      <c r="E709" s="221"/>
      <c r="F709" s="222"/>
      <c r="G709" s="219"/>
      <c r="H709" s="223"/>
      <c r="I709" s="224"/>
      <c r="J709" s="224"/>
      <c r="K709" s="220"/>
      <c r="L709" s="234"/>
      <c r="M709" s="225"/>
      <c r="N709" s="226"/>
      <c r="O709" s="227"/>
      <c r="P709" s="227"/>
      <c r="Q709" s="227"/>
      <c r="R709" s="227" t="str">
        <f t="shared" si="14"/>
        <v/>
      </c>
      <c r="S709" s="220"/>
      <c r="T709" s="219"/>
      <c r="U709" s="213"/>
    </row>
    <row r="710" spans="1:21" ht="23.25" customHeight="1" x14ac:dyDescent="0.25">
      <c r="A710" s="228" t="str">
        <f>IF(B710="","",B710&amp;"-"&amp;TEXT(COUNTIF(B$2:B710,B710),"000"))</f>
        <v/>
      </c>
      <c r="B710" s="229"/>
      <c r="C710" s="229"/>
      <c r="D710" s="229"/>
      <c r="E710" s="230"/>
      <c r="F710" s="231"/>
      <c r="G710" s="228"/>
      <c r="H710" s="232"/>
      <c r="I710" s="233"/>
      <c r="J710" s="233"/>
      <c r="K710" s="229"/>
      <c r="L710" s="234"/>
      <c r="M710" s="225"/>
      <c r="N710" s="236"/>
      <c r="O710" s="235"/>
      <c r="P710" s="235"/>
      <c r="Q710" s="235"/>
      <c r="R710" s="235" t="str">
        <f t="shared" si="14"/>
        <v/>
      </c>
      <c r="S710" s="229"/>
      <c r="T710" s="228"/>
      <c r="U710" s="213"/>
    </row>
    <row r="711" spans="1:21" ht="23.25" customHeight="1" x14ac:dyDescent="0.25">
      <c r="A711" s="219" t="str">
        <f>IF(B711="","",B711&amp;"-"&amp;TEXT(COUNTIF(B$2:B711,B711),"000"))</f>
        <v/>
      </c>
      <c r="B711" s="220"/>
      <c r="C711" s="229"/>
      <c r="D711" s="220"/>
      <c r="E711" s="221"/>
      <c r="F711" s="222"/>
      <c r="G711" s="219"/>
      <c r="H711" s="223"/>
      <c r="I711" s="224"/>
      <c r="J711" s="224"/>
      <c r="K711" s="220"/>
      <c r="L711" s="234"/>
      <c r="M711" s="225"/>
      <c r="N711" s="226"/>
      <c r="O711" s="227"/>
      <c r="P711" s="227"/>
      <c r="Q711" s="227"/>
      <c r="R711" s="227" t="str">
        <f t="shared" si="14"/>
        <v/>
      </c>
      <c r="S711" s="220"/>
      <c r="T711" s="219"/>
      <c r="U711" s="213"/>
    </row>
    <row r="712" spans="1:21" ht="23.25" customHeight="1" x14ac:dyDescent="0.25">
      <c r="A712" s="228" t="str">
        <f>IF(B712="","",B712&amp;"-"&amp;TEXT(COUNTIF(B$2:B712,B712),"000"))</f>
        <v/>
      </c>
      <c r="B712" s="229"/>
      <c r="C712" s="229"/>
      <c r="D712" s="229"/>
      <c r="E712" s="230"/>
      <c r="F712" s="231"/>
      <c r="G712" s="228"/>
      <c r="H712" s="232"/>
      <c r="I712" s="233"/>
      <c r="J712" s="233"/>
      <c r="K712" s="229"/>
      <c r="L712" s="234"/>
      <c r="M712" s="225"/>
      <c r="N712" s="236"/>
      <c r="O712" s="235"/>
      <c r="P712" s="235"/>
      <c r="Q712" s="235"/>
      <c r="R712" s="235" t="str">
        <f t="shared" si="14"/>
        <v/>
      </c>
      <c r="S712" s="229"/>
      <c r="T712" s="228"/>
      <c r="U712" s="213"/>
    </row>
    <row r="713" spans="1:21" ht="23.25" customHeight="1" x14ac:dyDescent="0.25">
      <c r="A713" s="219" t="str">
        <f>IF(B713="","",B713&amp;"-"&amp;TEXT(COUNTIF(B$2:B713,B713),"000"))</f>
        <v/>
      </c>
      <c r="B713" s="220"/>
      <c r="C713" s="229"/>
      <c r="D713" s="220"/>
      <c r="E713" s="221"/>
      <c r="F713" s="222"/>
      <c r="G713" s="219"/>
      <c r="H713" s="223"/>
      <c r="I713" s="224"/>
      <c r="J713" s="224"/>
      <c r="K713" s="220"/>
      <c r="L713" s="234"/>
      <c r="M713" s="225"/>
      <c r="N713" s="226"/>
      <c r="O713" s="227"/>
      <c r="P713" s="227"/>
      <c r="Q713" s="227"/>
      <c r="R713" s="227" t="str">
        <f t="shared" si="14"/>
        <v/>
      </c>
      <c r="S713" s="220"/>
      <c r="T713" s="219"/>
      <c r="U713" s="213"/>
    </row>
    <row r="714" spans="1:21" ht="23.25" customHeight="1" x14ac:dyDescent="0.25">
      <c r="A714" s="228" t="str">
        <f>IF(B714="","",B714&amp;"-"&amp;TEXT(COUNTIF(B$2:B714,B714),"000"))</f>
        <v/>
      </c>
      <c r="B714" s="229"/>
      <c r="C714" s="229"/>
      <c r="D714" s="229"/>
      <c r="E714" s="230"/>
      <c r="F714" s="231"/>
      <c r="G714" s="228"/>
      <c r="H714" s="232"/>
      <c r="I714" s="233"/>
      <c r="J714" s="233"/>
      <c r="K714" s="229"/>
      <c r="L714" s="234"/>
      <c r="M714" s="225"/>
      <c r="N714" s="236"/>
      <c r="O714" s="235"/>
      <c r="P714" s="235"/>
      <c r="Q714" s="235"/>
      <c r="R714" s="235" t="str">
        <f t="shared" si="14"/>
        <v/>
      </c>
      <c r="S714" s="229"/>
      <c r="T714" s="228"/>
      <c r="U714" s="213"/>
    </row>
    <row r="715" spans="1:21" ht="23.25" customHeight="1" x14ac:dyDescent="0.25">
      <c r="A715" s="219" t="str">
        <f>IF(B715="","",B715&amp;"-"&amp;TEXT(COUNTIF(B$2:B715,B715),"000"))</f>
        <v/>
      </c>
      <c r="B715" s="220"/>
      <c r="C715" s="229"/>
      <c r="D715" s="220"/>
      <c r="E715" s="221"/>
      <c r="F715" s="222"/>
      <c r="G715" s="219"/>
      <c r="H715" s="223"/>
      <c r="I715" s="224"/>
      <c r="J715" s="224"/>
      <c r="K715" s="220"/>
      <c r="L715" s="234"/>
      <c r="M715" s="225"/>
      <c r="N715" s="226"/>
      <c r="O715" s="227"/>
      <c r="P715" s="227"/>
      <c r="Q715" s="227"/>
      <c r="R715" s="227" t="str">
        <f t="shared" si="14"/>
        <v/>
      </c>
      <c r="S715" s="220"/>
      <c r="T715" s="219"/>
      <c r="U715" s="213"/>
    </row>
    <row r="716" spans="1:21" ht="23.25" customHeight="1" x14ac:dyDescent="0.25">
      <c r="A716" s="228" t="str">
        <f>IF(B716="","",B716&amp;"-"&amp;TEXT(COUNTIF(B$2:B716,B716),"000"))</f>
        <v/>
      </c>
      <c r="B716" s="229"/>
      <c r="C716" s="229"/>
      <c r="D716" s="229"/>
      <c r="E716" s="230"/>
      <c r="F716" s="231"/>
      <c r="G716" s="228"/>
      <c r="H716" s="232"/>
      <c r="I716" s="233"/>
      <c r="J716" s="233"/>
      <c r="K716" s="229"/>
      <c r="L716" s="234"/>
      <c r="M716" s="225"/>
      <c r="N716" s="236"/>
      <c r="O716" s="235"/>
      <c r="P716" s="235"/>
      <c r="Q716" s="235"/>
      <c r="R716" s="235" t="str">
        <f t="shared" si="14"/>
        <v/>
      </c>
      <c r="S716" s="229"/>
      <c r="T716" s="228"/>
      <c r="U716" s="213"/>
    </row>
    <row r="717" spans="1:21" ht="23.25" customHeight="1" x14ac:dyDescent="0.25">
      <c r="A717" s="219" t="str">
        <f>IF(B717="","",B717&amp;"-"&amp;TEXT(COUNTIF(B$2:B717,B717),"000"))</f>
        <v/>
      </c>
      <c r="B717" s="220"/>
      <c r="C717" s="229"/>
      <c r="D717" s="220"/>
      <c r="E717" s="221"/>
      <c r="F717" s="222"/>
      <c r="G717" s="219"/>
      <c r="H717" s="223"/>
      <c r="I717" s="224"/>
      <c r="J717" s="224"/>
      <c r="K717" s="220"/>
      <c r="L717" s="234"/>
      <c r="M717" s="225"/>
      <c r="N717" s="226"/>
      <c r="O717" s="227"/>
      <c r="P717" s="227"/>
      <c r="Q717" s="227"/>
      <c r="R717" s="227" t="str">
        <f t="shared" si="14"/>
        <v/>
      </c>
      <c r="S717" s="220"/>
      <c r="T717" s="219"/>
      <c r="U717" s="213"/>
    </row>
    <row r="718" spans="1:21" ht="23.25" customHeight="1" x14ac:dyDescent="0.25">
      <c r="A718" s="228" t="str">
        <f>IF(B718="","",B718&amp;"-"&amp;TEXT(COUNTIF(B$2:B718,B718),"000"))</f>
        <v/>
      </c>
      <c r="B718" s="229"/>
      <c r="C718" s="229"/>
      <c r="D718" s="229"/>
      <c r="E718" s="230"/>
      <c r="F718" s="231"/>
      <c r="G718" s="228"/>
      <c r="H718" s="232"/>
      <c r="I718" s="233"/>
      <c r="J718" s="233"/>
      <c r="K718" s="229"/>
      <c r="L718" s="234"/>
      <c r="M718" s="225"/>
      <c r="N718" s="236"/>
      <c r="O718" s="235"/>
      <c r="P718" s="235"/>
      <c r="Q718" s="235"/>
      <c r="R718" s="235" t="str">
        <f t="shared" si="14"/>
        <v/>
      </c>
      <c r="S718" s="229"/>
      <c r="T718" s="228"/>
      <c r="U718" s="213"/>
    </row>
    <row r="719" spans="1:21" ht="23.25" customHeight="1" x14ac:dyDescent="0.25">
      <c r="A719" s="219" t="str">
        <f>IF(B719="","",B719&amp;"-"&amp;TEXT(COUNTIF(B$2:B719,B719),"000"))</f>
        <v/>
      </c>
      <c r="B719" s="220"/>
      <c r="C719" s="229"/>
      <c r="D719" s="220"/>
      <c r="E719" s="221"/>
      <c r="F719" s="222"/>
      <c r="G719" s="219"/>
      <c r="H719" s="223"/>
      <c r="I719" s="224"/>
      <c r="J719" s="224"/>
      <c r="K719" s="220"/>
      <c r="L719" s="234"/>
      <c r="M719" s="225"/>
      <c r="N719" s="226"/>
      <c r="O719" s="227"/>
      <c r="P719" s="227"/>
      <c r="Q719" s="227"/>
      <c r="R719" s="227" t="str">
        <f t="shared" si="14"/>
        <v/>
      </c>
      <c r="S719" s="220"/>
      <c r="T719" s="219"/>
      <c r="U719" s="213"/>
    </row>
    <row r="720" spans="1:21" ht="23.25" customHeight="1" x14ac:dyDescent="0.25">
      <c r="A720" s="228" t="str">
        <f>IF(B720="","",B720&amp;"-"&amp;TEXT(COUNTIF(B$2:B720,B720),"000"))</f>
        <v/>
      </c>
      <c r="B720" s="229"/>
      <c r="C720" s="229"/>
      <c r="D720" s="229"/>
      <c r="E720" s="230"/>
      <c r="F720" s="231"/>
      <c r="G720" s="228"/>
      <c r="H720" s="232"/>
      <c r="I720" s="233"/>
      <c r="J720" s="233"/>
      <c r="K720" s="229"/>
      <c r="L720" s="234"/>
      <c r="M720" s="225"/>
      <c r="N720" s="236"/>
      <c r="O720" s="235"/>
      <c r="P720" s="235"/>
      <c r="Q720" s="235"/>
      <c r="R720" s="235" t="str">
        <f t="shared" si="14"/>
        <v/>
      </c>
      <c r="S720" s="229"/>
      <c r="T720" s="228"/>
      <c r="U720" s="213"/>
    </row>
    <row r="721" spans="1:21" ht="23.25" customHeight="1" x14ac:dyDescent="0.25">
      <c r="A721" s="219" t="str">
        <f>IF(B721="","",B721&amp;"-"&amp;TEXT(COUNTIF(B$2:B721,B721),"000"))</f>
        <v/>
      </c>
      <c r="B721" s="220"/>
      <c r="C721" s="229"/>
      <c r="D721" s="220"/>
      <c r="E721" s="221"/>
      <c r="F721" s="222"/>
      <c r="G721" s="219"/>
      <c r="H721" s="223"/>
      <c r="I721" s="224"/>
      <c r="J721" s="224"/>
      <c r="K721" s="220"/>
      <c r="L721" s="234"/>
      <c r="M721" s="225"/>
      <c r="N721" s="226"/>
      <c r="O721" s="227"/>
      <c r="P721" s="227"/>
      <c r="Q721" s="227"/>
      <c r="R721" s="227" t="str">
        <f t="shared" si="14"/>
        <v/>
      </c>
      <c r="S721" s="220"/>
      <c r="T721" s="219"/>
      <c r="U721" s="213"/>
    </row>
    <row r="722" spans="1:21" ht="23.25" customHeight="1" x14ac:dyDescent="0.25">
      <c r="A722" s="228" t="str">
        <f>IF(B722="","",B722&amp;"-"&amp;TEXT(COUNTIF(B$2:B722,B722),"000"))</f>
        <v/>
      </c>
      <c r="B722" s="229"/>
      <c r="C722" s="229"/>
      <c r="D722" s="229"/>
      <c r="E722" s="230"/>
      <c r="F722" s="231"/>
      <c r="G722" s="228"/>
      <c r="H722" s="232"/>
      <c r="I722" s="233"/>
      <c r="J722" s="233"/>
      <c r="K722" s="229"/>
      <c r="L722" s="234"/>
      <c r="M722" s="225"/>
      <c r="N722" s="236"/>
      <c r="O722" s="235"/>
      <c r="P722" s="235"/>
      <c r="Q722" s="235"/>
      <c r="R722" s="235" t="str">
        <f t="shared" si="14"/>
        <v/>
      </c>
      <c r="S722" s="229"/>
      <c r="T722" s="228"/>
      <c r="U722" s="213"/>
    </row>
    <row r="723" spans="1:21" ht="23.25" customHeight="1" x14ac:dyDescent="0.25">
      <c r="A723" s="219" t="str">
        <f>IF(B723="","",B723&amp;"-"&amp;TEXT(COUNTIF(B$2:B723,B723),"000"))</f>
        <v/>
      </c>
      <c r="B723" s="220"/>
      <c r="C723" s="229"/>
      <c r="D723" s="220"/>
      <c r="E723" s="221"/>
      <c r="F723" s="222"/>
      <c r="G723" s="219"/>
      <c r="H723" s="223"/>
      <c r="I723" s="224"/>
      <c r="J723" s="224"/>
      <c r="K723" s="220"/>
      <c r="L723" s="234"/>
      <c r="M723" s="225"/>
      <c r="N723" s="226"/>
      <c r="O723" s="227"/>
      <c r="P723" s="227"/>
      <c r="Q723" s="227"/>
      <c r="R723" s="227" t="str">
        <f t="shared" si="14"/>
        <v/>
      </c>
      <c r="S723" s="220"/>
      <c r="T723" s="219"/>
      <c r="U723" s="213"/>
    </row>
    <row r="724" spans="1:21" ht="23.25" customHeight="1" x14ac:dyDescent="0.25">
      <c r="A724" s="228" t="str">
        <f>IF(B724="","",B724&amp;"-"&amp;TEXT(COUNTIF(B$2:B724,B724),"000"))</f>
        <v/>
      </c>
      <c r="B724" s="229"/>
      <c r="C724" s="229"/>
      <c r="D724" s="229"/>
      <c r="E724" s="230"/>
      <c r="F724" s="231"/>
      <c r="G724" s="228"/>
      <c r="H724" s="232"/>
      <c r="I724" s="233"/>
      <c r="J724" s="233"/>
      <c r="K724" s="229"/>
      <c r="L724" s="234"/>
      <c r="M724" s="225"/>
      <c r="N724" s="236"/>
      <c r="O724" s="235"/>
      <c r="P724" s="235"/>
      <c r="Q724" s="235"/>
      <c r="R724" s="235" t="str">
        <f t="shared" si="14"/>
        <v/>
      </c>
      <c r="S724" s="229"/>
      <c r="T724" s="228"/>
      <c r="U724" s="213"/>
    </row>
    <row r="725" spans="1:21" ht="23.25" customHeight="1" x14ac:dyDescent="0.25">
      <c r="A725" s="219" t="str">
        <f>IF(B725="","",B725&amp;"-"&amp;TEXT(COUNTIF(B$2:B725,B725),"000"))</f>
        <v/>
      </c>
      <c r="B725" s="220"/>
      <c r="C725" s="229"/>
      <c r="D725" s="220"/>
      <c r="E725" s="221"/>
      <c r="F725" s="222"/>
      <c r="G725" s="219"/>
      <c r="H725" s="223"/>
      <c r="I725" s="224"/>
      <c r="J725" s="224"/>
      <c r="K725" s="220"/>
      <c r="L725" s="234"/>
      <c r="M725" s="225"/>
      <c r="N725" s="226"/>
      <c r="O725" s="227"/>
      <c r="P725" s="227"/>
      <c r="Q725" s="227"/>
      <c r="R725" s="227" t="str">
        <f t="shared" si="14"/>
        <v/>
      </c>
      <c r="S725" s="220"/>
      <c r="T725" s="219"/>
      <c r="U725" s="213"/>
    </row>
    <row r="726" spans="1:21" ht="23.25" customHeight="1" x14ac:dyDescent="0.25">
      <c r="A726" s="228" t="str">
        <f>IF(B726="","",B726&amp;"-"&amp;TEXT(COUNTIF(B$2:B726,B726),"000"))</f>
        <v/>
      </c>
      <c r="B726" s="229"/>
      <c r="C726" s="229"/>
      <c r="D726" s="229"/>
      <c r="E726" s="230"/>
      <c r="F726" s="231"/>
      <c r="G726" s="228"/>
      <c r="H726" s="232"/>
      <c r="I726" s="233"/>
      <c r="J726" s="233"/>
      <c r="K726" s="229"/>
      <c r="L726" s="234"/>
      <c r="M726" s="225"/>
      <c r="N726" s="236"/>
      <c r="O726" s="235"/>
      <c r="P726" s="235"/>
      <c r="Q726" s="235"/>
      <c r="R726" s="235" t="str">
        <f t="shared" si="14"/>
        <v/>
      </c>
      <c r="S726" s="229"/>
      <c r="T726" s="228"/>
      <c r="U726" s="213"/>
    </row>
    <row r="727" spans="1:21" ht="23.25" customHeight="1" x14ac:dyDescent="0.25">
      <c r="A727" s="219" t="str">
        <f>IF(B727="","",B727&amp;"-"&amp;TEXT(COUNTIF(B$2:B727,B727),"000"))</f>
        <v/>
      </c>
      <c r="B727" s="220"/>
      <c r="C727" s="229"/>
      <c r="D727" s="220"/>
      <c r="E727" s="221"/>
      <c r="F727" s="222"/>
      <c r="G727" s="219"/>
      <c r="H727" s="223"/>
      <c r="I727" s="224"/>
      <c r="J727" s="224"/>
      <c r="K727" s="220"/>
      <c r="L727" s="234"/>
      <c r="M727" s="225"/>
      <c r="N727" s="226"/>
      <c r="O727" s="227"/>
      <c r="P727" s="227"/>
      <c r="Q727" s="227"/>
      <c r="R727" s="227" t="str">
        <f t="shared" si="14"/>
        <v/>
      </c>
      <c r="S727" s="220"/>
      <c r="T727" s="219"/>
      <c r="U727" s="213"/>
    </row>
    <row r="728" spans="1:21" ht="23.25" customHeight="1" x14ac:dyDescent="0.25">
      <c r="A728" s="228" t="str">
        <f>IF(B728="","",B728&amp;"-"&amp;TEXT(COUNTIF(B$2:B728,B728),"000"))</f>
        <v/>
      </c>
      <c r="B728" s="229"/>
      <c r="C728" s="229"/>
      <c r="D728" s="229"/>
      <c r="E728" s="230"/>
      <c r="F728" s="231"/>
      <c r="G728" s="228"/>
      <c r="H728" s="232"/>
      <c r="I728" s="233"/>
      <c r="J728" s="233"/>
      <c r="K728" s="229"/>
      <c r="L728" s="234"/>
      <c r="M728" s="225"/>
      <c r="N728" s="236"/>
      <c r="O728" s="235"/>
      <c r="P728" s="235"/>
      <c r="Q728" s="235"/>
      <c r="R728" s="235" t="str">
        <f t="shared" si="14"/>
        <v/>
      </c>
      <c r="S728" s="229"/>
      <c r="T728" s="228"/>
      <c r="U728" s="213"/>
    </row>
    <row r="729" spans="1:21" ht="23.25" customHeight="1" x14ac:dyDescent="0.25">
      <c r="A729" s="219" t="str">
        <f>IF(B729="","",B729&amp;"-"&amp;TEXT(COUNTIF(B$2:B729,B729),"000"))</f>
        <v/>
      </c>
      <c r="B729" s="220"/>
      <c r="C729" s="229"/>
      <c r="D729" s="220"/>
      <c r="E729" s="221"/>
      <c r="F729" s="222"/>
      <c r="G729" s="219"/>
      <c r="H729" s="223"/>
      <c r="I729" s="224"/>
      <c r="J729" s="224"/>
      <c r="K729" s="220"/>
      <c r="L729" s="234"/>
      <c r="M729" s="225"/>
      <c r="N729" s="226"/>
      <c r="O729" s="227"/>
      <c r="P729" s="227"/>
      <c r="Q729" s="227"/>
      <c r="R729" s="227" t="str">
        <f t="shared" si="14"/>
        <v/>
      </c>
      <c r="S729" s="220"/>
      <c r="T729" s="219"/>
      <c r="U729" s="213"/>
    </row>
    <row r="730" spans="1:21" ht="23.25" customHeight="1" x14ac:dyDescent="0.25">
      <c r="A730" s="228" t="str">
        <f>IF(B730="","",B730&amp;"-"&amp;TEXT(COUNTIF(B$2:B730,B730),"000"))</f>
        <v/>
      </c>
      <c r="B730" s="229"/>
      <c r="C730" s="229"/>
      <c r="D730" s="229"/>
      <c r="E730" s="230"/>
      <c r="F730" s="231"/>
      <c r="G730" s="228"/>
      <c r="H730" s="232"/>
      <c r="I730" s="233"/>
      <c r="J730" s="233"/>
      <c r="K730" s="229"/>
      <c r="L730" s="234"/>
      <c r="M730" s="225"/>
      <c r="N730" s="236"/>
      <c r="O730" s="235"/>
      <c r="P730" s="235"/>
      <c r="Q730" s="235"/>
      <c r="R730" s="235" t="str">
        <f t="shared" si="14"/>
        <v/>
      </c>
      <c r="S730" s="229"/>
      <c r="T730" s="228"/>
      <c r="U730" s="213"/>
    </row>
    <row r="731" spans="1:21" ht="23.25" customHeight="1" x14ac:dyDescent="0.25">
      <c r="A731" s="219" t="str">
        <f>IF(B731="","",B731&amp;"-"&amp;TEXT(COUNTIF(B$2:B731,B731),"000"))</f>
        <v/>
      </c>
      <c r="B731" s="220"/>
      <c r="C731" s="229"/>
      <c r="D731" s="220"/>
      <c r="E731" s="221"/>
      <c r="F731" s="222"/>
      <c r="G731" s="219"/>
      <c r="H731" s="223"/>
      <c r="I731" s="224"/>
      <c r="J731" s="224"/>
      <c r="K731" s="220"/>
      <c r="L731" s="234"/>
      <c r="M731" s="225"/>
      <c r="N731" s="226"/>
      <c r="O731" s="227"/>
      <c r="P731" s="227"/>
      <c r="Q731" s="227"/>
      <c r="R731" s="227" t="str">
        <f t="shared" si="14"/>
        <v/>
      </c>
      <c r="S731" s="220"/>
      <c r="T731" s="219"/>
      <c r="U731" s="213"/>
    </row>
    <row r="732" spans="1:21" ht="23.25" customHeight="1" x14ac:dyDescent="0.25">
      <c r="A732" s="228" t="str">
        <f>IF(B732="","",B732&amp;"-"&amp;TEXT(COUNTIF(B$2:B732,B732),"000"))</f>
        <v/>
      </c>
      <c r="B732" s="229"/>
      <c r="C732" s="229"/>
      <c r="D732" s="229"/>
      <c r="E732" s="230"/>
      <c r="F732" s="231"/>
      <c r="G732" s="228"/>
      <c r="H732" s="232"/>
      <c r="I732" s="233"/>
      <c r="J732" s="233"/>
      <c r="K732" s="229"/>
      <c r="L732" s="234"/>
      <c r="M732" s="225"/>
      <c r="N732" s="236"/>
      <c r="O732" s="235"/>
      <c r="P732" s="235"/>
      <c r="Q732" s="235"/>
      <c r="R732" s="235" t="str">
        <f t="shared" si="14"/>
        <v/>
      </c>
      <c r="S732" s="229"/>
      <c r="T732" s="228"/>
      <c r="U732" s="213"/>
    </row>
    <row r="733" spans="1:21" ht="23.25" customHeight="1" x14ac:dyDescent="0.25">
      <c r="A733" s="219" t="str">
        <f>IF(B733="","",B733&amp;"-"&amp;TEXT(COUNTIF(B$2:B733,B733),"000"))</f>
        <v/>
      </c>
      <c r="B733" s="220"/>
      <c r="C733" s="229"/>
      <c r="D733" s="220"/>
      <c r="E733" s="221"/>
      <c r="F733" s="222"/>
      <c r="G733" s="219"/>
      <c r="H733" s="223"/>
      <c r="I733" s="224"/>
      <c r="J733" s="224"/>
      <c r="K733" s="220"/>
      <c r="L733" s="234"/>
      <c r="M733" s="225"/>
      <c r="N733" s="226"/>
      <c r="O733" s="227"/>
      <c r="P733" s="227"/>
      <c r="Q733" s="227"/>
      <c r="R733" s="227" t="str">
        <f t="shared" si="14"/>
        <v/>
      </c>
      <c r="S733" s="220"/>
      <c r="T733" s="219"/>
      <c r="U733" s="213"/>
    </row>
    <row r="734" spans="1:21" ht="23.25" customHeight="1" x14ac:dyDescent="0.25">
      <c r="A734" s="228" t="str">
        <f>IF(B734="","",B734&amp;"-"&amp;TEXT(COUNTIF(B$2:B734,B734),"000"))</f>
        <v/>
      </c>
      <c r="B734" s="229"/>
      <c r="C734" s="229"/>
      <c r="D734" s="229"/>
      <c r="E734" s="230"/>
      <c r="F734" s="231"/>
      <c r="G734" s="228"/>
      <c r="H734" s="232"/>
      <c r="I734" s="233"/>
      <c r="J734" s="233"/>
      <c r="K734" s="229"/>
      <c r="L734" s="234"/>
      <c r="M734" s="225"/>
      <c r="N734" s="236"/>
      <c r="O734" s="235"/>
      <c r="P734" s="235"/>
      <c r="Q734" s="235"/>
      <c r="R734" s="235" t="str">
        <f t="shared" si="14"/>
        <v/>
      </c>
      <c r="S734" s="229"/>
      <c r="T734" s="228"/>
      <c r="U734" s="213"/>
    </row>
    <row r="735" spans="1:21" ht="23.25" customHeight="1" x14ac:dyDescent="0.25">
      <c r="A735" s="219" t="str">
        <f>IF(B735="","",B735&amp;"-"&amp;TEXT(COUNTIF(B$2:B735,B735),"000"))</f>
        <v/>
      </c>
      <c r="B735" s="220"/>
      <c r="C735" s="229"/>
      <c r="D735" s="220"/>
      <c r="E735" s="221"/>
      <c r="F735" s="222"/>
      <c r="G735" s="219"/>
      <c r="H735" s="223"/>
      <c r="I735" s="224"/>
      <c r="J735" s="224"/>
      <c r="K735" s="220"/>
      <c r="L735" s="234"/>
      <c r="M735" s="225"/>
      <c r="N735" s="226"/>
      <c r="O735" s="227"/>
      <c r="P735" s="227"/>
      <c r="Q735" s="227"/>
      <c r="R735" s="227" t="str">
        <f t="shared" si="14"/>
        <v/>
      </c>
      <c r="S735" s="220"/>
      <c r="T735" s="219"/>
      <c r="U735" s="213"/>
    </row>
    <row r="736" spans="1:21" ht="23.25" customHeight="1" x14ac:dyDescent="0.25">
      <c r="A736" s="228" t="str">
        <f>IF(B736="","",B736&amp;"-"&amp;TEXT(COUNTIF(B$2:B736,B736),"000"))</f>
        <v/>
      </c>
      <c r="B736" s="229"/>
      <c r="C736" s="229"/>
      <c r="D736" s="229"/>
      <c r="E736" s="230"/>
      <c r="F736" s="231"/>
      <c r="G736" s="228"/>
      <c r="H736" s="232"/>
      <c r="I736" s="233"/>
      <c r="J736" s="233"/>
      <c r="K736" s="229"/>
      <c r="L736" s="234"/>
      <c r="M736" s="225"/>
      <c r="N736" s="236"/>
      <c r="O736" s="235"/>
      <c r="P736" s="235"/>
      <c r="Q736" s="235"/>
      <c r="R736" s="235" t="str">
        <f t="shared" si="14"/>
        <v/>
      </c>
      <c r="S736" s="229"/>
      <c r="T736" s="228"/>
      <c r="U736" s="213"/>
    </row>
    <row r="737" spans="1:21" ht="23.25" customHeight="1" x14ac:dyDescent="0.25">
      <c r="A737" s="219" t="str">
        <f>IF(B737="","",B737&amp;"-"&amp;TEXT(COUNTIF(B$2:B737,B737),"000"))</f>
        <v/>
      </c>
      <c r="B737" s="220"/>
      <c r="C737" s="229"/>
      <c r="D737" s="220"/>
      <c r="E737" s="221"/>
      <c r="F737" s="222"/>
      <c r="G737" s="219"/>
      <c r="H737" s="223"/>
      <c r="I737" s="224"/>
      <c r="J737" s="224"/>
      <c r="K737" s="220"/>
      <c r="L737" s="234"/>
      <c r="M737" s="225"/>
      <c r="N737" s="226"/>
      <c r="O737" s="227"/>
      <c r="P737" s="227"/>
      <c r="Q737" s="227"/>
      <c r="R737" s="227" t="str">
        <f t="shared" si="14"/>
        <v/>
      </c>
      <c r="S737" s="220"/>
      <c r="T737" s="219"/>
      <c r="U737" s="213"/>
    </row>
    <row r="738" spans="1:21" ht="23.25" customHeight="1" x14ac:dyDescent="0.25">
      <c r="A738" s="228" t="str">
        <f>IF(B738="","",B738&amp;"-"&amp;TEXT(COUNTIF(B$2:B738,B738),"000"))</f>
        <v/>
      </c>
      <c r="B738" s="229"/>
      <c r="C738" s="229"/>
      <c r="D738" s="229"/>
      <c r="E738" s="230"/>
      <c r="F738" s="231"/>
      <c r="G738" s="228"/>
      <c r="H738" s="232"/>
      <c r="I738" s="233"/>
      <c r="J738" s="233"/>
      <c r="K738" s="229"/>
      <c r="L738" s="234"/>
      <c r="M738" s="225"/>
      <c r="N738" s="236"/>
      <c r="O738" s="235"/>
      <c r="P738" s="235"/>
      <c r="Q738" s="235"/>
      <c r="R738" s="235" t="str">
        <f t="shared" si="14"/>
        <v/>
      </c>
      <c r="S738" s="229"/>
      <c r="T738" s="228"/>
      <c r="U738" s="213"/>
    </row>
    <row r="739" spans="1:21" ht="23.25" customHeight="1" x14ac:dyDescent="0.25">
      <c r="A739" s="219" t="str">
        <f>IF(B739="","",B739&amp;"-"&amp;TEXT(COUNTIF(B$2:B739,B739),"000"))</f>
        <v/>
      </c>
      <c r="B739" s="220"/>
      <c r="C739" s="229"/>
      <c r="D739" s="220"/>
      <c r="E739" s="221"/>
      <c r="F739" s="222"/>
      <c r="G739" s="219"/>
      <c r="H739" s="223"/>
      <c r="I739" s="224"/>
      <c r="J739" s="224"/>
      <c r="K739" s="220"/>
      <c r="L739" s="234"/>
      <c r="M739" s="225"/>
      <c r="N739" s="226"/>
      <c r="O739" s="227"/>
      <c r="P739" s="227"/>
      <c r="Q739" s="227"/>
      <c r="R739" s="227" t="str">
        <f t="shared" si="14"/>
        <v/>
      </c>
      <c r="S739" s="220"/>
      <c r="T739" s="219"/>
      <c r="U739" s="213"/>
    </row>
    <row r="740" spans="1:21" ht="23.25" customHeight="1" x14ac:dyDescent="0.25">
      <c r="A740" s="228" t="str">
        <f>IF(B740="","",B740&amp;"-"&amp;TEXT(COUNTIF(B$2:B740,B740),"000"))</f>
        <v/>
      </c>
      <c r="B740" s="229"/>
      <c r="C740" s="229"/>
      <c r="D740" s="229"/>
      <c r="E740" s="230"/>
      <c r="F740" s="231"/>
      <c r="G740" s="228"/>
      <c r="H740" s="232"/>
      <c r="I740" s="233"/>
      <c r="J740" s="233"/>
      <c r="K740" s="229"/>
      <c r="L740" s="234"/>
      <c r="M740" s="225"/>
      <c r="N740" s="236"/>
      <c r="O740" s="235"/>
      <c r="P740" s="235"/>
      <c r="Q740" s="235"/>
      <c r="R740" s="235" t="str">
        <f t="shared" si="14"/>
        <v/>
      </c>
      <c r="S740" s="229"/>
      <c r="T740" s="228"/>
      <c r="U740" s="213"/>
    </row>
    <row r="741" spans="1:21" ht="23.25" customHeight="1" x14ac:dyDescent="0.25">
      <c r="A741" s="219" t="str">
        <f>IF(B741="","",B741&amp;"-"&amp;TEXT(COUNTIF(B$2:B741,B741),"000"))</f>
        <v/>
      </c>
      <c r="B741" s="220"/>
      <c r="C741" s="229"/>
      <c r="D741" s="220"/>
      <c r="E741" s="221"/>
      <c r="F741" s="222"/>
      <c r="G741" s="219"/>
      <c r="H741" s="223"/>
      <c r="I741" s="224"/>
      <c r="J741" s="224"/>
      <c r="K741" s="220"/>
      <c r="L741" s="234"/>
      <c r="M741" s="225"/>
      <c r="N741" s="226"/>
      <c r="O741" s="227"/>
      <c r="P741" s="227"/>
      <c r="Q741" s="227"/>
      <c r="R741" s="227" t="str">
        <f t="shared" si="14"/>
        <v/>
      </c>
      <c r="S741" s="220"/>
      <c r="T741" s="219"/>
      <c r="U741" s="213"/>
    </row>
    <row r="742" spans="1:21" ht="23.25" customHeight="1" x14ac:dyDescent="0.25">
      <c r="A742" s="228" t="str">
        <f>IF(B742="","",B742&amp;"-"&amp;TEXT(COUNTIF(B$2:B742,B742),"000"))</f>
        <v/>
      </c>
      <c r="B742" s="229"/>
      <c r="C742" s="229"/>
      <c r="D742" s="229"/>
      <c r="E742" s="230"/>
      <c r="F742" s="231"/>
      <c r="G742" s="228"/>
      <c r="H742" s="232"/>
      <c r="I742" s="233"/>
      <c r="J742" s="233"/>
      <c r="K742" s="229"/>
      <c r="L742" s="234"/>
      <c r="M742" s="225"/>
      <c r="N742" s="236"/>
      <c r="O742" s="235"/>
      <c r="P742" s="235"/>
      <c r="Q742" s="235"/>
      <c r="R742" s="235" t="str">
        <f t="shared" si="14"/>
        <v/>
      </c>
      <c r="S742" s="229"/>
      <c r="T742" s="228"/>
      <c r="U742" s="213"/>
    </row>
    <row r="743" spans="1:21" ht="23.25" customHeight="1" x14ac:dyDescent="0.25">
      <c r="A743" s="219" t="str">
        <f>IF(B743="","",B743&amp;"-"&amp;TEXT(COUNTIF(B$2:B743,B743),"000"))</f>
        <v/>
      </c>
      <c r="B743" s="220"/>
      <c r="C743" s="229"/>
      <c r="D743" s="220"/>
      <c r="E743" s="221"/>
      <c r="F743" s="222"/>
      <c r="G743" s="219"/>
      <c r="H743" s="223"/>
      <c r="I743" s="224"/>
      <c r="J743" s="224"/>
      <c r="K743" s="220"/>
      <c r="L743" s="234"/>
      <c r="M743" s="225"/>
      <c r="N743" s="226"/>
      <c r="O743" s="227"/>
      <c r="P743" s="227"/>
      <c r="Q743" s="227"/>
      <c r="R743" s="227" t="str">
        <f t="shared" si="14"/>
        <v/>
      </c>
      <c r="S743" s="220"/>
      <c r="T743" s="219"/>
      <c r="U743" s="213"/>
    </row>
    <row r="744" spans="1:21" ht="23.25" customHeight="1" x14ac:dyDescent="0.25">
      <c r="A744" s="228" t="str">
        <f>IF(B744="","",B744&amp;"-"&amp;TEXT(COUNTIF(B$2:B744,B744),"000"))</f>
        <v/>
      </c>
      <c r="B744" s="229"/>
      <c r="C744" s="229"/>
      <c r="D744" s="229"/>
      <c r="E744" s="230"/>
      <c r="F744" s="231"/>
      <c r="G744" s="228"/>
      <c r="H744" s="232"/>
      <c r="I744" s="233"/>
      <c r="J744" s="233"/>
      <c r="K744" s="229"/>
      <c r="L744" s="234"/>
      <c r="M744" s="225"/>
      <c r="N744" s="236"/>
      <c r="O744" s="235"/>
      <c r="P744" s="235"/>
      <c r="Q744" s="235"/>
      <c r="R744" s="235" t="str">
        <f t="shared" si="14"/>
        <v/>
      </c>
      <c r="S744" s="229"/>
      <c r="T744" s="228"/>
      <c r="U744" s="213"/>
    </row>
    <row r="745" spans="1:21" ht="23.25" customHeight="1" x14ac:dyDescent="0.25">
      <c r="A745" s="219" t="str">
        <f>IF(B745="","",B745&amp;"-"&amp;TEXT(COUNTIF(B$2:B745,B745),"000"))</f>
        <v/>
      </c>
      <c r="B745" s="220"/>
      <c r="C745" s="229"/>
      <c r="D745" s="220"/>
      <c r="E745" s="221"/>
      <c r="F745" s="222"/>
      <c r="G745" s="219"/>
      <c r="H745" s="223"/>
      <c r="I745" s="224"/>
      <c r="J745" s="224"/>
      <c r="K745" s="220"/>
      <c r="L745" s="234"/>
      <c r="M745" s="225"/>
      <c r="N745" s="226"/>
      <c r="O745" s="227"/>
      <c r="P745" s="227"/>
      <c r="Q745" s="227"/>
      <c r="R745" s="227" t="str">
        <f t="shared" si="14"/>
        <v/>
      </c>
      <c r="S745" s="220"/>
      <c r="T745" s="219"/>
      <c r="U745" s="213"/>
    </row>
    <row r="746" spans="1:21" ht="23.25" customHeight="1" x14ac:dyDescent="0.25">
      <c r="A746" s="228" t="str">
        <f>IF(B746="","",B746&amp;"-"&amp;TEXT(COUNTIF(B$2:B746,B746),"000"))</f>
        <v/>
      </c>
      <c r="B746" s="229"/>
      <c r="C746" s="229"/>
      <c r="D746" s="229"/>
      <c r="E746" s="230"/>
      <c r="F746" s="231"/>
      <c r="G746" s="228"/>
      <c r="H746" s="232"/>
      <c r="I746" s="233"/>
      <c r="J746" s="233"/>
      <c r="K746" s="229"/>
      <c r="L746" s="234"/>
      <c r="M746" s="225"/>
      <c r="N746" s="236"/>
      <c r="O746" s="235"/>
      <c r="P746" s="235"/>
      <c r="Q746" s="235"/>
      <c r="R746" s="235" t="str">
        <f t="shared" si="14"/>
        <v/>
      </c>
      <c r="S746" s="229"/>
      <c r="T746" s="228"/>
      <c r="U746" s="213"/>
    </row>
    <row r="747" spans="1:21" ht="23.25" customHeight="1" x14ac:dyDescent="0.25">
      <c r="A747" s="219" t="str">
        <f>IF(B747="","",B747&amp;"-"&amp;TEXT(COUNTIF(B$2:B747,B747),"000"))</f>
        <v/>
      </c>
      <c r="B747" s="220"/>
      <c r="C747" s="229"/>
      <c r="D747" s="220"/>
      <c r="E747" s="221"/>
      <c r="F747" s="222"/>
      <c r="G747" s="219"/>
      <c r="H747" s="223"/>
      <c r="I747" s="224"/>
      <c r="J747" s="224"/>
      <c r="K747" s="220"/>
      <c r="L747" s="234"/>
      <c r="M747" s="225"/>
      <c r="N747" s="226"/>
      <c r="O747" s="227"/>
      <c r="P747" s="227"/>
      <c r="Q747" s="227"/>
      <c r="R747" s="227" t="str">
        <f t="shared" si="14"/>
        <v/>
      </c>
      <c r="S747" s="220"/>
      <c r="T747" s="219"/>
      <c r="U747" s="213"/>
    </row>
    <row r="748" spans="1:21" ht="23.25" customHeight="1" x14ac:dyDescent="0.25">
      <c r="A748" s="228" t="str">
        <f>IF(B748="","",B748&amp;"-"&amp;TEXT(COUNTIF(B$2:B748,B748),"000"))</f>
        <v/>
      </c>
      <c r="B748" s="229"/>
      <c r="C748" s="229"/>
      <c r="D748" s="229"/>
      <c r="E748" s="230"/>
      <c r="F748" s="231"/>
      <c r="G748" s="228"/>
      <c r="H748" s="232"/>
      <c r="I748" s="233"/>
      <c r="J748" s="233"/>
      <c r="K748" s="229"/>
      <c r="L748" s="234"/>
      <c r="M748" s="225"/>
      <c r="N748" s="236"/>
      <c r="O748" s="235"/>
      <c r="P748" s="235"/>
      <c r="Q748" s="235"/>
      <c r="R748" s="235" t="str">
        <f t="shared" ref="R748" si="15">IF(B748="","",SUM(O748:Q748))</f>
        <v/>
      </c>
      <c r="S748" s="229"/>
      <c r="T748" s="228"/>
      <c r="U748" s="213"/>
    </row>
    <row r="749" spans="1:21" ht="23.25" customHeight="1" x14ac:dyDescent="0.25">
      <c r="A749" s="214"/>
      <c r="B749" s="215"/>
      <c r="C749" s="215"/>
      <c r="D749" s="215"/>
      <c r="E749" s="214"/>
      <c r="F749" s="214"/>
      <c r="G749" s="214"/>
      <c r="H749" s="215"/>
      <c r="I749" s="216"/>
      <c r="J749" s="216"/>
      <c r="K749" s="215"/>
      <c r="L749" s="217"/>
      <c r="M749" s="214"/>
      <c r="N749" s="218"/>
      <c r="O749" s="218"/>
      <c r="P749" s="218"/>
      <c r="Q749" s="218"/>
      <c r="R749" s="218"/>
      <c r="S749" s="214"/>
      <c r="T749" s="214"/>
    </row>
  </sheetData>
  <sheetProtection formatCells="0" formatColumns="0" formatRows="0" insertColumns="0" insertRows="0" insertHyperlinks="0" deleteRows="0" sort="0" autoFilter="0" pivotTables="0"/>
  <sortState xmlns:xlrd2="http://schemas.microsoft.com/office/spreadsheetml/2017/richdata2" ref="B2:T676">
    <sortCondition ref="B2:B676"/>
  </sortState>
  <phoneticPr fontId="8" type="noConversion"/>
  <conditionalFormatting sqref="C2:C998">
    <cfRule type="expression" dxfId="9" priority="6">
      <formula>C2="Realizado"</formula>
    </cfRule>
    <cfRule type="expression" dxfId="8" priority="7">
      <formula>C2="Em andamento"</formula>
    </cfRule>
    <cfRule type="expression" dxfId="7" priority="8">
      <formula>C2="Cancelado"</formula>
    </cfRule>
    <cfRule type="expression" dxfId="6" priority="9">
      <formula>AND(OR(C2="A realizar",C2="Adiado",C2=""),MOD(ROW()-2,2)=1)</formula>
    </cfRule>
    <cfRule type="expression" dxfId="5" priority="10">
      <formula>AND(OR(C2="A realizar",C2="Adiado",C2=""),MOD(ROW()-2,2)=0)</formula>
    </cfRule>
  </conditionalFormatting>
  <conditionalFormatting sqref="L678">
    <cfRule type="containsBlanks" dxfId="4" priority="4">
      <formula>LEN(TRIM(L678))=0</formula>
    </cfRule>
  </conditionalFormatting>
  <conditionalFormatting sqref="L680">
    <cfRule type="containsBlanks" dxfId="3" priority="3">
      <formula>LEN(TRIM(L680))=0</formula>
    </cfRule>
  </conditionalFormatting>
  <conditionalFormatting sqref="L689:L690">
    <cfRule type="containsBlanks" dxfId="2" priority="1">
      <formula>LEN(TRIM(L689))=0</formula>
    </cfRule>
  </conditionalFormatting>
  <conditionalFormatting sqref="M1:M513 L1:L537 M517:M675 L539:L675 L676:M676">
    <cfRule type="containsBlanks" dxfId="1" priority="5">
      <formula>LEN(TRIM(L1))=0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F1" workbookViewId="0">
      <pane ySplit="1" topLeftCell="A2" activePane="bottomLeft" state="frozen"/>
      <selection pane="bottomLeft" activeCell="AA37" sqref="AA37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103" t="s">
        <v>1</v>
      </c>
      <c r="B1" s="103" t="s">
        <v>2774</v>
      </c>
      <c r="C1" s="103" t="s">
        <v>2775</v>
      </c>
      <c r="D1" s="103" t="s">
        <v>4</v>
      </c>
      <c r="E1" s="103" t="s">
        <v>2776</v>
      </c>
      <c r="F1" s="103" t="s">
        <v>19</v>
      </c>
      <c r="G1" s="103" t="s">
        <v>2777</v>
      </c>
      <c r="H1" s="103" t="s">
        <v>2778</v>
      </c>
      <c r="I1" s="103" t="s">
        <v>2779</v>
      </c>
      <c r="J1" s="103" t="s">
        <v>2780</v>
      </c>
      <c r="L1" s="137" t="s">
        <v>2781</v>
      </c>
      <c r="M1" s="107">
        <v>2026</v>
      </c>
      <c r="U1" s="170" t="s">
        <v>2782</v>
      </c>
      <c r="V1" s="169"/>
      <c r="X1" s="167" t="s">
        <v>2783</v>
      </c>
      <c r="Y1" s="115"/>
      <c r="Z1" s="115"/>
      <c r="AA1" s="115"/>
      <c r="AC1" s="268" t="s">
        <v>2906</v>
      </c>
    </row>
    <row r="2" spans="1:31" x14ac:dyDescent="0.25">
      <c r="A2" s="105" cm="1">
        <f t="array" ref="A2:J57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105" t="str">
        <v>2026-001</v>
      </c>
      <c r="C2" s="105" t="str">
        <v>Realizado</v>
      </c>
      <c r="D2" s="102" t="str">
        <v>Contratação de TIC</v>
      </c>
      <c r="E2" s="104">
        <v>8</v>
      </c>
      <c r="F2" s="102" t="str">
        <v>Flávio José Fonseca de Souza</v>
      </c>
      <c r="G2" s="104">
        <v>1</v>
      </c>
      <c r="H2" s="106">
        <v>8</v>
      </c>
      <c r="I2" s="106">
        <v>2.4</v>
      </c>
      <c r="J2" s="106">
        <v>10.4</v>
      </c>
      <c r="X2" s="168" t="s">
        <v>2774</v>
      </c>
      <c r="Y2" s="168" t="s">
        <v>19</v>
      </c>
      <c r="Z2" s="168" t="s">
        <v>2784</v>
      </c>
      <c r="AA2" s="168" t="s">
        <v>2785</v>
      </c>
      <c r="AC2" s="269" t="s">
        <v>1</v>
      </c>
      <c r="AD2" s="269" t="s">
        <v>2907</v>
      </c>
      <c r="AE2" s="269" t="s">
        <v>2905</v>
      </c>
    </row>
    <row r="3" spans="1:31" x14ac:dyDescent="0.25">
      <c r="A3" s="105">
        <v>2026</v>
      </c>
      <c r="B3" s="105" t="str">
        <v>2026-002</v>
      </c>
      <c r="C3" s="105" t="str">
        <v>Realizado</v>
      </c>
      <c r="D3" s="102" t="str">
        <v>Tcendo o Futuro - Edição Especial Filhos</v>
      </c>
      <c r="E3" s="104">
        <v>4</v>
      </c>
      <c r="F3" s="102" t="str">
        <v>Cinthia Thais de Carvalho Luz Thomazi</v>
      </c>
      <c r="G3" s="104">
        <v>5</v>
      </c>
      <c r="H3" s="106">
        <v>4</v>
      </c>
      <c r="I3" s="106">
        <v>1.2</v>
      </c>
      <c r="J3" s="106">
        <v>5.2</v>
      </c>
      <c r="L3" s="19" t="s">
        <v>2786</v>
      </c>
      <c r="M3" s="19" t="s">
        <v>2787</v>
      </c>
      <c r="N3" s="19" t="s">
        <v>2788</v>
      </c>
      <c r="O3" s="19" t="s">
        <v>2789</v>
      </c>
      <c r="P3" s="19" t="s">
        <v>2790</v>
      </c>
      <c r="Q3" s="19" t="s">
        <v>2791</v>
      </c>
      <c r="R3" s="19" t="s">
        <v>2792</v>
      </c>
      <c r="S3" s="19" t="s">
        <v>2793</v>
      </c>
      <c r="T3" s="19" t="s">
        <v>2794</v>
      </c>
      <c r="X3" t="s">
        <v>2795</v>
      </c>
      <c r="Y3" t="s">
        <v>2695</v>
      </c>
      <c r="Z3">
        <v>0</v>
      </c>
      <c r="AA3">
        <v>0</v>
      </c>
      <c r="AC3" s="263">
        <v>2026</v>
      </c>
      <c r="AD3" s="102" t="s">
        <v>1784</v>
      </c>
      <c r="AE3" s="264">
        <v>15</v>
      </c>
    </row>
    <row r="4" spans="1:31" x14ac:dyDescent="0.25">
      <c r="A4" s="105">
        <v>2026</v>
      </c>
      <c r="B4" s="105" t="str">
        <v>2026-002</v>
      </c>
      <c r="C4" s="105" t="str">
        <v>Realizado</v>
      </c>
      <c r="D4" s="102" t="str">
        <v>Tcendo o Futuro - Edição Especial Filhos</v>
      </c>
      <c r="E4" s="104">
        <v>4</v>
      </c>
      <c r="F4" s="102" t="str">
        <v>Adriana Cuoco Portugal</v>
      </c>
      <c r="G4" s="104">
        <v>5</v>
      </c>
      <c r="H4" s="106">
        <v>4</v>
      </c>
      <c r="I4" s="106">
        <v>1.2</v>
      </c>
      <c r="J4" s="106">
        <v>5.2</v>
      </c>
      <c r="L4" cm="1">
        <f t="array" ref="L4:Q3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31">_xlfn.VSTACK(0,_xlfn._xlws.FILTER(S4:S200,S4:S200&lt;&gt;""))</f>
        <v>0</v>
      </c>
      <c r="X4" t="s">
        <v>2796</v>
      </c>
      <c r="Y4" t="s">
        <v>2695</v>
      </c>
      <c r="Z4">
        <v>0</v>
      </c>
      <c r="AA4">
        <v>0</v>
      </c>
      <c r="AC4" s="263">
        <v>2026</v>
      </c>
      <c r="AD4" s="102" t="s">
        <v>246</v>
      </c>
      <c r="AE4" s="264">
        <v>15</v>
      </c>
    </row>
    <row r="5" spans="1:31" x14ac:dyDescent="0.25">
      <c r="A5" s="105">
        <v>2026</v>
      </c>
      <c r="B5" s="105" t="str">
        <v>2026-002</v>
      </c>
      <c r="C5" s="105" t="str">
        <v>Realizado</v>
      </c>
      <c r="D5" s="102" t="str">
        <v>Tcendo o Futuro - Edição Especial Filhos</v>
      </c>
      <c r="E5" s="104">
        <v>4</v>
      </c>
      <c r="F5" s="102" t="str">
        <v>Fernanda Viana de Souza</v>
      </c>
      <c r="G5" s="104">
        <v>5</v>
      </c>
      <c r="H5" s="106">
        <v>4</v>
      </c>
      <c r="I5" s="106">
        <v>1.2</v>
      </c>
      <c r="J5" s="106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2797</v>
      </c>
      <c r="Y5" t="s">
        <v>2711</v>
      </c>
      <c r="Z5">
        <v>1</v>
      </c>
      <c r="AA5">
        <v>0.6</v>
      </c>
      <c r="AC5" s="263">
        <v>2026</v>
      </c>
      <c r="AD5" s="102" t="s">
        <v>2909</v>
      </c>
      <c r="AE5" s="264">
        <v>15</v>
      </c>
    </row>
    <row r="6" spans="1:31" x14ac:dyDescent="0.25">
      <c r="A6" s="105">
        <v>2026</v>
      </c>
      <c r="B6" s="105" t="str">
        <v>2026-002</v>
      </c>
      <c r="C6" s="105" t="str">
        <v>Realizado</v>
      </c>
      <c r="D6" s="102" t="str">
        <v>Tcendo o Futuro - Edição Especial Filhos</v>
      </c>
      <c r="E6" s="104">
        <v>4</v>
      </c>
      <c r="F6" s="102" t="str">
        <v>Denise Duarte Guirra Kuhlmann</v>
      </c>
      <c r="G6" s="104">
        <v>5</v>
      </c>
      <c r="H6" s="106">
        <v>4</v>
      </c>
      <c r="I6" s="106">
        <v>1.2</v>
      </c>
      <c r="J6" s="106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2797</v>
      </c>
      <c r="Y6" t="s">
        <v>2798</v>
      </c>
      <c r="Z6">
        <v>1</v>
      </c>
      <c r="AA6">
        <v>0</v>
      </c>
      <c r="AC6" s="263">
        <v>2026</v>
      </c>
      <c r="AD6" s="102" t="s">
        <v>2910</v>
      </c>
      <c r="AE6" s="264">
        <v>15</v>
      </c>
    </row>
    <row r="7" spans="1:31" x14ac:dyDescent="0.25">
      <c r="A7" s="105">
        <v>2026</v>
      </c>
      <c r="B7" s="105" t="str">
        <v>2026-002</v>
      </c>
      <c r="C7" s="105" t="str">
        <v>Realizado</v>
      </c>
      <c r="D7" s="102" t="str">
        <v>Tcendo o Futuro - Edição Especial Filhos</v>
      </c>
      <c r="E7" s="104">
        <v>4</v>
      </c>
      <c r="F7" s="102" t="str">
        <v>Priscila Nolasco</v>
      </c>
      <c r="G7" s="104">
        <v>5</v>
      </c>
      <c r="H7" s="106">
        <v>4</v>
      </c>
      <c r="I7" s="106">
        <v>1.2</v>
      </c>
      <c r="J7" s="106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105" t="s">
        <v>2799</v>
      </c>
      <c r="Y7" t="s">
        <v>2695</v>
      </c>
      <c r="Z7">
        <v>0</v>
      </c>
      <c r="AA7">
        <v>0</v>
      </c>
      <c r="AC7" s="263">
        <v>2026</v>
      </c>
      <c r="AD7" s="102" t="s">
        <v>107</v>
      </c>
      <c r="AE7" s="264">
        <v>15</v>
      </c>
    </row>
    <row r="8" spans="1:31" x14ac:dyDescent="0.25">
      <c r="A8" s="105">
        <v>2026</v>
      </c>
      <c r="B8" s="105" t="str">
        <v>2026-004</v>
      </c>
      <c r="C8" s="105" t="str">
        <v>Realizado</v>
      </c>
      <c r="D8" s="102" t="str">
        <v>Gestão e Fiscalização de Contratos de Equipamentos Médico Hospitalares e Serviços de Manutenção</v>
      </c>
      <c r="E8" s="104">
        <v>12</v>
      </c>
      <c r="F8" s="102" t="str">
        <v>Tarsila Firmino Ely</v>
      </c>
      <c r="G8" s="104">
        <v>2</v>
      </c>
      <c r="H8" s="106">
        <v>12</v>
      </c>
      <c r="I8" s="106">
        <v>1.7999999999999998</v>
      </c>
      <c r="J8" s="106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2800</v>
      </c>
      <c r="Y8" s="102" t="s">
        <v>1342</v>
      </c>
      <c r="AA8">
        <v>1.2</v>
      </c>
      <c r="AC8" s="263">
        <v>2026</v>
      </c>
      <c r="AD8" s="102"/>
      <c r="AE8" s="264"/>
    </row>
    <row r="9" spans="1:31" x14ac:dyDescent="0.25">
      <c r="A9" s="105">
        <v>2026</v>
      </c>
      <c r="B9" s="105" t="str">
        <v>2026-004</v>
      </c>
      <c r="C9" s="105" t="str">
        <v>Realizado</v>
      </c>
      <c r="D9" s="102" t="str">
        <v>Gestão e Fiscalização de Contratos de Equipamentos Médico Hospitalares e Serviços de Manutenção</v>
      </c>
      <c r="E9" s="104">
        <v>12</v>
      </c>
      <c r="F9" s="102" t="str">
        <v>Luciana Alvim</v>
      </c>
      <c r="G9" s="104">
        <v>2</v>
      </c>
      <c r="H9" s="106">
        <v>12</v>
      </c>
      <c r="I9" s="106">
        <v>1.7999999999999998</v>
      </c>
      <c r="J9" s="106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2800</v>
      </c>
      <c r="Y9" s="102" t="s">
        <v>1022</v>
      </c>
      <c r="AA9">
        <v>1.2</v>
      </c>
      <c r="AC9" s="263">
        <v>2026</v>
      </c>
      <c r="AD9" s="102"/>
      <c r="AE9" s="264"/>
    </row>
    <row r="10" spans="1:31" x14ac:dyDescent="0.25">
      <c r="A10" s="105">
        <v>2026</v>
      </c>
      <c r="B10" s="105" t="str">
        <v>2026-005</v>
      </c>
      <c r="C10" s="105" t="str">
        <v>Realizado</v>
      </c>
      <c r="D10" s="102" t="str">
        <v>FIT1: Treinamento e Desenvolvimento (T&amp;D)</v>
      </c>
      <c r="E10" s="104">
        <v>16</v>
      </c>
      <c r="F10" s="102" t="str">
        <v>Paulo José Góes Daltro</v>
      </c>
      <c r="G10" s="104">
        <v>1</v>
      </c>
      <c r="H10" s="106">
        <v>0</v>
      </c>
      <c r="I10" s="106">
        <v>0</v>
      </c>
      <c r="J10" s="106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2800</v>
      </c>
      <c r="Y10" s="102" t="s">
        <v>1366</v>
      </c>
      <c r="AA10">
        <v>1.2</v>
      </c>
      <c r="AC10" s="263">
        <v>2026</v>
      </c>
      <c r="AD10" s="102"/>
      <c r="AE10" s="264"/>
    </row>
    <row r="11" spans="1:31" x14ac:dyDescent="0.25">
      <c r="A11" s="105">
        <v>2026</v>
      </c>
      <c r="B11" s="105" t="str">
        <v>2026-006</v>
      </c>
      <c r="C11" s="105" t="str">
        <v>Realizado</v>
      </c>
      <c r="D11" s="102" t="str">
        <v>Curso para gestores e fiscais de contratos de serviços assistenciais complementares – SES/DF</v>
      </c>
      <c r="E11" s="104">
        <v>12</v>
      </c>
      <c r="F11" s="102" t="str">
        <v>Adriana Magalhães</v>
      </c>
      <c r="G11" s="104">
        <v>2</v>
      </c>
      <c r="H11" s="106">
        <v>12</v>
      </c>
      <c r="I11" s="106">
        <v>1.7999999999999998</v>
      </c>
      <c r="J11" s="106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2800</v>
      </c>
      <c r="Y11" s="102" t="s">
        <v>2801</v>
      </c>
      <c r="AA11">
        <v>1.2</v>
      </c>
      <c r="AC11" s="263">
        <v>2026</v>
      </c>
      <c r="AD11" s="102"/>
      <c r="AE11" s="264"/>
    </row>
    <row r="12" spans="1:31" x14ac:dyDescent="0.25">
      <c r="A12" s="105">
        <v>2026</v>
      </c>
      <c r="B12" s="105" t="str">
        <v>2026-006</v>
      </c>
      <c r="C12" s="105" t="str">
        <v>Realizado</v>
      </c>
      <c r="D12" s="102" t="str">
        <v>Curso para gestores e fiscais de contratos de serviços assistenciais complementares – SES/DF</v>
      </c>
      <c r="E12" s="104">
        <v>12</v>
      </c>
      <c r="F12" s="102" t="str">
        <v>Luciana Alvim</v>
      </c>
      <c r="G12" s="104">
        <v>2</v>
      </c>
      <c r="H12" s="106">
        <v>12</v>
      </c>
      <c r="I12" s="106">
        <v>1.7999999999999998</v>
      </c>
      <c r="J12" s="106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2800</v>
      </c>
      <c r="Y12" s="102" t="s">
        <v>2802</v>
      </c>
      <c r="AA12">
        <v>1.2</v>
      </c>
      <c r="AC12" s="263">
        <v>2026</v>
      </c>
      <c r="AD12" s="102"/>
      <c r="AE12" s="264"/>
    </row>
    <row r="13" spans="1:31" x14ac:dyDescent="0.25">
      <c r="A13" s="105">
        <v>2026</v>
      </c>
      <c r="B13" s="105" t="str">
        <v>2026-007</v>
      </c>
      <c r="C13" s="105" t="str">
        <v>Realizado</v>
      </c>
      <c r="D13" s="102" t="str">
        <v>Planilhas de Terceirização de Mão de Obra, de acordo com a Lei nº 14.133/2021 - T1</v>
      </c>
      <c r="E13" s="104">
        <v>20</v>
      </c>
      <c r="F13" s="102" t="str">
        <v>Leonardo José Alves Leal Neri</v>
      </c>
      <c r="G13" s="104">
        <v>1</v>
      </c>
      <c r="H13" s="106">
        <v>20</v>
      </c>
      <c r="I13" s="106">
        <v>6</v>
      </c>
      <c r="J13" s="106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2803</v>
      </c>
      <c r="Y13" s="102" t="s">
        <v>1342</v>
      </c>
      <c r="AA13">
        <v>1.2</v>
      </c>
      <c r="AC13" s="263">
        <v>2026</v>
      </c>
      <c r="AD13" s="102"/>
      <c r="AE13" s="264"/>
    </row>
    <row r="14" spans="1:31" x14ac:dyDescent="0.25">
      <c r="A14" s="105">
        <v>2026</v>
      </c>
      <c r="B14" s="105" t="str">
        <v>2026-008</v>
      </c>
      <c r="C14" s="105" t="str">
        <v>Realizado</v>
      </c>
      <c r="D14" s="102" t="str">
        <v>Curso de Promoção Funcional 2026/2027</v>
      </c>
      <c r="E14" s="104">
        <v>20</v>
      </c>
      <c r="F14" s="102" t="str">
        <v>Rômulo Miranda Alvim</v>
      </c>
      <c r="G14" s="104">
        <v>2</v>
      </c>
      <c r="H14" s="106">
        <v>20</v>
      </c>
      <c r="I14" s="106">
        <v>3</v>
      </c>
      <c r="J14" s="106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2803</v>
      </c>
      <c r="Y14" s="102" t="s">
        <v>1022</v>
      </c>
      <c r="AA14">
        <v>1.2</v>
      </c>
      <c r="AC14" s="263">
        <v>2026</v>
      </c>
      <c r="AD14" s="102"/>
      <c r="AE14" s="264"/>
    </row>
    <row r="15" spans="1:31" x14ac:dyDescent="0.25">
      <c r="A15" s="105">
        <v>2026</v>
      </c>
      <c r="B15" s="105" t="str">
        <v>2026-008</v>
      </c>
      <c r="C15" s="105" t="str">
        <v>Realizado</v>
      </c>
      <c r="D15" s="102" t="str">
        <v>Curso de Promoção Funcional 2026/2027</v>
      </c>
      <c r="E15" s="104">
        <v>20</v>
      </c>
      <c r="F15" s="102" t="str">
        <v>Cinthia Thais de Carvalho Luz Thomazi</v>
      </c>
      <c r="G15" s="104">
        <v>2</v>
      </c>
      <c r="H15" s="106">
        <v>20</v>
      </c>
      <c r="I15" s="106">
        <v>3</v>
      </c>
      <c r="J15" s="106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2803</v>
      </c>
      <c r="Y15" s="102" t="s">
        <v>1366</v>
      </c>
      <c r="AA15">
        <v>1.2</v>
      </c>
      <c r="AC15" s="263">
        <v>2026</v>
      </c>
      <c r="AD15" s="102"/>
      <c r="AE15" s="264"/>
    </row>
    <row r="16" spans="1:31" x14ac:dyDescent="0.25">
      <c r="A16" s="105">
        <v>2026</v>
      </c>
      <c r="B16" s="105" t="str">
        <v>2026-009</v>
      </c>
      <c r="C16" s="105" t="str">
        <v>Realizado</v>
      </c>
      <c r="D16" s="102" t="str">
        <v>Introdução à Engenharia de Prompt - t1</v>
      </c>
      <c r="E16" s="104">
        <v>8</v>
      </c>
      <c r="F16" s="102" t="str">
        <v>Arthur Wú</v>
      </c>
      <c r="G16" s="104">
        <v>1</v>
      </c>
      <c r="H16" s="106">
        <v>8</v>
      </c>
      <c r="I16" s="106">
        <v>2.4</v>
      </c>
      <c r="J16" s="106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2803</v>
      </c>
      <c r="Y16" s="102" t="s">
        <v>2801</v>
      </c>
      <c r="AA16">
        <v>1.2</v>
      </c>
      <c r="AC16" s="263">
        <v>2026</v>
      </c>
      <c r="AD16" s="102"/>
      <c r="AE16" s="264"/>
    </row>
    <row r="17" spans="1:31" x14ac:dyDescent="0.25">
      <c r="A17" s="105">
        <v>2026</v>
      </c>
      <c r="B17" s="105" t="str">
        <v>2026-010</v>
      </c>
      <c r="C17" s="105" t="str">
        <v>Realizado</v>
      </c>
      <c r="D17" s="102" t="str">
        <v>Planilhas de Terceirização de Mão de Obra, de acordo com a Lei nº 14.133/2021 - T2</v>
      </c>
      <c r="E17" s="104">
        <v>20</v>
      </c>
      <c r="F17" s="102" t="str">
        <v>Leonardo José Alves Leal Neri</v>
      </c>
      <c r="G17" s="104">
        <v>1</v>
      </c>
      <c r="H17" s="106">
        <v>20</v>
      </c>
      <c r="I17" s="106">
        <v>6</v>
      </c>
      <c r="J17" s="106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2803</v>
      </c>
      <c r="Y17" s="102" t="s">
        <v>2802</v>
      </c>
      <c r="AA17">
        <v>1.2</v>
      </c>
      <c r="AC17" s="263">
        <v>2026</v>
      </c>
      <c r="AD17" s="102"/>
      <c r="AE17" s="264"/>
    </row>
    <row r="18" spans="1:31" x14ac:dyDescent="0.25">
      <c r="A18" s="105">
        <v>2026</v>
      </c>
      <c r="B18" s="105" t="str">
        <v>2026-013</v>
      </c>
      <c r="C18" s="105" t="str">
        <v>Realizado</v>
      </c>
      <c r="D18" s="102" t="str">
        <v>Curso para gestores e fiscais de contratos de serviços assistenciais complementares – SES/DF - T2</v>
      </c>
      <c r="E18" s="104">
        <v>12</v>
      </c>
      <c r="F18" s="102" t="str">
        <v>Adriana Magalhães</v>
      </c>
      <c r="G18" s="104">
        <v>2</v>
      </c>
      <c r="H18" s="106">
        <v>12</v>
      </c>
      <c r="I18" s="106">
        <v>1.7999999999999998</v>
      </c>
      <c r="J18" s="106">
        <v>13.8</v>
      </c>
      <c r="L18">
        <v>2026</v>
      </c>
      <c r="M18" t="str">
        <v>2026-019</v>
      </c>
      <c r="N18" t="str">
        <v>Adiado</v>
      </c>
      <c r="O18" t="str">
        <v>Fiscalizações Baseadas em Risco</v>
      </c>
      <c r="P18">
        <v>20</v>
      </c>
      <c r="Q18" t="str">
        <v>Reinaldo Alencar; Rogério Ribeiro</v>
      </c>
      <c r="R18">
        <v>2</v>
      </c>
      <c r="S18">
        <v>30</v>
      </c>
      <c r="T18">
        <v>28</v>
      </c>
      <c r="X18" t="s">
        <v>2804</v>
      </c>
      <c r="Y18" s="102" t="s">
        <v>1342</v>
      </c>
      <c r="AA18">
        <v>1.2</v>
      </c>
      <c r="AC18" s="263">
        <v>2026</v>
      </c>
      <c r="AD18" s="102"/>
      <c r="AE18" s="264"/>
    </row>
    <row r="19" spans="1:31" x14ac:dyDescent="0.25">
      <c r="A19" s="105">
        <v>2026</v>
      </c>
      <c r="B19" s="105" t="str">
        <v>2026-013</v>
      </c>
      <c r="C19" s="105" t="str">
        <v>Realizado</v>
      </c>
      <c r="D19" s="102" t="str">
        <v>Curso para gestores e fiscais de contratos de serviços assistenciais complementares – SES/DF - T2</v>
      </c>
      <c r="E19" s="104">
        <v>12</v>
      </c>
      <c r="F19" s="102" t="str">
        <v>Luciana Alvim</v>
      </c>
      <c r="G19" s="104">
        <v>2</v>
      </c>
      <c r="H19" s="106">
        <v>12</v>
      </c>
      <c r="I19" s="106">
        <v>1.7999999999999998</v>
      </c>
      <c r="J19" s="106">
        <v>13.8</v>
      </c>
      <c r="L19">
        <v>2026</v>
      </c>
      <c r="M19" t="str">
        <v>2026-020</v>
      </c>
      <c r="N19" t="str">
        <v>A realizar</v>
      </c>
      <c r="O19" t="str">
        <v>Tcendo o Futuro</v>
      </c>
      <c r="P19">
        <v>4</v>
      </c>
      <c r="Q19" t="str">
        <v>Cinthia Thais de Carvalho Luz Thomazi; Adriana Cuoco Portugal; Fernanda Viana de Souza; Denise Duarte Guirra Kuhlmann;  Priscila Nolasco</v>
      </c>
      <c r="R19">
        <v>5</v>
      </c>
      <c r="S19">
        <v>35</v>
      </c>
      <c r="T19">
        <v>30</v>
      </c>
      <c r="X19" t="s">
        <v>2804</v>
      </c>
      <c r="Y19" s="102" t="s">
        <v>1022</v>
      </c>
      <c r="AA19">
        <v>1.2</v>
      </c>
      <c r="AC19" s="263">
        <v>2026</v>
      </c>
      <c r="AD19" s="102"/>
      <c r="AE19" s="264"/>
    </row>
    <row r="20" spans="1:31" x14ac:dyDescent="0.25">
      <c r="A20" s="105">
        <v>2026</v>
      </c>
      <c r="B20" s="105" t="str">
        <v>2026-015</v>
      </c>
      <c r="C20" s="105" t="str">
        <v>Realizado</v>
      </c>
      <c r="D20" s="102" t="str">
        <v>Introdução à Engenharia de Prompt - t2</v>
      </c>
      <c r="E20" s="104">
        <v>8</v>
      </c>
      <c r="F20" s="102" t="str">
        <v>Arthur Wú</v>
      </c>
      <c r="G20" s="104">
        <v>2</v>
      </c>
      <c r="H20" s="106">
        <v>8</v>
      </c>
      <c r="I20" s="106">
        <v>2.4</v>
      </c>
      <c r="J20" s="106">
        <v>10.4</v>
      </c>
      <c r="L20">
        <v>2026</v>
      </c>
      <c r="M20" t="str">
        <v>2026-021</v>
      </c>
      <c r="N20" t="str">
        <v>A realizar</v>
      </c>
      <c r="O20" t="str">
        <v>FIT1: Treinamento e Desenvolvimento (T&amp;D) - T2</v>
      </c>
      <c r="P20">
        <v>16</v>
      </c>
      <c r="Q20" t="str">
        <v>Paulo José Góes Daltro</v>
      </c>
      <c r="R20">
        <v>1</v>
      </c>
      <c r="S20">
        <v>36</v>
      </c>
      <c r="T20">
        <v>35</v>
      </c>
      <c r="X20" t="s">
        <v>2804</v>
      </c>
      <c r="Y20" s="102" t="s">
        <v>1366</v>
      </c>
      <c r="AA20">
        <v>1.2</v>
      </c>
      <c r="AC20" s="263">
        <v>2026</v>
      </c>
      <c r="AD20" s="102"/>
      <c r="AE20" s="264"/>
    </row>
    <row r="21" spans="1:31" x14ac:dyDescent="0.25">
      <c r="A21" s="105">
        <v>2026</v>
      </c>
      <c r="B21" s="105" t="str">
        <v>2026-015</v>
      </c>
      <c r="C21" s="105" t="str">
        <v>Realizado</v>
      </c>
      <c r="D21" s="102" t="str">
        <v>Introdução à Engenharia de Prompt - t2</v>
      </c>
      <c r="E21" s="104">
        <v>8</v>
      </c>
      <c r="F21" s="102" t="str">
        <v>Gustavo Takahashi</v>
      </c>
      <c r="G21" s="104">
        <v>2</v>
      </c>
      <c r="H21" s="106">
        <v>8</v>
      </c>
      <c r="I21" s="106">
        <v>0</v>
      </c>
      <c r="J21" s="106">
        <v>8</v>
      </c>
      <c r="L21">
        <v>2026</v>
      </c>
      <c r="M21" t="str">
        <v>2026-022</v>
      </c>
      <c r="N21" t="str">
        <v>A realizar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2804</v>
      </c>
      <c r="Y21" s="102" t="s">
        <v>2801</v>
      </c>
      <c r="AA21">
        <v>1.2</v>
      </c>
      <c r="AC21" s="263">
        <v>2026</v>
      </c>
      <c r="AD21" s="102"/>
      <c r="AE21" s="264"/>
    </row>
    <row r="22" spans="1:31" x14ac:dyDescent="0.25">
      <c r="A22" s="105">
        <v>2026</v>
      </c>
      <c r="B22" s="105" t="str">
        <v>2026-016</v>
      </c>
      <c r="C22" s="105" t="str">
        <v>Realizado</v>
      </c>
      <c r="D22" s="102" t="str">
        <v>Mentoria de introdução à Engenharia de Prompt</v>
      </c>
      <c r="E22" s="104">
        <v>2</v>
      </c>
      <c r="F22" s="102" t="str">
        <v>Arthur Wú</v>
      </c>
      <c r="G22" s="104">
        <v>2</v>
      </c>
      <c r="H22" s="106">
        <v>1</v>
      </c>
      <c r="I22" s="106">
        <v>0.6</v>
      </c>
      <c r="J22" s="106">
        <v>1.6</v>
      </c>
      <c r="L22">
        <v>2026</v>
      </c>
      <c r="M22" t="str">
        <v>2026-024</v>
      </c>
      <c r="N22" t="str">
        <v>A realizar</v>
      </c>
      <c r="O22" t="str">
        <v>FIT1: Treinamento e Desenvolvimento (T&amp;D) - T3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2804</v>
      </c>
      <c r="Y22" s="102" t="s">
        <v>2802</v>
      </c>
      <c r="AA22">
        <v>1.2</v>
      </c>
      <c r="AC22" s="263">
        <v>2026</v>
      </c>
      <c r="AD22" s="102"/>
      <c r="AE22" s="264"/>
    </row>
    <row r="23" spans="1:31" x14ac:dyDescent="0.25">
      <c r="A23" s="105">
        <v>2026</v>
      </c>
      <c r="B23" s="105" t="str">
        <v>2026-016</v>
      </c>
      <c r="C23" s="105" t="str">
        <v>Realizado</v>
      </c>
      <c r="D23" s="102" t="str">
        <v>Mentoria de introdução à Engenharia de Prompt</v>
      </c>
      <c r="E23" s="104">
        <v>2</v>
      </c>
      <c r="F23" s="102" t="str">
        <v>Gustavo Takahashi</v>
      </c>
      <c r="G23" s="104">
        <v>2</v>
      </c>
      <c r="H23" s="106">
        <v>1</v>
      </c>
      <c r="I23" s="106">
        <v>0</v>
      </c>
      <c r="J23" s="106">
        <v>1</v>
      </c>
      <c r="L23">
        <v>2026</v>
      </c>
      <c r="M23" t="str">
        <v>2026-025</v>
      </c>
      <c r="N23" t="str">
        <v>A realizar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105" t="s">
        <v>2885</v>
      </c>
      <c r="Y23" s="102" t="s">
        <v>2711</v>
      </c>
      <c r="AA23">
        <v>2.4</v>
      </c>
      <c r="AC23" s="263">
        <v>2026</v>
      </c>
      <c r="AD23" s="102"/>
      <c r="AE23" s="264"/>
    </row>
    <row r="24" spans="1:31" x14ac:dyDescent="0.25">
      <c r="A24" s="105">
        <v>2026</v>
      </c>
      <c r="B24" s="105" t="str">
        <v>2026-017</v>
      </c>
      <c r="C24" s="105" t="str">
        <v>Realizado</v>
      </c>
      <c r="D24" s="102" t="str">
        <v>Mostra Fotográfica “Meu Olhar sobre Brasília”</v>
      </c>
      <c r="E24" s="104">
        <v>0</v>
      </c>
      <c r="F24" s="102" t="str">
        <v>Servidores, colaboradores e estagiários do TCDF</v>
      </c>
      <c r="G24" s="104">
        <v>1</v>
      </c>
      <c r="H24" s="106">
        <v>0</v>
      </c>
      <c r="I24" s="106">
        <v>0</v>
      </c>
      <c r="J24" s="106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105" t="s">
        <v>2885</v>
      </c>
      <c r="Y24" s="102" t="s">
        <v>2798</v>
      </c>
      <c r="AA24">
        <v>0</v>
      </c>
      <c r="AC24" s="263">
        <v>2026</v>
      </c>
      <c r="AD24" s="102"/>
      <c r="AE24" s="264"/>
    </row>
    <row r="25" spans="1:31" x14ac:dyDescent="0.25">
      <c r="A25" s="105">
        <v>2026</v>
      </c>
      <c r="B25" s="105" t="str">
        <v>2026-018</v>
      </c>
      <c r="C25" s="105" t="str">
        <v>Realizado</v>
      </c>
      <c r="D25" s="102" t="str">
        <v>Tcendo o Futuro</v>
      </c>
      <c r="E25" s="104">
        <v>4</v>
      </c>
      <c r="F25" s="102" t="str">
        <v>Cinthia Thais de Carvalho Luz Thomazi</v>
      </c>
      <c r="G25" s="104">
        <v>5</v>
      </c>
      <c r="H25" s="106">
        <v>4</v>
      </c>
      <c r="I25" s="106">
        <v>1.2</v>
      </c>
      <c r="J25" s="106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2893</v>
      </c>
      <c r="Y25" s="102" t="s">
        <v>854</v>
      </c>
      <c r="AA25">
        <v>3.6</v>
      </c>
      <c r="AC25" s="263">
        <v>2026</v>
      </c>
      <c r="AD25" s="102"/>
      <c r="AE25" s="264"/>
    </row>
    <row r="26" spans="1:31" x14ac:dyDescent="0.25">
      <c r="A26" s="105">
        <v>2026</v>
      </c>
      <c r="B26" s="105" t="str">
        <v>2026-018</v>
      </c>
      <c r="C26" s="105" t="str">
        <v>Realizado</v>
      </c>
      <c r="D26" s="102" t="str">
        <v>Tcendo o Futuro</v>
      </c>
      <c r="E26" s="104">
        <v>4</v>
      </c>
      <c r="F26" s="102" t="str">
        <v>Adriana Cuoco Portugal</v>
      </c>
      <c r="G26" s="104">
        <v>5</v>
      </c>
      <c r="H26" s="106">
        <v>4</v>
      </c>
      <c r="I26" s="106">
        <v>1.2</v>
      </c>
      <c r="J26" s="106">
        <v>5.2</v>
      </c>
      <c r="L26">
        <v>2026</v>
      </c>
      <c r="M26" t="str">
        <v>2026-033</v>
      </c>
      <c r="N26" t="str">
        <v>A realizar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2893</v>
      </c>
      <c r="Y26" s="102" t="s">
        <v>2894</v>
      </c>
      <c r="Z26">
        <v>0</v>
      </c>
      <c r="AA26">
        <v>0</v>
      </c>
      <c r="AC26" s="263">
        <v>2026</v>
      </c>
      <c r="AD26" s="102"/>
      <c r="AE26" s="264"/>
    </row>
    <row r="27" spans="1:31" x14ac:dyDescent="0.25">
      <c r="A27" s="105">
        <v>2026</v>
      </c>
      <c r="B27" s="105" t="str">
        <v>2026-018</v>
      </c>
      <c r="C27" s="105" t="str">
        <v>Realizado</v>
      </c>
      <c r="D27" s="102" t="str">
        <v>Tcendo o Futuro</v>
      </c>
      <c r="E27" s="104">
        <v>4</v>
      </c>
      <c r="F27" s="102" t="str">
        <v>Fernanda Viana de Souza</v>
      </c>
      <c r="G27" s="104">
        <v>5</v>
      </c>
      <c r="H27" s="106">
        <v>4</v>
      </c>
      <c r="I27" s="106">
        <v>1.2</v>
      </c>
      <c r="J27" s="106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62" t="s">
        <v>2900</v>
      </c>
      <c r="Y27" s="102" t="s">
        <v>2711</v>
      </c>
      <c r="AA27">
        <v>2.4</v>
      </c>
      <c r="AC27" s="263">
        <v>2026</v>
      </c>
      <c r="AD27" s="102"/>
      <c r="AE27" s="264"/>
    </row>
    <row r="28" spans="1:31" x14ac:dyDescent="0.25">
      <c r="A28" s="105">
        <v>2026</v>
      </c>
      <c r="B28" s="105" t="str">
        <v>2026-018</v>
      </c>
      <c r="C28" s="105" t="str">
        <v>Realizado</v>
      </c>
      <c r="D28" s="102" t="str">
        <v>Tcendo o Futuro</v>
      </c>
      <c r="E28" s="104">
        <v>4</v>
      </c>
      <c r="F28" s="102" t="str">
        <v>Denise Duarte Guirra Kuhlmann</v>
      </c>
      <c r="G28" s="104">
        <v>5</v>
      </c>
      <c r="H28" s="106">
        <v>4</v>
      </c>
      <c r="I28" s="106">
        <v>1.2</v>
      </c>
      <c r="J28" s="106">
        <v>5.2</v>
      </c>
      <c r="L28">
        <v>2026</v>
      </c>
      <c r="M28" t="str">
        <v>2026-035</v>
      </c>
      <c r="N28" t="str">
        <v>A realizar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62" t="s">
        <v>2900</v>
      </c>
      <c r="Y28" s="102" t="s">
        <v>2798</v>
      </c>
      <c r="AA28">
        <v>0</v>
      </c>
      <c r="AC28" s="263">
        <v>2026</v>
      </c>
      <c r="AD28" s="102"/>
      <c r="AE28" s="264"/>
    </row>
    <row r="29" spans="1:31" x14ac:dyDescent="0.25">
      <c r="A29" s="105">
        <v>2026</v>
      </c>
      <c r="B29" s="105" t="str">
        <v>2026-018</v>
      </c>
      <c r="C29" s="105" t="str">
        <v>Realizado</v>
      </c>
      <c r="D29" s="102" t="str">
        <v>Tcendo o Futuro</v>
      </c>
      <c r="E29" s="104">
        <v>4</v>
      </c>
      <c r="F29" s="102" t="str">
        <v>Priscila Nolasco</v>
      </c>
      <c r="G29" s="104">
        <v>5</v>
      </c>
      <c r="H29" s="106">
        <v>4</v>
      </c>
      <c r="I29" s="106">
        <v>1.2</v>
      </c>
      <c r="J29" s="106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62" t="s">
        <v>2901</v>
      </c>
      <c r="Y29" s="102" t="s">
        <v>2711</v>
      </c>
      <c r="AA29">
        <v>2.4</v>
      </c>
      <c r="AC29" s="263">
        <v>2026</v>
      </c>
      <c r="AD29" s="102"/>
      <c r="AE29" s="264"/>
    </row>
    <row r="30" spans="1:31" x14ac:dyDescent="0.25">
      <c r="A30" s="105">
        <v>2026</v>
      </c>
      <c r="B30" s="105" t="str">
        <v>2026-019</v>
      </c>
      <c r="C30" s="105" t="str">
        <v>Adiado</v>
      </c>
      <c r="D30" s="102" t="str">
        <v>Fiscalizações Baseadas em Risco</v>
      </c>
      <c r="E30" s="104">
        <v>20</v>
      </c>
      <c r="F30" s="102" t="str">
        <v>Reinaldo Alencar</v>
      </c>
      <c r="G30" s="104">
        <v>2</v>
      </c>
      <c r="H30" s="106">
        <v>20</v>
      </c>
      <c r="I30" s="106">
        <v>3</v>
      </c>
      <c r="J30" s="106">
        <v>23</v>
      </c>
      <c r="L30">
        <v>2026</v>
      </c>
      <c r="M30" t="str">
        <v>2026-037</v>
      </c>
      <c r="N30" t="str">
        <v>A realizar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62" t="s">
        <v>2901</v>
      </c>
      <c r="Y30" s="102" t="s">
        <v>2798</v>
      </c>
      <c r="AA30">
        <v>0</v>
      </c>
      <c r="AC30" s="263">
        <v>2026</v>
      </c>
      <c r="AD30" s="102"/>
      <c r="AE30" s="264"/>
    </row>
    <row r="31" spans="1:31" x14ac:dyDescent="0.25">
      <c r="A31" s="105">
        <v>2026</v>
      </c>
      <c r="B31" s="105" t="str">
        <v>2026-019</v>
      </c>
      <c r="C31" s="105" t="str">
        <v>Adiado</v>
      </c>
      <c r="D31" s="102" t="str">
        <v>Fiscalizações Baseadas em Risco</v>
      </c>
      <c r="E31" s="104">
        <v>20</v>
      </c>
      <c r="F31" s="102" t="str">
        <v>Rogério Ribeiro</v>
      </c>
      <c r="G31" s="104">
        <v>2</v>
      </c>
      <c r="H31" s="106">
        <v>20</v>
      </c>
      <c r="I31" s="106">
        <v>3</v>
      </c>
      <c r="J31" s="106">
        <v>23</v>
      </c>
      <c r="R31" t="str">
        <v/>
      </c>
      <c r="S31" t="str">
        <v/>
      </c>
      <c r="T31">
        <v>56</v>
      </c>
      <c r="X31" s="271" t="s">
        <v>2915</v>
      </c>
      <c r="Y31" s="102" t="s">
        <v>471</v>
      </c>
      <c r="Z31">
        <v>0</v>
      </c>
      <c r="AA31">
        <v>0</v>
      </c>
      <c r="AC31" s="263">
        <v>2026</v>
      </c>
      <c r="AD31" s="102"/>
      <c r="AE31" s="264"/>
    </row>
    <row r="32" spans="1:31" x14ac:dyDescent="0.25">
      <c r="A32" s="105">
        <v>2026</v>
      </c>
      <c r="B32" s="105" t="str">
        <v>2026-020</v>
      </c>
      <c r="C32" s="105" t="str">
        <v>A realizar</v>
      </c>
      <c r="D32" s="102" t="str">
        <v>Tcendo o Futuro</v>
      </c>
      <c r="E32" s="104">
        <v>4</v>
      </c>
      <c r="F32" s="102" t="str">
        <v>Cinthia Thais de Carvalho Luz Thomazi</v>
      </c>
      <c r="G32" s="104">
        <v>5</v>
      </c>
      <c r="H32" s="106">
        <v>4</v>
      </c>
      <c r="I32" s="106">
        <v>1.2</v>
      </c>
      <c r="J32" s="106">
        <v>5.2</v>
      </c>
      <c r="R32" t="str">
        <v/>
      </c>
      <c r="S32" t="str">
        <v/>
      </c>
      <c r="X32" s="272" t="s">
        <v>2920</v>
      </c>
      <c r="Y32" t="s">
        <v>1342</v>
      </c>
      <c r="Z32">
        <v>4</v>
      </c>
      <c r="AA32">
        <v>0.6</v>
      </c>
      <c r="AC32" s="263">
        <v>2026</v>
      </c>
      <c r="AD32" s="102"/>
      <c r="AE32" s="264"/>
    </row>
    <row r="33" spans="1:31" x14ac:dyDescent="0.25">
      <c r="A33" s="105">
        <v>2026</v>
      </c>
      <c r="B33" s="105" t="str">
        <v>2026-020</v>
      </c>
      <c r="C33" s="105" t="str">
        <v>A realizar</v>
      </c>
      <c r="D33" s="102" t="str">
        <v>Tcendo o Futuro</v>
      </c>
      <c r="E33" s="104">
        <v>4</v>
      </c>
      <c r="F33" s="102" t="str">
        <v>Adriana Cuoco Portugal</v>
      </c>
      <c r="G33" s="104">
        <v>5</v>
      </c>
      <c r="H33" s="106">
        <v>4</v>
      </c>
      <c r="I33" s="106">
        <v>1.2</v>
      </c>
      <c r="J33" s="106">
        <v>5.2</v>
      </c>
      <c r="R33" t="str">
        <v/>
      </c>
      <c r="S33" t="str">
        <v/>
      </c>
      <c r="X33" s="272" t="s">
        <v>2920</v>
      </c>
      <c r="Y33" t="s">
        <v>2921</v>
      </c>
      <c r="Z33">
        <v>4</v>
      </c>
      <c r="AA33">
        <v>0.6</v>
      </c>
      <c r="AC33" s="265"/>
      <c r="AD33" s="266" t="s">
        <v>2908</v>
      </c>
      <c r="AE33" s="267">
        <f>SUM(AE3:AE32)</f>
        <v>75</v>
      </c>
    </row>
    <row r="34" spans="1:31" x14ac:dyDescent="0.25">
      <c r="A34" s="105">
        <v>2026</v>
      </c>
      <c r="B34" s="105" t="str">
        <v>2026-020</v>
      </c>
      <c r="C34" s="105" t="str">
        <v>A realizar</v>
      </c>
      <c r="D34" s="102" t="str">
        <v>Tcendo o Futuro</v>
      </c>
      <c r="E34" s="104">
        <v>4</v>
      </c>
      <c r="F34" s="102" t="str">
        <v>Fernanda Viana de Souza</v>
      </c>
      <c r="G34" s="104">
        <v>5</v>
      </c>
      <c r="H34" s="106">
        <v>4</v>
      </c>
      <c r="I34" s="106">
        <v>1.2</v>
      </c>
      <c r="J34" s="106">
        <v>5.2</v>
      </c>
      <c r="R34" t="str">
        <v/>
      </c>
      <c r="S34" t="str">
        <v/>
      </c>
      <c r="X34" s="272" t="s">
        <v>2920</v>
      </c>
      <c r="Y34" t="s">
        <v>2922</v>
      </c>
      <c r="Z34">
        <v>4</v>
      </c>
      <c r="AA34">
        <v>0.6</v>
      </c>
    </row>
    <row r="35" spans="1:31" x14ac:dyDescent="0.25">
      <c r="A35" s="105">
        <v>2026</v>
      </c>
      <c r="B35" s="105" t="str">
        <v>2026-020</v>
      </c>
      <c r="C35" s="105" t="str">
        <v>A realizar</v>
      </c>
      <c r="D35" s="102" t="str">
        <v>Tcendo o Futuro</v>
      </c>
      <c r="E35" s="104">
        <v>4</v>
      </c>
      <c r="F35" s="102" t="str">
        <v>Denise Duarte Guirra Kuhlmann</v>
      </c>
      <c r="G35" s="104">
        <v>5</v>
      </c>
      <c r="H35" s="106">
        <v>4</v>
      </c>
      <c r="I35" s="106">
        <v>1.2</v>
      </c>
      <c r="J35" s="106">
        <v>5.2</v>
      </c>
      <c r="R35" t="str">
        <v/>
      </c>
      <c r="S35" t="str">
        <v/>
      </c>
      <c r="X35" s="272" t="s">
        <v>2920</v>
      </c>
      <c r="Y35" t="s">
        <v>107</v>
      </c>
      <c r="Z35">
        <v>4</v>
      </c>
      <c r="AA35">
        <v>0.6</v>
      </c>
    </row>
    <row r="36" spans="1:31" x14ac:dyDescent="0.25">
      <c r="A36" s="105">
        <v>2026</v>
      </c>
      <c r="B36" s="105" t="str">
        <v>2026-020</v>
      </c>
      <c r="C36" s="105" t="str">
        <v>A realizar</v>
      </c>
      <c r="D36" s="102" t="str">
        <v>Tcendo o Futuro</v>
      </c>
      <c r="E36" s="104">
        <v>4</v>
      </c>
      <c r="F36" s="102" t="str">
        <v>Priscila Nolasco</v>
      </c>
      <c r="G36" s="104">
        <v>5</v>
      </c>
      <c r="H36" s="106">
        <v>4</v>
      </c>
      <c r="I36" s="106">
        <v>1.2</v>
      </c>
      <c r="J36" s="106">
        <v>5.2</v>
      </c>
      <c r="R36" t="str">
        <v/>
      </c>
      <c r="S36" t="str">
        <v/>
      </c>
      <c r="X36" s="272" t="s">
        <v>2920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2026-021</v>
      </c>
      <c r="C37" s="171" t="str">
        <v>A realizar</v>
      </c>
      <c r="D37" t="str">
        <v>FIT1: Treinamento e Desenvolvimento (T&amp;D) - T2</v>
      </c>
      <c r="E37" s="171">
        <v>16</v>
      </c>
      <c r="F37" t="str">
        <v>Paulo José Góes Daltro</v>
      </c>
      <c r="G37" s="171">
        <v>1</v>
      </c>
      <c r="H37" s="171">
        <v>0</v>
      </c>
      <c r="I37" s="171">
        <v>0</v>
      </c>
      <c r="J37" s="171">
        <v>0</v>
      </c>
      <c r="R37" t="str">
        <v/>
      </c>
      <c r="S37" t="str">
        <v/>
      </c>
    </row>
    <row r="38" spans="1:31" x14ac:dyDescent="0.25">
      <c r="A38">
        <v>2026</v>
      </c>
      <c r="B38" t="str">
        <v>2026-022</v>
      </c>
      <c r="C38" s="171" t="str">
        <v>A realizar</v>
      </c>
      <c r="D38" t="str">
        <v>Curso de formação para gestores e fiscais de Contrato em equipamentos nas unidades hospitalares - T2</v>
      </c>
      <c r="E38" s="171">
        <v>12</v>
      </c>
      <c r="F38" t="str">
        <v>Tarsila Firmino Ely</v>
      </c>
      <c r="G38" s="171">
        <v>2</v>
      </c>
      <c r="H38" s="171">
        <v>12</v>
      </c>
      <c r="I38" s="171">
        <v>1.7999999999999998</v>
      </c>
      <c r="J38" s="171">
        <v>13.8</v>
      </c>
      <c r="R38" t="str">
        <v/>
      </c>
      <c r="S38" t="str">
        <v/>
      </c>
    </row>
    <row r="39" spans="1:31" x14ac:dyDescent="0.25">
      <c r="A39">
        <v>2026</v>
      </c>
      <c r="B39" t="str">
        <v>2026-022</v>
      </c>
      <c r="C39" s="171" t="str">
        <v>A realizar</v>
      </c>
      <c r="D39" t="str">
        <v>Curso de formação para gestores e fiscais de Contrato em equipamentos nas unidades hospitalares - T2</v>
      </c>
      <c r="E39" s="171">
        <v>12</v>
      </c>
      <c r="F39" t="str">
        <v>Luciana Alvim</v>
      </c>
      <c r="G39" s="171">
        <v>2</v>
      </c>
      <c r="H39" s="171">
        <v>12</v>
      </c>
      <c r="I39" s="171">
        <v>1.7999999999999998</v>
      </c>
      <c r="J39" s="171">
        <v>13.8</v>
      </c>
      <c r="R39" t="str">
        <v/>
      </c>
      <c r="S39" t="str">
        <v/>
      </c>
    </row>
    <row r="40" spans="1:31" x14ac:dyDescent="0.25">
      <c r="A40">
        <v>2026</v>
      </c>
      <c r="B40" t="str">
        <v>2026-024</v>
      </c>
      <c r="C40" s="171" t="str">
        <v>A realizar</v>
      </c>
      <c r="D40" t="str">
        <v>FIT1: Treinamento e Desenvolvimento (T&amp;D) - T3</v>
      </c>
      <c r="E40" s="171">
        <v>16</v>
      </c>
      <c r="F40" t="str">
        <v>Paulo José Góes Daltro</v>
      </c>
      <c r="G40" s="171">
        <v>1</v>
      </c>
      <c r="H40" s="171">
        <v>0</v>
      </c>
      <c r="I40" s="171">
        <v>0</v>
      </c>
      <c r="J40" s="171">
        <v>0</v>
      </c>
      <c r="R40" t="str">
        <v/>
      </c>
      <c r="S40" t="str">
        <v/>
      </c>
    </row>
    <row r="41" spans="1:31" x14ac:dyDescent="0.25">
      <c r="A41">
        <v>2026</v>
      </c>
      <c r="B41" t="str">
        <v>2026-025</v>
      </c>
      <c r="C41" s="171" t="str">
        <v>A realizar</v>
      </c>
      <c r="D41" t="str">
        <v>Curso de formação para gestores e fiscais de Contrato em equipamentos nas unidades hospitalares - T3</v>
      </c>
      <c r="E41" s="171">
        <v>12</v>
      </c>
      <c r="F41" t="str">
        <v>Tarsila Firmino Ely</v>
      </c>
      <c r="G41" s="171">
        <v>2</v>
      </c>
      <c r="H41" s="171">
        <v>12</v>
      </c>
      <c r="I41" s="171">
        <v>1.7999999999999998</v>
      </c>
      <c r="J41" s="171">
        <v>13.8</v>
      </c>
      <c r="R41" t="str">
        <v/>
      </c>
      <c r="S41" t="str">
        <v/>
      </c>
    </row>
    <row r="42" spans="1:31" x14ac:dyDescent="0.25">
      <c r="A42">
        <v>2026</v>
      </c>
      <c r="B42" t="str">
        <v>2026-025</v>
      </c>
      <c r="C42" s="171" t="str">
        <v>A realizar</v>
      </c>
      <c r="D42" t="str">
        <v>Curso de formação para gestores e fiscais de Contrato em equipamentos nas unidades hospitalares - T3</v>
      </c>
      <c r="E42" s="171">
        <v>12</v>
      </c>
      <c r="F42" t="str">
        <v>Luciana Alvim</v>
      </c>
      <c r="G42" s="171">
        <v>2</v>
      </c>
      <c r="H42" s="171">
        <v>12</v>
      </c>
      <c r="I42" s="171">
        <v>1.7999999999999998</v>
      </c>
      <c r="J42" s="171">
        <v>13.8</v>
      </c>
      <c r="R42" t="str">
        <v/>
      </c>
      <c r="S42" t="str">
        <v/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A realizar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A realizar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A realizar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A realizar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A realizar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A realizar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A realizar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A realizar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R58" t="str">
        <v/>
      </c>
      <c r="S58" t="str">
        <v/>
      </c>
    </row>
    <row r="59" spans="1:19" x14ac:dyDescent="0.25">
      <c r="R59" t="str">
        <v/>
      </c>
      <c r="S59" t="str">
        <v/>
      </c>
    </row>
    <row r="60" spans="1:19" x14ac:dyDescent="0.25">
      <c r="R60" t="str">
        <v/>
      </c>
      <c r="S60" t="str">
        <v/>
      </c>
    </row>
    <row r="61" spans="1:19" x14ac:dyDescent="0.25">
      <c r="R61" t="str">
        <v/>
      </c>
      <c r="S61" t="str">
        <v/>
      </c>
    </row>
    <row r="62" spans="1:19" x14ac:dyDescent="0.25">
      <c r="R62" t="str">
        <v/>
      </c>
      <c r="S62" t="str">
        <v/>
      </c>
    </row>
    <row r="63" spans="1:19" x14ac:dyDescent="0.25">
      <c r="R63" t="str">
        <v/>
      </c>
      <c r="S63" t="str">
        <v/>
      </c>
    </row>
    <row r="64" spans="1:19" x14ac:dyDescent="0.25">
      <c r="R64" t="str">
        <v/>
      </c>
      <c r="S64" t="str">
        <v/>
      </c>
    </row>
    <row r="65" spans="18:19" x14ac:dyDescent="0.25">
      <c r="R65" t="str">
        <v/>
      </c>
      <c r="S65" t="str">
        <v/>
      </c>
    </row>
    <row r="66" spans="18:19" x14ac:dyDescent="0.25">
      <c r="R66" t="str">
        <v/>
      </c>
      <c r="S66" t="str">
        <v/>
      </c>
    </row>
    <row r="67" spans="18:19" x14ac:dyDescent="0.25">
      <c r="R67" t="str">
        <v/>
      </c>
      <c r="S67" t="str">
        <v/>
      </c>
    </row>
    <row r="68" spans="18:19" x14ac:dyDescent="0.25">
      <c r="R68" t="str">
        <v/>
      </c>
      <c r="S68" t="str">
        <v/>
      </c>
    </row>
    <row r="69" spans="18:19" x14ac:dyDescent="0.25">
      <c r="R69" t="str">
        <v/>
      </c>
      <c r="S69" t="str">
        <v/>
      </c>
    </row>
    <row r="70" spans="18:19" x14ac:dyDescent="0.25">
      <c r="R70" t="str">
        <v/>
      </c>
      <c r="S70" t="str">
        <v/>
      </c>
    </row>
    <row r="71" spans="18:19" x14ac:dyDescent="0.25">
      <c r="R71" t="str">
        <v/>
      </c>
      <c r="S71" t="str">
        <v/>
      </c>
    </row>
    <row r="72" spans="18:19" x14ac:dyDescent="0.25">
      <c r="R72" t="str">
        <v/>
      </c>
      <c r="S72" t="str">
        <v/>
      </c>
    </row>
    <row r="73" spans="18:19" x14ac:dyDescent="0.25">
      <c r="R73" t="str">
        <v/>
      </c>
      <c r="S73" t="str">
        <v/>
      </c>
    </row>
    <row r="74" spans="18:19" x14ac:dyDescent="0.25">
      <c r="R74" t="str">
        <v/>
      </c>
      <c r="S74" t="str">
        <v/>
      </c>
    </row>
    <row r="75" spans="18:19" x14ac:dyDescent="0.25">
      <c r="R75" t="str">
        <v/>
      </c>
      <c r="S75" t="str">
        <v/>
      </c>
    </row>
    <row r="76" spans="18:19" x14ac:dyDescent="0.25">
      <c r="R76" t="str">
        <v/>
      </c>
      <c r="S76" t="str">
        <v/>
      </c>
    </row>
    <row r="77" spans="18:19" x14ac:dyDescent="0.25">
      <c r="R77" t="str">
        <v/>
      </c>
      <c r="S77" t="str">
        <v/>
      </c>
    </row>
    <row r="78" spans="18:19" x14ac:dyDescent="0.25">
      <c r="R78" t="str">
        <v/>
      </c>
      <c r="S78" t="str">
        <v/>
      </c>
    </row>
    <row r="79" spans="18:19" x14ac:dyDescent="0.25">
      <c r="R79" t="str">
        <v/>
      </c>
      <c r="S79" t="str">
        <v/>
      </c>
    </row>
    <row r="80" spans="18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41" sqref="A41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75" t="s">
        <v>2805</v>
      </c>
      <c r="B1" s="275"/>
      <c r="C1" s="275"/>
      <c r="D1" s="275"/>
      <c r="E1" s="275"/>
      <c r="F1" s="275"/>
      <c r="G1" s="275"/>
    </row>
    <row r="2" spans="1:7" ht="9.9499999999999993" customHeight="1" x14ac:dyDescent="0.25">
      <c r="A2" s="115"/>
      <c r="B2" s="115"/>
      <c r="C2" s="115"/>
      <c r="D2" s="115"/>
      <c r="E2" s="115"/>
      <c r="F2" s="115"/>
      <c r="G2" s="115"/>
    </row>
    <row r="3" spans="1:7" ht="15.75" thickBot="1" x14ac:dyDescent="0.3"/>
    <row r="4" spans="1:7" ht="24.95" customHeight="1" x14ac:dyDescent="0.25">
      <c r="A4" s="276" t="s">
        <v>2806</v>
      </c>
      <c r="B4" s="277"/>
      <c r="D4" s="278" t="s">
        <v>2807</v>
      </c>
      <c r="E4" s="279"/>
      <c r="G4" s="133" t="s">
        <v>2808</v>
      </c>
    </row>
    <row r="5" spans="1:7" ht="54.95" customHeight="1" thickBot="1" x14ac:dyDescent="0.75">
      <c r="A5" s="123">
        <f>COUNTIF('Ações InCompany'!B:B,2026)</f>
        <v>37</v>
      </c>
      <c r="B5" s="124" t="s">
        <v>2809</v>
      </c>
      <c r="D5" s="131">
        <f>COUNTIFS('Ações InCompany'!B:B,2026,'Ações InCompany'!C:C,"Realizado")</f>
        <v>19</v>
      </c>
      <c r="E5" s="132" t="s">
        <v>2809</v>
      </c>
      <c r="G5" s="134">
        <f>COUNTIFS('Ações InCompany'!B:B,2026,'Ações InCompany'!C:C,"A realizar")</f>
        <v>15</v>
      </c>
    </row>
    <row r="6" spans="1:7" ht="5.0999999999999996" customHeight="1" x14ac:dyDescent="0.25">
      <c r="A6" s="115"/>
      <c r="B6" s="115"/>
      <c r="C6" s="115"/>
      <c r="D6" s="115"/>
      <c r="E6" s="115"/>
      <c r="F6" s="115"/>
      <c r="G6" s="115"/>
    </row>
    <row r="8" spans="1:7" ht="17.25" x14ac:dyDescent="0.3">
      <c r="A8" s="273" t="s">
        <v>2810</v>
      </c>
      <c r="B8" s="273"/>
      <c r="D8" s="273" t="s">
        <v>2811</v>
      </c>
      <c r="E8" s="273"/>
    </row>
    <row r="9" spans="1:7" ht="5.0999999999999996" customHeight="1" x14ac:dyDescent="0.25">
      <c r="A9" s="274"/>
      <c r="B9" s="274"/>
      <c r="D9" s="274"/>
      <c r="E9" s="274"/>
    </row>
    <row r="10" spans="1:7" ht="24.95" customHeight="1" x14ac:dyDescent="0.25">
      <c r="A10" s="116" t="s">
        <v>5</v>
      </c>
      <c r="B10" s="116" t="s">
        <v>2812</v>
      </c>
      <c r="D10" s="116" t="s">
        <v>2813</v>
      </c>
      <c r="E10" s="116" t="s">
        <v>2814</v>
      </c>
    </row>
    <row r="11" spans="1:7" ht="27.95" customHeight="1" x14ac:dyDescent="0.3">
      <c r="A11" s="117" t="s">
        <v>23</v>
      </c>
      <c r="B11" s="118">
        <f>COUNTIFS('Ações InCompany'!B:B,2026,'Ações InCompany'!C:C,"Realizado",'Ações InCompany'!F:F,"Servidores do TCDF")</f>
        <v>9</v>
      </c>
      <c r="D11" s="117" t="s">
        <v>2815</v>
      </c>
      <c r="E11" s="118">
        <f>SUMIFS('Ações InCompany'!O:O,'Ações InCompany'!B:B,2026,'Ações InCompany'!C:C,"Realizado")</f>
        <v>255</v>
      </c>
    </row>
    <row r="12" spans="1:7" ht="27.95" customHeight="1" x14ac:dyDescent="0.3">
      <c r="A12" s="119" t="s">
        <v>61</v>
      </c>
      <c r="B12" s="120">
        <f>COUNTIFS('Ações InCompany'!B:B,2026,'Ações InCompany'!C:C,"Realizado",'Ações InCompany'!F:F,"Jurisdicionados")</f>
        <v>8</v>
      </c>
      <c r="D12" s="119" t="s">
        <v>2816</v>
      </c>
      <c r="E12" s="120">
        <f>SUMIFS('Ações InCompany'!P:P,'Ações InCompany'!B:B,2026,'Ações InCompany'!C:C,"Realizado")</f>
        <v>348</v>
      </c>
    </row>
    <row r="13" spans="1:7" ht="27.95" customHeight="1" x14ac:dyDescent="0.3">
      <c r="A13" s="117" t="s">
        <v>80</v>
      </c>
      <c r="B13" s="118">
        <f>COUNTIFS('Ações InCompany'!B:B,2026,'Ações InCompany'!C:C,"Realizado",'Ações InCompany'!F:F,"Sociedade")</f>
        <v>2</v>
      </c>
      <c r="D13" s="117" t="s">
        <v>2817</v>
      </c>
      <c r="E13" s="118">
        <f>SUMIFS('Ações InCompany'!Q:Q,'Ações InCompany'!B:B,2026,'Ações InCompany'!C:C,"Realizado")</f>
        <v>210</v>
      </c>
    </row>
    <row r="14" spans="1:7" ht="27.95" customHeight="1" x14ac:dyDescent="0.3">
      <c r="A14" s="121" t="s">
        <v>2818</v>
      </c>
      <c r="B14" s="122">
        <f>SUM(B11:B13)</f>
        <v>19</v>
      </c>
      <c r="D14" s="121" t="s">
        <v>2819</v>
      </c>
      <c r="E14" s="122">
        <f>SUM(E11:E13)</f>
        <v>813</v>
      </c>
    </row>
    <row r="30" spans="1:5" ht="17.25" x14ac:dyDescent="0.3">
      <c r="A30" s="273" t="s">
        <v>2820</v>
      </c>
      <c r="B30" s="273"/>
      <c r="C30" s="273"/>
      <c r="D30" s="273"/>
      <c r="E30" s="273"/>
    </row>
    <row r="31" spans="1:5" ht="5.0999999999999996" customHeight="1" x14ac:dyDescent="0.25">
      <c r="A31" s="274"/>
      <c r="B31" s="274"/>
      <c r="C31" s="274"/>
      <c r="D31" s="274"/>
      <c r="E31" s="274"/>
    </row>
    <row r="32" spans="1:5" ht="24.95" customHeight="1" x14ac:dyDescent="0.25">
      <c r="A32" s="116" t="s">
        <v>6</v>
      </c>
      <c r="B32" s="116" t="s">
        <v>2821</v>
      </c>
      <c r="C32" s="116" t="s">
        <v>2822</v>
      </c>
      <c r="D32" s="116" t="s">
        <v>2823</v>
      </c>
      <c r="E32" s="116" t="s">
        <v>2824</v>
      </c>
    </row>
    <row r="33" spans="1:5" ht="24" customHeight="1" x14ac:dyDescent="0.25">
      <c r="A33" s="117" t="s">
        <v>71</v>
      </c>
      <c r="B33" s="125">
        <f>COUNTIFS('Ações InCompany'!B:B,2026,'Ações InCompany'!C:C,"Realizado",'Ações InCompany'!G:G,A33)</f>
        <v>5</v>
      </c>
      <c r="C33" s="135">
        <f>COUNTIFS('Ações InCompany'!B:B,2026,'Ações InCompany'!C:C,"A realizar",'Ações InCompany'!G:G,A33)</f>
        <v>2</v>
      </c>
      <c r="D33" s="125">
        <f t="shared" ref="D33:D44" si="0">B33+C33</f>
        <v>7</v>
      </c>
      <c r="E33" s="126">
        <f t="shared" ref="E33:E44" si="1">D33/$D$45</f>
        <v>0.20588235294117646</v>
      </c>
    </row>
    <row r="34" spans="1:5" ht="24" customHeight="1" x14ac:dyDescent="0.25">
      <c r="A34" s="119" t="s">
        <v>37</v>
      </c>
      <c r="B34" s="127">
        <f>COUNTIFS('Ações InCompany'!B:B,2026,'Ações InCompany'!C:C,"Realizado",'Ações InCompany'!G:G,A34)</f>
        <v>1</v>
      </c>
      <c r="C34" s="136">
        <f>COUNTIFS('Ações InCompany'!B:B,2026,'Ações InCompany'!C:C,"A realizar",'Ações InCompany'!G:G,A34)</f>
        <v>2</v>
      </c>
      <c r="D34" s="127">
        <f t="shared" si="0"/>
        <v>3</v>
      </c>
      <c r="E34" s="128">
        <f t="shared" si="1"/>
        <v>8.8235294117647065E-2</v>
      </c>
    </row>
    <row r="35" spans="1:5" ht="24" customHeight="1" x14ac:dyDescent="0.25">
      <c r="A35" s="117" t="s">
        <v>2709</v>
      </c>
      <c r="B35" s="125">
        <f>COUNTIFS('Ações InCompany'!B:B,2026,'Ações InCompany'!C:C,"Realizado",'Ações InCompany'!G:G,A35)</f>
        <v>3</v>
      </c>
      <c r="C35" s="135">
        <f>COUNTIFS('Ações InCompany'!B:B,2026,'Ações InCompany'!C:C,"A realizar",'Ações InCompany'!G:G,A35)</f>
        <v>2</v>
      </c>
      <c r="D35" s="125">
        <f t="shared" si="0"/>
        <v>5</v>
      </c>
      <c r="E35" s="126">
        <f t="shared" si="1"/>
        <v>0.14705882352941177</v>
      </c>
    </row>
    <row r="36" spans="1:5" ht="24" customHeight="1" x14ac:dyDescent="0.25">
      <c r="A36" s="119" t="s">
        <v>2693</v>
      </c>
      <c r="B36" s="127">
        <f>COUNTIFS('Ações InCompany'!B:B,2026,'Ações InCompany'!C:C,"Realizado",'Ações InCompany'!G:G,A36)</f>
        <v>1</v>
      </c>
      <c r="C36" s="136">
        <f>COUNTIFS('Ações InCompany'!B:B,2026,'Ações InCompany'!C:C,"A realizar",'Ações InCompany'!G:G,A36)</f>
        <v>2</v>
      </c>
      <c r="D36" s="127">
        <f t="shared" si="0"/>
        <v>3</v>
      </c>
      <c r="E36" s="128">
        <f t="shared" si="1"/>
        <v>8.8235294117647065E-2</v>
      </c>
    </row>
    <row r="37" spans="1:5" ht="24" customHeight="1" x14ac:dyDescent="0.25">
      <c r="A37" s="117" t="s">
        <v>198</v>
      </c>
      <c r="B37" s="125">
        <f>COUNTIFS('Ações InCompany'!B:B,2026,'Ações InCompany'!C:C,"Realizado",'Ações InCompany'!G:G,A37)</f>
        <v>2</v>
      </c>
      <c r="C37" s="135">
        <f>COUNTIFS('Ações InCompany'!B:B,2026,'Ações InCompany'!C:C,"A realizar",'Ações InCompany'!G:G,A37)</f>
        <v>0</v>
      </c>
      <c r="D37" s="125">
        <f t="shared" si="0"/>
        <v>2</v>
      </c>
      <c r="E37" s="126">
        <f t="shared" si="1"/>
        <v>5.8823529411764705E-2</v>
      </c>
    </row>
    <row r="38" spans="1:5" ht="24" customHeight="1" x14ac:dyDescent="0.25">
      <c r="A38" s="119" t="s">
        <v>2725</v>
      </c>
      <c r="B38" s="127">
        <f>COUNTIFS('Ações InCompany'!B:B,2026,'Ações InCompany'!C:C,"Realizado",'Ações InCompany'!G:G,A38)</f>
        <v>2</v>
      </c>
      <c r="C38" s="136">
        <f>COUNTIFS('Ações InCompany'!B:B,2026,'Ações InCompany'!C:C,"A realizar",'Ações InCompany'!G:G,A38)</f>
        <v>2</v>
      </c>
      <c r="D38" s="127">
        <f t="shared" si="0"/>
        <v>4</v>
      </c>
      <c r="E38" s="128">
        <f t="shared" si="1"/>
        <v>0.11764705882352941</v>
      </c>
    </row>
    <row r="39" spans="1:5" ht="24" customHeight="1" x14ac:dyDescent="0.25">
      <c r="A39" s="152" t="s">
        <v>24</v>
      </c>
      <c r="B39" s="153">
        <f>COUNTIFS('Ações InCompany'!B:B,2026,'Ações InCompany'!C:C,"Realizado",'Ações InCompany'!G:G,A39)</f>
        <v>0</v>
      </c>
      <c r="C39" s="154">
        <f>COUNTIFS('Ações InCompany'!B:B,2026,'Ações InCompany'!C:C,"A realizar",'Ações InCompany'!G:G,A39)</f>
        <v>1</v>
      </c>
      <c r="D39" s="153">
        <f t="shared" si="0"/>
        <v>1</v>
      </c>
      <c r="E39" s="155">
        <f t="shared" si="1"/>
        <v>2.9411764705882353E-2</v>
      </c>
    </row>
    <row r="40" spans="1:5" ht="24" customHeight="1" x14ac:dyDescent="0.25">
      <c r="A40" s="164" t="s">
        <v>67</v>
      </c>
      <c r="B40" s="161">
        <f>COUNTIFS('Ações InCompany'!B:B,2026,'Ações InCompany'!C:C,"Realizado",'Ações InCompany'!G:G,A40)</f>
        <v>0</v>
      </c>
      <c r="C40" s="162">
        <f>COUNTIFS('Ações InCompany'!B:B,2026,'Ações InCompany'!C:C,"A realizar",'Ações InCompany'!G:G,A40)</f>
        <v>1</v>
      </c>
      <c r="D40" s="161">
        <f>B40+C40</f>
        <v>1</v>
      </c>
      <c r="E40" s="166">
        <f>D40/$D$45</f>
        <v>2.9411764705882353E-2</v>
      </c>
    </row>
    <row r="41" spans="1:5" ht="24" customHeight="1" x14ac:dyDescent="0.25">
      <c r="A41" s="163" t="s">
        <v>2688</v>
      </c>
      <c r="B41" s="159">
        <f>COUNTIFS('Ações InCompany'!B:B,2026,'Ações InCompany'!C:C,"Realizado",'Ações InCompany'!G:G,A41)</f>
        <v>3</v>
      </c>
      <c r="C41" s="160">
        <f>COUNTIFS('Ações InCompany'!B:B,2026,'Ações InCompany'!C:C,"A realizar",'Ações InCompany'!G:G,A41)</f>
        <v>3</v>
      </c>
      <c r="D41" s="159">
        <f>B41+C41</f>
        <v>6</v>
      </c>
      <c r="E41" s="165">
        <f>D41/$D$45</f>
        <v>0.17647058823529413</v>
      </c>
    </row>
    <row r="42" spans="1:5" ht="24" customHeight="1" x14ac:dyDescent="0.25">
      <c r="A42" s="164" t="s">
        <v>2825</v>
      </c>
      <c r="B42" s="161">
        <f>COUNTIFS('Ações InCompany'!B:B,2026,'Ações InCompany'!C:C,"Realizado",'Ações InCompany'!G:G,A42)</f>
        <v>0</v>
      </c>
      <c r="C42" s="162">
        <f>COUNTIFS('Ações InCompany'!B:B,2026,'Ações InCompany'!C:C,"A realizar",'Ações InCompany'!G:G,A42)</f>
        <v>0</v>
      </c>
      <c r="D42" s="161">
        <f>B42+C42</f>
        <v>0</v>
      </c>
      <c r="E42" s="166">
        <f>D42/$D$45</f>
        <v>0</v>
      </c>
    </row>
    <row r="43" spans="1:5" ht="24" customHeight="1" x14ac:dyDescent="0.25">
      <c r="A43" s="163" t="s">
        <v>363</v>
      </c>
      <c r="B43" s="159">
        <f>COUNTIFS('Ações InCompany'!B:B,2026,'Ações InCompany'!C:C,"Realizado",'Ações InCompany'!G:G,A43)</f>
        <v>2</v>
      </c>
      <c r="C43" s="160">
        <f>COUNTIFS('Ações InCompany'!B:B,2026,'Ações InCompany'!C:C,"A realizar",'Ações InCompany'!G:G,A43)</f>
        <v>0</v>
      </c>
      <c r="D43" s="159">
        <f>B43+C43</f>
        <v>2</v>
      </c>
      <c r="E43" s="165">
        <f>D43/$D$45</f>
        <v>5.8823529411764705E-2</v>
      </c>
    </row>
    <row r="44" spans="1:5" ht="24" customHeight="1" x14ac:dyDescent="0.25">
      <c r="A44" s="156" t="s">
        <v>2826</v>
      </c>
      <c r="B44" s="157">
        <f>COUNTIFS('Ações InCompany'!B:B,2026,'Ações InCompany'!C:C,"Realizado",'Ações InCompany'!G:G,"")</f>
        <v>0</v>
      </c>
      <c r="C44" s="157">
        <f>COUNTIFS('Ações InCompany'!B:B,2026,'Ações InCompany'!C:C,"A realizar",'Ações InCompany'!G:G,"")</f>
        <v>0</v>
      </c>
      <c r="D44" s="157">
        <f t="shared" si="0"/>
        <v>0</v>
      </c>
      <c r="E44" s="158">
        <f t="shared" si="1"/>
        <v>0</v>
      </c>
    </row>
    <row r="45" spans="1:5" ht="24" customHeight="1" x14ac:dyDescent="0.25">
      <c r="A45" s="121" t="s">
        <v>2818</v>
      </c>
      <c r="B45" s="129">
        <f>SUM(B33:B44)</f>
        <v>19</v>
      </c>
      <c r="C45" s="129">
        <f>SUM(C33:C44)</f>
        <v>15</v>
      </c>
      <c r="D45" s="129">
        <f>SUM(D33:D44)</f>
        <v>34</v>
      </c>
      <c r="E45" s="130">
        <f>SUM(E33:E44)</f>
        <v>1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2827</v>
      </c>
      <c r="B1" s="12" t="s">
        <v>2828</v>
      </c>
      <c r="C1" s="13" t="s">
        <v>2829</v>
      </c>
      <c r="D1" s="13" t="s">
        <v>2830</v>
      </c>
      <c r="E1" s="13" t="s">
        <v>2831</v>
      </c>
    </row>
    <row r="2" spans="1:5" ht="18" customHeight="1" x14ac:dyDescent="0.25">
      <c r="A2" s="12" t="s">
        <v>2832</v>
      </c>
      <c r="B2" s="12" t="s">
        <v>2833</v>
      </c>
      <c r="C2" s="12" t="s">
        <v>1728</v>
      </c>
      <c r="D2" s="12" t="s">
        <v>2834</v>
      </c>
      <c r="E2" s="12" t="s">
        <v>2835</v>
      </c>
    </row>
    <row r="3" spans="1:5" ht="18" customHeight="1" x14ac:dyDescent="0.25">
      <c r="A3" s="12" t="s">
        <v>2832</v>
      </c>
      <c r="B3" s="12" t="s">
        <v>2833</v>
      </c>
      <c r="C3" s="14" t="s">
        <v>24</v>
      </c>
      <c r="D3" s="12" t="s">
        <v>2836</v>
      </c>
      <c r="E3" s="12" t="s">
        <v>2837</v>
      </c>
    </row>
    <row r="4" spans="1:5" ht="18" customHeight="1" x14ac:dyDescent="0.25">
      <c r="A4" s="12" t="s">
        <v>2832</v>
      </c>
      <c r="B4" s="12" t="s">
        <v>2833</v>
      </c>
      <c r="C4" s="12" t="s">
        <v>67</v>
      </c>
      <c r="D4" s="12" t="s">
        <v>2834</v>
      </c>
      <c r="E4" s="12" t="s">
        <v>2838</v>
      </c>
    </row>
    <row r="5" spans="1:5" ht="18" customHeight="1" x14ac:dyDescent="0.25">
      <c r="A5" s="12" t="s">
        <v>2832</v>
      </c>
      <c r="B5" s="12" t="s">
        <v>2833</v>
      </c>
      <c r="C5" s="12" t="s">
        <v>71</v>
      </c>
      <c r="D5" s="12" t="s">
        <v>2839</v>
      </c>
      <c r="E5" s="12" t="s">
        <v>2840</v>
      </c>
    </row>
    <row r="6" spans="1:5" ht="18" customHeight="1" x14ac:dyDescent="0.25">
      <c r="A6" s="12" t="s">
        <v>2832</v>
      </c>
      <c r="B6" s="12" t="s">
        <v>2833</v>
      </c>
      <c r="C6" s="12" t="s">
        <v>2725</v>
      </c>
      <c r="D6" s="12" t="s">
        <v>2841</v>
      </c>
      <c r="E6" s="12" t="s">
        <v>2842</v>
      </c>
    </row>
    <row r="7" spans="1:5" ht="18" customHeight="1" x14ac:dyDescent="0.25">
      <c r="A7" s="12" t="s">
        <v>2832</v>
      </c>
      <c r="B7" s="12" t="s">
        <v>2843</v>
      </c>
      <c r="C7" s="12" t="s">
        <v>32</v>
      </c>
      <c r="D7" s="12" t="s">
        <v>2844</v>
      </c>
      <c r="E7" s="12" t="s">
        <v>2845</v>
      </c>
    </row>
    <row r="8" spans="1:5" ht="18" customHeight="1" x14ac:dyDescent="0.25">
      <c r="A8" s="12" t="s">
        <v>2832</v>
      </c>
      <c r="B8" s="12" t="s">
        <v>2843</v>
      </c>
      <c r="C8" s="12" t="s">
        <v>37</v>
      </c>
      <c r="D8" s="12" t="s">
        <v>2846</v>
      </c>
      <c r="E8" s="12" t="s">
        <v>2847</v>
      </c>
    </row>
    <row r="9" spans="1:5" ht="18" customHeight="1" x14ac:dyDescent="0.25">
      <c r="A9" s="12" t="s">
        <v>2832</v>
      </c>
      <c r="B9" s="12" t="s">
        <v>2848</v>
      </c>
      <c r="C9" s="12" t="s">
        <v>456</v>
      </c>
      <c r="D9" s="12" t="s">
        <v>2849</v>
      </c>
      <c r="E9" s="12" t="s">
        <v>2850</v>
      </c>
    </row>
    <row r="10" spans="1:5" ht="18" customHeight="1" x14ac:dyDescent="0.25">
      <c r="A10" s="12" t="s">
        <v>2832</v>
      </c>
      <c r="B10" s="12" t="s">
        <v>2848</v>
      </c>
      <c r="C10" s="12" t="s">
        <v>198</v>
      </c>
      <c r="D10" s="12" t="s">
        <v>23</v>
      </c>
      <c r="E10" s="12" t="s">
        <v>2851</v>
      </c>
    </row>
    <row r="11" spans="1:5" ht="18" customHeight="1" x14ac:dyDescent="0.25">
      <c r="A11" s="12" t="s">
        <v>2832</v>
      </c>
      <c r="B11" s="12" t="s">
        <v>2848</v>
      </c>
      <c r="C11" s="12" t="s">
        <v>363</v>
      </c>
      <c r="D11" s="12" t="s">
        <v>23</v>
      </c>
      <c r="E11" s="12" t="s">
        <v>2852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2853</v>
      </c>
      <c r="B1" s="5" t="s">
        <v>10</v>
      </c>
      <c r="C1" s="15" t="s">
        <v>2854</v>
      </c>
      <c r="D1" s="15" t="s">
        <v>2775</v>
      </c>
    </row>
    <row r="2" spans="1:4" ht="21" customHeight="1" x14ac:dyDescent="0.25">
      <c r="A2" s="253" t="s">
        <v>23</v>
      </c>
      <c r="B2" s="253" t="s">
        <v>34</v>
      </c>
      <c r="C2" s="12" t="s">
        <v>2855</v>
      </c>
      <c r="D2" s="12" t="s">
        <v>2733</v>
      </c>
    </row>
    <row r="3" spans="1:4" ht="21" customHeight="1" x14ac:dyDescent="0.25">
      <c r="A3" s="12" t="s">
        <v>61</v>
      </c>
      <c r="B3" s="253" t="s">
        <v>26</v>
      </c>
      <c r="C3" s="12" t="s">
        <v>2856</v>
      </c>
      <c r="D3" s="12" t="s">
        <v>2857</v>
      </c>
    </row>
    <row r="4" spans="1:4" ht="21" customHeight="1" x14ac:dyDescent="0.25">
      <c r="A4" s="14" t="s">
        <v>80</v>
      </c>
      <c r="B4" s="253" t="s">
        <v>219</v>
      </c>
      <c r="D4" s="12" t="s">
        <v>2858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2740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2827</v>
      </c>
      <c r="B1" s="12" t="s">
        <v>2828</v>
      </c>
      <c r="C1" s="13" t="s">
        <v>2829</v>
      </c>
      <c r="D1" s="13" t="s">
        <v>2830</v>
      </c>
      <c r="E1" s="13" t="s">
        <v>2831</v>
      </c>
    </row>
    <row r="2" spans="1:5" ht="18" customHeight="1" x14ac:dyDescent="0.25">
      <c r="A2" s="12" t="s">
        <v>2859</v>
      </c>
      <c r="B2" s="12" t="s">
        <v>2833</v>
      </c>
      <c r="C2" s="14" t="s">
        <v>24</v>
      </c>
      <c r="D2" s="12" t="s">
        <v>2834</v>
      </c>
      <c r="E2" s="18" t="s">
        <v>2860</v>
      </c>
    </row>
    <row r="3" spans="1:5" ht="18" customHeight="1" x14ac:dyDescent="0.25">
      <c r="A3" s="12" t="s">
        <v>2859</v>
      </c>
      <c r="B3" s="12" t="s">
        <v>2833</v>
      </c>
      <c r="C3" s="12" t="s">
        <v>67</v>
      </c>
      <c r="D3" s="12" t="s">
        <v>2836</v>
      </c>
      <c r="E3" s="12" t="s">
        <v>2861</v>
      </c>
    </row>
    <row r="4" spans="1:5" ht="18" customHeight="1" x14ac:dyDescent="0.25">
      <c r="A4" s="12" t="s">
        <v>2859</v>
      </c>
      <c r="B4" s="12" t="s">
        <v>2833</v>
      </c>
      <c r="C4" s="12" t="s">
        <v>71</v>
      </c>
      <c r="D4" s="12" t="s">
        <v>2839</v>
      </c>
      <c r="E4" s="12" t="s">
        <v>2862</v>
      </c>
    </row>
    <row r="5" spans="1:5" ht="27.75" customHeight="1" x14ac:dyDescent="0.25">
      <c r="A5" s="12" t="s">
        <v>2859</v>
      </c>
      <c r="B5" s="12" t="s">
        <v>2833</v>
      </c>
      <c r="C5" s="12" t="s">
        <v>2688</v>
      </c>
      <c r="D5" s="18" t="s">
        <v>2863</v>
      </c>
      <c r="E5" s="12" t="s">
        <v>2864</v>
      </c>
    </row>
    <row r="6" spans="1:5" ht="18" customHeight="1" x14ac:dyDescent="0.25">
      <c r="A6" s="12" t="s">
        <v>2859</v>
      </c>
      <c r="B6" s="12" t="s">
        <v>2833</v>
      </c>
      <c r="C6" s="12" t="s">
        <v>2725</v>
      </c>
      <c r="D6" s="12" t="s">
        <v>2841</v>
      </c>
      <c r="E6" s="12" t="s">
        <v>2842</v>
      </c>
    </row>
    <row r="7" spans="1:5" ht="18" customHeight="1" x14ac:dyDescent="0.25">
      <c r="A7" s="12" t="s">
        <v>2859</v>
      </c>
      <c r="B7" s="12" t="s">
        <v>2843</v>
      </c>
      <c r="C7" s="12" t="s">
        <v>2709</v>
      </c>
      <c r="D7" s="12" t="s">
        <v>2865</v>
      </c>
      <c r="E7" s="12" t="s">
        <v>2866</v>
      </c>
    </row>
    <row r="8" spans="1:5" ht="18" customHeight="1" x14ac:dyDescent="0.25">
      <c r="A8" s="12" t="s">
        <v>2859</v>
      </c>
      <c r="B8" s="12" t="s">
        <v>2843</v>
      </c>
      <c r="C8" s="12" t="s">
        <v>37</v>
      </c>
      <c r="D8" s="12" t="s">
        <v>2846</v>
      </c>
      <c r="E8" s="12" t="s">
        <v>2847</v>
      </c>
    </row>
    <row r="9" spans="1:5" ht="18" customHeight="1" x14ac:dyDescent="0.25">
      <c r="A9" s="12" t="s">
        <v>2859</v>
      </c>
      <c r="B9" s="12" t="s">
        <v>2843</v>
      </c>
      <c r="C9" s="12" t="s">
        <v>2693</v>
      </c>
      <c r="D9" s="12" t="s">
        <v>2867</v>
      </c>
      <c r="E9" s="18" t="s">
        <v>2868</v>
      </c>
    </row>
    <row r="10" spans="1:5" ht="18" customHeight="1" x14ac:dyDescent="0.25">
      <c r="A10" s="12" t="s">
        <v>2859</v>
      </c>
      <c r="B10" s="12" t="s">
        <v>2869</v>
      </c>
      <c r="C10" s="12" t="s">
        <v>2825</v>
      </c>
      <c r="D10" s="12" t="s">
        <v>2870</v>
      </c>
      <c r="E10" s="18" t="s">
        <v>2871</v>
      </c>
    </row>
    <row r="11" spans="1:5" ht="18" customHeight="1" x14ac:dyDescent="0.25">
      <c r="A11" s="12" t="s">
        <v>2859</v>
      </c>
      <c r="B11" s="12" t="s">
        <v>2869</v>
      </c>
      <c r="C11" s="12" t="s">
        <v>198</v>
      </c>
      <c r="D11" s="12" t="s">
        <v>23</v>
      </c>
      <c r="E11" s="12" t="s">
        <v>2851</v>
      </c>
    </row>
    <row r="12" spans="1:5" ht="18" customHeight="1" x14ac:dyDescent="0.25">
      <c r="A12" s="12" t="s">
        <v>2859</v>
      </c>
      <c r="B12" s="12" t="s">
        <v>2869</v>
      </c>
      <c r="C12" s="12" t="s">
        <v>363</v>
      </c>
      <c r="D12" s="12" t="s">
        <v>23</v>
      </c>
      <c r="E12" s="12" t="s">
        <v>2852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4" sqref="A14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0" t="s">
        <v>2872</v>
      </c>
      <c r="B1" s="280"/>
      <c r="C1" s="280"/>
      <c r="D1" s="280"/>
      <c r="E1" s="280"/>
      <c r="F1" s="280"/>
    </row>
    <row r="2" spans="1:7" x14ac:dyDescent="0.25">
      <c r="A2" s="281" t="s">
        <v>2873</v>
      </c>
      <c r="B2" s="281"/>
      <c r="C2" s="281"/>
      <c r="D2" s="281"/>
      <c r="E2" s="281"/>
      <c r="F2" s="281"/>
    </row>
    <row r="4" spans="1:7" x14ac:dyDescent="0.25">
      <c r="A4" s="109" t="s">
        <v>19</v>
      </c>
      <c r="B4" s="109" t="s">
        <v>2778</v>
      </c>
      <c r="C4" s="109" t="s">
        <v>2779</v>
      </c>
      <c r="D4" s="109" t="s">
        <v>2911</v>
      </c>
      <c r="E4" s="109" t="s">
        <v>2780</v>
      </c>
      <c r="F4" s="109" t="s">
        <v>2874</v>
      </c>
    </row>
    <row r="5" spans="1:7" x14ac:dyDescent="0.25">
      <c r="A5" t="str" cm="1">
        <f t="array" ref="A5:A29">IFERROR(_xlfn._xlws.SORT(_xlfn.UNIQUE(_xlfn._xlws.FILTER(_xlfn.VSTACK('GECC 2026'!F2:F200,'GECC 2026'!AD3:AD32),_xlfn.VSTACK('GECC 2026'!F2:F200,'GECC 2026'!AD3:AD32)&lt;&gt;""))),"")</f>
        <v>Adriana Cuoco Portugal</v>
      </c>
      <c r="B5" s="110">
        <f>IF($A5="","",SUMIFS('GECC 2026'!H$2:H$200,'GECC 2026'!F$2:F$200,$A5))</f>
        <v>12</v>
      </c>
      <c r="C5" s="110">
        <f>IF($A5="","",SUMIFS('GECC 2026'!I$2:I$200,'GECC 2026'!F$2:F$200,$A5))</f>
        <v>3.5999999999999996</v>
      </c>
      <c r="D5" s="270">
        <f>IF($A5="","",SUMIFS('GECC 2026'!$AE$3:$AE$32,'GECC 2026'!$AD$3:$AD$32,$A5))</f>
        <v>0</v>
      </c>
      <c r="E5" s="254">
        <f>IF($A5="","",SUMIFS('GECC 2026'!J$2:J$200,'GECC 2026'!F$2:F$200,$A5)+SUMIFS('GECC 2026'!$AE$3:$AE$32,'GECC 2026'!$AD$3:$AD$32,$A5))</f>
        <v>15.600000000000001</v>
      </c>
      <c r="F5" s="108">
        <f>IF($A5="","",COUNTIFS('GECC 2026'!F$2:F$200,$A5))</f>
        <v>3</v>
      </c>
      <c r="G5" s="108">
        <f>IF($A5="","",COUNTIFS('GECC 2026'!G$2:G$200,$A5))</f>
        <v>0</v>
      </c>
    </row>
    <row r="6" spans="1:7" x14ac:dyDescent="0.25">
      <c r="A6" t="str">
        <v>Adriana Magalhães</v>
      </c>
      <c r="B6" s="110">
        <f>IF($A6="","",SUMIFS('GECC 2026'!H$2:H$200,'GECC 2026'!F$2:F$200,$A6))</f>
        <v>24</v>
      </c>
      <c r="C6" s="110">
        <f>IF($A6="","",SUMIFS('GECC 2026'!I$2:I$200,'GECC 2026'!F$2:F$200,$A6))</f>
        <v>3.5999999999999996</v>
      </c>
      <c r="D6" s="270">
        <f>IF($A6="","",SUMIFS('GECC 2026'!$AE$3:$AE$32,'GECC 2026'!$AD$3:$AD$32,$A6))</f>
        <v>0</v>
      </c>
      <c r="E6" s="254">
        <f>IF($A6="","",SUMIFS('GECC 2026'!J$2:J$200,'GECC 2026'!F$2:F$200,$A6)+SUMIFS('GECC 2026'!$AE$3:$AE$32,'GECC 2026'!$AD$3:$AD$32,$A6))</f>
        <v>27.6</v>
      </c>
      <c r="F6" s="108">
        <f>IF($A6="","",COUNTIFS('GECC 2026'!F$2:F$200,$A6))</f>
        <v>2</v>
      </c>
    </row>
    <row r="7" spans="1:7" x14ac:dyDescent="0.25">
      <c r="A7" t="str">
        <v>Arthur Wú</v>
      </c>
      <c r="B7" s="110">
        <f>IF($A7="","",SUMIFS('GECC 2026'!H$2:H$200,'GECC 2026'!F$2:F$200,$A7))</f>
        <v>33</v>
      </c>
      <c r="C7" s="110">
        <f>IF($A7="","",SUMIFS('GECC 2026'!I$2:I$200,'GECC 2026'!F$2:F$200,$A7))</f>
        <v>10.199999999999999</v>
      </c>
      <c r="D7" s="270">
        <f>IF($A7="","",SUMIFS('GECC 2026'!$AE$3:$AE$32,'GECC 2026'!$AD$3:$AD$32,$A7))</f>
        <v>0</v>
      </c>
      <c r="E7" s="254">
        <f>IF($A7="","",SUMIFS('GECC 2026'!J$2:J$200,'GECC 2026'!F$2:F$200,$A7)+SUMIFS('GECC 2026'!$AE$3:$AE$32,'GECC 2026'!$AD$3:$AD$32,$A7))</f>
        <v>43.2</v>
      </c>
      <c r="F7" s="108">
        <f>IF($A7="","",COUNTIFS('GECC 2026'!F$2:F$200,$A7))</f>
        <v>5</v>
      </c>
    </row>
    <row r="8" spans="1:7" x14ac:dyDescent="0.25">
      <c r="A8" t="str">
        <v>Cássio Murilo Alves Costa Filho</v>
      </c>
      <c r="B8" s="110">
        <f>IF($A8="","",SUMIFS('GECC 2026'!H$2:H$200,'GECC 2026'!F$2:F$200,$A8))</f>
        <v>16</v>
      </c>
      <c r="C8" s="110">
        <f>IF($A8="","",SUMIFS('GECC 2026'!I$2:I$200,'GECC 2026'!F$2:F$200,$A8))</f>
        <v>4.8</v>
      </c>
      <c r="D8" s="270">
        <f>IF($A8="","",SUMIFS('GECC 2026'!$AE$3:$AE$32,'GECC 2026'!$AD$3:$AD$32,$A8))</f>
        <v>15</v>
      </c>
      <c r="E8" s="254">
        <f>IF($A8="","",SUMIFS('GECC 2026'!J$2:J$200,'GECC 2026'!F$2:F$200,$A8)+SUMIFS('GECC 2026'!$AE$3:$AE$32,'GECC 2026'!$AD$3:$AD$32,$A8))</f>
        <v>35.799999999999997</v>
      </c>
      <c r="F8" s="108">
        <f>IF($A8="","",COUNTIFS('GECC 2026'!F$2:F$200,$A8))</f>
        <v>1</v>
      </c>
    </row>
    <row r="9" spans="1:7" x14ac:dyDescent="0.25">
      <c r="A9" t="str">
        <v>Cinthia Thais de Carvalho Luz Thomazi</v>
      </c>
      <c r="B9" s="110">
        <f>IF($A9="","",SUMIFS('GECC 2026'!H$2:H$200,'GECC 2026'!F$2:F$200,$A9))</f>
        <v>36</v>
      </c>
      <c r="C9" s="110">
        <f>IF($A9="","",SUMIFS('GECC 2026'!I$2:I$200,'GECC 2026'!F$2:F$200,$A9))</f>
        <v>7.2</v>
      </c>
      <c r="D9" s="270">
        <f>IF($A9="","",SUMIFS('GECC 2026'!$AE$3:$AE$32,'GECC 2026'!$AD$3:$AD$32,$A9))</f>
        <v>0</v>
      </c>
      <c r="E9" s="254">
        <f>IF($A9="","",SUMIFS('GECC 2026'!J$2:J$200,'GECC 2026'!F$2:F$200,$A9)+SUMIFS('GECC 2026'!$AE$3:$AE$32,'GECC 2026'!$AD$3:$AD$32,$A9))</f>
        <v>43.2</v>
      </c>
      <c r="F9" s="108">
        <f>IF($A9="","",COUNTIFS('GECC 2026'!F$2:F$200,$A9))</f>
        <v>5</v>
      </c>
    </row>
    <row r="10" spans="1:7" x14ac:dyDescent="0.25">
      <c r="A10" t="str">
        <v>Denise Duarte Guirra Kuhlmann</v>
      </c>
      <c r="B10" s="110">
        <f>IF($A10="","",SUMIFS('GECC 2026'!H$2:H$200,'GECC 2026'!F$2:F$200,$A10))</f>
        <v>12</v>
      </c>
      <c r="C10" s="110">
        <f>IF($A10="","",SUMIFS('GECC 2026'!I$2:I$200,'GECC 2026'!F$2:F$200,$A10))</f>
        <v>3.5999999999999996</v>
      </c>
      <c r="D10" s="270">
        <f>IF($A10="","",SUMIFS('GECC 2026'!$AE$3:$AE$32,'GECC 2026'!$AD$3:$AD$32,$A10))</f>
        <v>0</v>
      </c>
      <c r="E10" s="254">
        <f>IF($A10="","",SUMIFS('GECC 2026'!J$2:J$200,'GECC 2026'!F$2:F$200,$A10)+SUMIFS('GECC 2026'!$AE$3:$AE$32,'GECC 2026'!$AD$3:$AD$32,$A10))</f>
        <v>15.600000000000001</v>
      </c>
      <c r="F10" s="108">
        <f>IF($A10="","",COUNTIFS('GECC 2026'!F$2:F$200,$A10))</f>
        <v>3</v>
      </c>
    </row>
    <row r="11" spans="1:7" x14ac:dyDescent="0.25">
      <c r="A11" t="str">
        <v>Diversos</v>
      </c>
      <c r="B11" s="110">
        <f>IF($A11="","",SUMIFS('GECC 2026'!H$2:H$200,'GECC 2026'!F$2:F$200,$A11))</f>
        <v>0</v>
      </c>
      <c r="C11" s="110">
        <f>IF($A11="","",SUMIFS('GECC 2026'!I$2:I$200,'GECC 2026'!F$2:F$200,$A11))</f>
        <v>0</v>
      </c>
      <c r="D11" s="270">
        <f>IF($A11="","",SUMIFS('GECC 2026'!$AE$3:$AE$32,'GECC 2026'!$AD$3:$AD$32,$A11))</f>
        <v>0</v>
      </c>
      <c r="E11" s="254">
        <f>IF($A11="","",SUMIFS('GECC 2026'!J$2:J$200,'GECC 2026'!F$2:F$200,$A11)+SUMIFS('GECC 2026'!$AE$3:$AE$32,'GECC 2026'!$AD$3:$AD$32,$A11))</f>
        <v>0</v>
      </c>
      <c r="F11" s="108">
        <f>IF($A11="","",COUNTIFS('GECC 2026'!F$2:F$200,$A11))</f>
        <v>1</v>
      </c>
    </row>
    <row r="12" spans="1:7" x14ac:dyDescent="0.25">
      <c r="A12" t="str">
        <v>Fernanda Viana de Souza</v>
      </c>
      <c r="B12" s="110">
        <f>IF($A12="","",SUMIFS('GECC 2026'!H$2:H$200,'GECC 2026'!F$2:F$200,$A12))</f>
        <v>12</v>
      </c>
      <c r="C12" s="110">
        <f>IF($A12="","",SUMIFS('GECC 2026'!I$2:I$200,'GECC 2026'!F$2:F$200,$A12))</f>
        <v>3.5999999999999996</v>
      </c>
      <c r="D12" s="270">
        <f>IF($A12="","",SUMIFS('GECC 2026'!$AE$3:$AE$32,'GECC 2026'!$AD$3:$AD$32,$A12))</f>
        <v>0</v>
      </c>
      <c r="E12" s="254">
        <f>IF($A12="","",SUMIFS('GECC 2026'!J$2:J$200,'GECC 2026'!F$2:F$200,$A12)+SUMIFS('GECC 2026'!$AE$3:$AE$32,'GECC 2026'!$AD$3:$AD$32,$A12))</f>
        <v>15.600000000000001</v>
      </c>
      <c r="F12" s="108">
        <f>IF($A12="","",COUNTIFS('GECC 2026'!F$2:F$200,$A12))</f>
        <v>3</v>
      </c>
    </row>
    <row r="13" spans="1:7" x14ac:dyDescent="0.25">
      <c r="A13" t="str">
        <v>Flávio José Fonseca de Souza</v>
      </c>
      <c r="B13" s="110">
        <f>IF($A13="","",SUMIFS('GECC 2026'!H$2:H$200,'GECC 2026'!F$2:F$200,$A13))</f>
        <v>8</v>
      </c>
      <c r="C13" s="110">
        <f>IF($A13="","",SUMIFS('GECC 2026'!I$2:I$200,'GECC 2026'!F$2:F$200,$A13))</f>
        <v>2.4</v>
      </c>
      <c r="D13" s="270">
        <f>IF($A13="","",SUMIFS('GECC 2026'!$AE$3:$AE$32,'GECC 2026'!$AD$3:$AD$32,$A13))</f>
        <v>0</v>
      </c>
      <c r="E13" s="254">
        <f>IF($A13="","",SUMIFS('GECC 2026'!J$2:J$200,'GECC 2026'!F$2:F$200,$A13)+SUMIFS('GECC 2026'!$AE$3:$AE$32,'GECC 2026'!$AD$3:$AD$32,$A13))</f>
        <v>10.4</v>
      </c>
      <c r="F13" s="108">
        <f>IF($A13="","",COUNTIFS('GECC 2026'!F$2:F$200,$A13))</f>
        <v>1</v>
      </c>
    </row>
    <row r="14" spans="1:7" x14ac:dyDescent="0.25">
      <c r="A14" t="str">
        <v>Gabriel Heller</v>
      </c>
      <c r="B14" s="110">
        <f>IF($A14="","",SUMIFS('GECC 2026'!H$2:H$200,'GECC 2026'!F$2:F$200,$A14))</f>
        <v>4</v>
      </c>
      <c r="C14" s="110">
        <f>IF($A14="","",SUMIFS('GECC 2026'!I$2:I$200,'GECC 2026'!F$2:F$200,$A14))</f>
        <v>1.2</v>
      </c>
      <c r="D14" s="270">
        <f>IF($A14="","",SUMIFS('GECC 2026'!$AE$3:$AE$32,'GECC 2026'!$AD$3:$AD$32,$A14))</f>
        <v>0</v>
      </c>
      <c r="E14" s="254">
        <f>IF($A14="","",SUMIFS('GECC 2026'!J$2:J$200,'GECC 2026'!F$2:F$200,$A14)+SUMIFS('GECC 2026'!$AE$3:$AE$32,'GECC 2026'!$AD$3:$AD$32,$A14))</f>
        <v>5.2</v>
      </c>
      <c r="F14" s="108">
        <f>IF($A14="","",COUNTIFS('GECC 2026'!F$2:F$200,$A14))</f>
        <v>1</v>
      </c>
    </row>
    <row r="15" spans="1:7" x14ac:dyDescent="0.25">
      <c r="A15" t="str">
        <v>Gustavo Takahashi</v>
      </c>
      <c r="B15" s="110">
        <f>IF($A15="","",SUMIFS('GECC 2026'!H$2:H$200,'GECC 2026'!F$2:F$200,$A15))</f>
        <v>25</v>
      </c>
      <c r="C15" s="110">
        <f>IF($A15="","",SUMIFS('GECC 2026'!I$2:I$200,'GECC 2026'!F$2:F$200,$A15))</f>
        <v>0</v>
      </c>
      <c r="D15" s="270">
        <f>IF($A15="","",SUMIFS('GECC 2026'!$AE$3:$AE$32,'GECC 2026'!$AD$3:$AD$32,$A15))</f>
        <v>0</v>
      </c>
      <c r="E15" s="254">
        <f>IF($A15="","",SUMIFS('GECC 2026'!J$2:J$200,'GECC 2026'!F$2:F$200,$A15)+SUMIFS('GECC 2026'!$AE$3:$AE$32,'GECC 2026'!$AD$3:$AD$32,$A15))</f>
        <v>25</v>
      </c>
      <c r="F15" s="108">
        <f>IF($A15="","",COUNTIFS('GECC 2026'!F$2:F$200,$A15))</f>
        <v>4</v>
      </c>
    </row>
    <row r="16" spans="1:7" x14ac:dyDescent="0.25">
      <c r="A16" t="str">
        <v>Indio Artiaga do Brasil Rabelo</v>
      </c>
      <c r="B16" s="110">
        <f>IF($A16="","",SUMIFS('GECC 2026'!H$2:H$200,'GECC 2026'!F$2:F$200,$A16))</f>
        <v>12</v>
      </c>
      <c r="C16" s="110">
        <f>IF($A16="","",SUMIFS('GECC 2026'!I$2:I$200,'GECC 2026'!F$2:F$200,$A16))</f>
        <v>3.6</v>
      </c>
      <c r="D16" s="270">
        <f>IF($A16="","",SUMIFS('GECC 2026'!$AE$3:$AE$32,'GECC 2026'!$AD$3:$AD$32,$A16))</f>
        <v>0</v>
      </c>
      <c r="E16" s="254">
        <f>IF($A16="","",SUMIFS('GECC 2026'!J$2:J$200,'GECC 2026'!F$2:F$200,$A16)+SUMIFS('GECC 2026'!$AE$3:$AE$32,'GECC 2026'!$AD$3:$AD$32,$A16))</f>
        <v>15.6</v>
      </c>
      <c r="F16" s="108">
        <f>IF($A16="","",COUNTIFS('GECC 2026'!F$2:F$200,$A16))</f>
        <v>1</v>
      </c>
    </row>
    <row r="17" spans="1:6" x14ac:dyDescent="0.25">
      <c r="A17" t="str">
        <v>Leonardo de Melo</v>
      </c>
      <c r="B17" s="110">
        <f>IF($A17="","",SUMIFS('GECC 2026'!H$2:H$200,'GECC 2026'!F$2:F$200,$A17))</f>
        <v>0</v>
      </c>
      <c r="C17" s="110">
        <f>IF($A17="","",SUMIFS('GECC 2026'!I$2:I$200,'GECC 2026'!F$2:F$200,$A17))</f>
        <v>0</v>
      </c>
      <c r="D17" s="270">
        <f>IF($A17="","",SUMIFS('GECC 2026'!$AE$3:$AE$32,'GECC 2026'!$AD$3:$AD$32,$A17))</f>
        <v>0</v>
      </c>
      <c r="E17" s="254">
        <f>IF($A17="","",SUMIFS('GECC 2026'!J$2:J$200,'GECC 2026'!F$2:F$200,$A17)+SUMIFS('GECC 2026'!$AE$3:$AE$32,'GECC 2026'!$AD$3:$AD$32,$A17))</f>
        <v>0</v>
      </c>
      <c r="F17" s="108">
        <f>IF($A17="","",COUNTIFS('GECC 2026'!F$2:F$200,$A17))</f>
        <v>1</v>
      </c>
    </row>
    <row r="18" spans="1:6" x14ac:dyDescent="0.25">
      <c r="A18" t="str">
        <v>Leonardo José Alves Leal Neri</v>
      </c>
      <c r="B18" s="110">
        <f>IF($A18="","",SUMIFS('GECC 2026'!H$2:H$200,'GECC 2026'!F$2:F$200,$A18))</f>
        <v>40</v>
      </c>
      <c r="C18" s="110">
        <f>IF($A18="","",SUMIFS('GECC 2026'!I$2:I$200,'GECC 2026'!F$2:F$200,$A18))</f>
        <v>12</v>
      </c>
      <c r="D18" s="270">
        <f>IF($A18="","",SUMIFS('GECC 2026'!$AE$3:$AE$32,'GECC 2026'!$AD$3:$AD$32,$A18))</f>
        <v>0</v>
      </c>
      <c r="E18" s="254">
        <f>IF($A18="","",SUMIFS('GECC 2026'!J$2:J$200,'GECC 2026'!F$2:F$200,$A18)+SUMIFS('GECC 2026'!$AE$3:$AE$32,'GECC 2026'!$AD$3:$AD$32,$A18))</f>
        <v>52</v>
      </c>
      <c r="F18" s="108">
        <f>IF($A18="","",COUNTIFS('GECC 2026'!F$2:F$200,$A18))</f>
        <v>2</v>
      </c>
    </row>
    <row r="19" spans="1:6" x14ac:dyDescent="0.25">
      <c r="A19" t="str">
        <v>Luciana Alvim</v>
      </c>
      <c r="B19" s="110">
        <f>IF($A19="","",SUMIFS('GECC 2026'!H$2:H$200,'GECC 2026'!F$2:F$200,$A19))</f>
        <v>60</v>
      </c>
      <c r="C19" s="110">
        <f>IF($A19="","",SUMIFS('GECC 2026'!I$2:I$200,'GECC 2026'!F$2:F$200,$A19))</f>
        <v>9</v>
      </c>
      <c r="D19" s="270">
        <f>IF($A19="","",SUMIFS('GECC 2026'!$AE$3:$AE$32,'GECC 2026'!$AD$3:$AD$32,$A19))</f>
        <v>0</v>
      </c>
      <c r="E19" s="254">
        <f>IF($A19="","",SUMIFS('GECC 2026'!J$2:J$200,'GECC 2026'!F$2:F$200,$A19)+SUMIFS('GECC 2026'!$AE$3:$AE$32,'GECC 2026'!$AD$3:$AD$32,$A19))</f>
        <v>69</v>
      </c>
      <c r="F19" s="108">
        <f>IF($A19="","",COUNTIFS('GECC 2026'!F$2:F$200,$A19))</f>
        <v>5</v>
      </c>
    </row>
    <row r="20" spans="1:6" x14ac:dyDescent="0.25">
      <c r="A20" t="str">
        <v>Marcelo Bálbio Moraes</v>
      </c>
      <c r="B20" s="110">
        <f>IF($A20="","",SUMIFS('GECC 2026'!H$2:H$200,'GECC 2026'!F$2:F$200,$A20))</f>
        <v>0</v>
      </c>
      <c r="C20" s="110">
        <f>IF($A20="","",SUMIFS('GECC 2026'!I$2:I$200,'GECC 2026'!F$2:F$200,$A20))</f>
        <v>0</v>
      </c>
      <c r="D20" s="270">
        <f>IF($A20="","",SUMIFS('GECC 2026'!$AE$3:$AE$32,'GECC 2026'!$AD$3:$AD$32,$A20))</f>
        <v>15</v>
      </c>
      <c r="E20" s="254">
        <f>IF($A20="","",SUMIFS('GECC 2026'!J$2:J$200,'GECC 2026'!F$2:F$200,$A20)+SUMIFS('GECC 2026'!$AE$3:$AE$32,'GECC 2026'!$AD$3:$AD$32,$A20))</f>
        <v>15</v>
      </c>
      <c r="F20" s="108">
        <f>IF($A20="","",COUNTIFS('GECC 2026'!F$2:F$200,$A20))</f>
        <v>0</v>
      </c>
    </row>
    <row r="21" spans="1:6" x14ac:dyDescent="0.25">
      <c r="A21" t="str">
        <v>Mauri Siqueira Montessi</v>
      </c>
      <c r="B21" s="110">
        <f>IF($A21="","",SUMIFS('GECC 2026'!H$2:H$200,'GECC 2026'!F$2:F$200,$A21))</f>
        <v>0</v>
      </c>
      <c r="C21" s="110">
        <f>IF($A21="","",SUMIFS('GECC 2026'!I$2:I$200,'GECC 2026'!F$2:F$200,$A21))</f>
        <v>0</v>
      </c>
      <c r="D21" s="270">
        <f>IF($A21="","",SUMIFS('GECC 2026'!$AE$3:$AE$32,'GECC 2026'!$AD$3:$AD$32,$A21))</f>
        <v>15</v>
      </c>
      <c r="E21" s="254">
        <f>IF($A21="","",SUMIFS('GECC 2026'!J$2:J$200,'GECC 2026'!F$2:F$200,$A21)+SUMIFS('GECC 2026'!$AE$3:$AE$32,'GECC 2026'!$AD$3:$AD$32,$A21))</f>
        <v>15</v>
      </c>
      <c r="F21" s="108">
        <f>IF($A21="","",COUNTIFS('GECC 2026'!F$2:F$200,$A21))</f>
        <v>0</v>
      </c>
    </row>
    <row r="22" spans="1:6" x14ac:dyDescent="0.25">
      <c r="A22" t="str">
        <v>Michel Martins de Morais</v>
      </c>
      <c r="B22" s="110">
        <f>IF($A22="","",SUMIFS('GECC 2026'!H$2:H$200,'GECC 2026'!F$2:F$200,$A22))</f>
        <v>0</v>
      </c>
      <c r="C22" s="110">
        <f>IF($A22="","",SUMIFS('GECC 2026'!I$2:I$200,'GECC 2026'!F$2:F$200,$A22))</f>
        <v>0</v>
      </c>
      <c r="D22" s="270">
        <f>IF($A22="","",SUMIFS('GECC 2026'!$AE$3:$AE$32,'GECC 2026'!$AD$3:$AD$32,$A22))</f>
        <v>15</v>
      </c>
      <c r="E22" s="254">
        <f>IF($A22="","",SUMIFS('GECC 2026'!J$2:J$200,'GECC 2026'!F$2:F$200,$A22)+SUMIFS('GECC 2026'!$AE$3:$AE$32,'GECC 2026'!$AD$3:$AD$32,$A22))</f>
        <v>15</v>
      </c>
      <c r="F22" s="108">
        <f>IF($A22="","",COUNTIFS('GECC 2026'!F$2:F$200,$A22))</f>
        <v>0</v>
      </c>
    </row>
    <row r="23" spans="1:6" x14ac:dyDescent="0.25">
      <c r="A23" t="str">
        <v>Paulo José Góes Daltro</v>
      </c>
      <c r="B23" s="110">
        <f>IF($A23="","",SUMIFS('GECC 2026'!H$2:H$200,'GECC 2026'!F$2:F$200,$A23))</f>
        <v>0</v>
      </c>
      <c r="C23" s="110">
        <f>IF($A23="","",SUMIFS('GECC 2026'!I$2:I$200,'GECC 2026'!F$2:F$200,$A23))</f>
        <v>0</v>
      </c>
      <c r="D23" s="270">
        <f>IF($A23="","",SUMIFS('GECC 2026'!$AE$3:$AE$32,'GECC 2026'!$AD$3:$AD$32,$A23))</f>
        <v>0</v>
      </c>
      <c r="E23" s="254">
        <f>IF($A23="","",SUMIFS('GECC 2026'!J$2:J$200,'GECC 2026'!F$2:F$200,$A23)+SUMIFS('GECC 2026'!$AE$3:$AE$32,'GECC 2026'!$AD$3:$AD$32,$A23))</f>
        <v>0</v>
      </c>
      <c r="F23" s="108">
        <f>IF($A23="","",COUNTIFS('GECC 2026'!F$2:F$200,$A23))</f>
        <v>3</v>
      </c>
    </row>
    <row r="24" spans="1:6" x14ac:dyDescent="0.25">
      <c r="A24" t="str">
        <v>Priscila Nolasco</v>
      </c>
      <c r="B24" s="110">
        <f>IF($A24="","",SUMIFS('GECC 2026'!H$2:H$200,'GECC 2026'!F$2:F$200,$A24))</f>
        <v>12</v>
      </c>
      <c r="C24" s="110">
        <f>IF($A24="","",SUMIFS('GECC 2026'!I$2:I$200,'GECC 2026'!F$2:F$200,$A24))</f>
        <v>3.5999999999999996</v>
      </c>
      <c r="D24" s="270">
        <f>IF($A24="","",SUMIFS('GECC 2026'!$AE$3:$AE$32,'GECC 2026'!$AD$3:$AD$32,$A24))</f>
        <v>0</v>
      </c>
      <c r="E24" s="254">
        <f>IF($A24="","",SUMIFS('GECC 2026'!J$2:J$200,'GECC 2026'!F$2:F$200,$A24)+SUMIFS('GECC 2026'!$AE$3:$AE$32,'GECC 2026'!$AD$3:$AD$32,$A24))</f>
        <v>15.600000000000001</v>
      </c>
      <c r="F24" s="108">
        <f>IF($A24="","",COUNTIFS('GECC 2026'!F$2:F$200,$A24))</f>
        <v>3</v>
      </c>
    </row>
    <row r="25" spans="1:6" x14ac:dyDescent="0.25">
      <c r="A25" t="str">
        <v>Reinaldo Alencar</v>
      </c>
      <c r="B25" s="110">
        <f>IF($A25="","",SUMIFS('GECC 2026'!H$2:H$200,'GECC 2026'!F$2:F$200,$A25))</f>
        <v>48</v>
      </c>
      <c r="C25" s="110">
        <f>IF($A25="","",SUMIFS('GECC 2026'!I$2:I$200,'GECC 2026'!F$2:F$200,$A25))</f>
        <v>7.1999999999999993</v>
      </c>
      <c r="D25" s="270">
        <f>IF($A25="","",SUMIFS('GECC 2026'!$AE$3:$AE$32,'GECC 2026'!$AD$3:$AD$32,$A25))</f>
        <v>0</v>
      </c>
      <c r="E25" s="254">
        <f>IF($A25="","",SUMIFS('GECC 2026'!J$2:J$200,'GECC 2026'!F$2:F$200,$A25)+SUMIFS('GECC 2026'!$AE$3:$AE$32,'GECC 2026'!$AD$3:$AD$32,$A25))</f>
        <v>55.2</v>
      </c>
      <c r="F25" s="108">
        <f>IF($A25="","",COUNTIFS('GECC 2026'!F$2:F$200,$A25))</f>
        <v>3</v>
      </c>
    </row>
    <row r="26" spans="1:6" x14ac:dyDescent="0.25">
      <c r="A26" t="str">
        <v>Rogério Ribeiro</v>
      </c>
      <c r="B26" s="110">
        <f>IF($A26="","",SUMIFS('GECC 2026'!H$2:H$200,'GECC 2026'!F$2:F$200,$A26))</f>
        <v>48</v>
      </c>
      <c r="C26" s="110">
        <f>IF($A26="","",SUMIFS('GECC 2026'!I$2:I$200,'GECC 2026'!F$2:F$200,$A26))</f>
        <v>7.1999999999999993</v>
      </c>
      <c r="D26" s="270">
        <f>IF($A26="","",SUMIFS('GECC 2026'!$AE$3:$AE$32,'GECC 2026'!$AD$3:$AD$32,$A26))</f>
        <v>0</v>
      </c>
      <c r="E26" s="254">
        <f>IF($A26="","",SUMIFS('GECC 2026'!J$2:J$200,'GECC 2026'!F$2:F$200,$A26)+SUMIFS('GECC 2026'!$AE$3:$AE$32,'GECC 2026'!$AD$3:$AD$32,$A26))</f>
        <v>55.2</v>
      </c>
      <c r="F26" s="108">
        <f>IF($A26="","",COUNTIFS('GECC 2026'!F$2:F$200,$A26))</f>
        <v>3</v>
      </c>
    </row>
    <row r="27" spans="1:6" x14ac:dyDescent="0.25">
      <c r="A27" t="str">
        <v>Rômulo Miranda Alvim</v>
      </c>
      <c r="B27" s="110">
        <f>IF($A27="","",SUMIFS('GECC 2026'!H$2:H$200,'GECC 2026'!F$2:F$200,$A27))</f>
        <v>24</v>
      </c>
      <c r="C27" s="110">
        <f>IF($A27="","",SUMIFS('GECC 2026'!I$2:I$200,'GECC 2026'!F$2:F$200,$A27))</f>
        <v>3.6</v>
      </c>
      <c r="D27" s="270">
        <f>IF($A27="","",SUMIFS('GECC 2026'!$AE$3:$AE$32,'GECC 2026'!$AD$3:$AD$32,$A27))</f>
        <v>15</v>
      </c>
      <c r="E27" s="254">
        <f>IF($A27="","",SUMIFS('GECC 2026'!J$2:J$200,'GECC 2026'!F$2:F$200,$A27)+SUMIFS('GECC 2026'!$AE$3:$AE$32,'GECC 2026'!$AD$3:$AD$32,$A27))</f>
        <v>42.6</v>
      </c>
      <c r="F27" s="108">
        <f>IF($A27="","",COUNTIFS('GECC 2026'!F$2:F$200,$A27))</f>
        <v>2</v>
      </c>
    </row>
    <row r="28" spans="1:6" x14ac:dyDescent="0.25">
      <c r="A28" t="str">
        <v>Servidores, colaboradores e estagiários do TCDF</v>
      </c>
      <c r="B28" s="110">
        <f>IF($A28="","",SUMIFS('GECC 2026'!H$2:H$200,'GECC 2026'!F$2:F$200,$A28))</f>
        <v>0</v>
      </c>
      <c r="C28" s="110">
        <f>IF($A28="","",SUMIFS('GECC 2026'!I$2:I$200,'GECC 2026'!F$2:F$200,$A28))</f>
        <v>0</v>
      </c>
      <c r="D28" s="270">
        <f>IF($A28="","",SUMIFS('GECC 2026'!$AE$3:$AE$32,'GECC 2026'!$AD$3:$AD$32,$A28))</f>
        <v>0</v>
      </c>
      <c r="E28" s="254">
        <f>IF($A28="","",SUMIFS('GECC 2026'!J$2:J$200,'GECC 2026'!F$2:F$200,$A28)+SUMIFS('GECC 2026'!$AE$3:$AE$32,'GECC 2026'!$AD$3:$AD$32,$A28))</f>
        <v>0</v>
      </c>
      <c r="F28" s="108">
        <f>IF($A28="","",COUNTIFS('GECC 2026'!F$2:F$200,$A28))</f>
        <v>1</v>
      </c>
    </row>
    <row r="29" spans="1:6" x14ac:dyDescent="0.25">
      <c r="A29" t="str">
        <v>Tarsila Firmino Ely</v>
      </c>
      <c r="B29" s="110">
        <f>IF($A29="","",SUMIFS('GECC 2026'!H$2:H$200,'GECC 2026'!F$2:F$200,$A29))</f>
        <v>36</v>
      </c>
      <c r="C29" s="110">
        <f>IF($A29="","",SUMIFS('GECC 2026'!I$2:I$200,'GECC 2026'!F$2:F$200,$A29))</f>
        <v>5.3999999999999995</v>
      </c>
      <c r="D29" s="270">
        <f>IF($A29="","",SUMIFS('GECC 2026'!$AE$3:$AE$32,'GECC 2026'!$AD$3:$AD$32,$A29))</f>
        <v>0</v>
      </c>
      <c r="E29" s="254">
        <f>IF($A29="","",SUMIFS('GECC 2026'!J$2:J$200,'GECC 2026'!F$2:F$200,$A29)+SUMIFS('GECC 2026'!$AE$3:$AE$32,'GECC 2026'!$AD$3:$AD$32,$A29))</f>
        <v>41.400000000000006</v>
      </c>
      <c r="F29" s="108">
        <f>IF($A29="","",COUNTIFS('GECC 2026'!F$2:F$200,$A29))</f>
        <v>3</v>
      </c>
    </row>
    <row r="30" spans="1:6" x14ac:dyDescent="0.25">
      <c r="B30" s="110" t="str">
        <f>IF($A30="","",SUMIFS('GECC 2026'!H$2:H$200,'GECC 2026'!F$2:F$200,$A30))</f>
        <v/>
      </c>
      <c r="C30" s="110" t="str">
        <f>IF($A30="","",SUMIFS('GECC 2026'!I$2:I$200,'GECC 2026'!F$2:F$200,$A30))</f>
        <v/>
      </c>
      <c r="D30" s="270" t="str">
        <f>IF($A30="","",SUMIFS('GECC 2026'!$AE$3:$AE$32,'GECC 2026'!$AD$3:$AD$32,$A30))</f>
        <v/>
      </c>
      <c r="E30" s="254" t="str">
        <f>IF($A30="","",SUMIFS('GECC 2026'!J$2:J$200,'GECC 2026'!F$2:F$200,$A30)+SUMIFS('GECC 2026'!$AE$3:$AE$32,'GECC 2026'!$AD$3:$AD$32,$A30))</f>
        <v/>
      </c>
      <c r="F30" s="108" t="str">
        <f>IF($A30="","",COUNTIFS('GECC 2026'!F$2:F$200,$A30))</f>
        <v/>
      </c>
    </row>
    <row r="31" spans="1:6" x14ac:dyDescent="0.25">
      <c r="B31" s="110" t="str">
        <f>IF($A31="","",SUMIFS('GECC 2026'!H$2:H$200,'GECC 2026'!F$2:F$200,$A31))</f>
        <v/>
      </c>
      <c r="C31" s="110" t="str">
        <f>IF($A31="","",SUMIFS('GECC 2026'!I$2:I$200,'GECC 2026'!F$2:F$200,$A31))</f>
        <v/>
      </c>
      <c r="D31" s="270" t="str">
        <f>IF($A31="","",SUMIFS('GECC 2026'!$AE$3:$AE$32,'GECC 2026'!$AD$3:$AD$32,$A31))</f>
        <v/>
      </c>
      <c r="E31" s="254" t="str">
        <f>IF($A31="","",SUMIFS('GECC 2026'!J$2:J$200,'GECC 2026'!F$2:F$200,$A31)+SUMIFS('GECC 2026'!$AE$3:$AE$32,'GECC 2026'!$AD$3:$AD$32,$A31))</f>
        <v/>
      </c>
      <c r="F31" s="108" t="str">
        <f>IF($A31="","",COUNTIFS('GECC 2026'!F$2:F$200,$A31))</f>
        <v/>
      </c>
    </row>
    <row r="32" spans="1:6" x14ac:dyDescent="0.25">
      <c r="B32" s="110" t="str">
        <f>IF($A32="","",SUMIFS('GECC 2026'!H$2:H$200,'GECC 2026'!F$2:F$200,$A32))</f>
        <v/>
      </c>
      <c r="C32" s="110" t="str">
        <f>IF($A32="","",SUMIFS('GECC 2026'!I$2:I$200,'GECC 2026'!F$2:F$200,$A32))</f>
        <v/>
      </c>
      <c r="D32" s="270" t="str">
        <f>IF($A32="","",SUMIFS('GECC 2026'!$AE$3:$AE$32,'GECC 2026'!$AD$3:$AD$32,$A32))</f>
        <v/>
      </c>
      <c r="E32" s="254" t="str">
        <f>IF($A32="","",SUMIFS('GECC 2026'!J$2:J$200,'GECC 2026'!F$2:F$200,$A32)+SUMIFS('GECC 2026'!$AE$3:$AE$32,'GECC 2026'!$AD$3:$AD$32,$A32))</f>
        <v/>
      </c>
      <c r="F32" s="108" t="str">
        <f>IF($A32="","",COUNTIFS('GECC 2026'!F$2:F$200,$A32))</f>
        <v/>
      </c>
    </row>
    <row r="33" spans="2:6" x14ac:dyDescent="0.25">
      <c r="B33" s="110" t="str">
        <f>IF($A33="","",SUMIFS('GECC 2026'!H$2:H$200,'GECC 2026'!F$2:F$200,$A33))</f>
        <v/>
      </c>
      <c r="C33" s="110" t="str">
        <f>IF($A33="","",SUMIFS('GECC 2026'!I$2:I$200,'GECC 2026'!F$2:F$200,$A33))</f>
        <v/>
      </c>
      <c r="D33" s="270" t="str">
        <f>IF($A33="","",SUMIFS('GECC 2026'!$AE$3:$AE$32,'GECC 2026'!$AD$3:$AD$32,$A33))</f>
        <v/>
      </c>
      <c r="E33" s="254" t="str">
        <f>IF($A33="","",SUMIFS('GECC 2026'!J$2:J$200,'GECC 2026'!F$2:F$200,$A33)+SUMIFS('GECC 2026'!$AE$3:$AE$32,'GECC 2026'!$AD$3:$AD$32,$A33))</f>
        <v/>
      </c>
      <c r="F33" s="108" t="str">
        <f>IF($A33="","",COUNTIFS('GECC 2026'!F$2:F$200,$A33))</f>
        <v/>
      </c>
    </row>
    <row r="34" spans="2:6" x14ac:dyDescent="0.25">
      <c r="B34" s="110" t="str">
        <f>IF($A34="","",SUMIFS('GECC 2026'!H$2:H$200,'GECC 2026'!F$2:F$200,$A34))</f>
        <v/>
      </c>
      <c r="C34" s="110" t="str">
        <f>IF($A34="","",SUMIFS('GECC 2026'!I$2:I$200,'GECC 2026'!F$2:F$200,$A34))</f>
        <v/>
      </c>
      <c r="D34" s="270" t="str">
        <f>IF($A34="","",SUMIFS('GECC 2026'!$AE$3:$AE$32,'GECC 2026'!$AD$3:$AD$32,$A34))</f>
        <v/>
      </c>
      <c r="E34" s="254" t="str">
        <f>IF($A34="","",SUMIFS('GECC 2026'!J$2:J$200,'GECC 2026'!F$2:F$200,$A34)+SUMIFS('GECC 2026'!$AE$3:$AE$32,'GECC 2026'!$AD$3:$AD$32,$A34))</f>
        <v/>
      </c>
      <c r="F34" s="108" t="str">
        <f>IF($A34="","",COUNTIFS('GECC 2026'!F$2:F$200,$A34))</f>
        <v/>
      </c>
    </row>
    <row r="35" spans="2:6" x14ac:dyDescent="0.25">
      <c r="B35" s="110" t="str">
        <f>IF($A35="","",SUMIFS('GECC 2026'!H$2:H$200,'GECC 2026'!F$2:F$200,$A35))</f>
        <v/>
      </c>
      <c r="C35" s="110" t="str">
        <f>IF($A35="","",SUMIFS('GECC 2026'!I$2:I$200,'GECC 2026'!F$2:F$200,$A35))</f>
        <v/>
      </c>
      <c r="D35" s="270" t="str">
        <f>IF($A35="","",SUMIFS('GECC 2026'!$AE$3:$AE$32,'GECC 2026'!$AD$3:$AD$32,$A35))</f>
        <v/>
      </c>
      <c r="E35" s="254" t="str">
        <f>IF($A35="","",SUMIFS('GECC 2026'!J$2:J$200,'GECC 2026'!F$2:F$200,$A35)+SUMIFS('GECC 2026'!$AE$3:$AE$32,'GECC 2026'!$AD$3:$AD$32,$A35))</f>
        <v/>
      </c>
      <c r="F35" s="108" t="str">
        <f>IF($A35="","",COUNTIFS('GECC 2026'!F$2:F$200,$A35))</f>
        <v/>
      </c>
    </row>
    <row r="36" spans="2:6" x14ac:dyDescent="0.25">
      <c r="B36" s="110" t="str">
        <f>IF($A36="","",SUMIFS('GECC 2026'!H$2:H$200,'GECC 2026'!F$2:F$200,$A36))</f>
        <v/>
      </c>
      <c r="C36" s="110" t="str">
        <f>IF($A36="","",SUMIFS('GECC 2026'!I$2:I$200,'GECC 2026'!F$2:F$200,$A36))</f>
        <v/>
      </c>
      <c r="D36" s="270" t="str">
        <f>IF($A36="","",SUMIFS('GECC 2026'!$AE$3:$AE$32,'GECC 2026'!$AD$3:$AD$32,$A36))</f>
        <v/>
      </c>
      <c r="E36" s="254" t="str">
        <f>IF($A36="","",SUMIFS('GECC 2026'!J$2:J$200,'GECC 2026'!F$2:F$200,$A36)+SUMIFS('GECC 2026'!$AE$3:$AE$32,'GECC 2026'!$AD$3:$AD$32,$A36))</f>
        <v/>
      </c>
      <c r="F36" s="108" t="str">
        <f>IF($A36="","",COUNTIFS('GECC 2026'!F$2:F$200,$A36))</f>
        <v/>
      </c>
    </row>
    <row r="37" spans="2:6" x14ac:dyDescent="0.25">
      <c r="B37" s="110" t="str">
        <f>IF($A37="","",SUMIFS('GECC 2026'!H$2:H$200,'GECC 2026'!F$2:F$200,$A37))</f>
        <v/>
      </c>
      <c r="C37" s="110" t="str">
        <f>IF($A37="","",SUMIFS('GECC 2026'!I$2:I$200,'GECC 2026'!F$2:F$200,$A37))</f>
        <v/>
      </c>
      <c r="D37" s="270" t="str">
        <f>IF($A37="","",SUMIFS('GECC 2026'!$AE$3:$AE$32,'GECC 2026'!$AD$3:$AD$32,$A37))</f>
        <v/>
      </c>
      <c r="E37" s="254" t="str">
        <f>IF($A37="","",SUMIFS('GECC 2026'!J$2:J$200,'GECC 2026'!F$2:F$200,$A37)+SUMIFS('GECC 2026'!$AE$3:$AE$32,'GECC 2026'!$AD$3:$AD$32,$A37))</f>
        <v/>
      </c>
      <c r="F37" s="108" t="str">
        <f>IF($A37="","",COUNTIFS('GECC 2026'!F$2:F$200,$A37))</f>
        <v/>
      </c>
    </row>
    <row r="38" spans="2:6" x14ac:dyDescent="0.25">
      <c r="B38" s="110" t="str">
        <f>IF($A38="","",SUMIFS('GECC 2026'!H$2:H$200,'GECC 2026'!F$2:F$200,$A38))</f>
        <v/>
      </c>
      <c r="C38" s="110" t="str">
        <f>IF($A38="","",SUMIFS('GECC 2026'!I$2:I$200,'GECC 2026'!F$2:F$200,$A38))</f>
        <v/>
      </c>
      <c r="D38" s="270" t="str">
        <f>IF($A38="","",SUMIFS('GECC 2026'!$AE$3:$AE$32,'GECC 2026'!$AD$3:$AD$32,$A38))</f>
        <v/>
      </c>
      <c r="E38" s="254" t="str">
        <f>IF($A38="","",SUMIFS('GECC 2026'!J$2:J$200,'GECC 2026'!F$2:F$200,$A38)+SUMIFS('GECC 2026'!$AE$3:$AE$32,'GECC 2026'!$AD$3:$AD$32,$A38))</f>
        <v/>
      </c>
      <c r="F38" s="108" t="str">
        <f>IF($A38="","",COUNTIFS('GECC 2026'!F$2:F$200,$A38))</f>
        <v/>
      </c>
    </row>
    <row r="39" spans="2:6" x14ac:dyDescent="0.25">
      <c r="B39" s="110" t="str">
        <f>IF($A39="","",SUMIFS('GECC 2026'!H$2:H$200,'GECC 2026'!F$2:F$200,$A39))</f>
        <v/>
      </c>
      <c r="C39" s="110" t="str">
        <f>IF($A39="","",SUMIFS('GECC 2026'!I$2:I$200,'GECC 2026'!F$2:F$200,$A39))</f>
        <v/>
      </c>
      <c r="D39" s="270" t="str">
        <f>IF($A39="","",SUMIFS('GECC 2026'!$AE$3:$AE$32,'GECC 2026'!$AD$3:$AD$32,$A39))</f>
        <v/>
      </c>
      <c r="E39" s="254" t="str">
        <f>IF($A39="","",SUMIFS('GECC 2026'!J$2:J$200,'GECC 2026'!F$2:F$200,$A39)+SUMIFS('GECC 2026'!$AE$3:$AE$32,'GECC 2026'!$AD$3:$AD$32,$A39))</f>
        <v/>
      </c>
      <c r="F39" s="108" t="str">
        <f>IF($A39="","",COUNTIFS('GECC 2026'!F$2:F$200,$A39))</f>
        <v/>
      </c>
    </row>
    <row r="40" spans="2:6" x14ac:dyDescent="0.25">
      <c r="B40" s="110" t="str">
        <f>IF($A40="","",SUMIFS('GECC 2026'!H$2:H$200,'GECC 2026'!F$2:F$200,$A40))</f>
        <v/>
      </c>
      <c r="C40" s="110" t="str">
        <f>IF($A40="","",SUMIFS('GECC 2026'!I$2:I$200,'GECC 2026'!F$2:F$200,$A40))</f>
        <v/>
      </c>
      <c r="D40" s="270" t="str">
        <f>IF($A40="","",SUMIFS('GECC 2026'!$AE$3:$AE$32,'GECC 2026'!$AD$3:$AD$32,$A40))</f>
        <v/>
      </c>
      <c r="E40" s="254" t="str">
        <f>IF($A40="","",SUMIFS('GECC 2026'!J$2:J$200,'GECC 2026'!F$2:F$200,$A40)+SUMIFS('GECC 2026'!$AE$3:$AE$32,'GECC 2026'!$AD$3:$AD$32,$A40))</f>
        <v/>
      </c>
      <c r="F40" s="108" t="str">
        <f>IF($A40="","",COUNTIFS('GECC 2026'!F$2:F$200,$A40))</f>
        <v/>
      </c>
    </row>
    <row r="41" spans="2:6" x14ac:dyDescent="0.25">
      <c r="B41" s="110" t="str">
        <f>IF($A41="","",SUMIFS('GECC 2026'!H$2:H$200,'GECC 2026'!F$2:F$200,$A41))</f>
        <v/>
      </c>
      <c r="C41" s="110" t="str">
        <f>IF($A41="","",SUMIFS('GECC 2026'!I$2:I$200,'GECC 2026'!F$2:F$200,$A41))</f>
        <v/>
      </c>
      <c r="D41" s="270" t="str">
        <f>IF($A41="","",SUMIFS('GECC 2026'!$AE$3:$AE$32,'GECC 2026'!$AD$3:$AD$32,$A41))</f>
        <v/>
      </c>
      <c r="E41" s="254" t="str">
        <f>IF($A41="","",SUMIFS('GECC 2026'!J$2:J$200,'GECC 2026'!F$2:F$200,$A41)+SUMIFS('GECC 2026'!$AE$3:$AE$32,'GECC 2026'!$AD$3:$AD$32,$A41))</f>
        <v/>
      </c>
      <c r="F41" s="108" t="str">
        <f>IF($A41="","",COUNTIFS('GECC 2026'!F$2:F$200,$A41))</f>
        <v/>
      </c>
    </row>
    <row r="42" spans="2:6" x14ac:dyDescent="0.25">
      <c r="B42" s="110" t="str">
        <f>IF($A42="","",SUMIFS('GECC 2026'!H$2:H$200,'GECC 2026'!F$2:F$200,$A42))</f>
        <v/>
      </c>
      <c r="C42" s="110" t="str">
        <f>IF($A42="","",SUMIFS('GECC 2026'!I$2:I$200,'GECC 2026'!F$2:F$200,$A42))</f>
        <v/>
      </c>
      <c r="D42" s="270" t="str">
        <f>IF($A42="","",SUMIFS('GECC 2026'!$AE$3:$AE$32,'GECC 2026'!$AD$3:$AD$32,$A42))</f>
        <v/>
      </c>
      <c r="E42" s="254" t="str">
        <f>IF($A42="","",SUMIFS('GECC 2026'!J$2:J$200,'GECC 2026'!F$2:F$200,$A42)+SUMIFS('GECC 2026'!$AE$3:$AE$32,'GECC 2026'!$AD$3:$AD$32,$A42))</f>
        <v/>
      </c>
      <c r="F42" s="108" t="str">
        <f>IF($A42="","",COUNTIFS('GECC 2026'!F$2:F$200,$A42))</f>
        <v/>
      </c>
    </row>
    <row r="43" spans="2:6" x14ac:dyDescent="0.25">
      <c r="B43" s="110" t="str">
        <f>IF($A43="","",SUMIFS('GECC 2026'!H$2:H$200,'GECC 2026'!F$2:F$200,$A43))</f>
        <v/>
      </c>
      <c r="C43" s="110" t="str">
        <f>IF($A43="","",SUMIFS('GECC 2026'!I$2:I$200,'GECC 2026'!F$2:F$200,$A43))</f>
        <v/>
      </c>
      <c r="D43" s="270" t="str">
        <f>IF($A43="","",SUMIFS('GECC 2026'!$AE$3:$AE$32,'GECC 2026'!$AD$3:$AD$32,$A43))</f>
        <v/>
      </c>
      <c r="E43" s="254" t="str">
        <f>IF($A43="","",SUMIFS('GECC 2026'!J$2:J$200,'GECC 2026'!F$2:F$200,$A43)+SUMIFS('GECC 2026'!$AE$3:$AE$32,'GECC 2026'!$AD$3:$AD$32,$A43))</f>
        <v/>
      </c>
      <c r="F43" s="108" t="str">
        <f>IF($A43="","",COUNTIFS('GECC 2026'!F$2:F$200,$A43))</f>
        <v/>
      </c>
    </row>
    <row r="44" spans="2:6" x14ac:dyDescent="0.25">
      <c r="B44" s="110" t="str">
        <f>IF($A44="","",SUMIFS('GECC 2026'!H$2:H$200,'GECC 2026'!F$2:F$200,$A44))</f>
        <v/>
      </c>
      <c r="C44" s="110" t="str">
        <f>IF($A44="","",SUMIFS('GECC 2026'!I$2:I$200,'GECC 2026'!F$2:F$200,$A44))</f>
        <v/>
      </c>
      <c r="D44" s="270" t="str">
        <f>IF($A44="","",SUMIFS('GECC 2026'!$AE$3:$AE$32,'GECC 2026'!$AD$3:$AD$32,$A44))</f>
        <v/>
      </c>
      <c r="E44" s="254" t="str">
        <f>IF($A44="","",SUMIFS('GECC 2026'!J$2:J$200,'GECC 2026'!F$2:F$200,$A44)+SUMIFS('GECC 2026'!$AE$3:$AE$32,'GECC 2026'!$AD$3:$AD$32,$A44))</f>
        <v/>
      </c>
      <c r="F44" s="108" t="str">
        <f>IF($A44="","",COUNTIFS('GECC 2026'!F$2:F$200,$A44))</f>
        <v/>
      </c>
    </row>
    <row r="45" spans="2:6" x14ac:dyDescent="0.25">
      <c r="B45" s="110" t="str">
        <f>IF($A45="","",SUMIFS('GECC 2026'!H$2:H$200,'GECC 2026'!F$2:F$200,$A45))</f>
        <v/>
      </c>
      <c r="C45" s="110" t="str">
        <f>IF($A45="","",SUMIFS('GECC 2026'!I$2:I$200,'GECC 2026'!F$2:F$200,$A45))</f>
        <v/>
      </c>
      <c r="D45" s="270" t="str">
        <f>IF($A45="","",SUMIFS('GECC 2026'!$AE$3:$AE$32,'GECC 2026'!$AD$3:$AD$32,$A45))</f>
        <v/>
      </c>
      <c r="E45" s="254" t="str">
        <f>IF($A45="","",SUMIFS('GECC 2026'!J$2:J$200,'GECC 2026'!F$2:F$200,$A45)+SUMIFS('GECC 2026'!$AE$3:$AE$32,'GECC 2026'!$AD$3:$AD$32,$A45))</f>
        <v/>
      </c>
      <c r="F45" s="108" t="str">
        <f>IF($A45="","",COUNTIFS('GECC 2026'!F$2:F$200,$A45))</f>
        <v/>
      </c>
    </row>
    <row r="46" spans="2:6" x14ac:dyDescent="0.25">
      <c r="B46" s="110" t="str">
        <f>IF($A46="","",SUMIFS('GECC 2026'!H$2:H$200,'GECC 2026'!F$2:F$200,$A46))</f>
        <v/>
      </c>
      <c r="C46" s="110" t="str">
        <f>IF($A46="","",SUMIFS('GECC 2026'!I$2:I$200,'GECC 2026'!F$2:F$200,$A46))</f>
        <v/>
      </c>
      <c r="D46" s="270" t="str">
        <f>IF($A46="","",SUMIFS('GECC 2026'!$AE$3:$AE$32,'GECC 2026'!$AD$3:$AD$32,$A46))</f>
        <v/>
      </c>
      <c r="E46" s="254" t="str">
        <f>IF($A46="","",SUMIFS('GECC 2026'!J$2:J$200,'GECC 2026'!F$2:F$200,$A46)+SUMIFS('GECC 2026'!$AE$3:$AE$32,'GECC 2026'!$AD$3:$AD$32,$A46))</f>
        <v/>
      </c>
      <c r="F46" s="108" t="str">
        <f>IF($A46="","",COUNTIFS('GECC 2026'!F$2:F$200,$A46))</f>
        <v/>
      </c>
    </row>
    <row r="47" spans="2:6" x14ac:dyDescent="0.25">
      <c r="B47" s="110" t="str">
        <f>IF($A47="","",SUMIFS('GECC 2026'!H$2:H$200,'GECC 2026'!F$2:F$200,$A47))</f>
        <v/>
      </c>
      <c r="C47" s="110" t="str">
        <f>IF($A47="","",SUMIFS('GECC 2026'!I$2:I$200,'GECC 2026'!F$2:F$200,$A47))</f>
        <v/>
      </c>
      <c r="D47" s="270" t="str">
        <f>IF($A47="","",SUMIFS('GECC 2026'!$AE$3:$AE$32,'GECC 2026'!$AD$3:$AD$32,$A47))</f>
        <v/>
      </c>
      <c r="E47" s="254" t="str">
        <f>IF($A47="","",SUMIFS('GECC 2026'!J$2:J$200,'GECC 2026'!F$2:F$200,$A47)+SUMIFS('GECC 2026'!$AE$3:$AE$32,'GECC 2026'!$AD$3:$AD$32,$A47))</f>
        <v/>
      </c>
      <c r="F47" s="108" t="str">
        <f>IF($A47="","",COUNTIFS('GECC 2026'!F$2:F$200,$A47))</f>
        <v/>
      </c>
    </row>
    <row r="48" spans="2:6" x14ac:dyDescent="0.25">
      <c r="B48" s="110" t="str">
        <f>IF($A48="","",SUMIFS('GECC 2026'!H$2:H$200,'GECC 2026'!F$2:F$200,$A48))</f>
        <v/>
      </c>
      <c r="C48" s="110" t="str">
        <f>IF($A48="","",SUMIFS('GECC 2026'!I$2:I$200,'GECC 2026'!F$2:F$200,$A48))</f>
        <v/>
      </c>
      <c r="D48" s="270" t="str">
        <f>IF($A48="","",SUMIFS('GECC 2026'!$AE$3:$AE$32,'GECC 2026'!$AD$3:$AD$32,$A48))</f>
        <v/>
      </c>
      <c r="E48" s="254" t="str">
        <f>IF($A48="","",SUMIFS('GECC 2026'!J$2:J$200,'GECC 2026'!F$2:F$200,$A48)+SUMIFS('GECC 2026'!$AE$3:$AE$32,'GECC 2026'!$AD$3:$AD$32,$A48))</f>
        <v/>
      </c>
      <c r="F48" s="108" t="str">
        <f>IF($A48="","",COUNTIFS('GECC 2026'!F$2:F$200,$A48))</f>
        <v/>
      </c>
    </row>
    <row r="49" spans="2:6" x14ac:dyDescent="0.25">
      <c r="B49" s="110" t="str">
        <f>IF($A49="","",SUMIFS('GECC 2026'!H$2:H$200,'GECC 2026'!F$2:F$200,$A49))</f>
        <v/>
      </c>
      <c r="C49" s="110" t="str">
        <f>IF($A49="","",SUMIFS('GECC 2026'!I$2:I$200,'GECC 2026'!F$2:F$200,$A49))</f>
        <v/>
      </c>
      <c r="D49" s="270" t="str">
        <f>IF($A49="","",SUMIFS('GECC 2026'!$AE$3:$AE$32,'GECC 2026'!$AD$3:$AD$32,$A49))</f>
        <v/>
      </c>
      <c r="E49" s="254" t="str">
        <f>IF($A49="","",SUMIFS('GECC 2026'!J$2:J$200,'GECC 2026'!F$2:F$200,$A49)+SUMIFS('GECC 2026'!$AE$3:$AE$32,'GECC 2026'!$AD$3:$AD$32,$A49))</f>
        <v/>
      </c>
      <c r="F49" s="108" t="str">
        <f>IF($A49="","",COUNTIFS('GECC 2026'!F$2:F$200,$A49))</f>
        <v/>
      </c>
    </row>
    <row r="50" spans="2:6" x14ac:dyDescent="0.25">
      <c r="B50" s="110" t="str">
        <f>IF($A50="","",SUMIFS('GECC 2026'!H$2:H$200,'GECC 2026'!F$2:F$200,$A50))</f>
        <v/>
      </c>
      <c r="C50" s="110" t="str">
        <f>IF($A50="","",SUMIFS('GECC 2026'!I$2:I$200,'GECC 2026'!F$2:F$200,$A50))</f>
        <v/>
      </c>
      <c r="D50" s="270" t="str">
        <f>IF($A50="","",SUMIFS('GECC 2026'!$AE$3:$AE$32,'GECC 2026'!$AD$3:$AD$32,$A50))</f>
        <v/>
      </c>
      <c r="E50" s="254" t="str">
        <f>IF($A50="","",SUMIFS('GECC 2026'!J$2:J$200,'GECC 2026'!F$2:F$200,$A50)+SUMIFS('GECC 2026'!$AE$3:$AE$32,'GECC 2026'!$AD$3:$AD$32,$A50))</f>
        <v/>
      </c>
      <c r="F50" s="108" t="str">
        <f>IF($A50="","",COUNTIFS('GECC 2026'!F$2:F$200,$A50))</f>
        <v/>
      </c>
    </row>
    <row r="51" spans="2:6" x14ac:dyDescent="0.25">
      <c r="B51" s="110" t="str">
        <f>IF($A51="","",SUMIFS('GECC 2026'!H$2:H$200,'GECC 2026'!F$2:F$200,$A51))</f>
        <v/>
      </c>
      <c r="C51" s="110" t="str">
        <f>IF($A51="","",SUMIFS('GECC 2026'!I$2:I$200,'GECC 2026'!F$2:F$200,$A51))</f>
        <v/>
      </c>
      <c r="D51" s="270" t="str">
        <f>IF($A51="","",SUMIFS('GECC 2026'!$AE$3:$AE$32,'GECC 2026'!$AD$3:$AD$32,$A51))</f>
        <v/>
      </c>
      <c r="E51" s="254" t="str">
        <f>IF($A51="","",SUMIFS('GECC 2026'!J$2:J$200,'GECC 2026'!F$2:F$200,$A51)+SUMIFS('GECC 2026'!$AE$3:$AE$32,'GECC 2026'!$AD$3:$AD$32,$A51))</f>
        <v/>
      </c>
      <c r="F51" s="108" t="str">
        <f>IF($A51="","",COUNTIFS('GECC 2026'!F$2:F$200,$A51))</f>
        <v/>
      </c>
    </row>
    <row r="52" spans="2:6" x14ac:dyDescent="0.25">
      <c r="B52" s="110" t="str">
        <f>IF($A52="","",SUMIFS('GECC 2026'!H$2:H$200,'GECC 2026'!F$2:F$200,$A52))</f>
        <v/>
      </c>
      <c r="C52" s="110" t="str">
        <f>IF($A52="","",SUMIFS('GECC 2026'!I$2:I$200,'GECC 2026'!F$2:F$200,$A52))</f>
        <v/>
      </c>
      <c r="D52" s="270" t="str">
        <f>IF($A52="","",SUMIFS('GECC 2026'!$AE$3:$AE$32,'GECC 2026'!$AD$3:$AD$32,$A52))</f>
        <v/>
      </c>
      <c r="E52" s="254" t="str">
        <f>IF($A52="","",SUMIFS('GECC 2026'!J$2:J$200,'GECC 2026'!F$2:F$200,$A52)+SUMIFS('GECC 2026'!$AE$3:$AE$32,'GECC 2026'!$AD$3:$AD$32,$A52))</f>
        <v/>
      </c>
      <c r="F52" s="108" t="str">
        <f>IF($A52="","",COUNTIFS('GECC 2026'!F$2:F$200,$A52))</f>
        <v/>
      </c>
    </row>
    <row r="53" spans="2:6" x14ac:dyDescent="0.25">
      <c r="B53" s="110" t="str">
        <f>IF($A53="","",SUMIFS('GECC 2026'!H$2:H$200,'GECC 2026'!F$2:F$200,$A53))</f>
        <v/>
      </c>
      <c r="C53" s="110" t="str">
        <f>IF($A53="","",SUMIFS('GECC 2026'!I$2:I$200,'GECC 2026'!F$2:F$200,$A53))</f>
        <v/>
      </c>
      <c r="D53" s="270" t="str">
        <f>IF($A53="","",SUMIFS('GECC 2026'!$AE$3:$AE$32,'GECC 2026'!$AD$3:$AD$32,$A53))</f>
        <v/>
      </c>
      <c r="E53" s="254" t="str">
        <f>IF($A53="","",SUMIFS('GECC 2026'!J$2:J$200,'GECC 2026'!F$2:F$200,$A53)+SUMIFS('GECC 2026'!$AE$3:$AE$32,'GECC 2026'!$AD$3:$AD$32,$A53))</f>
        <v/>
      </c>
      <c r="F53" s="108" t="str">
        <f>IF($A53="","",COUNTIFS('GECC 2026'!F$2:F$200,$A53))</f>
        <v/>
      </c>
    </row>
    <row r="54" spans="2:6" x14ac:dyDescent="0.25">
      <c r="B54" s="110" t="str">
        <f>IF($A54="","",SUMIFS('GECC 2026'!H$2:H$200,'GECC 2026'!F$2:F$200,$A54))</f>
        <v/>
      </c>
      <c r="C54" s="110" t="str">
        <f>IF($A54="","",SUMIFS('GECC 2026'!I$2:I$200,'GECC 2026'!F$2:F$200,$A54))</f>
        <v/>
      </c>
      <c r="D54" s="270" t="str">
        <f>IF($A54="","",SUMIFS('GECC 2026'!$AE$3:$AE$32,'GECC 2026'!$AD$3:$AD$32,$A54))</f>
        <v/>
      </c>
      <c r="E54" s="254" t="str">
        <f>IF($A54="","",SUMIFS('GECC 2026'!J$2:J$200,'GECC 2026'!F$2:F$200,$A54)+SUMIFS('GECC 2026'!$AE$3:$AE$32,'GECC 2026'!$AD$3:$AD$32,$A54))</f>
        <v/>
      </c>
      <c r="F54" s="108" t="str">
        <f>IF($A54="","",COUNTIFS('GECC 2026'!F$2:F$200,$A54))</f>
        <v/>
      </c>
    </row>
    <row r="55" spans="2:6" x14ac:dyDescent="0.25">
      <c r="B55" s="110" t="str">
        <f>IF($A55="","",SUMIFS('GECC 2026'!H$2:H$200,'GECC 2026'!F$2:F$200,$A55))</f>
        <v/>
      </c>
      <c r="C55" s="110" t="str">
        <f>IF($A55="","",SUMIFS('GECC 2026'!I$2:I$200,'GECC 2026'!F$2:F$200,$A55))</f>
        <v/>
      </c>
      <c r="D55" s="270" t="str">
        <f>IF($A55="","",SUMIFS('GECC 2026'!$AE$3:$AE$32,'GECC 2026'!$AD$3:$AD$32,$A55))</f>
        <v/>
      </c>
      <c r="E55" s="254" t="str">
        <f>IF($A55="","",SUMIFS('GECC 2026'!J$2:J$200,'GECC 2026'!F$2:F$200,$A55)+SUMIFS('GECC 2026'!$AE$3:$AE$32,'GECC 2026'!$AD$3:$AD$32,$A55))</f>
        <v/>
      </c>
      <c r="F55" s="108" t="str">
        <f>IF($A55="","",COUNTIFS('GECC 2026'!F$2:F$200,$A55))</f>
        <v/>
      </c>
    </row>
    <row r="56" spans="2:6" x14ac:dyDescent="0.25">
      <c r="B56" s="110" t="str">
        <f>IF($A56="","",SUMIFS('GECC 2026'!H$2:H$200,'GECC 2026'!F$2:F$200,$A56))</f>
        <v/>
      </c>
      <c r="C56" s="110" t="str">
        <f>IF($A56="","",SUMIFS('GECC 2026'!I$2:I$200,'GECC 2026'!F$2:F$200,$A56))</f>
        <v/>
      </c>
      <c r="D56" s="270" t="str">
        <f>IF($A56="","",SUMIFS('GECC 2026'!$AE$3:$AE$32,'GECC 2026'!$AD$3:$AD$32,$A56))</f>
        <v/>
      </c>
      <c r="E56" s="254" t="str">
        <f>IF($A56="","",SUMIFS('GECC 2026'!J$2:J$200,'GECC 2026'!F$2:F$200,$A56)+SUMIFS('GECC 2026'!$AE$3:$AE$32,'GECC 2026'!$AD$3:$AD$32,$A56))</f>
        <v/>
      </c>
      <c r="F56" s="108" t="str">
        <f>IF($A56="","",COUNTIFS('GECC 2026'!F$2:F$200,$A56))</f>
        <v/>
      </c>
    </row>
    <row r="57" spans="2:6" x14ac:dyDescent="0.25">
      <c r="B57" s="110" t="str">
        <f>IF($A57="","",SUMIFS('GECC 2026'!H$2:H$200,'GECC 2026'!F$2:F$200,$A57))</f>
        <v/>
      </c>
      <c r="C57" s="110" t="str">
        <f>IF($A57="","",SUMIFS('GECC 2026'!I$2:I$200,'GECC 2026'!F$2:F$200,$A57))</f>
        <v/>
      </c>
      <c r="D57" s="270" t="str">
        <f>IF($A57="","",SUMIFS('GECC 2026'!$AE$3:$AE$32,'GECC 2026'!$AD$3:$AD$32,$A57))</f>
        <v/>
      </c>
      <c r="E57" s="254" t="str">
        <f>IF($A57="","",SUMIFS('GECC 2026'!J$2:J$200,'GECC 2026'!F$2:F$200,$A57)+SUMIFS('GECC 2026'!$AE$3:$AE$32,'GECC 2026'!$AD$3:$AD$32,$A57))</f>
        <v/>
      </c>
      <c r="F57" s="108" t="str">
        <f>IF($A57="","",COUNTIFS('GECC 2026'!F$2:F$200,$A57))</f>
        <v/>
      </c>
    </row>
    <row r="58" spans="2:6" x14ac:dyDescent="0.25">
      <c r="B58" s="110" t="str">
        <f>IF($A58="","",SUMIFS('GECC 2026'!H$2:H$200,'GECC 2026'!F$2:F$200,$A58))</f>
        <v/>
      </c>
      <c r="C58" s="110" t="str">
        <f>IF($A58="","",SUMIFS('GECC 2026'!I$2:I$200,'GECC 2026'!F$2:F$200,$A58))</f>
        <v/>
      </c>
      <c r="D58" s="270" t="str">
        <f>IF($A58="","",SUMIFS('GECC 2026'!$AE$3:$AE$32,'GECC 2026'!$AD$3:$AD$32,$A58))</f>
        <v/>
      </c>
      <c r="E58" s="254" t="str">
        <f>IF($A58="","",SUMIFS('GECC 2026'!J$2:J$200,'GECC 2026'!F$2:F$200,$A58)+SUMIFS('GECC 2026'!$AE$3:$AE$32,'GECC 2026'!$AD$3:$AD$32,$A58))</f>
        <v/>
      </c>
      <c r="F58" s="108" t="str">
        <f>IF($A58="","",COUNTIFS('GECC 2026'!F$2:F$200,$A58))</f>
        <v/>
      </c>
    </row>
    <row r="59" spans="2:6" x14ac:dyDescent="0.25">
      <c r="B59" s="110" t="str">
        <f>IF($A59="","",SUMIFS('GECC 2026'!H$2:H$200,'GECC 2026'!F$2:F$200,$A59))</f>
        <v/>
      </c>
      <c r="C59" s="110" t="str">
        <f>IF($A59="","",SUMIFS('GECC 2026'!I$2:I$200,'GECC 2026'!F$2:F$200,$A59))</f>
        <v/>
      </c>
      <c r="D59" s="270" t="str">
        <f>IF($A59="","",SUMIFS('GECC 2026'!$AE$3:$AE$32,'GECC 2026'!$AD$3:$AD$32,$A59))</f>
        <v/>
      </c>
      <c r="E59" s="254" t="str">
        <f>IF($A59="","",SUMIFS('GECC 2026'!J$2:J$200,'GECC 2026'!F$2:F$200,$A59)+SUMIFS('GECC 2026'!$AE$3:$AE$32,'GECC 2026'!$AD$3:$AD$32,$A59))</f>
        <v/>
      </c>
      <c r="F59" s="108" t="str">
        <f>IF($A59="","",COUNTIFS('GECC 2026'!F$2:F$200,$A59))</f>
        <v/>
      </c>
    </row>
    <row r="60" spans="2:6" x14ac:dyDescent="0.25">
      <c r="B60" s="110" t="str">
        <f>IF($A60="","",SUMIFS('GECC 2026'!H$2:H$200,'GECC 2026'!F$2:F$200,$A60))</f>
        <v/>
      </c>
      <c r="C60" s="110" t="str">
        <f>IF($A60="","",SUMIFS('GECC 2026'!I$2:I$200,'GECC 2026'!F$2:F$200,$A60))</f>
        <v/>
      </c>
      <c r="D60" s="270" t="str">
        <f>IF($A60="","",SUMIFS('GECC 2026'!$AE$3:$AE$32,'GECC 2026'!$AD$3:$AD$32,$A60))</f>
        <v/>
      </c>
      <c r="E60" s="254" t="str">
        <f>IF($A60="","",SUMIFS('GECC 2026'!J$2:J$200,'GECC 2026'!F$2:F$200,$A60)+SUMIFS('GECC 2026'!$AE$3:$AE$32,'GECC 2026'!$AD$3:$AD$32,$A60))</f>
        <v/>
      </c>
      <c r="F60" s="108" t="str">
        <f>IF($A60="","",COUNTIFS('GECC 2026'!F$2:F$200,$A60))</f>
        <v/>
      </c>
    </row>
    <row r="61" spans="2:6" x14ac:dyDescent="0.25">
      <c r="B61" s="110" t="str">
        <f>IF($A61="","",SUMIFS('GECC 2026'!H$2:H$200,'GECC 2026'!F$2:F$200,$A61))</f>
        <v/>
      </c>
      <c r="C61" s="110" t="str">
        <f>IF($A61="","",SUMIFS('GECC 2026'!I$2:I$200,'GECC 2026'!F$2:F$200,$A61))</f>
        <v/>
      </c>
      <c r="D61" s="270" t="str">
        <f>IF($A61="","",SUMIFS('GECC 2026'!$AE$3:$AE$32,'GECC 2026'!$AD$3:$AD$32,$A61))</f>
        <v/>
      </c>
      <c r="E61" s="254" t="str">
        <f>IF($A61="","",SUMIFS('GECC 2026'!J$2:J$200,'GECC 2026'!F$2:F$200,$A61)+SUMIFS('GECC 2026'!$AE$3:$AE$32,'GECC 2026'!$AD$3:$AD$32,$A61))</f>
        <v/>
      </c>
      <c r="F61" s="108" t="str">
        <f>IF($A61="","",COUNTIFS('GECC 2026'!F$2:F$200,$A61))</f>
        <v/>
      </c>
    </row>
    <row r="62" spans="2:6" x14ac:dyDescent="0.25">
      <c r="B62" s="110" t="str">
        <f>IF($A62="","",SUMIFS('GECC 2026'!H$2:H$200,'GECC 2026'!F$2:F$200,$A62))</f>
        <v/>
      </c>
      <c r="C62" s="110" t="str">
        <f>IF($A62="","",SUMIFS('GECC 2026'!I$2:I$200,'GECC 2026'!F$2:F$200,$A62))</f>
        <v/>
      </c>
      <c r="D62" s="270" t="str">
        <f>IF($A62="","",SUMIFS('GECC 2026'!$AE$3:$AE$32,'GECC 2026'!$AD$3:$AD$32,$A62))</f>
        <v/>
      </c>
      <c r="E62" s="254" t="str">
        <f>IF($A62="","",SUMIFS('GECC 2026'!J$2:J$200,'GECC 2026'!F$2:F$200,$A62)+SUMIFS('GECC 2026'!$AE$3:$AE$32,'GECC 2026'!$AD$3:$AD$32,$A62))</f>
        <v/>
      </c>
      <c r="F62" s="108" t="str">
        <f>IF($A62="","",COUNTIFS('GECC 2026'!F$2:F$200,$A62))</f>
        <v/>
      </c>
    </row>
    <row r="63" spans="2:6" x14ac:dyDescent="0.25">
      <c r="B63" s="110" t="str">
        <f>IF($A63="","",SUMIFS('GECC 2026'!H$2:H$200,'GECC 2026'!F$2:F$200,$A63))</f>
        <v/>
      </c>
      <c r="C63" s="110" t="str">
        <f>IF($A63="","",SUMIFS('GECC 2026'!I$2:I$200,'GECC 2026'!F$2:F$200,$A63))</f>
        <v/>
      </c>
      <c r="D63" s="270" t="str">
        <f>IF($A63="","",SUMIFS('GECC 2026'!$AE$3:$AE$32,'GECC 2026'!$AD$3:$AD$32,$A63))</f>
        <v/>
      </c>
      <c r="E63" s="254" t="str">
        <f>IF($A63="","",SUMIFS('GECC 2026'!J$2:J$200,'GECC 2026'!F$2:F$200,$A63)+SUMIFS('GECC 2026'!$AE$3:$AE$32,'GECC 2026'!$AD$3:$AD$32,$A63))</f>
        <v/>
      </c>
      <c r="F63" s="108" t="str">
        <f>IF($A63="","",COUNTIFS('GECC 2026'!F$2:F$200,$A63))</f>
        <v/>
      </c>
    </row>
    <row r="64" spans="2:6" x14ac:dyDescent="0.25">
      <c r="B64" s="110" t="str">
        <f>IF($A64="","",SUMIFS('GECC 2026'!H$2:H$200,'GECC 2026'!F$2:F$200,$A64))</f>
        <v/>
      </c>
      <c r="C64" s="110" t="str">
        <f>IF($A64="","",SUMIFS('GECC 2026'!I$2:I$200,'GECC 2026'!F$2:F$200,$A64))</f>
        <v/>
      </c>
      <c r="D64" s="270" t="str">
        <f>IF($A64="","",SUMIFS('GECC 2026'!$AE$3:$AE$32,'GECC 2026'!$AD$3:$AD$32,$A64))</f>
        <v/>
      </c>
      <c r="E64" s="254" t="str">
        <f>IF($A64="","",SUMIFS('GECC 2026'!J$2:J$200,'GECC 2026'!F$2:F$200,$A64)+SUMIFS('GECC 2026'!$AE$3:$AE$32,'GECC 2026'!$AD$3:$AD$32,$A64))</f>
        <v/>
      </c>
      <c r="F64" s="108" t="str">
        <f>IF($A64="","",COUNTIFS('GECC 2026'!F$2:F$200,$A64))</f>
        <v/>
      </c>
    </row>
    <row r="65" spans="2:6" x14ac:dyDescent="0.25">
      <c r="B65" s="110" t="str">
        <f>IF($A65="","",SUMIFS('GECC 2026'!H$2:H$200,'GECC 2026'!F$2:F$200,$A65))</f>
        <v/>
      </c>
      <c r="C65" s="110" t="str">
        <f>IF($A65="","",SUMIFS('GECC 2026'!I$2:I$200,'GECC 2026'!F$2:F$200,$A65))</f>
        <v/>
      </c>
      <c r="D65" s="270" t="str">
        <f>IF($A65="","",SUMIFS('GECC 2026'!$AE$3:$AE$32,'GECC 2026'!$AD$3:$AD$32,$A65))</f>
        <v/>
      </c>
      <c r="E65" s="254" t="str">
        <f>IF($A65="","",SUMIFS('GECC 2026'!J$2:J$200,'GECC 2026'!F$2:F$200,$A65)+SUMIFS('GECC 2026'!$AE$3:$AE$32,'GECC 2026'!$AD$3:$AD$32,$A65))</f>
        <v/>
      </c>
      <c r="F65" s="108" t="str">
        <f>IF($A65="","",COUNTIFS('GECC 2026'!F$2:F$200,$A65))</f>
        <v/>
      </c>
    </row>
    <row r="66" spans="2:6" x14ac:dyDescent="0.25">
      <c r="B66" s="110" t="str">
        <f>IF($A66="","",SUMIFS('GECC 2026'!H$2:H$200,'GECC 2026'!F$2:F$200,$A66))</f>
        <v/>
      </c>
      <c r="C66" s="110" t="str">
        <f>IF($A66="","",SUMIFS('GECC 2026'!I$2:I$200,'GECC 2026'!F$2:F$200,$A66))</f>
        <v/>
      </c>
      <c r="D66" s="270" t="str">
        <f>IF($A66="","",SUMIFS('GECC 2026'!$AE$3:$AE$32,'GECC 2026'!$AD$3:$AD$32,$A66))</f>
        <v/>
      </c>
      <c r="E66" s="254" t="str">
        <f>IF($A66="","",SUMIFS('GECC 2026'!J$2:J$200,'GECC 2026'!F$2:F$200,$A66)+SUMIFS('GECC 2026'!$AE$3:$AE$32,'GECC 2026'!$AD$3:$AD$32,$A66))</f>
        <v/>
      </c>
      <c r="F66" s="108" t="str">
        <f>IF($A66="","",COUNTIFS('GECC 2026'!F$2:F$200,$A66))</f>
        <v/>
      </c>
    </row>
    <row r="67" spans="2:6" x14ac:dyDescent="0.25">
      <c r="B67" s="110" t="str">
        <f>IF($A67="","",SUMIFS('GECC 2026'!H$2:H$200,'GECC 2026'!F$2:F$200,$A67))</f>
        <v/>
      </c>
      <c r="C67" s="110" t="str">
        <f>IF($A67="","",SUMIFS('GECC 2026'!I$2:I$200,'GECC 2026'!F$2:F$200,$A67))</f>
        <v/>
      </c>
      <c r="D67" s="270" t="str">
        <f>IF($A67="","",SUMIFS('GECC 2026'!$AE$3:$AE$32,'GECC 2026'!$AD$3:$AD$32,$A67))</f>
        <v/>
      </c>
      <c r="E67" s="254" t="str">
        <f>IF($A67="","",SUMIFS('GECC 2026'!J$2:J$200,'GECC 2026'!F$2:F$200,$A67)+SUMIFS('GECC 2026'!$AE$3:$AE$32,'GECC 2026'!$AD$3:$AD$32,$A67))</f>
        <v/>
      </c>
      <c r="F67" s="108" t="str">
        <f>IF($A67="","",COUNTIFS('GECC 2026'!F$2:F$200,$A67))</f>
        <v/>
      </c>
    </row>
    <row r="68" spans="2:6" x14ac:dyDescent="0.25">
      <c r="B68" s="110" t="str">
        <f>IF($A68="","",SUMIFS('GECC 2026'!H$2:H$200,'GECC 2026'!F$2:F$200,$A68))</f>
        <v/>
      </c>
      <c r="C68" s="110" t="str">
        <f>IF($A68="","",SUMIFS('GECC 2026'!I$2:I$200,'GECC 2026'!F$2:F$200,$A68))</f>
        <v/>
      </c>
      <c r="D68" s="270" t="str">
        <f>IF($A68="","",SUMIFS('GECC 2026'!$AE$3:$AE$32,'GECC 2026'!$AD$3:$AD$32,$A68))</f>
        <v/>
      </c>
      <c r="E68" s="254" t="str">
        <f>IF($A68="","",SUMIFS('GECC 2026'!J$2:J$200,'GECC 2026'!F$2:F$200,$A68)+SUMIFS('GECC 2026'!$AE$3:$AE$32,'GECC 2026'!$AD$3:$AD$32,$A68))</f>
        <v/>
      </c>
      <c r="F68" s="108" t="str">
        <f>IF($A68="","",COUNTIFS('GECC 2026'!F$2:F$200,$A68))</f>
        <v/>
      </c>
    </row>
    <row r="69" spans="2:6" x14ac:dyDescent="0.25">
      <c r="B69" s="110" t="str">
        <f>IF($A69="","",SUMIFS('GECC 2026'!H$2:H$200,'GECC 2026'!F$2:F$200,$A69))</f>
        <v/>
      </c>
      <c r="C69" s="110" t="str">
        <f>IF($A69="","",SUMIFS('GECC 2026'!I$2:I$200,'GECC 2026'!F$2:F$200,$A69))</f>
        <v/>
      </c>
      <c r="D69" s="270" t="str">
        <f>IF($A69="","",SUMIFS('GECC 2026'!$AE$3:$AE$32,'GECC 2026'!$AD$3:$AD$32,$A69))</f>
        <v/>
      </c>
      <c r="E69" s="254" t="str">
        <f>IF($A69="","",SUMIFS('GECC 2026'!J$2:J$200,'GECC 2026'!F$2:F$200,$A69)+SUMIFS('GECC 2026'!$AE$3:$AE$32,'GECC 2026'!$AD$3:$AD$32,$A69))</f>
        <v/>
      </c>
      <c r="F69" s="108" t="str">
        <f>IF($A69="","",COUNTIFS('GECC 2026'!F$2:F$200,$A69))</f>
        <v/>
      </c>
    </row>
    <row r="70" spans="2:6" x14ac:dyDescent="0.25">
      <c r="B70" s="110" t="str">
        <f>IF($A70="","",SUMIFS('GECC 2026'!H$2:H$200,'GECC 2026'!F$2:F$200,$A70))</f>
        <v/>
      </c>
      <c r="C70" s="110" t="str">
        <f>IF($A70="","",SUMIFS('GECC 2026'!I$2:I$200,'GECC 2026'!F$2:F$200,$A70))</f>
        <v/>
      </c>
      <c r="D70" s="270" t="str">
        <f>IF($A70="","",SUMIFS('GECC 2026'!$AE$3:$AE$32,'GECC 2026'!$AD$3:$AD$32,$A70))</f>
        <v/>
      </c>
      <c r="E70" s="254" t="str">
        <f>IF($A70="","",SUMIFS('GECC 2026'!J$2:J$200,'GECC 2026'!F$2:F$200,$A70)+SUMIFS('GECC 2026'!$AE$3:$AE$32,'GECC 2026'!$AD$3:$AD$32,$A70))</f>
        <v/>
      </c>
      <c r="F70" s="108" t="str">
        <f>IF($A70="","",COUNTIFS('GECC 2026'!F$2:F$200,$A70))</f>
        <v/>
      </c>
    </row>
    <row r="71" spans="2:6" x14ac:dyDescent="0.25">
      <c r="B71" s="110" t="str">
        <f>IF($A71="","",SUMIFS('GECC 2026'!H$2:H$200,'GECC 2026'!F$2:F$200,$A71))</f>
        <v/>
      </c>
      <c r="C71" s="110" t="str">
        <f>IF($A71="","",SUMIFS('GECC 2026'!I$2:I$200,'GECC 2026'!F$2:F$200,$A71))</f>
        <v/>
      </c>
      <c r="D71" s="270" t="str">
        <f>IF($A71="","",SUMIFS('GECC 2026'!$AE$3:$AE$32,'GECC 2026'!$AD$3:$AD$32,$A71))</f>
        <v/>
      </c>
      <c r="E71" s="254" t="str">
        <f>IF($A71="","",SUMIFS('GECC 2026'!J$2:J$200,'GECC 2026'!F$2:F$200,$A71)+SUMIFS('GECC 2026'!$AE$3:$AE$32,'GECC 2026'!$AD$3:$AD$32,$A71))</f>
        <v/>
      </c>
      <c r="F71" s="108" t="str">
        <f>IF($A71="","",COUNTIFS('GECC 2026'!F$2:F$200,$A71))</f>
        <v/>
      </c>
    </row>
    <row r="72" spans="2:6" x14ac:dyDescent="0.25">
      <c r="B72" s="110" t="str">
        <f>IF($A72="","",SUMIFS('GECC 2026'!H$2:H$200,'GECC 2026'!F$2:F$200,$A72))</f>
        <v/>
      </c>
      <c r="C72" s="110" t="str">
        <f>IF($A72="","",SUMIFS('GECC 2026'!I$2:I$200,'GECC 2026'!F$2:F$200,$A72))</f>
        <v/>
      </c>
      <c r="D72" s="270" t="str">
        <f>IF($A72="","",SUMIFS('GECC 2026'!$AE$3:$AE$32,'GECC 2026'!$AD$3:$AD$32,$A72))</f>
        <v/>
      </c>
      <c r="E72" s="254" t="str">
        <f>IF($A72="","",SUMIFS('GECC 2026'!J$2:J$200,'GECC 2026'!F$2:F$200,$A72)+SUMIFS('GECC 2026'!$AE$3:$AE$32,'GECC 2026'!$AD$3:$AD$32,$A72))</f>
        <v/>
      </c>
      <c r="F72" s="108" t="str">
        <f>IF($A72="","",COUNTIFS('GECC 2026'!F$2:F$200,$A72))</f>
        <v/>
      </c>
    </row>
    <row r="73" spans="2:6" x14ac:dyDescent="0.25">
      <c r="B73" s="110" t="str">
        <f>IF($A73="","",SUMIFS('GECC 2026'!H$2:H$200,'GECC 2026'!F$2:F$200,$A73))</f>
        <v/>
      </c>
      <c r="C73" s="110" t="str">
        <f>IF($A73="","",SUMIFS('GECC 2026'!I$2:I$200,'GECC 2026'!F$2:F$200,$A73))</f>
        <v/>
      </c>
      <c r="D73" s="270" t="str">
        <f>IF($A73="","",SUMIFS('GECC 2026'!$AE$3:$AE$32,'GECC 2026'!$AD$3:$AD$32,$A73))</f>
        <v/>
      </c>
      <c r="E73" s="254" t="str">
        <f>IF($A73="","",SUMIFS('GECC 2026'!J$2:J$200,'GECC 2026'!F$2:F$200,$A73)+SUMIFS('GECC 2026'!$AE$3:$AE$32,'GECC 2026'!$AD$3:$AD$32,$A73))</f>
        <v/>
      </c>
      <c r="F73" s="108" t="str">
        <f>IF($A73="","",COUNTIFS('GECC 2026'!F$2:F$200,$A73))</f>
        <v/>
      </c>
    </row>
    <row r="74" spans="2:6" x14ac:dyDescent="0.25">
      <c r="B74" s="110" t="str">
        <f>IF($A74="","",SUMIFS('GECC 2026'!H$2:H$200,'GECC 2026'!F$2:F$200,$A74))</f>
        <v/>
      </c>
      <c r="C74" s="110" t="str">
        <f>IF($A74="","",SUMIFS('GECC 2026'!I$2:I$200,'GECC 2026'!F$2:F$200,$A74))</f>
        <v/>
      </c>
      <c r="D74" s="270" t="str">
        <f>IF($A74="","",SUMIFS('GECC 2026'!$AE$3:$AE$32,'GECC 2026'!$AD$3:$AD$32,$A74))</f>
        <v/>
      </c>
      <c r="E74" s="254" t="str">
        <f>IF($A74="","",SUMIFS('GECC 2026'!J$2:J$200,'GECC 2026'!F$2:F$200,$A74)+SUMIFS('GECC 2026'!$AE$3:$AE$32,'GECC 2026'!$AD$3:$AD$32,$A74))</f>
        <v/>
      </c>
      <c r="F74" s="108" t="str">
        <f>IF($A74="","",COUNTIFS('GECC 2026'!F$2:F$200,$A74))</f>
        <v/>
      </c>
    </row>
    <row r="75" spans="2:6" x14ac:dyDescent="0.25">
      <c r="B75" s="110" t="str">
        <f>IF($A75="","",SUMIFS('GECC 2026'!H$2:H$200,'GECC 2026'!F$2:F$200,$A75))</f>
        <v/>
      </c>
      <c r="C75" s="110" t="str">
        <f>IF($A75="","",SUMIFS('GECC 2026'!I$2:I$200,'GECC 2026'!F$2:F$200,$A75))</f>
        <v/>
      </c>
      <c r="D75" s="270" t="str">
        <f>IF($A75="","",SUMIFS('GECC 2026'!$AE$3:$AE$32,'GECC 2026'!$AD$3:$AD$32,$A75))</f>
        <v/>
      </c>
      <c r="E75" s="254" t="str">
        <f>IF($A75="","",SUMIFS('GECC 2026'!J$2:J$200,'GECC 2026'!F$2:F$200,$A75)+SUMIFS('GECC 2026'!$AE$3:$AE$32,'GECC 2026'!$AD$3:$AD$32,$A75))</f>
        <v/>
      </c>
      <c r="F75" s="108" t="str">
        <f>IF($A75="","",COUNTIFS('GECC 2026'!F$2:F$200,$A75))</f>
        <v/>
      </c>
    </row>
    <row r="76" spans="2:6" x14ac:dyDescent="0.25">
      <c r="B76" s="110" t="str">
        <f>IF($A76="","",SUMIFS('GECC 2026'!H$2:H$200,'GECC 2026'!F$2:F$200,$A76))</f>
        <v/>
      </c>
      <c r="C76" s="110" t="str">
        <f>IF($A76="","",SUMIFS('GECC 2026'!I$2:I$200,'GECC 2026'!F$2:F$200,$A76))</f>
        <v/>
      </c>
      <c r="D76" s="270" t="str">
        <f>IF($A76="","",SUMIFS('GECC 2026'!$AE$3:$AE$32,'GECC 2026'!$AD$3:$AD$32,$A76))</f>
        <v/>
      </c>
      <c r="E76" s="254" t="str">
        <f>IF($A76="","",SUMIFS('GECC 2026'!J$2:J$200,'GECC 2026'!F$2:F$200,$A76)+SUMIFS('GECC 2026'!$AE$3:$AE$32,'GECC 2026'!$AD$3:$AD$32,$A76))</f>
        <v/>
      </c>
      <c r="F76" s="108" t="str">
        <f>IF($A76="","",COUNTIFS('GECC 2026'!F$2:F$200,$A76))</f>
        <v/>
      </c>
    </row>
    <row r="77" spans="2:6" x14ac:dyDescent="0.25">
      <c r="B77" s="110" t="str">
        <f>IF($A77="","",SUMIFS('GECC 2026'!H$2:H$200,'GECC 2026'!F$2:F$200,$A77))</f>
        <v/>
      </c>
      <c r="C77" s="110" t="str">
        <f>IF($A77="","",SUMIFS('GECC 2026'!I$2:I$200,'GECC 2026'!F$2:F$200,$A77))</f>
        <v/>
      </c>
      <c r="D77" s="270" t="str">
        <f>IF($A77="","",SUMIFS('GECC 2026'!$AE$3:$AE$32,'GECC 2026'!$AD$3:$AD$32,$A77))</f>
        <v/>
      </c>
      <c r="E77" s="254" t="str">
        <f>IF($A77="","",SUMIFS('GECC 2026'!J$2:J$200,'GECC 2026'!F$2:F$200,$A77)+SUMIFS('GECC 2026'!$AE$3:$AE$32,'GECC 2026'!$AD$3:$AD$32,$A77))</f>
        <v/>
      </c>
      <c r="F77" s="108" t="str">
        <f>IF($A77="","",COUNTIFS('GECC 2026'!F$2:F$200,$A77))</f>
        <v/>
      </c>
    </row>
    <row r="78" spans="2:6" x14ac:dyDescent="0.25">
      <c r="B78" s="110" t="str">
        <f>IF($A78="","",SUMIFS('GECC 2026'!H$2:H$200,'GECC 2026'!F$2:F$200,$A78))</f>
        <v/>
      </c>
      <c r="C78" s="110" t="str">
        <f>IF($A78="","",SUMIFS('GECC 2026'!I$2:I$200,'GECC 2026'!F$2:F$200,$A78))</f>
        <v/>
      </c>
      <c r="D78" s="270" t="str">
        <f>IF($A78="","",SUMIFS('GECC 2026'!$AE$3:$AE$32,'GECC 2026'!$AD$3:$AD$32,$A78))</f>
        <v/>
      </c>
      <c r="E78" s="254" t="str">
        <f>IF($A78="","",SUMIFS('GECC 2026'!J$2:J$200,'GECC 2026'!F$2:F$200,$A78)+SUMIFS('GECC 2026'!$AE$3:$AE$32,'GECC 2026'!$AD$3:$AD$32,$A78))</f>
        <v/>
      </c>
      <c r="F78" s="108" t="str">
        <f>IF($A78="","",COUNTIFS('GECC 2026'!F$2:F$200,$A78))</f>
        <v/>
      </c>
    </row>
    <row r="79" spans="2:6" x14ac:dyDescent="0.25">
      <c r="B79" s="110" t="str">
        <f>IF($A79="","",SUMIFS('GECC 2026'!H$2:H$200,'GECC 2026'!F$2:F$200,$A79))</f>
        <v/>
      </c>
      <c r="C79" s="110" t="str">
        <f>IF($A79="","",SUMIFS('GECC 2026'!I$2:I$200,'GECC 2026'!F$2:F$200,$A79))</f>
        <v/>
      </c>
      <c r="D79" s="270" t="str">
        <f>IF($A79="","",SUMIFS('GECC 2026'!$AE$3:$AE$32,'GECC 2026'!$AD$3:$AD$32,$A79))</f>
        <v/>
      </c>
      <c r="E79" s="254" t="str">
        <f>IF($A79="","",SUMIFS('GECC 2026'!J$2:J$200,'GECC 2026'!F$2:F$200,$A79)+SUMIFS('GECC 2026'!$AE$3:$AE$32,'GECC 2026'!$AD$3:$AD$32,$A79))</f>
        <v/>
      </c>
      <c r="F79" s="108" t="str">
        <f>IF($A79="","",COUNTIFS('GECC 2026'!F$2:F$200,$A79))</f>
        <v/>
      </c>
    </row>
    <row r="80" spans="2:6" x14ac:dyDescent="0.25">
      <c r="B80" s="110" t="str">
        <f>IF($A80="","",SUMIFS('GECC 2026'!H$2:H$200,'GECC 2026'!F$2:F$200,$A80))</f>
        <v/>
      </c>
      <c r="C80" s="110" t="str">
        <f>IF($A80="","",SUMIFS('GECC 2026'!I$2:I$200,'GECC 2026'!F$2:F$200,$A80))</f>
        <v/>
      </c>
      <c r="D80" s="270" t="str">
        <f>IF($A80="","",SUMIFS('GECC 2026'!$AE$3:$AE$32,'GECC 2026'!$AD$3:$AD$32,$A80))</f>
        <v/>
      </c>
      <c r="E80" s="254" t="str">
        <f>IF($A80="","",SUMIFS('GECC 2026'!J$2:J$200,'GECC 2026'!F$2:F$200,$A80)+SUMIFS('GECC 2026'!$AE$3:$AE$32,'GECC 2026'!$AD$3:$AD$32,$A80))</f>
        <v/>
      </c>
      <c r="F80" s="108" t="str">
        <f>IF($A80="","",COUNTIFS('GECC 2026'!F$2:F$200,$A80))</f>
        <v/>
      </c>
    </row>
    <row r="81" spans="2:6" x14ac:dyDescent="0.25">
      <c r="B81" s="110" t="str">
        <f>IF($A81="","",SUMIFS('GECC 2026'!H$2:H$200,'GECC 2026'!F$2:F$200,$A81))</f>
        <v/>
      </c>
      <c r="C81" s="110" t="str">
        <f>IF($A81="","",SUMIFS('GECC 2026'!I$2:I$200,'GECC 2026'!F$2:F$200,$A81))</f>
        <v/>
      </c>
      <c r="D81" s="270" t="str">
        <f>IF($A81="","",SUMIFS('GECC 2026'!$AE$3:$AE$32,'GECC 2026'!$AD$3:$AD$32,$A81))</f>
        <v/>
      </c>
      <c r="E81" s="254" t="str">
        <f>IF($A81="","",SUMIFS('GECC 2026'!J$2:J$200,'GECC 2026'!F$2:F$200,$A81)+SUMIFS('GECC 2026'!$AE$3:$AE$32,'GECC 2026'!$AD$3:$AD$32,$A81))</f>
        <v/>
      </c>
      <c r="F81" s="108" t="str">
        <f>IF($A81="","",COUNTIFS('GECC 2026'!F$2:F$200,$A81))</f>
        <v/>
      </c>
    </row>
    <row r="82" spans="2:6" x14ac:dyDescent="0.25">
      <c r="B82" s="110" t="str">
        <f>IF($A82="","",SUMIFS('GECC 2026'!H$2:H$200,'GECC 2026'!F$2:F$200,$A82))</f>
        <v/>
      </c>
      <c r="C82" s="110" t="str">
        <f>IF($A82="","",SUMIFS('GECC 2026'!I$2:I$200,'GECC 2026'!F$2:F$200,$A82))</f>
        <v/>
      </c>
      <c r="D82" s="270" t="str">
        <f>IF($A82="","",SUMIFS('GECC 2026'!$AE$3:$AE$32,'GECC 2026'!$AD$3:$AD$32,$A82))</f>
        <v/>
      </c>
      <c r="E82" s="254" t="str">
        <f>IF($A82="","",SUMIFS('GECC 2026'!J$2:J$200,'GECC 2026'!F$2:F$200,$A82)+SUMIFS('GECC 2026'!$AE$3:$AE$32,'GECC 2026'!$AD$3:$AD$32,$A82))</f>
        <v/>
      </c>
      <c r="F82" s="108" t="str">
        <f>IF($A82="","",COUNTIFS('GECC 2026'!F$2:F$200,$A82))</f>
        <v/>
      </c>
    </row>
    <row r="83" spans="2:6" x14ac:dyDescent="0.25">
      <c r="B83" s="110" t="str">
        <f>IF($A83="","",SUMIFS('GECC 2026'!H$2:H$200,'GECC 2026'!F$2:F$200,$A83))</f>
        <v/>
      </c>
      <c r="C83" s="110" t="str">
        <f>IF($A83="","",SUMIFS('GECC 2026'!I$2:I$200,'GECC 2026'!F$2:F$200,$A83))</f>
        <v/>
      </c>
      <c r="D83" s="270" t="str">
        <f>IF($A83="","",SUMIFS('GECC 2026'!$AE$3:$AE$32,'GECC 2026'!$AD$3:$AD$32,$A83))</f>
        <v/>
      </c>
      <c r="E83" s="254" t="str">
        <f>IF($A83="","",SUMIFS('GECC 2026'!J$2:J$200,'GECC 2026'!F$2:F$200,$A83)+SUMIFS('GECC 2026'!$AE$3:$AE$32,'GECC 2026'!$AD$3:$AD$32,$A83))</f>
        <v/>
      </c>
      <c r="F83" s="108" t="str">
        <f>IF($A83="","",COUNTIFS('GECC 2026'!F$2:F$200,$A83))</f>
        <v/>
      </c>
    </row>
    <row r="84" spans="2:6" x14ac:dyDescent="0.25">
      <c r="B84" s="110" t="str">
        <f>IF($A84="","",SUMIFS('GECC 2026'!H$2:H$200,'GECC 2026'!F$2:F$200,$A84))</f>
        <v/>
      </c>
      <c r="C84" s="110" t="str">
        <f>IF($A84="","",SUMIFS('GECC 2026'!I$2:I$200,'GECC 2026'!F$2:F$200,$A84))</f>
        <v/>
      </c>
      <c r="D84" s="270" t="str">
        <f>IF($A84="","",SUMIFS('GECC 2026'!$AE$3:$AE$32,'GECC 2026'!$AD$3:$AD$32,$A84))</f>
        <v/>
      </c>
      <c r="E84" s="254" t="str">
        <f>IF($A84="","",SUMIFS('GECC 2026'!J$2:J$200,'GECC 2026'!F$2:F$200,$A84)+SUMIFS('GECC 2026'!$AE$3:$AE$32,'GECC 2026'!$AD$3:$AD$32,$A84))</f>
        <v/>
      </c>
      <c r="F84" s="108" t="str">
        <f>IF($A84="","",COUNTIFS('GECC 2026'!F$2:F$200,$A84))</f>
        <v/>
      </c>
    </row>
    <row r="85" spans="2:6" x14ac:dyDescent="0.25">
      <c r="B85" s="110" t="str">
        <f>IF($A85="","",SUMIFS('GECC 2026'!H$2:H$200,'GECC 2026'!F$2:F$200,$A85))</f>
        <v/>
      </c>
      <c r="C85" s="110" t="str">
        <f>IF($A85="","",SUMIFS('GECC 2026'!I$2:I$200,'GECC 2026'!F$2:F$200,$A85))</f>
        <v/>
      </c>
      <c r="D85" s="270" t="str">
        <f>IF($A85="","",SUMIFS('GECC 2026'!$AE$3:$AE$32,'GECC 2026'!$AD$3:$AD$32,$A85))</f>
        <v/>
      </c>
      <c r="E85" s="254" t="str">
        <f>IF($A85="","",SUMIFS('GECC 2026'!J$2:J$200,'GECC 2026'!F$2:F$200,$A85)+SUMIFS('GECC 2026'!$AE$3:$AE$32,'GECC 2026'!$AD$3:$AD$32,$A85))</f>
        <v/>
      </c>
      <c r="F85" s="108" t="str">
        <f>IF($A85="","",COUNTIFS('GECC 2026'!F$2:F$200,$A85))</f>
        <v/>
      </c>
    </row>
    <row r="86" spans="2:6" x14ac:dyDescent="0.25">
      <c r="B86" s="110" t="str">
        <f>IF($A86="","",SUMIFS('GECC 2026'!H$2:H$200,'GECC 2026'!F$2:F$200,$A86))</f>
        <v/>
      </c>
      <c r="C86" s="110" t="str">
        <f>IF($A86="","",SUMIFS('GECC 2026'!I$2:I$200,'GECC 2026'!F$2:F$200,$A86))</f>
        <v/>
      </c>
      <c r="D86" s="270" t="str">
        <f>IF($A86="","",SUMIFS('GECC 2026'!$AE$3:$AE$32,'GECC 2026'!$AD$3:$AD$32,$A86))</f>
        <v/>
      </c>
      <c r="E86" s="254" t="str">
        <f>IF($A86="","",SUMIFS('GECC 2026'!J$2:J$200,'GECC 2026'!F$2:F$200,$A86)+SUMIFS('GECC 2026'!$AE$3:$AE$32,'GECC 2026'!$AD$3:$AD$32,$A86))</f>
        <v/>
      </c>
      <c r="F86" s="108" t="str">
        <f>IF($A86="","",COUNTIFS('GECC 2026'!F$2:F$200,$A86))</f>
        <v/>
      </c>
    </row>
    <row r="87" spans="2:6" x14ac:dyDescent="0.25">
      <c r="B87" s="110" t="str">
        <f>IF($A87="","",SUMIFS('GECC 2026'!H$2:H$200,'GECC 2026'!F$2:F$200,$A87))</f>
        <v/>
      </c>
      <c r="C87" s="110" t="str">
        <f>IF($A87="","",SUMIFS('GECC 2026'!I$2:I$200,'GECC 2026'!F$2:F$200,$A87))</f>
        <v/>
      </c>
      <c r="D87" s="270" t="str">
        <f>IF($A87="","",SUMIFS('GECC 2026'!$AE$3:$AE$32,'GECC 2026'!$AD$3:$AD$32,$A87))</f>
        <v/>
      </c>
      <c r="E87" s="254" t="str">
        <f>IF($A87="","",SUMIFS('GECC 2026'!J$2:J$200,'GECC 2026'!F$2:F$200,$A87)+SUMIFS('GECC 2026'!$AE$3:$AE$32,'GECC 2026'!$AD$3:$AD$32,$A87))</f>
        <v/>
      </c>
      <c r="F87" s="108" t="str">
        <f>IF($A87="","",COUNTIFS('GECC 2026'!F$2:F$200,$A87))</f>
        <v/>
      </c>
    </row>
    <row r="88" spans="2:6" x14ac:dyDescent="0.25">
      <c r="B88" s="110" t="str">
        <f>IF($A88="","",SUMIFS('GECC 2026'!H$2:H$200,'GECC 2026'!F$2:F$200,$A88))</f>
        <v/>
      </c>
      <c r="C88" s="110" t="str">
        <f>IF($A88="","",SUMIFS('GECC 2026'!I$2:I$200,'GECC 2026'!F$2:F$200,$A88))</f>
        <v/>
      </c>
      <c r="D88" s="270" t="str">
        <f>IF($A88="","",SUMIFS('GECC 2026'!$AE$3:$AE$32,'GECC 2026'!$AD$3:$AD$32,$A88))</f>
        <v/>
      </c>
      <c r="E88" s="254" t="str">
        <f>IF($A88="","",SUMIFS('GECC 2026'!J$2:J$200,'GECC 2026'!F$2:F$200,$A88)+SUMIFS('GECC 2026'!$AE$3:$AE$32,'GECC 2026'!$AD$3:$AD$32,$A88))</f>
        <v/>
      </c>
      <c r="F88" s="108" t="str">
        <f>IF($A88="","",COUNTIFS('GECC 2026'!F$2:F$200,$A88))</f>
        <v/>
      </c>
    </row>
    <row r="89" spans="2:6" x14ac:dyDescent="0.25">
      <c r="B89" s="110" t="str">
        <f>IF($A89="","",SUMIFS('GECC 2026'!H$2:H$200,'GECC 2026'!F$2:F$200,$A89))</f>
        <v/>
      </c>
      <c r="C89" s="110" t="str">
        <f>IF($A89="","",SUMIFS('GECC 2026'!I$2:I$200,'GECC 2026'!F$2:F$200,$A89))</f>
        <v/>
      </c>
      <c r="D89" s="270" t="str">
        <f>IF($A89="","",SUMIFS('GECC 2026'!$AE$3:$AE$32,'GECC 2026'!$AD$3:$AD$32,$A89))</f>
        <v/>
      </c>
      <c r="E89" s="254" t="str">
        <f>IF($A89="","",SUMIFS('GECC 2026'!J$2:J$200,'GECC 2026'!F$2:F$200,$A89)+SUMIFS('GECC 2026'!$AE$3:$AE$32,'GECC 2026'!$AD$3:$AD$32,$A89))</f>
        <v/>
      </c>
      <c r="F89" s="108" t="str">
        <f>IF($A89="","",COUNTIFS('GECC 2026'!F$2:F$200,$A89))</f>
        <v/>
      </c>
    </row>
    <row r="90" spans="2:6" x14ac:dyDescent="0.25">
      <c r="B90" s="110" t="str">
        <f>IF($A90="","",SUMIFS('GECC 2026'!H$2:H$200,'GECC 2026'!F$2:F$200,$A90))</f>
        <v/>
      </c>
      <c r="C90" s="110" t="str">
        <f>IF($A90="","",SUMIFS('GECC 2026'!I$2:I$200,'GECC 2026'!F$2:F$200,$A90))</f>
        <v/>
      </c>
      <c r="D90" s="270" t="str">
        <f>IF($A90="","",SUMIFS('GECC 2026'!$AE$3:$AE$32,'GECC 2026'!$AD$3:$AD$32,$A90))</f>
        <v/>
      </c>
      <c r="E90" s="254" t="str">
        <f>IF($A90="","",SUMIFS('GECC 2026'!J$2:J$200,'GECC 2026'!F$2:F$200,$A90)+SUMIFS('GECC 2026'!$AE$3:$AE$32,'GECC 2026'!$AD$3:$AD$32,$A90))</f>
        <v/>
      </c>
      <c r="F90" s="108" t="str">
        <f>IF($A90="","",COUNTIFS('GECC 2026'!F$2:F$200,$A90))</f>
        <v/>
      </c>
    </row>
    <row r="91" spans="2:6" x14ac:dyDescent="0.25">
      <c r="B91" s="110" t="str">
        <f>IF($A91="","",SUMIFS('GECC 2026'!H$2:H$200,'GECC 2026'!F$2:F$200,$A91))</f>
        <v/>
      </c>
      <c r="C91" s="110" t="str">
        <f>IF($A91="","",SUMIFS('GECC 2026'!I$2:I$200,'GECC 2026'!F$2:F$200,$A91))</f>
        <v/>
      </c>
      <c r="D91" s="270" t="str">
        <f>IF($A91="","",SUMIFS('GECC 2026'!$AE$3:$AE$32,'GECC 2026'!$AD$3:$AD$32,$A91))</f>
        <v/>
      </c>
      <c r="E91" s="254" t="str">
        <f>IF($A91="","",SUMIFS('GECC 2026'!J$2:J$200,'GECC 2026'!F$2:F$200,$A91)+SUMIFS('GECC 2026'!$AE$3:$AE$32,'GECC 2026'!$AD$3:$AD$32,$A91))</f>
        <v/>
      </c>
      <c r="F91" s="108" t="str">
        <f>IF($A91="","",COUNTIFS('GECC 2026'!F$2:F$200,$A91))</f>
        <v/>
      </c>
    </row>
    <row r="92" spans="2:6" x14ac:dyDescent="0.25">
      <c r="B92" s="110" t="str">
        <f>IF($A92="","",SUMIFS('GECC 2026'!H$2:H$200,'GECC 2026'!F$2:F$200,$A92))</f>
        <v/>
      </c>
      <c r="C92" s="110" t="str">
        <f>IF($A92="","",SUMIFS('GECC 2026'!I$2:I$200,'GECC 2026'!F$2:F$200,$A92))</f>
        <v/>
      </c>
      <c r="D92" s="270" t="str">
        <f>IF($A92="","",SUMIFS('GECC 2026'!$AE$3:$AE$32,'GECC 2026'!$AD$3:$AD$32,$A92))</f>
        <v/>
      </c>
      <c r="E92" s="254" t="str">
        <f>IF($A92="","",SUMIFS('GECC 2026'!J$2:J$200,'GECC 2026'!F$2:F$200,$A92)+SUMIFS('GECC 2026'!$AE$3:$AE$32,'GECC 2026'!$AD$3:$AD$32,$A92))</f>
        <v/>
      </c>
      <c r="F92" s="108" t="str">
        <f>IF($A92="","",COUNTIFS('GECC 2026'!F$2:F$200,$A92))</f>
        <v/>
      </c>
    </row>
    <row r="93" spans="2:6" x14ac:dyDescent="0.25">
      <c r="B93" s="110" t="str">
        <f>IF($A93="","",SUMIFS('GECC 2026'!H$2:H$200,'GECC 2026'!F$2:F$200,$A93))</f>
        <v/>
      </c>
      <c r="C93" s="110" t="str">
        <f>IF($A93="","",SUMIFS('GECC 2026'!I$2:I$200,'GECC 2026'!F$2:F$200,$A93))</f>
        <v/>
      </c>
      <c r="D93" s="270" t="str">
        <f>IF($A93="","",SUMIFS('GECC 2026'!$AE$3:$AE$32,'GECC 2026'!$AD$3:$AD$32,$A93))</f>
        <v/>
      </c>
      <c r="E93" s="254" t="str">
        <f>IF($A93="","",SUMIFS('GECC 2026'!J$2:J$200,'GECC 2026'!F$2:F$200,$A93)+SUMIFS('GECC 2026'!$AE$3:$AE$32,'GECC 2026'!$AD$3:$AD$32,$A93))</f>
        <v/>
      </c>
      <c r="F93" s="108" t="str">
        <f>IF($A93="","",COUNTIFS('GECC 2026'!F$2:F$200,$A93))</f>
        <v/>
      </c>
    </row>
    <row r="94" spans="2:6" x14ac:dyDescent="0.25">
      <c r="B94" s="110" t="str">
        <f>IF($A94="","",SUMIFS('GECC 2026'!H$2:H$200,'GECC 2026'!F$2:F$200,$A94))</f>
        <v/>
      </c>
      <c r="C94" s="110" t="str">
        <f>IF($A94="","",SUMIFS('GECC 2026'!I$2:I$200,'GECC 2026'!F$2:F$200,$A94))</f>
        <v/>
      </c>
      <c r="D94" s="270" t="str">
        <f>IF($A94="","",SUMIFS('GECC 2026'!$AE$3:$AE$32,'GECC 2026'!$AD$3:$AD$32,$A94))</f>
        <v/>
      </c>
      <c r="E94" s="254" t="str">
        <f>IF($A94="","",SUMIFS('GECC 2026'!J$2:J$200,'GECC 2026'!F$2:F$200,$A94)+SUMIFS('GECC 2026'!$AE$3:$AE$32,'GECC 2026'!$AD$3:$AD$32,$A94))</f>
        <v/>
      </c>
      <c r="F94" s="108" t="str">
        <f>IF($A94="","",COUNTIFS('GECC 2026'!F$2:F$200,$A94))</f>
        <v/>
      </c>
    </row>
    <row r="95" spans="2:6" x14ac:dyDescent="0.25">
      <c r="B95" s="110" t="str">
        <f>IF($A95="","",SUMIFS('GECC 2026'!H$2:H$200,'GECC 2026'!F$2:F$200,$A95))</f>
        <v/>
      </c>
      <c r="C95" s="110" t="str">
        <f>IF($A95="","",SUMIFS('GECC 2026'!I$2:I$200,'GECC 2026'!F$2:F$200,$A95))</f>
        <v/>
      </c>
      <c r="D95" s="270" t="str">
        <f>IF($A95="","",SUMIFS('GECC 2026'!$AE$3:$AE$32,'GECC 2026'!$AD$3:$AD$32,$A95))</f>
        <v/>
      </c>
      <c r="E95" s="254" t="str">
        <f>IF($A95="","",SUMIFS('GECC 2026'!J$2:J$200,'GECC 2026'!F$2:F$200,$A95)+SUMIFS('GECC 2026'!$AE$3:$AE$32,'GECC 2026'!$AD$3:$AD$32,$A95))</f>
        <v/>
      </c>
      <c r="F95" s="108" t="str">
        <f>IF($A95="","",COUNTIFS('GECC 2026'!F$2:F$200,$A95))</f>
        <v/>
      </c>
    </row>
    <row r="96" spans="2:6" x14ac:dyDescent="0.25">
      <c r="B96" s="110" t="str">
        <f>IF($A96="","",SUMIFS('GECC 2026'!H$2:H$200,'GECC 2026'!F$2:F$200,$A96))</f>
        <v/>
      </c>
      <c r="C96" s="110" t="str">
        <f>IF($A96="","",SUMIFS('GECC 2026'!I$2:I$200,'GECC 2026'!F$2:F$200,$A96))</f>
        <v/>
      </c>
      <c r="D96" s="270" t="str">
        <f>IF($A96="","",SUMIFS('GECC 2026'!$AE$3:$AE$32,'GECC 2026'!$AD$3:$AD$32,$A96))</f>
        <v/>
      </c>
      <c r="E96" s="254" t="str">
        <f>IF($A96="","",SUMIFS('GECC 2026'!J$2:J$200,'GECC 2026'!F$2:F$200,$A96)+SUMIFS('GECC 2026'!$AE$3:$AE$32,'GECC 2026'!$AD$3:$AD$32,$A96))</f>
        <v/>
      </c>
      <c r="F96" s="108" t="str">
        <f>IF($A96="","",COUNTIFS('GECC 2026'!F$2:F$200,$A96))</f>
        <v/>
      </c>
    </row>
    <row r="97" spans="1:6" x14ac:dyDescent="0.25">
      <c r="B97" s="110" t="str">
        <f>IF($A97="","",SUMIFS('GECC 2026'!H$2:H$200,'GECC 2026'!F$2:F$200,$A97))</f>
        <v/>
      </c>
      <c r="C97" s="110" t="str">
        <f>IF($A97="","",SUMIFS('GECC 2026'!I$2:I$200,'GECC 2026'!F$2:F$200,$A97))</f>
        <v/>
      </c>
      <c r="D97" s="270" t="str">
        <f>IF($A97="","",SUMIFS('GECC 2026'!$AE$3:$AE$32,'GECC 2026'!$AD$3:$AD$32,$A97))</f>
        <v/>
      </c>
      <c r="E97" s="254" t="str">
        <f>IF($A97="","",SUMIFS('GECC 2026'!J$2:J$200,'GECC 2026'!F$2:F$200,$A97)+SUMIFS('GECC 2026'!$AE$3:$AE$32,'GECC 2026'!$AD$3:$AD$32,$A97))</f>
        <v/>
      </c>
      <c r="F97" s="108" t="str">
        <f>IF($A97="","",COUNTIFS('GECC 2026'!F$2:F$200,$A97))</f>
        <v/>
      </c>
    </row>
    <row r="98" spans="1:6" x14ac:dyDescent="0.25">
      <c r="B98" s="110" t="str">
        <f>IF($A98="","",SUMIFS('GECC 2026'!H$2:H$200,'GECC 2026'!F$2:F$200,$A98))</f>
        <v/>
      </c>
      <c r="C98" s="110" t="str">
        <f>IF($A98="","",SUMIFS('GECC 2026'!I$2:I$200,'GECC 2026'!F$2:F$200,$A98))</f>
        <v/>
      </c>
      <c r="D98" s="270" t="str">
        <f>IF($A98="","",SUMIFS('GECC 2026'!$AE$3:$AE$32,'GECC 2026'!$AD$3:$AD$32,$A98))</f>
        <v/>
      </c>
      <c r="E98" s="254" t="str">
        <f>IF($A98="","",SUMIFS('GECC 2026'!J$2:J$200,'GECC 2026'!F$2:F$200,$A98)+SUMIFS('GECC 2026'!$AE$3:$AE$32,'GECC 2026'!$AD$3:$AD$32,$A98))</f>
        <v/>
      </c>
      <c r="F98" s="108" t="str">
        <f>IF($A98="","",COUNTIFS('GECC 2026'!F$2:F$200,$A98))</f>
        <v/>
      </c>
    </row>
    <row r="99" spans="1:6" x14ac:dyDescent="0.25">
      <c r="B99" s="110" t="str">
        <f>IF($A99="","",SUMIFS('GECC 2026'!H$2:H$200,'GECC 2026'!F$2:F$200,$A99))</f>
        <v/>
      </c>
      <c r="C99" s="110" t="str">
        <f>IF($A99="","",SUMIFS('GECC 2026'!I$2:I$200,'GECC 2026'!F$2:F$200,$A99))</f>
        <v/>
      </c>
      <c r="D99" s="270" t="str">
        <f>IF($A99="","",SUMIFS('GECC 2026'!$AE$3:$AE$32,'GECC 2026'!$AD$3:$AD$32,$A99))</f>
        <v/>
      </c>
      <c r="E99" s="254" t="str">
        <f>IF($A99="","",SUMIFS('GECC 2026'!J$2:J$200,'GECC 2026'!F$2:F$200,$A99)+SUMIFS('GECC 2026'!$AE$3:$AE$32,'GECC 2026'!$AD$3:$AD$32,$A99))</f>
        <v/>
      </c>
      <c r="F99" s="108" t="str">
        <f>IF($A99="","",COUNTIFS('GECC 2026'!F$2:F$200,$A99))</f>
        <v/>
      </c>
    </row>
    <row r="100" spans="1:6" x14ac:dyDescent="0.25">
      <c r="B100" s="110" t="str">
        <f>IF($A100="","",SUMIFS('GECC 2026'!H$2:H$200,'GECC 2026'!F$2:F$200,$A100))</f>
        <v/>
      </c>
      <c r="C100" s="110" t="str">
        <f>IF($A100="","",SUMIFS('GECC 2026'!I$2:I$200,'GECC 2026'!F$2:F$200,$A100))</f>
        <v/>
      </c>
      <c r="D100" s="270" t="str">
        <f>IF($A100="","",SUMIFS('GECC 2026'!$AE$3:$AE$32,'GECC 2026'!$AD$3:$AD$32,$A100))</f>
        <v/>
      </c>
      <c r="E100" s="254" t="str">
        <f>IF($A100="","",SUMIFS('GECC 2026'!J$2:J$200,'GECC 2026'!F$2:F$200,$A100)+SUMIFS('GECC 2026'!$AE$3:$AE$32,'GECC 2026'!$AD$3:$AD$32,$A100))</f>
        <v/>
      </c>
      <c r="F100" s="108" t="str">
        <f>IF($A100="","",COUNTIFS('GECC 2026'!F$2:F$200,$A100))</f>
        <v/>
      </c>
    </row>
    <row r="101" spans="1:6" x14ac:dyDescent="0.25">
      <c r="D101" s="270" t="str">
        <f>IF($A101="","",SUMIFS('GECC 2026'!$AE$3:$AE$32,'GECC 2026'!$AD$3:$AD$32,$A101))</f>
        <v/>
      </c>
      <c r="E101" s="254" t="str">
        <f>IF($A101="","",SUMIFS('GECC 2026'!J$2:J$200,'GECC 2026'!F$2:F$200,$A101)+SUMIFS('GECC 2026'!$AE$3:$AE$32,'GECC 2026'!$AD$3:$AD$32,$A101))</f>
        <v/>
      </c>
    </row>
    <row r="102" spans="1:6" x14ac:dyDescent="0.25">
      <c r="D102" s="270" t="str">
        <f>IF($A102="","",SUMIFS('GECC 2026'!$AE$3:$AE$32,'GECC 2026'!$AD$3:$AD$32,$A102))</f>
        <v/>
      </c>
      <c r="E102" s="254" t="str">
        <f>IF($A102="","",SUMIFS('GECC 2026'!J$2:J$200,'GECC 2026'!F$2:F$200,$A102)+SUMIFS('GECC 2026'!$AE$3:$AE$32,'GECC 2026'!$AD$3:$AD$32,$A102))</f>
        <v/>
      </c>
    </row>
    <row r="103" spans="1:6" x14ac:dyDescent="0.25">
      <c r="D103" s="270" t="str">
        <f>IF($A103="","",SUMIFS('GECC 2026'!$AE$3:$AE$32,'GECC 2026'!$AD$3:$AD$32,$A103))</f>
        <v/>
      </c>
      <c r="E103" s="254" t="str">
        <f>IF($A103="","",SUMIFS('GECC 2026'!J$2:J$200,'GECC 2026'!F$2:F$200,$A103)+SUMIFS('GECC 2026'!$AE$3:$AE$32,'GECC 2026'!$AD$3:$AD$32,$A103))</f>
        <v/>
      </c>
    </row>
    <row r="104" spans="1:6" x14ac:dyDescent="0.25">
      <c r="D104" s="270" t="str">
        <f>IF($A104="","",SUMIFS('GECC 2026'!$AE$3:$AE$32,'GECC 2026'!$AD$3:$AD$32,$A104))</f>
        <v/>
      </c>
      <c r="E104" s="254" t="str">
        <f>IF($A104="","",SUMIFS('GECC 2026'!J$2:J$200,'GECC 2026'!F$2:F$200,$A104)+SUMIFS('GECC 2026'!$AE$3:$AE$32,'GECC 2026'!$AD$3:$AD$32,$A104))</f>
        <v/>
      </c>
    </row>
    <row r="105" spans="1:6" x14ac:dyDescent="0.25">
      <c r="A105" s="255" t="s">
        <v>2819</v>
      </c>
      <c r="B105" s="256">
        <f>SUM(B5:B100)</f>
        <v>462</v>
      </c>
      <c r="C105" s="256">
        <f>SUM(C5:C100)</f>
        <v>91.800000000000011</v>
      </c>
      <c r="D105" s="270">
        <f>IF($A105="","",SUMIFS('GECC 2026'!$AE$3:$AE$32,'GECC 2026'!$AD$3:$AD$32,$A105))</f>
        <v>0</v>
      </c>
      <c r="E105" s="254">
        <f>IF($A105="","",SUMIFS('GECC 2026'!J$2:J$200,'GECC 2026'!F$2:F$200,$A105)+SUMIFS('GECC 2026'!$AE$3:$AE$32,'GECC 2026'!$AD$3:$AD$32,$A105))</f>
        <v>0</v>
      </c>
      <c r="F105" s="257">
        <f>SUM(F5:F100)</f>
        <v>56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2" t="s">
        <v>2875</v>
      </c>
      <c r="B1" s="282"/>
      <c r="C1" s="282"/>
      <c r="D1" s="282"/>
      <c r="E1" s="282"/>
      <c r="F1" s="282"/>
      <c r="G1" s="282"/>
      <c r="H1" s="282"/>
    </row>
    <row r="2" spans="1:8" x14ac:dyDescent="0.25">
      <c r="A2" s="138" t="s">
        <v>2876</v>
      </c>
    </row>
    <row r="4" spans="1:8" ht="21.95" customHeight="1" x14ac:dyDescent="0.25">
      <c r="A4" s="283" t="s">
        <v>2877</v>
      </c>
      <c r="B4" s="284"/>
      <c r="D4" s="283" t="s">
        <v>2878</v>
      </c>
      <c r="E4" s="284"/>
      <c r="G4" s="283" t="s">
        <v>2879</v>
      </c>
      <c r="H4" s="284"/>
    </row>
    <row r="5" spans="1:8" ht="35.1" customHeight="1" x14ac:dyDescent="0.25">
      <c r="A5" s="287">
        <f>COUNTIF('Ações InCompany'!E:E,"*maratona*")</f>
        <v>13</v>
      </c>
      <c r="B5" s="286"/>
      <c r="D5" s="285">
        <f>SUM(H8:H100)</f>
        <v>1566</v>
      </c>
      <c r="E5" s="286"/>
      <c r="G5" s="285">
        <f>IFERROR(ROUND(D5/A5,0),"-")</f>
        <v>120</v>
      </c>
      <c r="H5" s="286"/>
    </row>
    <row r="6" spans="1:8" ht="9.9499999999999993" customHeight="1" x14ac:dyDescent="0.25"/>
    <row r="7" spans="1:8" ht="24.95" customHeight="1" thickBot="1" x14ac:dyDescent="0.3">
      <c r="A7" s="151" t="s">
        <v>2880</v>
      </c>
      <c r="B7" s="151" t="s">
        <v>2881</v>
      </c>
      <c r="C7" s="151" t="s">
        <v>1</v>
      </c>
      <c r="D7" s="151" t="s">
        <v>2882</v>
      </c>
      <c r="E7" s="151" t="s">
        <v>2883</v>
      </c>
      <c r="F7" s="151" t="s">
        <v>2775</v>
      </c>
      <c r="G7" s="151" t="s">
        <v>5</v>
      </c>
      <c r="H7" s="151" t="s">
        <v>2884</v>
      </c>
    </row>
    <row r="8" spans="1:8" ht="20.100000000000001" customHeight="1" x14ac:dyDescent="0.25">
      <c r="A8" s="139" cm="1">
        <f t="array" ref="A8:A20">IFERROR(_xlfn.SEQUENCE(COUNTIF('Ações InCompany'!E:E,"*maratona*")),"")</f>
        <v>1</v>
      </c>
      <c r="B8" s="240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40">
        <v>2023</v>
      </c>
      <c r="D8" s="148" t="str">
        <v>Maratona Temática: Auditoria em saúde</v>
      </c>
      <c r="E8" s="140" t="str">
        <v>15 e 16/06/2023</v>
      </c>
      <c r="F8" s="140" t="str">
        <v>Realizado</v>
      </c>
      <c r="G8" s="140" t="str">
        <v>Servidores do TCDF</v>
      </c>
      <c r="H8" s="141">
        <v>184</v>
      </c>
    </row>
    <row r="9" spans="1:8" ht="20.100000000000001" customHeight="1" x14ac:dyDescent="0.25">
      <c r="A9" s="142">
        <v>2</v>
      </c>
      <c r="B9" s="241">
        <v>45154</v>
      </c>
      <c r="C9" s="143">
        <v>2023</v>
      </c>
      <c r="D9" s="149" t="str">
        <v>Maratona temática: auditoria em mobilidade urbana</v>
      </c>
      <c r="E9" s="143" t="str">
        <v>16 a 18/08/2023</v>
      </c>
      <c r="F9" s="143" t="str">
        <v>Realizado</v>
      </c>
      <c r="G9" s="143" t="str">
        <v>Servidores do TCDF</v>
      </c>
      <c r="H9" s="144">
        <v>64</v>
      </c>
    </row>
    <row r="10" spans="1:8" ht="20.100000000000001" customHeight="1" x14ac:dyDescent="0.25">
      <c r="A10" s="145">
        <v>3</v>
      </c>
      <c r="B10" s="242">
        <v>45239</v>
      </c>
      <c r="C10" s="146">
        <v>2023</v>
      </c>
      <c r="D10" s="150" t="str">
        <v>Maratona temática: primeira infância</v>
      </c>
      <c r="E10" s="146" t="str">
        <v>09 e 10/11/2023</v>
      </c>
      <c r="F10" s="146" t="str">
        <v>Realizado</v>
      </c>
      <c r="G10" s="146" t="str">
        <v>Sociedade</v>
      </c>
      <c r="H10" s="147">
        <v>91</v>
      </c>
    </row>
    <row r="11" spans="1:8" ht="20.100000000000001" customHeight="1" x14ac:dyDescent="0.25">
      <c r="A11" s="142">
        <v>4</v>
      </c>
      <c r="B11" s="241">
        <v>45264</v>
      </c>
      <c r="C11" s="143">
        <v>2023</v>
      </c>
      <c r="D11" s="149" t="str">
        <v>Maratona Temática: auditoria em resíduos sólidos</v>
      </c>
      <c r="E11" s="143" t="str">
        <v>04 e 05/12/2023</v>
      </c>
      <c r="F11" s="143" t="str">
        <v>Realizado</v>
      </c>
      <c r="G11" s="143" t="str">
        <v>Servidores do TCDF</v>
      </c>
      <c r="H11" s="144">
        <v>85</v>
      </c>
    </row>
    <row r="12" spans="1:8" ht="20.100000000000001" customHeight="1" x14ac:dyDescent="0.25">
      <c r="A12" s="145">
        <v>5</v>
      </c>
      <c r="B12" s="242">
        <v>45456</v>
      </c>
      <c r="C12" s="146">
        <v>2024</v>
      </c>
      <c r="D12" s="150" t="str">
        <v>Maratona Temática - educação</v>
      </c>
      <c r="E12" s="146" t="str">
        <v>13 e 14/06/2024</v>
      </c>
      <c r="F12" s="146" t="str">
        <v>Realizado</v>
      </c>
      <c r="G12" s="146" t="str">
        <v>Sociedade</v>
      </c>
      <c r="H12" s="147">
        <v>155</v>
      </c>
    </row>
    <row r="13" spans="1:8" ht="20.100000000000001" customHeight="1" x14ac:dyDescent="0.25">
      <c r="A13" s="142">
        <v>6</v>
      </c>
      <c r="B13" s="241">
        <v>45624</v>
      </c>
      <c r="C13" s="143">
        <v>2024</v>
      </c>
      <c r="D13" s="149" t="str">
        <v>Maratona temática - Governança em Saúde</v>
      </c>
      <c r="E13" s="143" t="str">
        <v>28 e 29/11/2024</v>
      </c>
      <c r="F13" s="143" t="str">
        <v>Realizado</v>
      </c>
      <c r="G13" s="143" t="str">
        <v>Jurisdicionados</v>
      </c>
      <c r="H13" s="144">
        <v>138</v>
      </c>
    </row>
    <row r="14" spans="1:8" ht="20.100000000000001" customHeight="1" x14ac:dyDescent="0.25">
      <c r="A14" s="145">
        <v>7</v>
      </c>
      <c r="B14" s="242">
        <v>45750</v>
      </c>
      <c r="C14" s="146">
        <v>2025</v>
      </c>
      <c r="D14" s="150" t="str">
        <v>Maratona Temática: Obras Públicas</v>
      </c>
      <c r="E14" s="146" t="str">
        <v>03 e 04/04/2025</v>
      </c>
      <c r="F14" s="146" t="str">
        <v>Realizado</v>
      </c>
      <c r="G14" s="146" t="str">
        <v>Jurisdicionados</v>
      </c>
      <c r="H14" s="147">
        <v>250</v>
      </c>
    </row>
    <row r="15" spans="1:8" ht="20.100000000000001" customHeight="1" x14ac:dyDescent="0.25">
      <c r="A15" s="142">
        <v>8</v>
      </c>
      <c r="B15" s="241">
        <v>45925</v>
      </c>
      <c r="C15" s="143">
        <v>2025</v>
      </c>
      <c r="D15" s="149" t="str">
        <v>Maratona Temática “O Olhar dos Tribunais de Contas sobre Políticas Públicas"</v>
      </c>
      <c r="E15" s="143" t="str">
        <v>25 e 26/09/2025</v>
      </c>
      <c r="F15" s="143" t="str">
        <v>Realizado</v>
      </c>
      <c r="G15" s="143" t="str">
        <v>Sociedade</v>
      </c>
      <c r="H15" s="144">
        <v>228</v>
      </c>
    </row>
    <row r="16" spans="1:8" ht="20.100000000000001" customHeight="1" x14ac:dyDescent="0.25">
      <c r="A16" s="145">
        <v>9</v>
      </c>
      <c r="B16" s="242">
        <v>45950</v>
      </c>
      <c r="C16" s="146">
        <v>2025</v>
      </c>
      <c r="D16" s="150" t="str">
        <v>Maratona Temática: Segurança Pública</v>
      </c>
      <c r="E16" s="146" t="str">
        <v>20 e 21/10/2025</v>
      </c>
      <c r="F16" s="146" t="str">
        <v>Realizado</v>
      </c>
      <c r="G16" s="146" t="str">
        <v>Sociedade</v>
      </c>
      <c r="H16" s="147">
        <v>179</v>
      </c>
    </row>
    <row r="17" spans="1:8" ht="20.100000000000001" customHeight="1" x14ac:dyDescent="0.25">
      <c r="A17" s="142">
        <v>10</v>
      </c>
      <c r="B17" s="241">
        <v>46111</v>
      </c>
      <c r="C17" s="143">
        <v>2026</v>
      </c>
      <c r="D17" s="149" t="str">
        <v>Maratona Temática: Transparência Pública</v>
      </c>
      <c r="E17" s="143" t="str">
        <v>30 a 31/03/2026</v>
      </c>
      <c r="F17" s="143" t="str">
        <v>Realizado</v>
      </c>
      <c r="G17" s="143" t="str">
        <v>Jurisdicionados</v>
      </c>
      <c r="H17" s="144">
        <v>192</v>
      </c>
    </row>
    <row r="18" spans="1:8" ht="20.100000000000001" customHeight="1" x14ac:dyDescent="0.25">
      <c r="A18" s="145">
        <v>11</v>
      </c>
      <c r="B18" s="242">
        <v>46195</v>
      </c>
      <c r="C18" s="146">
        <v>2026</v>
      </c>
      <c r="D18" s="150" t="str">
        <v>3ª Maratona Temática em Saúde Pública - Boas Práticas</v>
      </c>
      <c r="E18" s="146" t="str">
        <v>22 e 23/06/2026</v>
      </c>
      <c r="F18" s="146" t="str">
        <v>A realizar</v>
      </c>
      <c r="G18" s="146" t="str">
        <v>Jurisdicionados</v>
      </c>
      <c r="H18" s="147">
        <v>0</v>
      </c>
    </row>
    <row r="19" spans="1:8" x14ac:dyDescent="0.25">
      <c r="A19" s="243">
        <v>12</v>
      </c>
      <c r="B19" s="244">
        <v>46286</v>
      </c>
      <c r="C19" s="243">
        <v>2026</v>
      </c>
      <c r="D19" s="245" t="str">
        <v>Maratona Temática - Obras Públicas</v>
      </c>
      <c r="E19" s="243" t="str">
        <v>21 e 22/09/2026</v>
      </c>
      <c r="F19" s="243" t="str">
        <v>A realizar</v>
      </c>
      <c r="G19" s="243" t="str">
        <v>Jurisdicionados</v>
      </c>
      <c r="H19" s="246">
        <v>0</v>
      </c>
    </row>
    <row r="20" spans="1:8" x14ac:dyDescent="0.25">
      <c r="A20" s="247">
        <v>13</v>
      </c>
      <c r="B20" s="248">
        <v>46335</v>
      </c>
      <c r="C20" s="247">
        <v>2026</v>
      </c>
      <c r="D20" s="249" t="str">
        <v>Maratona Temática - Mobilidade Urbana</v>
      </c>
      <c r="E20" s="247" t="str">
        <v>09 e 10/11/2026</v>
      </c>
      <c r="F20" s="247" t="str">
        <v>A realizar</v>
      </c>
      <c r="G20" s="247" t="str">
        <v>Jurisdicionados</v>
      </c>
      <c r="H20" s="250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fe686eaa-0658-4f15-b230-9e46c4d089fd"/>
    <ds:schemaRef ds:uri="http://www.w3.org/XML/1998/namespace"/>
    <ds:schemaRef ds:uri="91ce1707-6d34-452b-b217-9734c03e6729"/>
    <ds:schemaRef ds:uri="http://purl.org/dc/elements/1.1/"/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2026-05-07T18:35:50Z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