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765" documentId="13_ncr:1_{C887EC22-7CD1-4717-84BE-7303F42C5C0A}" xr6:coauthVersionLast="47" xr6:coauthVersionMax="47" xr10:uidLastSave="{246E36B3-21DC-42F4-9F7F-B8E25BB2EDFA}"/>
  <bookViews>
    <workbookView xWindow="28680" yWindow="-120" windowWidth="29040" windowHeight="15720" activeTab="6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AE33" i="20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L4" i="20" l="1"/>
  <c r="R4" i="20" s="1" a="1"/>
  <c r="R4" i="20" s="1"/>
  <c r="S4" i="20" s="1" a="1"/>
  <c r="S4" i="20" s="1"/>
  <c r="T4" i="20" s="1" a="1"/>
  <c r="G5" i="27"/>
  <c r="E42" i="26"/>
  <c r="E41" i="26"/>
  <c r="E40" i="26"/>
  <c r="E36" i="26"/>
  <c r="E38" i="26"/>
  <c r="E39" i="26"/>
  <c r="E35" i="26"/>
  <c r="E37" i="26"/>
  <c r="E33" i="26"/>
  <c r="E44" i="26"/>
  <c r="E34" i="26"/>
  <c r="E45" i="26" l="1"/>
  <c r="T4" i="20"/>
  <c r="A2" i="20" s="1" a="1"/>
  <c r="E105" i="23" l="1"/>
  <c r="A5" i="23" a="1"/>
  <c r="A2" i="20"/>
  <c r="C31" i="23" l="1"/>
  <c r="B31" i="23"/>
  <c r="D31" i="23"/>
  <c r="E31" i="23"/>
  <c r="F31" i="23"/>
  <c r="E30" i="23"/>
  <c r="C30" i="23"/>
  <c r="B30" i="23"/>
  <c r="D30" i="23"/>
  <c r="F30" i="23"/>
  <c r="F29" i="23"/>
  <c r="C29" i="23"/>
  <c r="D29" i="23"/>
  <c r="E29" i="23"/>
  <c r="B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<sst xmlns="http://schemas.openxmlformats.org/spreadsheetml/2006/main" count="6486" uniqueCount="2939">
  <si>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</si>
  <si>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</si>
  <si>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</si>
  <si>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</si>
  <si>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</si>
  <si>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</si>
  <si>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</si>
  <si>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</si>
  <si>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</si>
  <si>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</si>
  <si>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</si>
  <si>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</si>
  <si>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</si>
  <si>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</si>
  <si>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</si>
  <si>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</si>
  <si>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</si>
  <si>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</si>
  <si>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</si>
  <si>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</si>
  <si>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</si>
  <si>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</si>
  <si>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</si>
  <si>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</si>
  <si>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</si>
  <si>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</si>
  <si>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</si>
  <si>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</si>
  <si>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</si>
  <si>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</si>
  <si>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</si>
  <si>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</si>
  <si>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</si>
  <si>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</si>
  <si>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</si>
  <si>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</si>
  <si>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</si>
  <si>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</si>
  <si>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</si>
  <si>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</si>
  <si>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</si>
  <si>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</si>
  <si>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</si>
  <si>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</si>
  <si>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</si>
  <si>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</si>
  <si>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</si>
  <si>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</si>
  <si>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</si>
  <si>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</si>
  <si>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</si>
  <si>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</si>
  <si>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</si>
  <si>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</si>
  <si>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</si>
  <si>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</si>
  <si>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</si>
  <si>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</si>
  <si>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</si>
  <si>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</si>
  <si>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</si>
  <si>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</si>
  <si>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</si>
  <si>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</si>
  <si>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</si>
  <si>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</si>
  <si>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</si>
  <si>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</si>
  <si>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</si>
  <si>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</si>
  <si>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</si>
  <si>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</si>
  <si>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</si>
  <si>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</si>
  <si>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</si>
  <si>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</si>
  <si>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</si>
  <si>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</si>
  <si>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</si>
  <si>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</si>
  <si>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</si>
  <si>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</si>
  <si>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</si>
  <si>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</si>
  <si>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</si>
  <si>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</si>
  <si>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</si>
  <si>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</si>
  <si>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</si>
  <si>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</si>
  <si>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</si>
  <si>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</si>
  <si>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</si>
  <si>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</si>
  <si>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</si>
  <si>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</si>
  <si>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</si>
  <si>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</si>
  <si>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</si>
  <si>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</si>
  <si>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</si>
  <si>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</si>
  <si>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</si>
  <si>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</si>
  <si>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</si>
  <si>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</si>
  <si>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</si>
  <si>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</si>
  <si>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</si>
  <si>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</si>
  <si>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</si>
  <si>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</si>
  <si>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</si>
  <si>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</si>
  <si>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</si>
  <si>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</si>
  <si>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</si>
  <si>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</si>
  <si>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</si>
  <si>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</si>
  <si>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</si>
  <si>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</si>
  <si>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</si>
  <si>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</si>
  <si>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</si>
  <si>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</si>
  <si>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</si>
  <si>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</si>
  <si>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</si>
  <si>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</si>
  <si>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</si>
  <si>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</si>
  <si>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</si>
  <si>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</si>
  <si>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</si>
  <si>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</si>
  <si>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</si>
  <si>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</si>
  <si>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</si>
  <si>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</si>
  <si>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</si>
  <si>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</si>
  <si>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</si>
  <si>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</si>
  <si>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</si>
  <si>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</si>
  <si>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</si>
  <si>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</si>
  <si>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</si>
  <si>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</si>
  <si>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</si>
  <si>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</si>
  <si>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</si>
  <si>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</si>
  <si>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</si>
  <si>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</si>
  <si>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</si>
  <si>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</si>
  <si>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</si>
  <si>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</si>
  <si>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</si>
  <si>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</si>
  <si>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</si>
  <si>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</si>
  <si>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</si>
  <si>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</si>
  <si>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</si>
  <si>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</si>
  <si>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</si>
  <si>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</si>
  <si>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</si>
  <si>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</si>
  <si>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</si>
  <si>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</si>
  <si>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</si>
  <si>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</si>
  <si>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</si>
  <si>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</si>
  <si>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</si>
  <si>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</si>
  <si>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</si>
  <si>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</si>
  <si>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</si>
  <si>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</si>
  <si>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</si>
  <si>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</si>
  <si>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</si>
  <si>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</si>
  <si>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</si>
  <si>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</si>
  <si>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</si>
  <si>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</si>
  <si>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</si>
  <si>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</si>
  <si>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</si>
  <si>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</si>
  <si>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</si>
  <si>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</si>
  <si>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</si>
  <si>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</si>
  <si>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</si>
  <si>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</si>
  <si>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</si>
  <si>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</si>
  <si>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</si>
  <si>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</si>
  <si>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</si>
  <si>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</si>
  <si>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</si>
  <si>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</si>
  <si>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</si>
  <si>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</si>
  <si>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</si>
  <si>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</si>
  <si>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</si>
  <si>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</si>
  <si>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</si>
  <si>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</si>
  <si>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</si>
  <si>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</si>
  <si>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</si>
  <si>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</si>
  <si>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</si>
  <si>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</si>
  <si>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</si>
  <si>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</si>
  <si>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</si>
  <si>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</si>
  <si>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</si>
  <si>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</si>
  <si>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</si>
  <si>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</si>
  <si>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</si>
  <si>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</si>
  <si>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</si>
  <si>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</si>
  <si>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</si>
  <si>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</si>
  <si>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</si>
  <si>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</si>
  <si>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</si>
  <si>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</si>
  <si>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</si>
  <si>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</si>
  <si>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</si>
  <si>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</si>
  <si>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</si>
  <si>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</si>
  <si>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</si>
  <si>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</si>
  <si>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</si>
  <si>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</si>
  <si>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</si>
  <si>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</si>
  <si>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</si>
  <si>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</si>
  <si>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</si>
  <si>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</si>
  <si>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</si>
  <si>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</si>
  <si>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</si>
  <si>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</si>
  <si>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</si>
  <si>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</si>
  <si>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</si>
  <si>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</si>
  <si>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</si>
  <si>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</si>
  <si>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</si>
  <si>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</si>
  <si>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</si>
  <si>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</si>
  <si>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</si>
  <si>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</si>
  <si>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</si>
  <si>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</si>
  <si>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</si>
  <si>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</si>
  <si>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</si>
  <si>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</si>
  <si>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</si>
  <si>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</si>
  <si>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</si>
  <si>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</si>
  <si>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</si>
  <si>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</si>
  <si>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</si>
  <si>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</si>
  <si>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</si>
  <si>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</si>
  <si>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</si>
  <si>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</si>
  <si>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</si>
  <si>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</si>
  <si>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</si>
  <si>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</si>
  <si>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</si>
  <si>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</si>
  <si>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</si>
  <si>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</si>
  <si>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</si>
  <si>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</si>
  <si>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</si>
  <si>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</si>
  <si>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</si>
  <si>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</si>
  <si>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</si>
  <si>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</si>
  <si>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</si>
  <si>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</si>
  <si>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</si>
  <si>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</si>
  <si>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</si>
  <si>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</si>
  <si>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</si>
  <si>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</si>
  <si>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</si>
  <si>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</si>
  <si>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</si>
  <si>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</si>
  <si>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</si>
  <si>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</si>
  <si>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</si>
  <si>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</si>
  <si>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</si>
  <si>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</si>
  <si>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</si>
  <si>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</si>
  <si>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</si>
  <si>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</si>
  <si>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</si>
  <si>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</si>
  <si>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</si>
  <si>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</si>
  <si>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</si>
  <si>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</si>
  <si>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</si>
  <si>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</si>
  <si>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</si>
  <si>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</si>
  <si>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</si>
  <si>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</si>
  <si>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</si>
  <si>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</si>
  <si>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</si>
  <si>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</si>
  <si>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</si>
  <si>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</si>
  <si>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</si>
  <si>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</si>
  <si>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</si>
  <si>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</si>
  <si>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</si>
  <si>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</si>
  <si>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</si>
  <si>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</si>
  <si>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</si>
  <si>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</si>
  <si>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</si>
  <si>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</si>
  <si>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</si>
  <si>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</si>
  <si>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</si>
  <si>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</si>
  <si>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</si>
  <si>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</si>
  <si>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</si>
  <si>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</si>
  <si>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</si>
  <si>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</si>
  <si>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</si>
  <si>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</si>
  <si>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</si>
  <si>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</si>
  <si>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</si>
  <si>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</si>
  <si>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</si>
  <si>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</si>
  <si>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</si>
  <si>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</si>
  <si>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</si>
  <si>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</si>
  <si>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</si>
  <si>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</si>
  <si>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</si>
  <si>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</si>
  <si>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</si>
  <si>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</si>
  <si>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</si>
  <si>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</si>
  <si>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</si>
  <si>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</si>
  <si>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</si>
  <si>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</si>
  <si>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</si>
  <si>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</si>
  <si>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</si>
  <si>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</si>
  <si>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</si>
  <si>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</si>
  <si>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</si>
  <si>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</si>
  <si>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</si>
  <si>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</si>
  <si>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</si>
  <si>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</si>
  <si>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</si>
  <si>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</si>
  <si>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</si>
  <si>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</si>
  <si>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</si>
  <si>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</si>
  <si>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</si>
  <si>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</si>
  <si>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</si>
  <si>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</si>
  <si>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</si>
  <si>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</si>
  <si>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</si>
  <si>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</si>
  <si>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</si>
  <si>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</si>
  <si>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</si>
  <si>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</si>
  <si>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</si>
  <si>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</si>
  <si>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</si>
  <si>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</si>
  <si>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</si>
  <si>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</si>
  <si>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</si>
  <si>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</si>
  <si>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</si>
  <si>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</si>
  <si>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</si>
  <si>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</si>
  <si>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</si>
  <si>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</si>
  <si>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</si>
  <si>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</si>
  <si>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</si>
  <si>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</si>
  <si>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</si>
  <si>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</si>
  <si>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</si>
  <si>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</si>
  <si>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</si>
  <si>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</si>
  <si>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</si>
  <si>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</si>
  <si>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</si>
  <si>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</si>
  <si>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</si>
  <si>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</si>
  <si>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</si>
  <si>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</si>
  <si>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</si>
  <si>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</si>
  <si>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</si>
  <si>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</si>
  <si>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</si>
  <si>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</si>
  <si>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</si>
  <si>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</si>
  <si>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</si>
  <si>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</si>
  <si>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</si>
  <si>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</si>
  <si>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</si>
  <si>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</si>
  <si>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</si>
  <si>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</si>
  <si>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</si>
  <si>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</si>
  <si>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</si>
  <si>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</si>
  <si>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</si>
  <si>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</si>
  <si>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</si>
  <si>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</si>
  <si>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</si>
  <si>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</si>
  <si>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</si>
  <si>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</si>
  <si>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</si>
  <si>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</si>
  <si>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</si>
  <si>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</si>
  <si>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</si>
  <si>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</si>
  <si>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</si>
  <si>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</si>
  <si>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</si>
  <si>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</si>
  <si>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</si>
  <si>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</si>
  <si>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</si>
  <si>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</si>
  <si>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</si>
  <si>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</si>
  <si>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</si>
  <si>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</si>
  <si>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</si>
  <si>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</si>
  <si>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</si>
  <si>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</si>
  <si>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</si>
  <si>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</si>
  <si>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</si>
  <si>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</si>
  <si>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</si>
  <si>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</si>
  <si>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</si>
  <si>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</si>
  <si>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</si>
  <si>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</si>
  <si>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</si>
  <si>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</si>
  <si>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</si>
  <si>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</si>
  <si>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</si>
  <si>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</si>
  <si>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</si>
  <si>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</si>
  <si>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</si>
  <si>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</si>
  <si>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</si>
  <si>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</si>
  <si>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</si>
  <si>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</si>
  <si>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</si>
  <si>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</si>
  <si>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</si>
  <si>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</si>
  <si>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</si>
  <si>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</si>
  <si>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</si>
  <si>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</si>
  <si>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</si>
  <si>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</si>
  <si>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</si>
  <si>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</si>
  <si>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</si>
  <si>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</si>
  <si>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</si>
  <si>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</si>
  <si>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</si>
  <si>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</si>
  <si>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</si>
  <si>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</si>
  <si>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</si>
  <si>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</si>
  <si>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</si>
  <si>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</si>
  <si>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</si>
  <si>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</si>
  <si>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</si>
  <si>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</si>
  <si>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</si>
  <si>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</si>
  <si>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</si>
  <si>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</si>
  <si>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</si>
  <si>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</si>
  <si>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</si>
  <si>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</si>
  <si>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</si>
  <si>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</si>
  <si>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</si>
  <si>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</si>
  <si>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</si>
  <si>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</si>
  <si>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</si>
  <si>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</si>
  <si>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</si>
  <si>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</si>
  <si>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</si>
  <si>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</si>
  <si>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</si>
  <si>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</si>
  <si>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</si>
  <si>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</si>
  <si>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</si>
  <si>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</si>
  <si>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</si>
  <si>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</si>
  <si>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</si>
  <si>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</si>
  <si>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</si>
  <si>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</si>
  <si>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</si>
  <si>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</si>
  <si>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</si>
  <si>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</si>
  <si>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</si>
  <si>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</si>
  <si>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</si>
  <si>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</si>
  <si>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</si>
  <si>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</si>
  <si>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</si>
  <si>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</si>
  <si>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</si>
  <si>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</si>
  <si>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</si>
  <si>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</si>
  <si>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</si>
  <si>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</si>
  <si>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</si>
  <si>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</si>
  <si>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</si>
  <si>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</si>
  <si>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</si>
  <si>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</si>
  <si>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</si>
  <si>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</si>
  <si>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</si>
  <si>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</si>
  <si>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</si>
  <si>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</si>
  <si>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</si>
  <si>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</si>
  <si>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</si>
  <si>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</si>
  <si>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</si>
  <si>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</si>
  <si>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</si>
  <si>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</si>
  <si>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</si>
  <si>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</si>
  <si>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</si>
  <si>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</si>
  <si>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</si>
  <si>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</si>
  <si>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</si>
  <si>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</si>
  <si>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</si>
  <si>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</si>
  <si>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</si>
  <si>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</si>
  <si>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</si>
  <si>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</si>
  <si>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</si>
  <si>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</si>
  <si>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</si>
  <si>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</si>
  <si>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</si>
  <si>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</si>
  <si>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</si>
  <si>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</si>
  <si>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</si>
  <si>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</si>
  <si>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</si>
  <si>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</si>
  <si>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</si>
  <si>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</si>
  <si>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</si>
  <si>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</si>
  <si>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</si>
  <si>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</si>
  <si>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</si>
  <si>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</si>
  <si>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</si>
  <si>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</si>
  <si>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</si>
  <si>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</si>
  <si>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</si>
  <si>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</si>
  <si>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</si>
  <si>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</si>
  <si>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</si>
  <si>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</si>
  <si>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</si>
  <si>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</si>
  <si>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</si>
  <si>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</si>
  <si>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</si>
  <si>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</si>
  <si>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</si>
  <si>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</si>
  <si>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</si>
  <si>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</si>
  <si>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</si>
  <si>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</si>
  <si>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</si>
  <si>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</si>
  <si>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</si>
  <si>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</si>
  <si>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</si>
  <si>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</si>
  <si>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</si>
  <si>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</si>
  <si>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</si>
  <si>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</si>
  <si>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</si>
  <si>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</si>
  <si>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</si>
  <si>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</si>
  <si>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</si>
  <si>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</si>
  <si>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</si>
  <si>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</si>
  <si>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</si>
  <si>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</si>
  <si>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</si>
  <si>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</si>
  <si>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</si>
  <si>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</si>
  <si>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</si>
  <si>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</si>
  <si>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</si>
  <si>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</si>
  <si>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</si>
  <si>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</si>
  <si>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</si>
  <si>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</si>
  <si>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</si>
  <si>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</si>
  <si>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</si>
  <si>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</si>
  <si>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</si>
  <si>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</si>
  <si>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</si>
  <si>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</si>
  <si>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</si>
  <si>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</si>
  <si>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</si>
  <si>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</si>
  <si>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</si>
  <si>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</si>
  <si>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</si>
  <si>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</si>
  <si>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</si>
  <si>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</si>
  <si>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</si>
  <si>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</si>
  <si>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</si>
  <si>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</si>
  <si>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</si>
  <si>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</si>
  <si>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</si>
  <si>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</si>
  <si>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</si>
  <si>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</si>
  <si>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</si>
  <si>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</si>
  <si>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</si>
  <si>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</si>
  <si>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</si>
  <si>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</si>
  <si>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</si>
  <si>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</si>
  <si>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</si>
  <si>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</si>
  <si>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</si>
  <si>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</si>
  <si>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</si>
  <si>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</si>
  <si>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</si>
  <si>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</si>
  <si>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</si>
  <si>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</si>
  <si>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</si>
  <si>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</si>
  <si>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</si>
  <si>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</si>
  <si>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</si>
  <si>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</si>
  <si>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</si>
  <si>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</si>
  <si>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</si>
  <si>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</si>
  <si>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</si>
  <si>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</si>
  <si>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</si>
  <si>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</si>
  <si>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</si>
  <si>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</si>
  <si>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</si>
  <si>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</si>
  <si>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</si>
  <si>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</si>
  <si>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</si>
  <si>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</si>
  <si>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</si>
  <si>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</si>
  <si>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</si>
  <si>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</si>
  <si>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</si>
  <si>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</si>
  <si>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</si>
  <si>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</si>
  <si>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</si>
  <si>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</si>
  <si>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</si>
  <si>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</si>
  <si>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</si>
  <si>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</si>
  <si>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</si>
  <si>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</si>
  <si>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</si>
  <si>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</si>
  <si>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</si>
  <si>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</si>
  <si>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</si>
  <si>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</si>
  <si>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</si>
  <si>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</si>
  <si>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</si>
  <si>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</si>
  <si>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</si>
  <si>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</si>
  <si>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</si>
  <si>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</si>
  <si>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</si>
  <si>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</si>
  <si>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</si>
  <si>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</si>
  <si>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</si>
  <si>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</si>
  <si>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</si>
  <si>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</si>
  <si>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</si>
  <si>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</si>
  <si>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</si>
  <si>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</si>
  <si>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</si>
  <si>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</si>
  <si>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</si>
  <si>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</si>
  <si>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</si>
  <si>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</si>
  <si>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</si>
  <si>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</si>
  <si>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</si>
  <si>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</si>
  <si>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</si>
  <si>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</si>
  <si>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</si>
  <si>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</si>
  <si>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</si>
  <si>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</si>
  <si>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</si>
  <si>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</si>
  <si>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</si>
  <si>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</si>
  <si>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</si>
  <si>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</si>
  <si>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</si>
  <si>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</si>
  <si>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</si>
  <si>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</si>
  <si>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</si>
  <si>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</si>
  <si>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</si>
  <si>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</si>
  <si>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</si>
  <si>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</si>
  <si>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</si>
  <si>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</si>
  <si>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</si>
  <si>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</si>
  <si>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</si>
  <si>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</si>
  <si>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</si>
  <si>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</si>
  <si>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</si>
  <si>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</si>
  <si>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</si>
  <si>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</si>
  <si>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</si>
  <si>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</si>
  <si>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</si>
  <si>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</si>
  <si>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</si>
  <si>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</si>
  <si>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</si>
  <si>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</si>
  <si>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</si>
  <si>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</si>
  <si>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</si>
  <si>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</si>
  <si>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</si>
  <si>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</si>
  <si>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</si>
  <si>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</si>
  <si>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</si>
  <si>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</si>
  <si>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</si>
  <si>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</si>
  <si>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</si>
  <si>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</si>
  <si>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</si>
  <si>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</si>
  <si>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</si>
  <si>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</si>
  <si>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</si>
  <si>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</si>
  <si>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</si>
  <si>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</si>
  <si>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</si>
  <si>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</si>
  <si>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</si>
  <si>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</si>
  <si>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</si>
  <si>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</si>
  <si>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</si>
  <si>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</si>
  <si>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</si>
  <si>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</si>
  <si>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</si>
  <si>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</si>
  <si>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</si>
  <si>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</si>
  <si>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</si>
  <si>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</si>
  <si>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</si>
  <si>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</si>
  <si>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</si>
  <si>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</si>
  <si>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</si>
  <si>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</si>
  <si>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</si>
  <si>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</si>
  <si>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</si>
  <si>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</si>
  <si>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</si>
  <si>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</si>
  <si>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</si>
  <si>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</si>
  <si>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</si>
  <si>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</si>
  <si>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</si>
  <si>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</si>
  <si>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</si>
  <si>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</si>
  <si>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</si>
  <si>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</si>
  <si>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</si>
  <si>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</si>
  <si>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</si>
  <si>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</si>
  <si>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</si>
  <si>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</si>
  <si>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</si>
  <si>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</si>
  <si>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</si>
  <si>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</si>
  <si>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</si>
  <si>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</si>
  <si>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</si>
  <si>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</si>
  <si>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</si>
  <si>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</si>
  <si>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</si>
  <si>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</si>
  <si>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</si>
  <si>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</si>
  <si>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</si>
  <si>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</si>
  <si>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</si>
  <si>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</si>
  <si>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</si>
  <si>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</si>
  <si>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</si>
  <si>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</si>
  <si>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</si>
  <si>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</si>
  <si>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</si>
  <si>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</si>
  <si>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</si>
  <si>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</si>
  <si>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</si>
  <si>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</si>
  <si>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</si>
  <si>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</si>
  <si>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</si>
  <si>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</si>
  <si>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</si>
  <si>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</si>
  <si>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</si>
  <si>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</si>
  <si>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</si>
  <si>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</si>
  <si>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</si>
  <si>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</si>
  <si>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</si>
  <si>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</si>
  <si>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</si>
  <si>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</si>
  <si>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</si>
  <si>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</si>
  <si>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</si>
  <si>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</si>
  <si>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</si>
  <si>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</si>
  <si>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</si>
  <si>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</si>
  <si>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</si>
  <si>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</si>
  <si>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</si>
  <si>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</si>
  <si>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</si>
  <si>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</si>
  <si>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</si>
  <si>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</si>
  <si>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</si>
  <si>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</si>
  <si>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</si>
  <si>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</si>
  <si>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</si>
  <si>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</si>
  <si>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</si>
  <si>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</si>
  <si>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</si>
  <si>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</si>
  <si>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</si>
  <si>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</si>
  <si>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</si>
  <si>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</si>
  <si>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</si>
  <si>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</si>
  <si>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</si>
  <si>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</si>
  <si>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</si>
  <si>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</si>
  <si>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</si>
  <si>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</si>
  <si>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</si>
  <si>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</si>
  <si>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</si>
  <si>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</si>
  <si>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</si>
  <si>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</si>
  <si>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</si>
  <si>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</si>
  <si>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</si>
  <si>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</si>
  <si>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</si>
  <si>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</si>
  <si>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</si>
  <si>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</si>
  <si>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</si>
  <si>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</si>
  <si>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</si>
  <si>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</si>
  <si>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</si>
  <si>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</si>
  <si>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</si>
  <si>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</si>
  <si>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</si>
  <si>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</si>
  <si>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</si>
  <si>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</si>
  <si>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</si>
  <si>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</si>
  <si>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</si>
  <si>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</si>
  <si>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</si>
  <si>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</si>
  <si>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</si>
  <si>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</si>
  <si>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</si>
  <si>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</si>
  <si>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</si>
  <si>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</si>
  <si>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</si>
  <si>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</si>
  <si>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</si>
  <si>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</si>
  <si>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</si>
  <si>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</si>
  <si>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</si>
  <si>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</si>
  <si>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</si>
  <si>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</si>
  <si>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</si>
  <si>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</si>
  <si>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</si>
  <si>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</si>
  <si>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</si>
  <si>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</si>
  <si>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</si>
  <si>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</si>
  <si>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</si>
  <si>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</si>
  <si>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</si>
  <si>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</si>
  <si>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</si>
  <si>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</si>
  <si>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</si>
  <si>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</si>
  <si>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</si>
  <si>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</si>
  <si>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</si>
  <si>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</si>
  <si>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</si>
  <si>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</si>
  <si>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</si>
  <si>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</si>
  <si>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</si>
  <si>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</si>
  <si>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</si>
  <si>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</si>
  <si>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</si>
  <si>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</si>
  <si>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</si>
  <si>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</si>
  <si>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</si>
  <si>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</si>
  <si>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</si>
  <si>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</si>
  <si>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</si>
  <si>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</si>
  <si>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</si>
  <si>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</si>
  <si>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</si>
  <si>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</si>
  <si>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</si>
  <si>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</si>
  <si>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</si>
  <si>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</si>
  <si>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</si>
  <si>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</si>
  <si>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</si>
  <si>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</si>
  <si>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</si>
  <si>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</si>
  <si>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</si>
  <si>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</si>
  <si>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</si>
  <si>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</si>
  <si>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</si>
  <si>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</si>
  <si>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</si>
  <si>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</si>
  <si>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</si>
  <si>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</si>
  <si>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</si>
  <si>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</si>
  <si>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</si>
  <si>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</si>
  <si>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</si>
  <si>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</si>
  <si>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</si>
  <si>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</si>
  <si>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</si>
  <si>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</si>
  <si>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</si>
  <si>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</si>
  <si>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</si>
  <si>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</si>
  <si>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</si>
  <si>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</si>
  <si>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</si>
  <si>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</si>
  <si>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</si>
  <si>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</si>
  <si>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</si>
  <si>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</si>
  <si>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</si>
  <si>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</si>
  <si>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</si>
  <si>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</si>
  <si>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</si>
  <si>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</si>
  <si>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</si>
  <si>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</si>
  <si>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</si>
  <si>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</si>
  <si>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</si>
  <si>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</si>
  <si>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</si>
  <si>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</si>
  <si>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</si>
  <si>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</si>
  <si>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</si>
  <si>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</si>
  <si>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</si>
  <si>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</si>
  <si>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</si>
  <si>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</si>
  <si>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</si>
  <si>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</si>
  <si>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</si>
  <si>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</si>
  <si>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</si>
  <si>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</si>
  <si>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</si>
  <si>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</si>
  <si>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</si>
  <si>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</si>
  <si>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</si>
  <si>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</si>
  <si>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</si>
  <si>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</si>
  <si>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</si>
  <si>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</si>
  <si>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</si>
  <si>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</si>
  <si>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</si>
  <si>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</si>
  <si>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</si>
  <si>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</si>
  <si>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</si>
  <si>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</si>
  <si>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</si>
  <si>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</si>
  <si>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</si>
  <si>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</si>
  <si>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</si>
  <si>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</si>
  <si>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</si>
  <si>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</si>
  <si>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</si>
  <si>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</si>
  <si>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</si>
  <si>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</si>
  <si>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</si>
  <si>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</si>
  <si>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</si>
  <si>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</si>
  <si>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</si>
  <si>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</si>
  <si>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</si>
  <si>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</si>
  <si>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</si>
  <si>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</si>
  <si>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</si>
  <si>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</si>
  <si>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</si>
  <si>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</si>
  <si>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</si>
  <si>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</si>
  <si>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</si>
  <si>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</si>
  <si>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</si>
  <si>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</si>
  <si>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</si>
  <si>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</si>
  <si>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</si>
  <si>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</si>
  <si>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</si>
  <si>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</si>
  <si>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</si>
  <si>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</si>
  <si>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</si>
  <si>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</si>
  <si>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</si>
  <si>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</si>
  <si>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</si>
  <si>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</si>
  <si>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</si>
  <si>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</si>
  <si>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</si>
  <si>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</si>
  <si>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</si>
  <si>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</si>
  <si>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</si>
  <si>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</si>
  <si>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</si>
  <si>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</si>
  <si>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</si>
  <si>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</si>
  <si>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</si>
  <si>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</si>
  <si>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</si>
  <si>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</si>
  <si>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</si>
  <si>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</si>
  <si>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</si>
  <si>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</si>
  <si>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</si>
  <si>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</si>
  <si>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</si>
  <si>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</si>
  <si>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</si>
  <si>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</si>
  <si>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</si>
  <si>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</si>
  <si>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</si>
  <si>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</si>
  <si>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</si>
  <si>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</si>
  <si>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</si>
  <si>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</si>
  <si>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</si>
  <si>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</si>
  <si>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</si>
  <si>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</si>
  <si>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</si>
  <si>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</si>
  <si>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</si>
  <si>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</si>
  <si>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</si>
  <si>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</si>
  <si>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</si>
  <si>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</si>
  <si>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</si>
  <si>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</si>
  <si>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</si>
  <si>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</si>
  <si>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</si>
  <si>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</si>
  <si>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</si>
  <si>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</si>
  <si>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</si>
  <si>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</si>
  <si>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</si>
  <si>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</si>
  <si>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</si>
  <si>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</si>
  <si>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</si>
  <si>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</si>
  <si>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</si>
  <si>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</si>
  <si>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</si>
  <si>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</si>
  <si>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</si>
  <si>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</si>
  <si>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</si>
  <si>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</si>
  <si>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</si>
  <si>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</si>
  <si>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</si>
  <si>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</si>
  <si>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</si>
  <si>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</si>
  <si>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</si>
  <si>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</si>
  <si>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</si>
  <si>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</si>
  <si>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</si>
  <si>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</si>
  <si>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</si>
  <si>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</si>
  <si>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</si>
  <si>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</si>
  <si>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</si>
  <si>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</si>
  <si>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</si>
  <si>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</si>
  <si>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</si>
  <si>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</si>
  <si>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</si>
  <si>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</si>
  <si>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</si>
  <si>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</si>
  <si>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</si>
  <si>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</si>
  <si>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</si>
  <si>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</si>
  <si>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</si>
  <si>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</si>
  <si>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</si>
  <si>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</si>
  <si>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</si>
  <si>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</si>
  <si>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</si>
  <si>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</si>
  <si>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</si>
  <si>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</si>
  <si>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</si>
  <si>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</si>
  <si>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</si>
  <si>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</si>
  <si>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</si>
  <si>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</si>
  <si>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</si>
  <si>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</si>
  <si>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</si>
  <si>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</si>
  <si>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</si>
  <si>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</si>
  <si>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</si>
  <si>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</si>
  <si>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</si>
  <si>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</si>
  <si>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</si>
  <si>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</si>
  <si>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</si>
  <si>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</si>
  <si>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</si>
  <si>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</si>
  <si>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</si>
  <si>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</si>
  <si>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</si>
  <si>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</si>
  <si>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</si>
  <si>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</si>
  <si>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</si>
  <si>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</si>
  <si>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</si>
  <si>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</si>
  <si>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</si>
  <si>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</si>
  <si>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</si>
  <si>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</si>
  <si>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</si>
  <si>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</si>
  <si>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</si>
  <si>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</si>
  <si>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</si>
  <si>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</si>
  <si>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</si>
  <si>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</si>
  <si>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</si>
  <si>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</si>
  <si>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</si>
  <si>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</si>
  <si>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</si>
  <si>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</si>
  <si>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</si>
  <si>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</si>
  <si>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</si>
  <si>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</si>
  <si>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</si>
  <si>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</si>
  <si>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</si>
  <si>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</si>
  <si>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</si>
  <si>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</si>
  <si>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</si>
  <si>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</si>
  <si>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</si>
  <si>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</si>
  <si>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</si>
  <si>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</si>
  <si>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</si>
  <si>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</si>
  <si>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</si>
  <si>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</si>
  <si>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</si>
  <si>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</si>
  <si>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</si>
  <si>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</si>
  <si>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</si>
  <si>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</si>
  <si>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</si>
  <si>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</si>
  <si>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</si>
  <si>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</si>
  <si>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</si>
  <si>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</si>
  <si>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</si>
  <si>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</si>
  <si>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</si>
  <si>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</si>
  <si>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</si>
  <si>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</si>
  <si>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</si>
  <si>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</si>
  <si>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</si>
  <si>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</si>
  <si>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</si>
  <si>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</si>
  <si>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</si>
  <si>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</si>
  <si>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</si>
  <si>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</si>
  <si>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</si>
  <si>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</si>
  <si>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</si>
  <si>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</si>
  <si>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</si>
  <si>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</si>
  <si>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</si>
  <si>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</si>
  <si>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</si>
  <si>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</si>
  <si>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</si>
  <si>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</si>
  <si>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</si>
  <si>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</si>
  <si>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</si>
  <si>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</si>
  <si>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</si>
  <si>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</si>
  <si>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</si>
  <si>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</si>
  <si>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</si>
  <si>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</si>
  <si>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</si>
  <si>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</si>
  <si>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</si>
  <si>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</si>
  <si>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</si>
  <si>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</si>
  <si>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</si>
  <si>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</si>
  <si>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</si>
  <si>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</si>
  <si>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</si>
  <si>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</si>
  <si>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</si>
  <si>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</si>
  <si>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</si>
  <si>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</si>
  <si>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</si>
  <si>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</si>
  <si>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</si>
  <si>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</si>
  <si>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</si>
  <si>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</si>
  <si>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</si>
  <si>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</si>
  <si>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</si>
  <si>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</si>
  <si>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</si>
  <si>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</si>
  <si>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</si>
  <si>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</si>
  <si>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</si>
  <si>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</si>
  <si>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</si>
  <si>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</si>
  <si>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</si>
  <si>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</si>
  <si>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</si>
  <si>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</si>
  <si>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</si>
  <si>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</si>
  <si>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</si>
  <si>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</si>
  <si>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</si>
  <si>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</si>
  <si>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</si>
  <si>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</si>
  <si>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</si>
  <si>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</si>
  <si>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</si>
  <si>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</si>
  <si>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</si>
  <si>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</si>
  <si>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</si>
  <si>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</si>
  <si>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</si>
  <si>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</si>
  <si>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</si>
  <si>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</si>
  <si>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</si>
  <si>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</si>
  <si>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</si>
  <si>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</si>
  <si>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</si>
  <si>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</si>
  <si>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</si>
  <si>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</si>
  <si>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</si>
  <si>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</si>
  <si>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</si>
  <si>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</si>
  <si>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</si>
  <si>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</si>
  <si>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</si>
  <si>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</si>
  <si>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</si>
  <si>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</si>
  <si>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</si>
  <si>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</si>
  <si>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</si>
  <si>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</si>
  <si>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</si>
  <si>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</si>
  <si>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</si>
  <si>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</si>
  <si>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</si>
  <si>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</si>
  <si>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</si>
  <si>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</si>
  <si>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</si>
  <si>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</si>
  <si>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</si>
  <si>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</si>
  <si>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</si>
  <si>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</si>
  <si>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</si>
  <si>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</si>
  <si>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</si>
  <si>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</si>
  <si>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</si>
  <si>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</si>
  <si>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</si>
  <si>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</si>
  <si>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</si>
  <si>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</si>
  <si>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</si>
  <si>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</si>
  <si>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</si>
  <si>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</si>
  <si>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</si>
  <si>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</si>
  <si>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</si>
  <si>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</si>
  <si>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</si>
  <si>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</si>
  <si>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</si>
  <si>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</si>
  <si>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</si>
  <si>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</si>
  <si>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</si>
  <si>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</si>
  <si>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</si>
  <si>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</si>
  <si>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</si>
  <si>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</si>
  <si>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</si>
  <si>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</si>
  <si>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</si>
  <si>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</si>
  <si>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</si>
  <si>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</si>
  <si>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</si>
  <si>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</si>
  <si>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</si>
  <si>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</si>
  <si>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</si>
  <si>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</si>
  <si>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</si>
  <si>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</si>
  <si>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</si>
  <si>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</si>
  <si>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</si>
  <si>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</si>
  <si>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</si>
  <si>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</si>
  <si>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</si>
  <si>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</si>
  <si>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</si>
  <si>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</si>
  <si>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</si>
  <si>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</si>
  <si>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</si>
  <si>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</si>
  <si>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</si>
  <si>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</si>
  <si>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</si>
  <si>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</si>
  <si>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</si>
  <si>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</si>
  <si>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</si>
  <si>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</si>
  <si>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</si>
  <si>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</si>
  <si>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</si>
  <si>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</si>
  <si>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</si>
  <si>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</si>
  <si>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</si>
  <si>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</si>
  <si>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</si>
  <si>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</si>
  <si>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</si>
  <si>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</si>
  <si>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</si>
  <si>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</si>
  <si>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</si>
  <si>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</si>
  <si>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</si>
  <si>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</si>
  <si>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</si>
  <si>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</si>
  <si>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</si>
  <si>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</si>
  <si>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</si>
  <si>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</si>
  <si>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</si>
  <si>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</si>
  <si>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</si>
  <si>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</si>
  <si>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</si>
  <si>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</si>
  <si>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</si>
  <si>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</si>
  <si>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</si>
  <si>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</si>
  <si>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</si>
  <si>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</si>
  <si>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</si>
  <si>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</si>
  <si>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</si>
  <si>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</si>
  <si>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</si>
  <si>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</si>
  <si>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</si>
  <si>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</si>
  <si>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</si>
  <si>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</si>
  <si>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</si>
  <si>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</si>
  <si>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</si>
  <si>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</si>
  <si>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</si>
  <si>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</si>
  <si>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</si>
  <si>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</si>
  <si>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</si>
  <si>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</si>
  <si>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</si>
  <si>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</si>
  <si>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</si>
  <si>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</si>
  <si>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</si>
  <si>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</si>
  <si>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</si>
  <si>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</si>
  <si>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</si>
  <si>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</si>
  <si>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</si>
  <si>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</si>
  <si>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</si>
  <si>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</si>
  <si>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</si>
  <si>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</si>
  <si>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</si>
  <si>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</si>
  <si>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</si>
  <si>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</si>
  <si>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</si>
  <si>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</si>
  <si>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</si>
  <si>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</si>
  <si>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</si>
  <si>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</si>
  <si>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</si>
  <si>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</si>
  <si>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</si>
  <si>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</si>
  <si>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</si>
  <si>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</si>
  <si>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</si>
  <si>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</si>
  <si>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</si>
  <si>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</si>
  <si>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</si>
  <si>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</si>
  <si>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</si>
  <si>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</si>
  <si>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</si>
  <si>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</si>
  <si>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</si>
  <si>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</si>
  <si>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</si>
  <si>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</si>
  <si>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</si>
  <si>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</si>
  <si>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</si>
  <si>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</si>
  <si>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</si>
  <si>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</si>
  <si>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</si>
  <si>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</si>
  <si>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</si>
  <si>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</si>
  <si>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</si>
  <si>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</si>
  <si>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</si>
  <si>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</si>
  <si>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</si>
  <si>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</si>
  <si>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</si>
  <si>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</si>
  <si>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</si>
  <si>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</si>
  <si>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</si>
  <si>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</si>
  <si>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</si>
  <si>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</si>
  <si>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</si>
  <si>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</si>
  <si>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</si>
  <si>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</si>
  <si>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</si>
  <si>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</si>
  <si>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</si>
  <si>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</si>
  <si>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</si>
  <si>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</si>
  <si>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</si>
  <si>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</si>
  <si>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</si>
  <si>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</si>
  <si>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</si>
  <si>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</si>
  <si>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</si>
  <si>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</si>
  <si>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</si>
  <si>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</si>
  <si>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</si>
  <si>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</si>
  <si>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</si>
  <si>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</si>
  <si>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</si>
  <si>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</si>
  <si>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</si>
  <si>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</si>
  <si>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</si>
  <si>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</si>
  <si>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</si>
  <si>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</si>
  <si>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</si>
  <si>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</si>
  <si>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</si>
  <si>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</si>
  <si>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</si>
  <si>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</si>
  <si>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</si>
  <si>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</si>
  <si>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</si>
  <si>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</si>
  <si>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</si>
  <si>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</si>
  <si>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</si>
  <si>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</si>
  <si>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</si>
  <si>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</si>
  <si>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</si>
  <si>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</si>
  <si>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</si>
  <si>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</si>
  <si>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</si>
  <si>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</si>
  <si>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</si>
  <si>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</si>
  <si>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</si>
  <si>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</si>
  <si>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</si>
  <si>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</si>
  <si>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</si>
  <si>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</si>
  <si>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</si>
  <si>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</si>
  <si>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</si>
  <si>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</si>
  <si>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</si>
  <si>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</si>
  <si>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</si>
  <si>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</si>
  <si>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</si>
  <si>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</si>
  <si>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</si>
  <si>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</si>
  <si>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</si>
  <si>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</si>
  <si>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</si>
  <si>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</si>
  <si>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</si>
  <si>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</si>
  <si>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</si>
  <si>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</si>
  <si>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</si>
  <si>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</si>
  <si>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</si>
  <si>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</si>
  <si>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</si>
  <si>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</si>
  <si>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</si>
  <si>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</si>
  <si>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</si>
  <si>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</si>
  <si>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</si>
  <si>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</si>
  <si>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</si>
  <si>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</si>
  <si>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</si>
  <si>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</si>
  <si>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</si>
  <si>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</si>
  <si>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</si>
  <si>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</si>
  <si>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</si>
  <si>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</si>
  <si>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</si>
  <si>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</si>
  <si>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</si>
  <si>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</si>
  <si>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</si>
  <si>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</si>
  <si>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</si>
  <si>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</si>
  <si>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</si>
  <si>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</si>
  <si>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</si>
  <si>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</si>
  <si>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</si>
  <si>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</si>
  <si>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</si>
  <si>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</si>
  <si>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</si>
  <si>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</si>
  <si>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</si>
  <si>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</si>
  <si>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</si>
  <si>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</si>
  <si>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</si>
  <si>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</si>
  <si>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</si>
  <si>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</si>
  <si>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</si>
  <si>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</si>
  <si>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</si>
  <si>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</si>
  <si>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</si>
  <si>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</si>
  <si>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</si>
  <si>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</si>
  <si>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</si>
  <si>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</si>
  <si>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</si>
  <si>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</si>
  <si>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</si>
  <si>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</si>
  <si>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</si>
  <si>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</si>
  <si>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</si>
  <si>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</si>
  <si>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</si>
  <si>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</si>
  <si>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</si>
  <si>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</si>
  <si>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</si>
  <si>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</si>
  <si>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</si>
  <si>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</si>
  <si>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</si>
  <si>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</si>
  <si>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</si>
  <si>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</si>
  <si>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</si>
  <si>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</si>
  <si>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</si>
  <si>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</si>
  <si>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</si>
  <si>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</si>
  <si>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</si>
  <si>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</si>
  <si>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</si>
  <si>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</si>
  <si>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</si>
  <si>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</si>
  <si>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</si>
  <si>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</si>
  <si>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</si>
  <si>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</si>
  <si>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</si>
  <si>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</si>
  <si>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</si>
  <si>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</si>
  <si>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</si>
  <si>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</si>
  <si>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</si>
  <si>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</si>
  <si>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</si>
  <si>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</si>
  <si>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</si>
  <si>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</si>
  <si>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</si>
  <si>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</si>
  <si>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</si>
  <si>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</si>
  <si>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</si>
  <si>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</si>
  <si>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</si>
  <si>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</si>
  <si>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</si>
  <si>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</si>
  <si>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</si>
  <si>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</si>
  <si>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</si>
  <si>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</si>
  <si>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</si>
  <si>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</si>
  <si>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</si>
  <si>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</si>
  <si>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</si>
  <si>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</si>
  <si>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</si>
  <si>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</si>
  <si>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</si>
  <si>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</si>
  <si>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</si>
  <si>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</si>
  <si>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</si>
  <si>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</si>
  <si>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</si>
  <si>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</si>
  <si>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</si>
  <si>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</si>
  <si>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</si>
  <si>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</si>
  <si>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</si>
  <si>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</si>
  <si>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</si>
  <si>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</si>
  <si>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</si>
  <si>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</si>
  <si>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</si>
  <si>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</si>
  <si>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</si>
  <si>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</si>
  <si>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</si>
  <si>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</si>
  <si>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</si>
  <si>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</si>
  <si>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</si>
  <si>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</si>
  <si>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</si>
  <si>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</si>
  <si>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</si>
  <si>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</si>
  <si>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</si>
  <si>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</si>
  <si>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</si>
  <si>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</si>
  <si>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</si>
  <si>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</si>
  <si>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</si>
  <si>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</si>
  <si>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</si>
  <si>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</si>
  <si>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</si>
  <si>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</si>
  <si>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</si>
  <si>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</si>
  <si>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</si>
  <si>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</si>
  <si>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</si>
  <si>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</si>
  <si>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</si>
  <si>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</si>
  <si>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</si>
  <si>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</si>
  <si>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</si>
  <si>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</si>
  <si>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</si>
  <si>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</si>
  <si>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</si>
  <si>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</si>
  <si>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</si>
  <si>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</si>
  <si>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</si>
  <si>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</si>
  <si>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</si>
  <si>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</si>
  <si>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</si>
  <si>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</si>
  <si>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</si>
  <si>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</si>
  <si>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</si>
  <si>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</si>
  <si>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</si>
  <si>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</si>
  <si>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</si>
  <si>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</si>
  <si>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</si>
  <si>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</si>
  <si>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</si>
  <si>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</si>
  <si>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</si>
  <si>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</si>
  <si>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</si>
  <si>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</si>
  <si>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</si>
  <si>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</si>
  <si>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</si>
  <si>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</si>
  <si>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</si>
  <si>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</si>
  <si>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</si>
  <si>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</si>
  <si>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</si>
  <si>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</si>
  <si>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</si>
  <si>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</si>
  <si>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</si>
  <si>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</si>
  <si>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</si>
  <si>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</si>
  <si>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</si>
  <si>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</si>
  <si>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</si>
  <si>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</si>
  <si>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</si>
  <si>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</si>
  <si>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</si>
  <si>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</si>
  <si>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</si>
  <si>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</si>
  <si>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</si>
  <si>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</si>
  <si>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</si>
  <si>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</si>
  <si>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</si>
  <si>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</si>
  <si>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</si>
  <si>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</si>
  <si>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</si>
  <si>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</si>
  <si>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</si>
  <si>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</si>
  <si>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</si>
  <si>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</si>
  <si>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</si>
  <si>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</si>
  <si>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</si>
  <si>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</si>
  <si>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</si>
  <si>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</si>
  <si>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</si>
  <si>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</si>
  <si>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</si>
  <si>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</si>
  <si>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</si>
  <si>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</si>
  <si>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</si>
  <si>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</si>
  <si>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</si>
  <si>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</si>
  <si>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</si>
  <si>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</si>
  <si>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</si>
  <si>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</si>
  <si>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</si>
  <si>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</si>
  <si>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</si>
  <si>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</si>
  <si>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</si>
  <si>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</si>
  <si>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</si>
  <si>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</si>
  <si>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</si>
  <si>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</si>
  <si>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</si>
  <si>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</si>
  <si>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</si>
  <si>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</si>
  <si>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</si>
  <si>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</si>
  <si>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</si>
  <si>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</si>
  <si>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</si>
  <si>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</si>
  <si>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</si>
  <si>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</si>
  <si>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</si>
  <si>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</si>
  <si>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</si>
  <si>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</si>
  <si>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</si>
  <si>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</si>
  <si>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</si>
  <si>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</si>
  <si>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</si>
  <si>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</si>
  <si>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</si>
  <si>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</si>
  <si>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</si>
  <si>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</si>
  <si>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</si>
  <si>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</si>
  <si>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</si>
  <si>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</si>
  <si>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</si>
  <si>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</si>
  <si>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</si>
  <si>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</si>
  <si>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</si>
  <si>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</si>
  <si>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</si>
  <si>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</si>
  <si>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</si>
  <si>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</si>
  <si>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</si>
  <si>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</si>
  <si>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</si>
  <si>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</si>
  <si>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</si>
  <si>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</si>
  <si>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</si>
  <si>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</si>
  <si>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</si>
  <si>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</si>
  <si>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</si>
  <si>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</si>
  <si>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</si>
  <si>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</si>
  <si>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</si>
  <si>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</si>
  <si>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</si>
  <si>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</si>
  <si>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</si>
  <si>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</si>
  <si>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</si>
  <si>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</si>
  <si>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</si>
  <si>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</si>
  <si>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</si>
  <si>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</si>
  <si>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</si>
  <si>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</si>
  <si>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</si>
  <si>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</si>
  <si>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</si>
  <si>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</si>
  <si>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</si>
  <si>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</si>
  <si>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</si>
  <si>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</si>
  <si>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</si>
  <si>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</si>
  <si>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</si>
  <si>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</si>
  <si>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</si>
  <si>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</si>
  <si>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</si>
  <si>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</si>
  <si>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</si>
  <si>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</si>
  <si>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</si>
  <si>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</si>
  <si>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</si>
  <si>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</si>
  <si>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</si>
  <si>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</si>
  <si>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</si>
  <si>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</si>
  <si>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</si>
  <si>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</si>
  <si>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</si>
  <si>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</si>
  <si>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</si>
  <si>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</si>
  <si>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</si>
  <si>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</si>
  <si>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</si>
  <si>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</si>
  <si>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</si>
  <si>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</si>
  <si>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</si>
  <si>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</si>
  <si>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</si>
  <si>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</si>
  <si>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</si>
  <si>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</si>
  <si>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</si>
  <si>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</si>
  <si>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</si>
  <si>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</si>
  <si>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</si>
  <si>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</si>
  <si>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</si>
  <si>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</si>
  <si>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</si>
  <si>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</si>
  <si>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</si>
  <si>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</si>
  <si>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</si>
  <si>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</si>
  <si>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</si>
  <si>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</si>
  <si>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</si>
  <si>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</si>
  <si>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</si>
  <si>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</si>
  <si>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</si>
  <si>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</si>
  <si>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</si>
  <si>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</si>
  <si>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</si>
  <si>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</si>
  <si>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</si>
  <si>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</si>
  <si>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</si>
  <si>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</si>
  <si>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</si>
  <si>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</si>
  <si>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</si>
  <si>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</si>
  <si>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</si>
  <si>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</si>
  <si>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</si>
  <si>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</si>
  <si>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</si>
  <si>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</si>
  <si>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</si>
  <si>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</si>
  <si>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</si>
  <si>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</si>
  <si>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</si>
  <si>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</si>
  <si>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</si>
  <si>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</si>
  <si>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</si>
  <si>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</si>
  <si>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</si>
  <si>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</si>
  <si>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</si>
  <si>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</si>
  <si>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</si>
  <si>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</si>
  <si>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</si>
  <si>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</si>
  <si>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</si>
  <si>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</si>
  <si>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</si>
  <si>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</si>
  <si>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</si>
  <si>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</si>
  <si>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</si>
  <si>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</si>
  <si>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</si>
  <si>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</si>
  <si>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</si>
  <si>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</si>
  <si>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</si>
  <si>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</si>
  <si>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</si>
  <si>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</si>
  <si>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</si>
  <si>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</si>
  <si>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</si>
  <si>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</si>
  <si>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</si>
  <si>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</si>
  <si>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</si>
  <si>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</si>
  <si>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</si>
  <si>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</si>
  <si>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</si>
  <si>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</si>
  <si>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</si>
  <si>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</si>
  <si>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</si>
  <si>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</si>
  <si>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</si>
  <si>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</si>
  <si>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</si>
  <si>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</si>
  <si>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</si>
  <si>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</si>
  <si>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</si>
  <si>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</si>
  <si>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</si>
  <si>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</si>
  <si>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</si>
  <si>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</si>
  <si>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</si>
  <si>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</si>
  <si>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</si>
  <si>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</si>
  <si>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</si>
  <si>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</si>
  <si>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</si>
  <si>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</si>
  <si>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</si>
  <si>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</si>
  <si>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</si>
  <si>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</si>
  <si>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</si>
  <si>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</si>
  <si>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</si>
  <si>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</si>
  <si>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</si>
  <si>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</si>
  <si>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</si>
  <si>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</si>
  <si>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</si>
  <si>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</si>
  <si>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</si>
  <si>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</si>
  <si>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</si>
  <si>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</si>
  <si>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</si>
  <si>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</si>
  <si>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</si>
  <si>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</si>
  <si>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</si>
  <si>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</si>
  <si>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</si>
  <si>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</si>
  <si>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</si>
  <si>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</si>
  <si>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</si>
  <si>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</si>
  <si>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</si>
  <si>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</si>
  <si>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</si>
  <si>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</si>
  <si>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</si>
  <si>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</si>
  <si>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</si>
  <si>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</si>
  <si>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</si>
  <si>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</si>
  <si>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</si>
  <si>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</si>
  <si>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</si>
  <si>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</si>
  <si>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</si>
  <si>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</si>
  <si>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</si>
  <si>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</si>
  <si>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</si>
  <si>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</si>
  <si>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</si>
  <si>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</si>
  <si>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</si>
  <si>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</si>
  <si>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</si>
  <si>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</si>
  <si>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</si>
  <si>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</si>
  <si>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</si>
  <si>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</si>
  <si>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</si>
  <si>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</si>
  <si>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</si>
  <si>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</si>
  <si>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</si>
  <si>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</si>
  <si>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</si>
  <si>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</si>
  <si>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</si>
  <si>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</si>
  <si>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</si>
  <si>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</si>
  <si>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</si>
  <si>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</si>
  <si>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</si>
  <si>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</si>
  <si>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</si>
  <si>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</si>
  <si>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</si>
  <si>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</si>
  <si>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</si>
  <si>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</si>
  <si>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</si>
  <si>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</si>
  <si>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</si>
  <si>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</si>
  <si>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</si>
  <si>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</si>
  <si>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</si>
  <si>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</si>
  <si>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</si>
  <si>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</si>
  <si>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</si>
  <si>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</si>
  <si>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</si>
  <si>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</si>
  <si>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</si>
  <si>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</si>
  <si>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</si>
  <si>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</si>
  <si>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</si>
  <si>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</si>
  <si>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</si>
  <si>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</si>
  <si>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</si>
  <si>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</si>
  <si>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</si>
  <si>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</si>
  <si>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</si>
  <si>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</si>
  <si>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</si>
  <si>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</si>
  <si>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</si>
  <si>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</si>
  <si>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</si>
  <si>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</si>
  <si>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</si>
  <si>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</si>
  <si>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</si>
  <si>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</si>
  <si>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</si>
  <si>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</si>
  <si>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</si>
  <si>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</si>
  <si>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</si>
  <si>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</si>
  <si>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</si>
  <si>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</si>
  <si>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</si>
  <si>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</si>
  <si>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</si>
  <si>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</si>
  <si>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</si>
  <si>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</si>
  <si>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</si>
  <si>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</si>
  <si>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</si>
  <si>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</si>
  <si>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</si>
  <si>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</si>
  <si>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</si>
  <si>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</si>
  <si>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</si>
  <si>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</si>
  <si>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</si>
  <si>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</si>
  <si>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</si>
  <si>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</si>
  <si>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</si>
  <si>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</si>
  <si>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</si>
  <si>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</si>
  <si>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</si>
  <si>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</si>
  <si>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</si>
  <si>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</si>
  <si>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</si>
  <si>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</si>
  <si>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</si>
  <si>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</si>
  <si>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</si>
  <si>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</si>
  <si>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</si>
  <si>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</si>
  <si>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</si>
  <si>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</si>
  <si>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</si>
  <si>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</si>
  <si>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</si>
  <si>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</si>
  <si>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</si>
  <si>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</si>
  <si>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</si>
  <si>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</si>
  <si>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</si>
  <si>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</si>
  <si>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</si>
  <si>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</si>
  <si>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</si>
  <si>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</si>
  <si>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</si>
  <si>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</si>
  <si>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</si>
  <si>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</si>
  <si>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</si>
  <si>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</si>
  <si>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</si>
  <si>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</si>
  <si>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</si>
  <si>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</si>
  <si>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</si>
  <si>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</si>
  <si>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</si>
  <si>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</si>
  <si>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</si>
  <si>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</si>
  <si>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</si>
  <si>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</si>
  <si>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</si>
  <si>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</si>
  <si>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</si>
  <si>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</si>
  <si>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</si>
  <si>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</si>
  <si>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</si>
  <si>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</si>
  <si>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</si>
  <si>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</si>
  <si>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</si>
  <si>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</si>
  <si>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</si>
  <si>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</si>
  <si>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</si>
  <si>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</si>
  <si>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</si>
  <si>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</si>
  <si>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</si>
  <si>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</si>
  <si>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</si>
  <si>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</si>
  <si>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</si>
  <si>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</si>
  <si>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</si>
  <si>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</si>
  <si>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</si>
  <si>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</si>
  <si>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</si>
  <si>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</si>
  <si>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</si>
  <si>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</si>
  <si>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</si>
  <si>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</si>
  <si>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</si>
  <si>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</si>
  <si>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</si>
  <si>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</si>
  <si>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</si>
  <si>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</si>
  <si>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</si>
  <si>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</si>
  <si>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</si>
  <si>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</si>
  <si>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</si>
  <si>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</si>
  <si>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</si>
  <si>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</si>
  <si>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</si>
  <si>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</si>
  <si>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</si>
  <si>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</si>
  <si>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</si>
  <si>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</si>
  <si>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</si>
  <si>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</si>
  <si>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</si>
  <si>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</si>
  <si>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</si>
  <si>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</si>
  <si>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</si>
  <si>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</si>
  <si>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</si>
  <si>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</si>
  <si>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</si>
  <si>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</si>
  <si>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</si>
  <si>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</si>
  <si>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</si>
  <si>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</si>
  <si>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</si>
  <si>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</si>
  <si>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</si>
  <si>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</si>
  <si>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</si>
  <si>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</si>
  <si>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</si>
  <si>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</si>
  <si>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</si>
  <si>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</si>
  <si>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</si>
  <si>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</si>
  <si>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</si>
  <si>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</si>
  <si>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</si>
  <si>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</si>
  <si>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</si>
  <si>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</si>
  <si>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</si>
  <si>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</si>
  <si>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</si>
  <si>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</si>
  <si>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</si>
  <si>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</si>
  <si>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</si>
  <si>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</si>
  <si>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</si>
  <si>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</si>
  <si>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</si>
  <si>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</si>
  <si>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</si>
  <si>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</si>
  <si>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</si>
  <si>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</si>
  <si>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</si>
  <si>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</si>
  <si>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</si>
  <si>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</si>
  <si>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</si>
  <si>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</si>
  <si>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</si>
  <si>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</si>
  <si>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</si>
  <si>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</si>
  <si>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</si>
  <si>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</si>
  <si>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</si>
  <si>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</si>
  <si>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</si>
  <si>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</si>
  <si>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</si>
  <si>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</si>
  <si>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</si>
  <si>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</si>
  <si>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</si>
  <si>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</si>
  <si>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</si>
  <si>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</si>
  <si>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</si>
  <si>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</si>
  <si>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</si>
  <si>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</si>
  <si>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</si>
  <si>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</si>
  <si>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</si>
  <si>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</si>
  <si>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</si>
  <si>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</si>
  <si>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</si>
  <si>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</si>
  <si>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</si>
  <si>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</si>
  <si>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</si>
  <si>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</si>
  <si>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</si>
  <si>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</si>
  <si>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</si>
  <si>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</si>
  <si>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</si>
  <si>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</si>
  <si>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</si>
  <si>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</si>
  <si>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</si>
  <si>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</si>
  <si>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</si>
  <si>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</si>
  <si>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</si>
  <si>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</si>
  <si>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</si>
  <si>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</si>
  <si>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</si>
  <si>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</si>
  <si>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</si>
  <si>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</si>
  <si>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</si>
  <si>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</si>
  <si>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</si>
  <si>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</si>
  <si>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</si>
  <si>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</si>
  <si>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</si>
  <si>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</si>
  <si>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</si>
  <si>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</si>
  <si>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</si>
  <si>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</si>
  <si>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</si>
  <si>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</si>
  <si>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</si>
  <si>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</si>
  <si>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</si>
  <si>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</si>
  <si>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</si>
  <si>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</si>
  <si>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</si>
  <si>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</si>
  <si>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</si>
  <si>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</si>
  <si>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A realizar</t>
  </si>
  <si>
    <t>4141/2026</t>
  </si>
  <si>
    <t>Fiscalizações Baseadas em Risco</t>
  </si>
  <si>
    <t>08 a 12/06/2026</t>
  </si>
  <si>
    <t>Reinaldo Alencar; Rogério Ribeiro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</si>
  <si>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</si>
  <si>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</si>
  <si>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</si>
  <si>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</si>
  <si>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</si>
  <si>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3685/2026</t>
  </si>
  <si>
    <t>Curso de formação para gestores e fiscais de Contrato em equipamentos nas unidades hospitalares - T2</t>
  </si>
  <si>
    <t>09 a 11/06/2026</t>
  </si>
  <si>
    <t>2151/2026</t>
  </si>
  <si>
    <t>II Fórum de Educação para a Aposentadoria e Longevidade</t>
  </si>
  <si>
    <t>21 e 22/05/2026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</si>
  <si>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</si>
  <si>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</si>
  <si>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</si>
  <si>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</si>
  <si>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</si>
  <si>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</si>
  <si>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</si>
  <si>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</si>
  <si>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</si>
  <si>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</si>
  <si>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</si>
  <si>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</si>
  <si>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</si>
  <si>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</si>
  <si>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</si>
  <si>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</si>
  <si>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</si>
  <si>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</si>
  <si>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</si>
  <si>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</si>
  <si>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</si>
  <si>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</si>
  <si>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</si>
  <si>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</si>
  <si>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</si>
  <si>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</si>
  <si>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</si>
  <si>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</si>
  <si>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</si>
  <si>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</si>
  <si>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</si>
  <si>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Em andamento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</si>
  <si>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</si>
  <si>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</si>
  <si>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</si>
  <si>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</si>
  <si>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</si>
  <si>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</si>
  <si>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</si>
  <si>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</si>
  <si>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</si>
  <si>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</si>
  <si>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</si>
  <si>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</si>
  <si>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</si>
  <si>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</si>
  <si>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</si>
  <si>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</si>
  <si>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</si>
  <si>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</si>
  <si>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</si>
  <si>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</si>
  <si>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</si>
  <si>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</si>
  <si>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</si>
  <si>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</si>
  <si>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</si>
  <si>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</si>
  <si>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</si>
  <si>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</si>
  <si>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</si>
  <si>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</si>
  <si>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</si>
  <si>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</si>
  <si>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</si>
  <si>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</si>
  <si>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</si>
  <si>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</si>
  <si>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</si>
  <si>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</si>
  <si>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</si>
  <si>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</si>
  <si>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</si>
  <si>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</si>
  <si>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</si>
  <si>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</si>
  <si>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</si>
  <si>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</si>
  <si>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</si>
  <si>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</si>
  <si>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</si>
  <si>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</si>
  <si>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</si>
  <si>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</si>
  <si>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</si>
  <si>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</si>
  <si>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</si>
  <si>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</si>
  <si>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</si>
  <si>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</si>
  <si>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</si>
  <si>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</si>
  <si>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</si>
  <si>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</si>
  <si>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</si>
  <si>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</si>
  <si>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</si>
  <si>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</si>
  <si>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</si>
  <si>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</si>
  <si>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</si>
  <si>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</si>
  <si>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</si>
  <si>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</si>
  <si>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</si>
  <si>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</si>
  <si>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</si>
  <si>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</si>
  <si>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</si>
  <si>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</si>
  <si>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</si>
  <si>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</si>
  <si>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</si>
  <si>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</si>
  <si>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</si>
  <si>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</si>
  <si>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</si>
  <si>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</si>
  <si>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</si>
  <si>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</si>
  <si>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</si>
  <si>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</si>
  <si>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</si>
  <si>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</si>
  <si>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</si>
  <si>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</si>
  <si>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</si>
  <si>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</si>
  <si>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</si>
  <si>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</si>
  <si>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</si>
  <si>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</si>
  <si>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</si>
  <si>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</si>
  <si>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</si>
  <si>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</si>
  <si>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</si>
  <si>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</si>
  <si>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</si>
  <si>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</si>
  <si>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</si>
  <si>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</si>
  <si>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</si>
  <si>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</si>
  <si>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</si>
  <si>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</si>
  <si>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</si>
  <si>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</si>
  <si>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</si>
  <si>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</si>
  <si>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</si>
  <si>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</si>
  <si>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</si>
  <si>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</si>
  <si>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</si>
  <si>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</si>
  <si>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</si>
  <si>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</si>
  <si>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</si>
  <si>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</si>
  <si>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</si>
  <si>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</si>
  <si>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</si>
  <si>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</si>
  <si>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</si>
  <si>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</si>
  <si>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</si>
  <si>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</si>
  <si>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</si>
  <si>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</si>
  <si>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</si>
  <si>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</si>
  <si>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</si>
  <si>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</si>
  <si>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</si>
  <si>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</si>
  <si>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</si>
  <si>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</si>
  <si>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</si>
  <si>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</si>
  <si>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6107/2026</t>
  </si>
  <si>
    <t>Introdução ao processo de controle externo - EAD</t>
  </si>
  <si>
    <t>2026-042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</si>
</sst>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2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9" fillId="18" borderId="2" xfId="2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0" fontId="9" fillId="19" borderId="1" xfId="0" applyFont="1" applyFill="1" applyBorder="1" applyAlignment="1">
      <alignment horizontal="center" vertical="center" wrapText="1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49" fontId="33" fillId="4" borderId="0" xfId="0" applyNumberFormat="1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13</c:v>
                </c:pt>
                <c:pt idx="1">
                  <c:v>8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400</c:v>
                </c:pt>
                <c:pt idx="1">
                  <c:v>371</c:v>
                </c:pt>
                <c:pt idx="2">
                  <c:v>345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/>
  <sortState xmlns:xlrd2="http://schemas.microsoft.com/office/spreadsheetml/2017/richdata2" ref="B125:T647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opLeftCell="A679" zoomScaleNormal="100" workbookViewId="0">
      <pane xSplit="3" topLeftCell="I1" activePane="topRight" state="frozen"/>
      <selection pane="topRight" activeCell="T699" sqref="T699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4" si="1"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ref="R125:R188" si="2"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2"/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2"/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2"/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2"/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si="2"/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ref="R189:R252" si="3"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3"/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3"/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3"/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3"/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si="3"/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ref="R253:R316" si="4"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4"/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4"/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4"/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4"/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si="4"/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20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ref="R317:R380" si="5"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5"/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5"/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5"/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5"/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si="5"/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ref="R381:R444" si="6"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6"/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6"/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6"/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6"/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si="6"/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6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7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8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6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5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8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4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8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4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70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9" si="10">SUM(O586:Q586)</f>
        <v>30</v>
      </c>
      <c r="S586" s="22">
        <v>3</v>
      </c>
      <c r="T586" s="267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8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7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8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5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8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5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6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7" si="11"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9" t="s">
        <v>2641</v>
      </c>
      <c r="E648" s="27" t="s">
        <v>2642</v>
      </c>
      <c r="F648" s="29" t="s">
        <v>61</v>
      </c>
      <c r="G648" s="20" t="s">
        <v>71</v>
      </c>
      <c r="H648" s="265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ref="R648:R649" si="12"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6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2"/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8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8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8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8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8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8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3"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8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3"/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8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3"/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8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3"/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8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3"/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8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3"/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3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3"/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8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8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8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4"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8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4"/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8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 t="shared" si="14"/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4"/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4">
        <v>2026</v>
      </c>
      <c r="C675" s="242" t="s">
        <v>2740</v>
      </c>
      <c r="D675" s="24" t="s">
        <v>2741</v>
      </c>
      <c r="E675" s="30" t="s">
        <v>2742</v>
      </c>
      <c r="F675" s="31" t="s">
        <v>23</v>
      </c>
      <c r="G675" s="21" t="s">
        <v>24</v>
      </c>
      <c r="H675" s="274" t="s">
        <v>2743</v>
      </c>
      <c r="I675" s="270">
        <v>46181</v>
      </c>
      <c r="J675" s="270">
        <v>46185</v>
      </c>
      <c r="K675" s="24" t="s">
        <v>34</v>
      </c>
      <c r="L675" s="199">
        <v>16717.689999999999</v>
      </c>
      <c r="M675" s="195"/>
      <c r="N675" s="40">
        <v>20</v>
      </c>
      <c r="O675" s="25"/>
      <c r="P675" s="25"/>
      <c r="Q675" s="25"/>
      <c r="R675" s="25">
        <f t="shared" si="14"/>
        <v>0</v>
      </c>
      <c r="S675" s="24">
        <v>20</v>
      </c>
      <c r="T675" s="46" t="s">
        <v>2744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2">
        <v>2026</v>
      </c>
      <c r="C676" s="22" t="s">
        <v>21</v>
      </c>
      <c r="D676" s="22" t="s">
        <v>2737</v>
      </c>
      <c r="E676" s="27" t="s">
        <v>2625</v>
      </c>
      <c r="F676" s="29" t="s">
        <v>80</v>
      </c>
      <c r="G676" s="48" t="s">
        <v>2725</v>
      </c>
      <c r="H676" s="36" t="s">
        <v>2745</v>
      </c>
      <c r="I676" s="37">
        <v>46150</v>
      </c>
      <c r="J676" s="37">
        <v>46150</v>
      </c>
      <c r="K676" s="22" t="s">
        <v>34</v>
      </c>
      <c r="L676" s="201"/>
      <c r="M676" s="195"/>
      <c r="N676" s="22">
        <v>80</v>
      </c>
      <c r="O676" s="23">
        <v>0</v>
      </c>
      <c r="P676" s="48">
        <v>0</v>
      </c>
      <c r="Q676" s="22">
        <v>80</v>
      </c>
      <c r="R676" s="23">
        <f t="shared" si="14"/>
        <v>80</v>
      </c>
      <c r="S676" s="22">
        <v>4</v>
      </c>
      <c r="T676" s="43" t="s">
        <v>2739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229" t="s">
        <v>2746</v>
      </c>
      <c r="D677" s="64" t="s">
        <v>2747</v>
      </c>
      <c r="E677" s="30" t="s">
        <v>2748</v>
      </c>
      <c r="F677" s="31" t="s">
        <v>23</v>
      </c>
      <c r="G677" s="45" t="s">
        <v>2693</v>
      </c>
      <c r="H677" s="59" t="s">
        <v>2749</v>
      </c>
      <c r="I677" s="60">
        <v>46160</v>
      </c>
      <c r="J677" s="60">
        <v>46163</v>
      </c>
      <c r="K677" s="24" t="s">
        <v>34</v>
      </c>
      <c r="L677" s="202">
        <v>0</v>
      </c>
      <c r="M677" s="198"/>
      <c r="N677" s="63"/>
      <c r="O677" s="63"/>
      <c r="P677" s="63"/>
      <c r="Q677" s="63"/>
      <c r="R677" s="63">
        <f t="shared" si="14"/>
        <v>0</v>
      </c>
      <c r="S677" s="64">
        <v>16</v>
      </c>
      <c r="T677" s="21" t="s">
        <v>2695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2">
        <v>2026</v>
      </c>
      <c r="C678" s="70" t="s">
        <v>2740</v>
      </c>
      <c r="D678" s="180" t="s">
        <v>2750</v>
      </c>
      <c r="E678" s="173" t="s">
        <v>2751</v>
      </c>
      <c r="F678" s="29" t="s">
        <v>61</v>
      </c>
      <c r="G678" s="181" t="s">
        <v>2688</v>
      </c>
      <c r="H678" s="182" t="s">
        <v>2752</v>
      </c>
      <c r="I678" s="183">
        <v>46182</v>
      </c>
      <c r="J678" s="183">
        <v>46184</v>
      </c>
      <c r="K678" s="22" t="s">
        <v>34</v>
      </c>
      <c r="L678" s="28">
        <v>9211.69</v>
      </c>
      <c r="M678" s="197"/>
      <c r="N678" s="184"/>
      <c r="O678" s="185"/>
      <c r="P678" s="185"/>
      <c r="Q678" s="185"/>
      <c r="R678" s="185">
        <f t="shared" si="14"/>
        <v>0</v>
      </c>
      <c r="S678" s="180">
        <v>12</v>
      </c>
      <c r="T678" s="20" t="s">
        <v>2690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4">
        <v>2026</v>
      </c>
      <c r="C679" s="70" t="s">
        <v>21</v>
      </c>
      <c r="D679" s="186" t="s">
        <v>2753</v>
      </c>
      <c r="E679" s="187" t="s">
        <v>2754</v>
      </c>
      <c r="F679" s="188" t="s">
        <v>23</v>
      </c>
      <c r="G679" s="167" t="s">
        <v>37</v>
      </c>
      <c r="H679" s="189" t="s">
        <v>2755</v>
      </c>
      <c r="I679" s="190">
        <v>46163</v>
      </c>
      <c r="J679" s="190">
        <v>46164</v>
      </c>
      <c r="K679" s="166" t="s">
        <v>26</v>
      </c>
      <c r="L679" s="191">
        <v>72500</v>
      </c>
      <c r="M679" s="197"/>
      <c r="N679" s="192">
        <v>150</v>
      </c>
      <c r="O679" s="193">
        <v>72</v>
      </c>
      <c r="P679" s="193">
        <v>23</v>
      </c>
      <c r="Q679" s="193">
        <v>5</v>
      </c>
      <c r="R679" s="193">
        <f t="shared" si="14"/>
        <v>100</v>
      </c>
      <c r="S679" s="186">
        <v>8</v>
      </c>
      <c r="T679" s="194" t="s">
        <v>471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9" t="s">
        <v>2740</v>
      </c>
      <c r="D680" s="70" t="s">
        <v>2747</v>
      </c>
      <c r="E680" s="65" t="s">
        <v>2748</v>
      </c>
      <c r="F680" s="29" t="s">
        <v>23</v>
      </c>
      <c r="G680" s="20" t="s">
        <v>2693</v>
      </c>
      <c r="H680" s="68" t="s">
        <v>2756</v>
      </c>
      <c r="I680" s="69">
        <v>46188</v>
      </c>
      <c r="J680" s="69">
        <v>46191</v>
      </c>
      <c r="K680" s="22" t="s">
        <v>34</v>
      </c>
      <c r="L680" s="199"/>
      <c r="M680" s="198"/>
      <c r="N680" s="73"/>
      <c r="O680" s="73"/>
      <c r="P680" s="73"/>
      <c r="Q680" s="73"/>
      <c r="R680" s="73">
        <f t="shared" si="14"/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2740</v>
      </c>
      <c r="D681" s="186" t="s">
        <v>2750</v>
      </c>
      <c r="E681" s="276" t="s">
        <v>2757</v>
      </c>
      <c r="F681" s="31" t="s">
        <v>61</v>
      </c>
      <c r="G681" s="194" t="s">
        <v>2688</v>
      </c>
      <c r="H681" s="189" t="s">
        <v>2758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/>
      <c r="O681" s="193"/>
      <c r="P681" s="193"/>
      <c r="Q681" s="193"/>
      <c r="R681" s="193">
        <f t="shared" si="14"/>
        <v>0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2740</v>
      </c>
      <c r="D682" s="180" t="s">
        <v>2759</v>
      </c>
      <c r="E682" s="164" t="s">
        <v>2760</v>
      </c>
      <c r="F682" s="29" t="s">
        <v>61</v>
      </c>
      <c r="G682" s="181" t="s">
        <v>2688</v>
      </c>
      <c r="H682" s="182" t="s">
        <v>2761</v>
      </c>
      <c r="I682" s="183">
        <v>46195</v>
      </c>
      <c r="J682" s="183">
        <v>46196</v>
      </c>
      <c r="K682" s="22" t="s">
        <v>26</v>
      </c>
      <c r="L682" s="203"/>
      <c r="M682" s="197"/>
      <c r="N682" s="184">
        <v>200</v>
      </c>
      <c r="O682" s="185"/>
      <c r="P682" s="185"/>
      <c r="Q682" s="185"/>
      <c r="R682" s="185">
        <f t="shared" si="14"/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2740</v>
      </c>
      <c r="D683" s="186" t="s">
        <v>2762</v>
      </c>
      <c r="E683" s="187" t="s">
        <v>2763</v>
      </c>
      <c r="F683" s="31" t="s">
        <v>61</v>
      </c>
      <c r="G683" s="21" t="s">
        <v>71</v>
      </c>
      <c r="H683" s="189" t="s">
        <v>2764</v>
      </c>
      <c r="I683" s="190">
        <v>46335</v>
      </c>
      <c r="J683" s="190">
        <v>46335</v>
      </c>
      <c r="K683" s="24" t="s">
        <v>26</v>
      </c>
      <c r="L683" s="203"/>
      <c r="M683" s="197"/>
      <c r="N683" s="192">
        <v>170</v>
      </c>
      <c r="O683" s="193"/>
      <c r="P683" s="193"/>
      <c r="Q683" s="193"/>
      <c r="R683" s="193">
        <f t="shared" si="14"/>
        <v>0</v>
      </c>
      <c r="S683" s="186">
        <v>14</v>
      </c>
      <c r="T683" s="21" t="s">
        <v>471</v>
      </c>
    </row>
    <row r="684" spans="1:21" ht="23.25" customHeight="1" x14ac:dyDescent="0.25">
      <c r="A684" s="271" t="str">
        <f>IF(B684="","",B684&amp;"-"&amp;TEXT(COUNTIF(B$2:B684,B684),"000"))</f>
        <v>2026-028</v>
      </c>
      <c r="B684" s="70">
        <v>2026</v>
      </c>
      <c r="C684" s="229" t="s">
        <v>2765</v>
      </c>
      <c r="D684" s="70" t="s">
        <v>2766</v>
      </c>
      <c r="E684" s="164" t="s">
        <v>2767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4"/>
        <v>0</v>
      </c>
      <c r="S684" s="70">
        <v>32</v>
      </c>
      <c r="T684" s="67" t="s">
        <v>2768</v>
      </c>
    </row>
    <row r="685" spans="1:21" ht="23.25" customHeight="1" x14ac:dyDescent="0.25">
      <c r="A685" s="210" t="str">
        <f>IF(B685="","",B685&amp;"-"&amp;TEXT(COUNTIF(B$2:B685,B685),"000"))</f>
        <v>2026-029</v>
      </c>
      <c r="B685" s="211">
        <v>2026</v>
      </c>
      <c r="C685" s="220" t="s">
        <v>2740</v>
      </c>
      <c r="D685" s="211" t="s">
        <v>2769</v>
      </c>
      <c r="E685" s="212" t="s">
        <v>2770</v>
      </c>
      <c r="F685" s="213" t="s">
        <v>61</v>
      </c>
      <c r="G685" s="210" t="s">
        <v>71</v>
      </c>
      <c r="H685" s="214" t="s">
        <v>2771</v>
      </c>
      <c r="I685" s="215">
        <v>46286</v>
      </c>
      <c r="J685" s="215">
        <v>46287</v>
      </c>
      <c r="K685" s="24" t="s">
        <v>26</v>
      </c>
      <c r="L685" s="225"/>
      <c r="M685" s="216"/>
      <c r="N685" s="217">
        <v>170</v>
      </c>
      <c r="O685" s="218"/>
      <c r="P685" s="218"/>
      <c r="Q685" s="218"/>
      <c r="R685" s="218">
        <f t="shared" ref="R685:R747" si="15">IF(B685="","",SUM(O685:Q685))</f>
        <v>0</v>
      </c>
      <c r="S685" s="211">
        <v>14</v>
      </c>
      <c r="T685" s="21" t="s">
        <v>471</v>
      </c>
      <c r="U685" s="204"/>
    </row>
    <row r="686" spans="1:21" ht="23.25" customHeight="1" x14ac:dyDescent="0.25">
      <c r="A686" s="219" t="str">
        <f>IF(B686="","",B686&amp;"-"&amp;TEXT(COUNTIF(B$2:B686,B686),"000"))</f>
        <v>2026-030</v>
      </c>
      <c r="B686" s="220">
        <v>2026</v>
      </c>
      <c r="C686" s="220" t="s">
        <v>2765</v>
      </c>
      <c r="D686" s="220" t="s">
        <v>2772</v>
      </c>
      <c r="E686" s="241" t="s">
        <v>2773</v>
      </c>
      <c r="F686" s="222" t="s">
        <v>23</v>
      </c>
      <c r="G686" s="219" t="s">
        <v>67</v>
      </c>
      <c r="H686" s="223" t="s">
        <v>2774</v>
      </c>
      <c r="I686" s="224">
        <v>46167</v>
      </c>
      <c r="J686" s="224">
        <v>46176</v>
      </c>
      <c r="K686" s="220" t="s">
        <v>34</v>
      </c>
      <c r="L686" s="225">
        <v>20061.23</v>
      </c>
      <c r="M686" s="216"/>
      <c r="N686" s="227">
        <v>20</v>
      </c>
      <c r="O686" s="226"/>
      <c r="P686" s="226"/>
      <c r="Q686" s="226"/>
      <c r="R686" s="226">
        <f t="shared" si="15"/>
        <v>0</v>
      </c>
      <c r="S686" s="220">
        <v>24</v>
      </c>
      <c r="T686" s="219" t="s">
        <v>2744</v>
      </c>
      <c r="U686" s="204"/>
    </row>
    <row r="687" spans="1:21" ht="23.25" customHeight="1" x14ac:dyDescent="0.25">
      <c r="A687" s="210" t="str">
        <f>IF(B687="","",B687&amp;"-"&amp;TEXT(COUNTIF(B$2:B687,B687),"000"))</f>
        <v>2026-031</v>
      </c>
      <c r="B687" s="211">
        <v>2026</v>
      </c>
      <c r="C687" s="220" t="s">
        <v>2740</v>
      </c>
      <c r="D687" s="211" t="s">
        <v>2775</v>
      </c>
      <c r="E687" s="212" t="s">
        <v>2776</v>
      </c>
      <c r="F687" s="213" t="s">
        <v>23</v>
      </c>
      <c r="G687" s="210" t="s">
        <v>67</v>
      </c>
      <c r="H687" s="214" t="s">
        <v>2777</v>
      </c>
      <c r="I687" s="215">
        <v>46174</v>
      </c>
      <c r="J687" s="215">
        <v>46387</v>
      </c>
      <c r="K687" s="211" t="s">
        <v>26</v>
      </c>
      <c r="L687" s="225">
        <v>105000</v>
      </c>
      <c r="M687" s="216"/>
      <c r="N687" s="217"/>
      <c r="O687" s="218"/>
      <c r="P687" s="218"/>
      <c r="Q687" s="218"/>
      <c r="R687" s="218">
        <f t="shared" si="15"/>
        <v>0</v>
      </c>
      <c r="S687" s="211">
        <v>25</v>
      </c>
      <c r="T687" t="s">
        <v>2778</v>
      </c>
      <c r="U687" s="204"/>
    </row>
    <row r="688" spans="1:21" ht="23.25" customHeight="1" x14ac:dyDescent="0.25">
      <c r="A688" s="219" t="str">
        <f>IF(B688="","",B688&amp;"-"&amp;TEXT(COUNTIF(B$2:B688,B688),"000"))</f>
        <v>2026-032</v>
      </c>
      <c r="B688" s="220">
        <v>2026</v>
      </c>
      <c r="C688" s="220" t="s">
        <v>2740</v>
      </c>
      <c r="D688" s="220" t="s">
        <v>2779</v>
      </c>
      <c r="E688" s="241" t="s">
        <v>2780</v>
      </c>
      <c r="F688" s="222" t="s">
        <v>80</v>
      </c>
      <c r="G688" s="219" t="s">
        <v>2725</v>
      </c>
      <c r="H688" s="223" t="s">
        <v>2781</v>
      </c>
      <c r="I688" s="224">
        <v>46204</v>
      </c>
      <c r="J688" s="224">
        <v>46206</v>
      </c>
      <c r="K688" s="220" t="s">
        <v>34</v>
      </c>
      <c r="L688" s="225">
        <v>7687.86</v>
      </c>
      <c r="M688" s="216"/>
      <c r="N688" s="227">
        <v>30</v>
      </c>
      <c r="O688" s="226"/>
      <c r="P688" s="226"/>
      <c r="Q688" s="226"/>
      <c r="R688" s="226">
        <f t="shared" si="15"/>
        <v>0</v>
      </c>
      <c r="S688" s="220">
        <v>12</v>
      </c>
      <c r="T688" s="219" t="s">
        <v>2444</v>
      </c>
      <c r="U688" s="204"/>
    </row>
    <row r="689" spans="1:21" ht="23.25" customHeight="1" x14ac:dyDescent="0.25">
      <c r="A689" s="210" t="str">
        <f>IF(B689="","",B689&amp;"-"&amp;TEXT(COUNTIF(B$2:B689,B689),"000"))</f>
        <v>2026-033</v>
      </c>
      <c r="B689" s="211">
        <v>2026</v>
      </c>
      <c r="C689" s="220" t="s">
        <v>21</v>
      </c>
      <c r="D689" s="211" t="s">
        <v>2782</v>
      </c>
      <c r="E689" s="247" t="s">
        <v>2783</v>
      </c>
      <c r="F689" s="213" t="s">
        <v>23</v>
      </c>
      <c r="G689" s="210" t="s">
        <v>2709</v>
      </c>
      <c r="H689" s="249" t="s">
        <v>2784</v>
      </c>
      <c r="I689" s="215">
        <v>46154</v>
      </c>
      <c r="J689" s="215">
        <v>46156</v>
      </c>
      <c r="K689" s="211" t="s">
        <v>34</v>
      </c>
      <c r="L689" s="26">
        <v>9067.76</v>
      </c>
      <c r="M689" s="216">
        <v>4.88</v>
      </c>
      <c r="N689" s="217">
        <v>20</v>
      </c>
      <c r="O689" s="218">
        <v>22</v>
      </c>
      <c r="P689" s="218">
        <v>0</v>
      </c>
      <c r="Q689" s="218">
        <v>0</v>
      </c>
      <c r="R689" s="218">
        <f t="shared" si="15"/>
        <v>22</v>
      </c>
      <c r="S689" s="211">
        <v>8</v>
      </c>
      <c r="T689" s="105" t="s">
        <v>2729</v>
      </c>
      <c r="U689" s="204"/>
    </row>
    <row r="690" spans="1:21" ht="23.25" customHeight="1" x14ac:dyDescent="0.25">
      <c r="A690" s="219" t="str">
        <f>IF(B690="","",B690&amp;"-"&amp;TEXT(COUNTIF(B$2:B690,B690),"000"))</f>
        <v>2026-034</v>
      </c>
      <c r="B690" s="220">
        <v>2026</v>
      </c>
      <c r="C690" s="220" t="s">
        <v>2740</v>
      </c>
      <c r="D690" s="220" t="s">
        <v>2782</v>
      </c>
      <c r="E690" s="248" t="s">
        <v>2785</v>
      </c>
      <c r="F690" s="222" t="s">
        <v>23</v>
      </c>
      <c r="G690" s="219" t="s">
        <v>2709</v>
      </c>
      <c r="H690" s="250" t="s">
        <v>2786</v>
      </c>
      <c r="I690" s="224">
        <v>46196</v>
      </c>
      <c r="J690" s="224">
        <v>46198</v>
      </c>
      <c r="K690" s="220" t="s">
        <v>34</v>
      </c>
      <c r="L690" s="26">
        <v>9067.76</v>
      </c>
      <c r="M690" s="216"/>
      <c r="N690" s="227">
        <v>20</v>
      </c>
      <c r="O690" s="226"/>
      <c r="P690" s="226"/>
      <c r="Q690" s="226"/>
      <c r="R690" s="226">
        <f t="shared" si="15"/>
        <v>0</v>
      </c>
      <c r="S690" s="220">
        <v>8</v>
      </c>
      <c r="T690" s="104" t="s">
        <v>2729</v>
      </c>
      <c r="U690" s="204"/>
    </row>
    <row r="691" spans="1:21" ht="23.25" customHeight="1" x14ac:dyDescent="0.25">
      <c r="A691" s="210" t="str">
        <f>IF(B691="","",B691&amp;"-"&amp;TEXT(COUNTIF(B$2:B691,B691),"000"))</f>
        <v>2026-035</v>
      </c>
      <c r="B691" s="211">
        <v>2026</v>
      </c>
      <c r="C691" s="220" t="s">
        <v>21</v>
      </c>
      <c r="D691" s="211" t="s">
        <v>2788</v>
      </c>
      <c r="E691" s="247" t="s">
        <v>2667</v>
      </c>
      <c r="F691" s="213" t="s">
        <v>23</v>
      </c>
      <c r="G691" s="210" t="s">
        <v>37</v>
      </c>
      <c r="H691" s="214" t="s">
        <v>2789</v>
      </c>
      <c r="I691" s="215">
        <v>46160</v>
      </c>
      <c r="J691" s="215">
        <v>46167</v>
      </c>
      <c r="K691" s="211" t="s">
        <v>34</v>
      </c>
      <c r="L691" s="225">
        <v>12221.73</v>
      </c>
      <c r="M691" s="216">
        <v>4.93</v>
      </c>
      <c r="N691" s="217">
        <v>20</v>
      </c>
      <c r="O691" s="218">
        <v>21</v>
      </c>
      <c r="P691" s="218">
        <v>0</v>
      </c>
      <c r="Q691" s="218">
        <v>0</v>
      </c>
      <c r="R691" s="218">
        <f t="shared" si="15"/>
        <v>21</v>
      </c>
      <c r="S691" s="211">
        <v>16</v>
      </c>
      <c r="T691" s="210" t="s">
        <v>1784</v>
      </c>
      <c r="U691" s="204"/>
    </row>
    <row r="692" spans="1:21" ht="23.25" customHeight="1" x14ac:dyDescent="0.25">
      <c r="A692" s="219" t="str">
        <f>IF(B692="","",B692&amp;"-"&amp;TEXT(COUNTIF(B$2:B692,B692),"000"))</f>
        <v>2026-036</v>
      </c>
      <c r="B692" s="220">
        <v>2026</v>
      </c>
      <c r="C692" s="220" t="s">
        <v>21</v>
      </c>
      <c r="D692" s="220" t="s">
        <v>2790</v>
      </c>
      <c r="E692" s="248" t="s">
        <v>2791</v>
      </c>
      <c r="F692" s="222" t="s">
        <v>23</v>
      </c>
      <c r="G692" s="219" t="s">
        <v>363</v>
      </c>
      <c r="H692" s="223" t="s">
        <v>2792</v>
      </c>
      <c r="I692" s="224">
        <v>46140</v>
      </c>
      <c r="J692" s="224">
        <v>46147</v>
      </c>
      <c r="K692" s="220" t="s">
        <v>34</v>
      </c>
      <c r="L692" s="225">
        <v>0</v>
      </c>
      <c r="M692" s="216">
        <v>4.9400000000000004</v>
      </c>
      <c r="N692" s="227">
        <v>30</v>
      </c>
      <c r="O692" s="226">
        <v>30</v>
      </c>
      <c r="P692" s="226">
        <v>0</v>
      </c>
      <c r="Q692" s="226">
        <v>0</v>
      </c>
      <c r="R692" s="226">
        <f t="shared" si="15"/>
        <v>30</v>
      </c>
      <c r="S692" s="220">
        <v>20</v>
      </c>
      <c r="T692" s="219" t="s">
        <v>471</v>
      </c>
      <c r="U692" s="204"/>
    </row>
    <row r="693" spans="1:21" ht="23.25" customHeight="1" x14ac:dyDescent="0.25">
      <c r="A693" s="210" t="str">
        <f>IF(B693="","",B693&amp;"-"&amp;TEXT(COUNTIF(B$2:B693,B693),"000"))</f>
        <v>2026-037</v>
      </c>
      <c r="B693" s="211">
        <v>2026</v>
      </c>
      <c r="C693" s="220" t="s">
        <v>21</v>
      </c>
      <c r="D693" s="211" t="s">
        <v>2793</v>
      </c>
      <c r="E693" s="247" t="s">
        <v>2794</v>
      </c>
      <c r="F693" s="213" t="s">
        <v>23</v>
      </c>
      <c r="G693" s="210" t="s">
        <v>24</v>
      </c>
      <c r="H693" s="214" t="s">
        <v>2795</v>
      </c>
      <c r="I693" s="215">
        <v>46148</v>
      </c>
      <c r="J693" s="215">
        <v>46150</v>
      </c>
      <c r="K693" s="211" t="s">
        <v>34</v>
      </c>
      <c r="L693" s="225">
        <v>9454.4</v>
      </c>
      <c r="M693" s="216">
        <v>4.9400000000000004</v>
      </c>
      <c r="N693" s="217">
        <v>30</v>
      </c>
      <c r="O693" s="218">
        <v>30</v>
      </c>
      <c r="P693" s="218">
        <v>0</v>
      </c>
      <c r="Q693" s="218">
        <v>0</v>
      </c>
      <c r="R693" s="218">
        <f t="shared" si="15"/>
        <v>30</v>
      </c>
      <c r="S693" s="211">
        <v>12</v>
      </c>
      <c r="T693" s="210" t="s">
        <v>2796</v>
      </c>
      <c r="U693" s="204"/>
    </row>
    <row r="694" spans="1:21" ht="23.25" customHeight="1" x14ac:dyDescent="0.25">
      <c r="A694" s="219" t="str">
        <f>IF(B694="","",B694&amp;"-"&amp;TEXT(COUNTIF(B$2:B694,B694),"000"))</f>
        <v>2026-038</v>
      </c>
      <c r="B694" s="220">
        <v>2026</v>
      </c>
      <c r="C694" s="220" t="s">
        <v>2740</v>
      </c>
      <c r="D694" s="220" t="s">
        <v>2797</v>
      </c>
      <c r="E694" s="221" t="s">
        <v>2798</v>
      </c>
      <c r="F694" s="222" t="s">
        <v>61</v>
      </c>
      <c r="G694" s="219" t="s">
        <v>2688</v>
      </c>
      <c r="H694" s="223" t="s">
        <v>2799</v>
      </c>
      <c r="I694" s="224">
        <v>46157</v>
      </c>
      <c r="J694" s="224">
        <v>46387</v>
      </c>
      <c r="K694" s="220" t="s">
        <v>34</v>
      </c>
      <c r="L694" s="225"/>
      <c r="M694" s="216"/>
      <c r="N694" s="227"/>
      <c r="O694" s="226"/>
      <c r="P694" s="226"/>
      <c r="Q694" s="226"/>
      <c r="R694" s="226">
        <f t="shared" si="15"/>
        <v>0</v>
      </c>
      <c r="S694" s="220">
        <v>85</v>
      </c>
      <c r="T694" s="219" t="s">
        <v>2690</v>
      </c>
      <c r="U694" s="204"/>
    </row>
    <row r="695" spans="1:21" ht="23.25" customHeight="1" x14ac:dyDescent="0.25">
      <c r="A695" s="210" t="str">
        <f>IF(B695="","",B695&amp;"-"&amp;TEXT(COUNTIF(B$2:B695,B695),"000"))</f>
        <v>2026-039</v>
      </c>
      <c r="B695" s="211">
        <v>2026</v>
      </c>
      <c r="C695" s="220" t="s">
        <v>2740</v>
      </c>
      <c r="D695" s="211" t="s">
        <v>2800</v>
      </c>
      <c r="E695" s="212" t="s">
        <v>2801</v>
      </c>
      <c r="F695" s="213" t="s">
        <v>80</v>
      </c>
      <c r="G695" s="263" t="s">
        <v>2725</v>
      </c>
      <c r="H695" s="214" t="s">
        <v>2802</v>
      </c>
      <c r="I695" s="215">
        <v>46223</v>
      </c>
      <c r="J695" s="215">
        <v>46227</v>
      </c>
      <c r="K695" s="211" t="s">
        <v>34</v>
      </c>
      <c r="L695" s="225"/>
      <c r="M695" s="216"/>
      <c r="N695" s="217"/>
      <c r="O695" s="218"/>
      <c r="P695" s="218"/>
      <c r="Q695" s="218"/>
      <c r="R695" s="218">
        <f t="shared" si="15"/>
        <v>0</v>
      </c>
      <c r="S695" s="211">
        <v>20</v>
      </c>
      <c r="T695" s="210" t="s">
        <v>417</v>
      </c>
      <c r="U695" s="204"/>
    </row>
    <row r="696" spans="1:21" ht="23.25" customHeight="1" x14ac:dyDescent="0.25">
      <c r="A696" s="219" t="str">
        <f>IF(B696="","",B696&amp;"-"&amp;TEXT(COUNTIF(B$2:B696,B696),"000"))</f>
        <v>2026-040</v>
      </c>
      <c r="B696" s="220">
        <v>2026</v>
      </c>
      <c r="C696" s="220" t="s">
        <v>2740</v>
      </c>
      <c r="D696" s="220" t="s">
        <v>2803</v>
      </c>
      <c r="E696" s="221" t="s">
        <v>2804</v>
      </c>
      <c r="F696" s="222" t="s">
        <v>80</v>
      </c>
      <c r="G696" s="272" t="s">
        <v>2725</v>
      </c>
      <c r="H696" s="223" t="s">
        <v>2805</v>
      </c>
      <c r="I696" s="224">
        <v>46167</v>
      </c>
      <c r="J696" s="224">
        <v>46171</v>
      </c>
      <c r="K696" s="220" t="s">
        <v>34</v>
      </c>
      <c r="L696" s="225"/>
      <c r="M696" s="216"/>
      <c r="N696" s="227">
        <v>25</v>
      </c>
      <c r="O696" s="226"/>
      <c r="P696" s="226"/>
      <c r="Q696" s="226">
        <v>25</v>
      </c>
      <c r="R696" s="226">
        <f t="shared" si="15"/>
        <v>25</v>
      </c>
      <c r="S696" s="220">
        <v>4</v>
      </c>
      <c r="T696" s="219" t="s">
        <v>1022</v>
      </c>
      <c r="U696" s="204"/>
    </row>
    <row r="697" spans="1:21" ht="23.25" customHeight="1" x14ac:dyDescent="0.25">
      <c r="A697" s="210" t="str">
        <f>IF(B697="","",B697&amp;"-"&amp;TEXT(COUNTIF(B$2:B697,B697),"000"))</f>
        <v>2026-041</v>
      </c>
      <c r="B697" s="211">
        <v>2026</v>
      </c>
      <c r="C697" s="220" t="s">
        <v>21</v>
      </c>
      <c r="D697" s="211" t="s">
        <v>2806</v>
      </c>
      <c r="E697" s="212" t="s">
        <v>2807</v>
      </c>
      <c r="F697" s="213" t="s">
        <v>80</v>
      </c>
      <c r="G697" s="263" t="s">
        <v>2725</v>
      </c>
      <c r="H697" s="214" t="s">
        <v>2808</v>
      </c>
      <c r="I697" s="215">
        <v>46148</v>
      </c>
      <c r="J697" s="215">
        <v>46148</v>
      </c>
      <c r="K697" s="211" t="s">
        <v>34</v>
      </c>
      <c r="L697" s="225">
        <v>2342.36</v>
      </c>
      <c r="M697" s="216">
        <v>4.9000000000000004</v>
      </c>
      <c r="N697" s="217">
        <v>50</v>
      </c>
      <c r="O697" s="218"/>
      <c r="P697" s="218"/>
      <c r="Q697" s="218">
        <v>50</v>
      </c>
      <c r="R697" s="218">
        <f t="shared" si="15"/>
        <v>50</v>
      </c>
      <c r="S697" s="211">
        <v>3</v>
      </c>
      <c r="T697" s="210" t="s">
        <v>2809</v>
      </c>
      <c r="U697" s="204"/>
    </row>
    <row r="698" spans="1:21" ht="23.25" customHeight="1" x14ac:dyDescent="0.25">
      <c r="A698" s="219" t="str">
        <f>IF(B698="","",B698&amp;"-"&amp;TEXT(COUNTIF(B$2:B698,B698),"000"))</f>
        <v>2026-042</v>
      </c>
      <c r="B698" s="220">
        <v>2026</v>
      </c>
      <c r="C698" s="220" t="s">
        <v>2740</v>
      </c>
      <c r="D698" s="220" t="s">
        <v>2936</v>
      </c>
      <c r="E698" s="221" t="s">
        <v>2937</v>
      </c>
      <c r="F698" s="222" t="s">
        <v>23</v>
      </c>
      <c r="G698" s="219" t="s">
        <v>24</v>
      </c>
      <c r="H698" s="223" t="s">
        <v>2799</v>
      </c>
      <c r="I698" s="224">
        <v>46204</v>
      </c>
      <c r="J698" s="224">
        <v>46387</v>
      </c>
      <c r="K698" s="220" t="s">
        <v>34</v>
      </c>
      <c r="L698" s="225"/>
      <c r="M698" s="216"/>
      <c r="N698" s="227"/>
      <c r="O698" s="226"/>
      <c r="P698" s="226"/>
      <c r="Q698" s="226"/>
      <c r="R698" s="226">
        <f t="shared" si="15"/>
        <v>0</v>
      </c>
      <c r="S698" s="220">
        <v>16</v>
      </c>
      <c r="T698" s="219" t="s">
        <v>548</v>
      </c>
      <c r="U698" s="204"/>
    </row>
    <row r="699" spans="1:21" ht="23.25" customHeight="1" x14ac:dyDescent="0.25">
      <c r="A699" s="210" t="str">
        <f>IF(B699="","",B699&amp;"-"&amp;TEXT(COUNTIF(B$2:B699,B699),"000"))</f>
        <v/>
      </c>
      <c r="B699" s="211"/>
      <c r="C699" s="220"/>
      <c r="D699" s="211"/>
      <c r="E699" s="212"/>
      <c r="F699" s="213"/>
      <c r="G699" s="210"/>
      <c r="H699" s="214"/>
      <c r="I699" s="215"/>
      <c r="J699" s="215"/>
      <c r="K699" s="211"/>
      <c r="L699" s="225"/>
      <c r="M699" s="216"/>
      <c r="N699" s="217"/>
      <c r="O699" s="218"/>
      <c r="P699" s="218"/>
      <c r="Q699" s="218"/>
      <c r="R699" s="218" t="str">
        <f t="shared" si="15"/>
        <v/>
      </c>
      <c r="S699" s="211"/>
      <c r="T699" s="210"/>
      <c r="U699" s="204"/>
    </row>
    <row r="700" spans="1:21" ht="23.25" customHeight="1" x14ac:dyDescent="0.25">
      <c r="A700" s="219" t="str">
        <f>IF(B700="","",B700&amp;"-"&amp;TEXT(COUNTIF(B$2:B700,B700),"000"))</f>
        <v/>
      </c>
      <c r="B700" s="220"/>
      <c r="C700" s="220"/>
      <c r="D700" s="220"/>
      <c r="E700" s="221"/>
      <c r="F700" s="222"/>
      <c r="G700" s="219"/>
      <c r="H700" s="223"/>
      <c r="I700" s="224"/>
      <c r="J700" s="224"/>
      <c r="K700" s="220"/>
      <c r="L700" s="225"/>
      <c r="M700" s="216"/>
      <c r="N700" s="227"/>
      <c r="O700" s="226"/>
      <c r="P700" s="226"/>
      <c r="Q700" s="226"/>
      <c r="R700" s="226" t="str">
        <f t="shared" si="15"/>
        <v/>
      </c>
      <c r="S700" s="220"/>
      <c r="T700" s="219"/>
      <c r="U700" s="204"/>
    </row>
    <row r="701" spans="1:21" ht="23.25" customHeight="1" x14ac:dyDescent="0.25">
      <c r="A701" s="210" t="str">
        <f>IF(B701="","",B701&amp;"-"&amp;TEXT(COUNTIF(B$2:B701,B701),"000"))</f>
        <v/>
      </c>
      <c r="B701" s="211"/>
      <c r="C701" s="220"/>
      <c r="D701" s="211"/>
      <c r="E701" s="212"/>
      <c r="F701" s="213"/>
      <c r="G701" s="210"/>
      <c r="H701" s="214"/>
      <c r="I701" s="215"/>
      <c r="J701" s="215"/>
      <c r="K701" s="211"/>
      <c r="L701" s="225"/>
      <c r="M701" s="216"/>
      <c r="N701" s="217"/>
      <c r="O701" s="218"/>
      <c r="P701" s="218"/>
      <c r="Q701" s="218"/>
      <c r="R701" s="218" t="str">
        <f t="shared" si="15"/>
        <v/>
      </c>
      <c r="S701" s="211"/>
      <c r="T701" s="210"/>
      <c r="U701" s="204"/>
    </row>
    <row r="702" spans="1:21" ht="23.25" customHeight="1" x14ac:dyDescent="0.25">
      <c r="A702" s="219" t="str">
        <f>IF(B702="","",B702&amp;"-"&amp;TEXT(COUNTIF(B$2:B702,B702),"000"))</f>
        <v/>
      </c>
      <c r="B702" s="220"/>
      <c r="C702" s="220"/>
      <c r="D702" s="220"/>
      <c r="E702" s="221"/>
      <c r="F702" s="222"/>
      <c r="G702" s="219"/>
      <c r="H702" s="223"/>
      <c r="I702" s="224"/>
      <c r="J702" s="224"/>
      <c r="K702" s="220"/>
      <c r="L702" s="225"/>
      <c r="M702" s="216"/>
      <c r="N702" s="227"/>
      <c r="O702" s="226"/>
      <c r="P702" s="226"/>
      <c r="Q702" s="226"/>
      <c r="R702" s="226" t="str">
        <f t="shared" si="15"/>
        <v/>
      </c>
      <c r="S702" s="220"/>
      <c r="T702" s="219"/>
      <c r="U702" s="204"/>
    </row>
    <row r="703" spans="1:21" ht="23.25" customHeight="1" x14ac:dyDescent="0.25">
      <c r="A703" s="210" t="str">
        <f>IF(B703="","",B703&amp;"-"&amp;TEXT(COUNTIF(B$2:B703,B703),"000"))</f>
        <v/>
      </c>
      <c r="B703" s="211"/>
      <c r="C703" s="220"/>
      <c r="D703" s="211"/>
      <c r="E703" s="212"/>
      <c r="F703" s="213"/>
      <c r="G703" s="210"/>
      <c r="H703" s="214"/>
      <c r="I703" s="215"/>
      <c r="J703" s="215"/>
      <c r="K703" s="211"/>
      <c r="L703" s="225"/>
      <c r="M703" s="216"/>
      <c r="N703" s="217"/>
      <c r="O703" s="218"/>
      <c r="P703" s="218"/>
      <c r="Q703" s="218"/>
      <c r="R703" s="218" t="str">
        <f t="shared" si="15"/>
        <v/>
      </c>
      <c r="S703" s="211"/>
      <c r="T703" s="210"/>
      <c r="U703" s="204"/>
    </row>
    <row r="704" spans="1:21" ht="23.25" customHeight="1" x14ac:dyDescent="0.25">
      <c r="A704" s="219" t="str">
        <f>IF(B704="","",B704&amp;"-"&amp;TEXT(COUNTIF(B$2:B704,B704),"000"))</f>
        <v/>
      </c>
      <c r="B704" s="220"/>
      <c r="C704" s="220"/>
      <c r="D704" s="220"/>
      <c r="E704" s="221"/>
      <c r="F704" s="222"/>
      <c r="G704" s="219"/>
      <c r="H704" s="223"/>
      <c r="I704" s="224"/>
      <c r="J704" s="224"/>
      <c r="K704" s="220"/>
      <c r="L704" s="225"/>
      <c r="M704" s="216"/>
      <c r="N704" s="227"/>
      <c r="O704" s="226"/>
      <c r="P704" s="226"/>
      <c r="Q704" s="226"/>
      <c r="R704" s="226" t="str">
        <f t="shared" si="15"/>
        <v/>
      </c>
      <c r="S704" s="220"/>
      <c r="T704" s="219"/>
      <c r="U704" s="204"/>
    </row>
    <row r="705" spans="1:21" ht="23.25" customHeight="1" x14ac:dyDescent="0.25">
      <c r="A705" s="210" t="str">
        <f>IF(B705="","",B705&amp;"-"&amp;TEXT(COUNTIF(B$2:B705,B705),"000"))</f>
        <v/>
      </c>
      <c r="B705" s="211"/>
      <c r="C705" s="220"/>
      <c r="D705" s="211"/>
      <c r="E705" s="212"/>
      <c r="F705" s="213"/>
      <c r="G705" s="210"/>
      <c r="H705" s="214"/>
      <c r="I705" s="215"/>
      <c r="J705" s="215"/>
      <c r="K705" s="211"/>
      <c r="L705" s="225"/>
      <c r="M705" s="216"/>
      <c r="N705" s="217"/>
      <c r="O705" s="218"/>
      <c r="P705" s="218"/>
      <c r="Q705" s="218"/>
      <c r="R705" s="218" t="str">
        <f t="shared" si="15"/>
        <v/>
      </c>
      <c r="S705" s="211"/>
      <c r="T705" s="210"/>
      <c r="U705" s="204"/>
    </row>
    <row r="706" spans="1:21" ht="23.25" customHeight="1" x14ac:dyDescent="0.25">
      <c r="A706" s="219" t="str">
        <f>IF(B706="","",B706&amp;"-"&amp;TEXT(COUNTIF(B$2:B706,B706),"000"))</f>
        <v/>
      </c>
      <c r="B706" s="220"/>
      <c r="C706" s="220"/>
      <c r="D706" s="220"/>
      <c r="E706" s="221"/>
      <c r="F706" s="222"/>
      <c r="G706" s="219"/>
      <c r="H706" s="223"/>
      <c r="I706" s="224"/>
      <c r="J706" s="224"/>
      <c r="K706" s="220"/>
      <c r="L706" s="225"/>
      <c r="M706" s="216"/>
      <c r="N706" s="227"/>
      <c r="O706" s="226"/>
      <c r="P706" s="226"/>
      <c r="Q706" s="226"/>
      <c r="R706" s="226" t="str">
        <f t="shared" si="15"/>
        <v/>
      </c>
      <c r="S706" s="220"/>
      <c r="T706" s="219"/>
      <c r="U706" s="204"/>
    </row>
    <row r="707" spans="1:21" ht="23.25" customHeight="1" x14ac:dyDescent="0.25">
      <c r="A707" s="210" t="str">
        <f>IF(B707="","",B707&amp;"-"&amp;TEXT(COUNTIF(B$2:B707,B707),"000"))</f>
        <v/>
      </c>
      <c r="B707" s="211"/>
      <c r="C707" s="220"/>
      <c r="D707" s="211"/>
      <c r="E707" s="212"/>
      <c r="F707" s="213"/>
      <c r="G707" s="210"/>
      <c r="H707" s="214"/>
      <c r="I707" s="215"/>
      <c r="J707" s="215"/>
      <c r="K707" s="211"/>
      <c r="L707" s="225"/>
      <c r="M707" s="216"/>
      <c r="N707" s="217"/>
      <c r="O707" s="218"/>
      <c r="P707" s="218"/>
      <c r="Q707" s="218"/>
      <c r="R707" s="218" t="str">
        <f t="shared" si="15"/>
        <v/>
      </c>
      <c r="S707" s="211"/>
      <c r="T707" s="210"/>
      <c r="U707" s="204"/>
    </row>
    <row r="708" spans="1:21" ht="23.25" customHeight="1" x14ac:dyDescent="0.25">
      <c r="A708" s="219" t="str">
        <f>IF(B708="","",B708&amp;"-"&amp;TEXT(COUNTIF(B$2:B708,B708),"000"))</f>
        <v/>
      </c>
      <c r="B708" s="220"/>
      <c r="C708" s="220"/>
      <c r="D708" s="220"/>
      <c r="E708" s="221"/>
      <c r="F708" s="222"/>
      <c r="G708" s="219"/>
      <c r="H708" s="223"/>
      <c r="I708" s="224"/>
      <c r="J708" s="224"/>
      <c r="K708" s="220"/>
      <c r="L708" s="225"/>
      <c r="M708" s="216"/>
      <c r="N708" s="227"/>
      <c r="O708" s="226"/>
      <c r="P708" s="226"/>
      <c r="Q708" s="226"/>
      <c r="R708" s="226" t="str">
        <f t="shared" si="15"/>
        <v/>
      </c>
      <c r="S708" s="220"/>
      <c r="T708" s="219"/>
      <c r="U708" s="204"/>
    </row>
    <row r="709" spans="1:21" ht="23.25" customHeight="1" x14ac:dyDescent="0.25">
      <c r="A709" s="210" t="str">
        <f>IF(B709="","",B709&amp;"-"&amp;TEXT(COUNTIF(B$2:B709,B709),"000"))</f>
        <v/>
      </c>
      <c r="B709" s="211"/>
      <c r="C709" s="220"/>
      <c r="D709" s="211"/>
      <c r="E709" s="212"/>
      <c r="F709" s="213"/>
      <c r="G709" s="210"/>
      <c r="H709" s="214"/>
      <c r="I709" s="215"/>
      <c r="J709" s="215"/>
      <c r="K709" s="211"/>
      <c r="L709" s="225"/>
      <c r="M709" s="216"/>
      <c r="N709" s="217"/>
      <c r="O709" s="218"/>
      <c r="P709" s="218"/>
      <c r="Q709" s="218"/>
      <c r="R709" s="218" t="str">
        <f t="shared" si="15"/>
        <v/>
      </c>
      <c r="S709" s="211"/>
      <c r="T709" s="210"/>
      <c r="U709" s="204"/>
    </row>
    <row r="710" spans="1:21" ht="23.25" customHeight="1" x14ac:dyDescent="0.25">
      <c r="A710" s="219" t="str">
        <f>IF(B710="","",B710&amp;"-"&amp;TEXT(COUNTIF(B$2:B710,B710),"000"))</f>
        <v/>
      </c>
      <c r="B710" s="220"/>
      <c r="C710" s="220"/>
      <c r="D710" s="220"/>
      <c r="E710" s="221"/>
      <c r="F710" s="222"/>
      <c r="G710" s="219"/>
      <c r="H710" s="223"/>
      <c r="I710" s="224"/>
      <c r="J710" s="224"/>
      <c r="K710" s="220"/>
      <c r="L710" s="225"/>
      <c r="M710" s="216"/>
      <c r="N710" s="227"/>
      <c r="O710" s="226"/>
      <c r="P710" s="226"/>
      <c r="Q710" s="226"/>
      <c r="R710" s="226" t="str">
        <f t="shared" si="15"/>
        <v/>
      </c>
      <c r="S710" s="220"/>
      <c r="T710" s="219"/>
      <c r="U710" s="204"/>
    </row>
    <row r="711" spans="1:21" ht="23.25" customHeight="1" x14ac:dyDescent="0.25">
      <c r="A711" s="210" t="str">
        <f>IF(B711="","",B711&amp;"-"&amp;TEXT(COUNTIF(B$2:B711,B711),"000"))</f>
        <v/>
      </c>
      <c r="B711" s="211"/>
      <c r="C711" s="220"/>
      <c r="D711" s="211"/>
      <c r="E711" s="212"/>
      <c r="F711" s="213"/>
      <c r="G711" s="210"/>
      <c r="H711" s="214"/>
      <c r="I711" s="215"/>
      <c r="J711" s="215"/>
      <c r="K711" s="211"/>
      <c r="L711" s="225"/>
      <c r="M711" s="216"/>
      <c r="N711" s="217"/>
      <c r="O711" s="218"/>
      <c r="P711" s="218"/>
      <c r="Q711" s="218"/>
      <c r="R711" s="218" t="str">
        <f t="shared" si="15"/>
        <v/>
      </c>
      <c r="S711" s="211"/>
      <c r="T711" s="210"/>
      <c r="U711" s="204"/>
    </row>
    <row r="712" spans="1:21" ht="23.25" customHeight="1" x14ac:dyDescent="0.25">
      <c r="A712" s="219" t="str">
        <f>IF(B712="","",B712&amp;"-"&amp;TEXT(COUNTIF(B$2:B712,B712),"000"))</f>
        <v/>
      </c>
      <c r="B712" s="220"/>
      <c r="C712" s="220"/>
      <c r="D712" s="220"/>
      <c r="E712" s="221"/>
      <c r="F712" s="222"/>
      <c r="G712" s="219"/>
      <c r="H712" s="223"/>
      <c r="I712" s="224"/>
      <c r="J712" s="224"/>
      <c r="K712" s="220"/>
      <c r="L712" s="225"/>
      <c r="M712" s="216"/>
      <c r="N712" s="227"/>
      <c r="O712" s="226"/>
      <c r="P712" s="226"/>
      <c r="Q712" s="226"/>
      <c r="R712" s="226" t="str">
        <f t="shared" si="15"/>
        <v/>
      </c>
      <c r="S712" s="220"/>
      <c r="T712" s="219"/>
      <c r="U712" s="204"/>
    </row>
    <row r="713" spans="1:21" ht="23.25" customHeight="1" x14ac:dyDescent="0.25">
      <c r="A713" s="210" t="str">
        <f>IF(B713="","",B713&amp;"-"&amp;TEXT(COUNTIF(B$2:B713,B713),"000"))</f>
        <v/>
      </c>
      <c r="B713" s="211"/>
      <c r="C713" s="220"/>
      <c r="D713" s="211"/>
      <c r="E713" s="212"/>
      <c r="F713" s="213"/>
      <c r="G713" s="210"/>
      <c r="H713" s="214"/>
      <c r="I713" s="215"/>
      <c r="J713" s="215"/>
      <c r="K713" s="211"/>
      <c r="L713" s="225"/>
      <c r="M713" s="216"/>
      <c r="N713" s="217"/>
      <c r="O713" s="218"/>
      <c r="P713" s="218"/>
      <c r="Q713" s="218"/>
      <c r="R713" s="218" t="str">
        <f t="shared" si="15"/>
        <v/>
      </c>
      <c r="S713" s="211"/>
      <c r="T713" s="210"/>
      <c r="U713" s="204"/>
    </row>
    <row r="714" spans="1:21" ht="23.25" customHeight="1" x14ac:dyDescent="0.25">
      <c r="A714" s="219" t="str">
        <f>IF(B714="","",B714&amp;"-"&amp;TEXT(COUNTIF(B$2:B714,B714),"000"))</f>
        <v/>
      </c>
      <c r="B714" s="220"/>
      <c r="C714" s="220"/>
      <c r="D714" s="220"/>
      <c r="E714" s="221"/>
      <c r="F714" s="222"/>
      <c r="G714" s="219"/>
      <c r="H714" s="223"/>
      <c r="I714" s="224"/>
      <c r="J714" s="224"/>
      <c r="K714" s="220"/>
      <c r="L714" s="225"/>
      <c r="M714" s="216"/>
      <c r="N714" s="227"/>
      <c r="O714" s="226"/>
      <c r="P714" s="226"/>
      <c r="Q714" s="226"/>
      <c r="R714" s="226" t="str">
        <f t="shared" si="15"/>
        <v/>
      </c>
      <c r="S714" s="220"/>
      <c r="T714" s="219"/>
      <c r="U714" s="204"/>
    </row>
    <row r="715" spans="1:21" ht="23.25" customHeight="1" x14ac:dyDescent="0.25">
      <c r="A715" s="210" t="str">
        <f>IF(B715="","",B715&amp;"-"&amp;TEXT(COUNTIF(B$2:B715,B715),"000"))</f>
        <v/>
      </c>
      <c r="B715" s="211"/>
      <c r="C715" s="220"/>
      <c r="D715" s="211"/>
      <c r="E715" s="212"/>
      <c r="F715" s="213"/>
      <c r="G715" s="210"/>
      <c r="H715" s="214"/>
      <c r="I715" s="215"/>
      <c r="J715" s="215"/>
      <c r="K715" s="211"/>
      <c r="L715" s="225"/>
      <c r="M715" s="216"/>
      <c r="N715" s="217"/>
      <c r="O715" s="218"/>
      <c r="P715" s="218"/>
      <c r="Q715" s="218"/>
      <c r="R715" s="218" t="str">
        <f t="shared" si="15"/>
        <v/>
      </c>
      <c r="S715" s="211"/>
      <c r="T715" s="210"/>
      <c r="U715" s="204"/>
    </row>
    <row r="716" spans="1:21" ht="23.25" customHeight="1" x14ac:dyDescent="0.25">
      <c r="A716" s="219" t="str">
        <f>IF(B716="","",B716&amp;"-"&amp;TEXT(COUNTIF(B$2:B716,B716),"000"))</f>
        <v/>
      </c>
      <c r="B716" s="220"/>
      <c r="C716" s="220"/>
      <c r="D716" s="220"/>
      <c r="E716" s="221"/>
      <c r="F716" s="222"/>
      <c r="G716" s="219"/>
      <c r="H716" s="223"/>
      <c r="I716" s="224"/>
      <c r="J716" s="224"/>
      <c r="K716" s="220"/>
      <c r="L716" s="225"/>
      <c r="M716" s="216"/>
      <c r="N716" s="227"/>
      <c r="O716" s="226"/>
      <c r="P716" s="226"/>
      <c r="Q716" s="226"/>
      <c r="R716" s="226" t="str">
        <f t="shared" si="15"/>
        <v/>
      </c>
      <c r="S716" s="220"/>
      <c r="T716" s="219"/>
      <c r="U716" s="204"/>
    </row>
    <row r="717" spans="1:21" ht="23.25" customHeight="1" x14ac:dyDescent="0.25">
      <c r="A717" s="210" t="str">
        <f>IF(B717="","",B717&amp;"-"&amp;TEXT(COUNTIF(B$2:B717,B717),"000"))</f>
        <v/>
      </c>
      <c r="B717" s="211"/>
      <c r="C717" s="220"/>
      <c r="D717" s="211"/>
      <c r="E717" s="212"/>
      <c r="F717" s="213"/>
      <c r="G717" s="210"/>
      <c r="H717" s="214"/>
      <c r="I717" s="215"/>
      <c r="J717" s="215"/>
      <c r="K717" s="211"/>
      <c r="L717" s="225"/>
      <c r="M717" s="216"/>
      <c r="N717" s="217"/>
      <c r="O717" s="218"/>
      <c r="P717" s="218"/>
      <c r="Q717" s="218"/>
      <c r="R717" s="218" t="str">
        <f t="shared" si="15"/>
        <v/>
      </c>
      <c r="S717" s="211"/>
      <c r="T717" s="210"/>
      <c r="U717" s="204"/>
    </row>
    <row r="718" spans="1:21" ht="23.25" customHeight="1" x14ac:dyDescent="0.25">
      <c r="A718" s="219" t="str">
        <f>IF(B718="","",B718&amp;"-"&amp;TEXT(COUNTIF(B$2:B718,B718),"000"))</f>
        <v/>
      </c>
      <c r="B718" s="220"/>
      <c r="C718" s="220"/>
      <c r="D718" s="220"/>
      <c r="E718" s="221"/>
      <c r="F718" s="222"/>
      <c r="G718" s="219"/>
      <c r="H718" s="223"/>
      <c r="I718" s="224"/>
      <c r="J718" s="224"/>
      <c r="K718" s="220"/>
      <c r="L718" s="225"/>
      <c r="M718" s="216"/>
      <c r="N718" s="227"/>
      <c r="O718" s="226"/>
      <c r="P718" s="226"/>
      <c r="Q718" s="226"/>
      <c r="R718" s="226" t="str">
        <f t="shared" si="15"/>
        <v/>
      </c>
      <c r="S718" s="220"/>
      <c r="T718" s="219"/>
      <c r="U718" s="204"/>
    </row>
    <row r="719" spans="1:21" ht="23.25" customHeight="1" x14ac:dyDescent="0.25">
      <c r="A719" s="210" t="str">
        <f>IF(B719="","",B719&amp;"-"&amp;TEXT(COUNTIF(B$2:B719,B719),"000"))</f>
        <v/>
      </c>
      <c r="B719" s="211"/>
      <c r="C719" s="220"/>
      <c r="D719" s="211"/>
      <c r="E719" s="212"/>
      <c r="F719" s="213"/>
      <c r="G719" s="210"/>
      <c r="H719" s="214"/>
      <c r="I719" s="215"/>
      <c r="J719" s="215"/>
      <c r="K719" s="211"/>
      <c r="L719" s="225"/>
      <c r="M719" s="216"/>
      <c r="N719" s="217"/>
      <c r="O719" s="218"/>
      <c r="P719" s="218"/>
      <c r="Q719" s="218"/>
      <c r="R719" s="218" t="str">
        <f t="shared" si="15"/>
        <v/>
      </c>
      <c r="S719" s="211"/>
      <c r="T719" s="210"/>
      <c r="U719" s="204"/>
    </row>
    <row r="720" spans="1:21" ht="23.25" customHeight="1" x14ac:dyDescent="0.25">
      <c r="A720" s="219" t="str">
        <f>IF(B720="","",B720&amp;"-"&amp;TEXT(COUNTIF(B$2:B720,B720),"000"))</f>
        <v/>
      </c>
      <c r="B720" s="220"/>
      <c r="C720" s="220"/>
      <c r="D720" s="220"/>
      <c r="E720" s="221"/>
      <c r="F720" s="222"/>
      <c r="G720" s="219"/>
      <c r="H720" s="223"/>
      <c r="I720" s="224"/>
      <c r="J720" s="224"/>
      <c r="K720" s="220"/>
      <c r="L720" s="225"/>
      <c r="M720" s="216"/>
      <c r="N720" s="227"/>
      <c r="O720" s="226"/>
      <c r="P720" s="226"/>
      <c r="Q720" s="226"/>
      <c r="R720" s="226" t="str">
        <f t="shared" si="15"/>
        <v/>
      </c>
      <c r="S720" s="220"/>
      <c r="T720" s="219"/>
      <c r="U720" s="204"/>
    </row>
    <row r="721" spans="1:21" ht="23.25" customHeight="1" x14ac:dyDescent="0.25">
      <c r="A721" s="210" t="str">
        <f>IF(B721="","",B721&amp;"-"&amp;TEXT(COUNTIF(B$2:B721,B721),"000"))</f>
        <v/>
      </c>
      <c r="B721" s="211"/>
      <c r="C721" s="220"/>
      <c r="D721" s="211"/>
      <c r="E721" s="212"/>
      <c r="F721" s="213"/>
      <c r="G721" s="210"/>
      <c r="H721" s="214"/>
      <c r="I721" s="215"/>
      <c r="J721" s="215"/>
      <c r="K721" s="211"/>
      <c r="L721" s="225"/>
      <c r="M721" s="216"/>
      <c r="N721" s="217"/>
      <c r="O721" s="218"/>
      <c r="P721" s="218"/>
      <c r="Q721" s="218"/>
      <c r="R721" s="218" t="str">
        <f t="shared" si="15"/>
        <v/>
      </c>
      <c r="S721" s="211"/>
      <c r="T721" s="210"/>
      <c r="U721" s="204"/>
    </row>
    <row r="722" spans="1:21" ht="23.25" customHeight="1" x14ac:dyDescent="0.25">
      <c r="A722" s="219" t="str">
        <f>IF(B722="","",B722&amp;"-"&amp;TEXT(COUNTIF(B$2:B722,B722),"000"))</f>
        <v/>
      </c>
      <c r="B722" s="220"/>
      <c r="C722" s="220"/>
      <c r="D722" s="220"/>
      <c r="E722" s="221"/>
      <c r="F722" s="222"/>
      <c r="G722" s="219"/>
      <c r="H722" s="223"/>
      <c r="I722" s="224"/>
      <c r="J722" s="224"/>
      <c r="K722" s="220"/>
      <c r="L722" s="225"/>
      <c r="M722" s="216"/>
      <c r="N722" s="227"/>
      <c r="O722" s="226"/>
      <c r="P722" s="226"/>
      <c r="Q722" s="226"/>
      <c r="R722" s="226" t="str">
        <f t="shared" si="15"/>
        <v/>
      </c>
      <c r="S722" s="220"/>
      <c r="T722" s="219"/>
      <c r="U722" s="204"/>
    </row>
    <row r="723" spans="1:21" ht="23.25" customHeight="1" x14ac:dyDescent="0.25">
      <c r="A723" s="210" t="str">
        <f>IF(B723="","",B723&amp;"-"&amp;TEXT(COUNTIF(B$2:B723,B723),"000"))</f>
        <v/>
      </c>
      <c r="B723" s="211"/>
      <c r="C723" s="220"/>
      <c r="D723" s="211"/>
      <c r="E723" s="212"/>
      <c r="F723" s="213"/>
      <c r="G723" s="210"/>
      <c r="H723" s="214"/>
      <c r="I723" s="215"/>
      <c r="J723" s="215"/>
      <c r="K723" s="211"/>
      <c r="L723" s="225"/>
      <c r="M723" s="216"/>
      <c r="N723" s="217"/>
      <c r="O723" s="218"/>
      <c r="P723" s="218"/>
      <c r="Q723" s="218"/>
      <c r="R723" s="218" t="str">
        <f t="shared" si="15"/>
        <v/>
      </c>
      <c r="S723" s="211"/>
      <c r="T723" s="210"/>
      <c r="U723" s="204"/>
    </row>
    <row r="724" spans="1:21" ht="23.25" customHeight="1" x14ac:dyDescent="0.25">
      <c r="A724" s="219" t="str">
        <f>IF(B724="","",B724&amp;"-"&amp;TEXT(COUNTIF(B$2:B724,B724),"000"))</f>
        <v/>
      </c>
      <c r="B724" s="220"/>
      <c r="C724" s="220"/>
      <c r="D724" s="220"/>
      <c r="E724" s="221"/>
      <c r="F724" s="222"/>
      <c r="G724" s="219"/>
      <c r="H724" s="223"/>
      <c r="I724" s="224"/>
      <c r="J724" s="224"/>
      <c r="K724" s="220"/>
      <c r="L724" s="225"/>
      <c r="M724" s="216"/>
      <c r="N724" s="227"/>
      <c r="O724" s="226"/>
      <c r="P724" s="226"/>
      <c r="Q724" s="226"/>
      <c r="R724" s="226" t="str">
        <f t="shared" si="15"/>
        <v/>
      </c>
      <c r="S724" s="220"/>
      <c r="T724" s="219"/>
      <c r="U724" s="204"/>
    </row>
    <row r="725" spans="1:21" ht="23.25" customHeight="1" x14ac:dyDescent="0.25">
      <c r="A725" s="210" t="str">
        <f>IF(B725="","",B725&amp;"-"&amp;TEXT(COUNTIF(B$2:B725,B725),"000"))</f>
        <v/>
      </c>
      <c r="B725" s="211"/>
      <c r="C725" s="220"/>
      <c r="D725" s="211"/>
      <c r="E725" s="212"/>
      <c r="F725" s="213"/>
      <c r="G725" s="210"/>
      <c r="H725" s="214"/>
      <c r="I725" s="215"/>
      <c r="J725" s="215"/>
      <c r="K725" s="211"/>
      <c r="L725" s="225"/>
      <c r="M725" s="216"/>
      <c r="N725" s="217"/>
      <c r="O725" s="218"/>
      <c r="P725" s="218"/>
      <c r="Q725" s="218"/>
      <c r="R725" s="218" t="str">
        <f t="shared" si="15"/>
        <v/>
      </c>
      <c r="S725" s="211"/>
      <c r="T725" s="210"/>
      <c r="U725" s="204"/>
    </row>
    <row r="726" spans="1:21" ht="23.25" customHeight="1" x14ac:dyDescent="0.25">
      <c r="A726" s="219" t="str">
        <f>IF(B726="","",B726&amp;"-"&amp;TEXT(COUNTIF(B$2:B726,B726),"000"))</f>
        <v/>
      </c>
      <c r="B726" s="220"/>
      <c r="C726" s="220"/>
      <c r="D726" s="220"/>
      <c r="E726" s="221"/>
      <c r="F726" s="222"/>
      <c r="G726" s="219"/>
      <c r="H726" s="223"/>
      <c r="I726" s="224"/>
      <c r="J726" s="224"/>
      <c r="K726" s="220"/>
      <c r="L726" s="225"/>
      <c r="M726" s="216"/>
      <c r="N726" s="227"/>
      <c r="O726" s="226"/>
      <c r="P726" s="226"/>
      <c r="Q726" s="226"/>
      <c r="R726" s="226" t="str">
        <f t="shared" si="15"/>
        <v/>
      </c>
      <c r="S726" s="220"/>
      <c r="T726" s="219"/>
      <c r="U726" s="204"/>
    </row>
    <row r="727" spans="1:21" ht="23.25" customHeight="1" x14ac:dyDescent="0.25">
      <c r="A727" s="210" t="str">
        <f>IF(B727="","",B727&amp;"-"&amp;TEXT(COUNTIF(B$2:B727,B727),"000"))</f>
        <v/>
      </c>
      <c r="B727" s="211"/>
      <c r="C727" s="220"/>
      <c r="D727" s="211"/>
      <c r="E727" s="212"/>
      <c r="F727" s="213"/>
      <c r="G727" s="210"/>
      <c r="H727" s="214"/>
      <c r="I727" s="215"/>
      <c r="J727" s="215"/>
      <c r="K727" s="211"/>
      <c r="L727" s="225"/>
      <c r="M727" s="216"/>
      <c r="N727" s="217"/>
      <c r="O727" s="218"/>
      <c r="P727" s="218"/>
      <c r="Q727" s="218"/>
      <c r="R727" s="218" t="str">
        <f t="shared" si="15"/>
        <v/>
      </c>
      <c r="S727" s="211"/>
      <c r="T727" s="210"/>
      <c r="U727" s="204"/>
    </row>
    <row r="728" spans="1:21" ht="23.25" customHeight="1" x14ac:dyDescent="0.25">
      <c r="A728" s="219" t="str">
        <f>IF(B728="","",B728&amp;"-"&amp;TEXT(COUNTIF(B$2:B728,B728),"000"))</f>
        <v/>
      </c>
      <c r="B728" s="220"/>
      <c r="C728" s="220"/>
      <c r="D728" s="220"/>
      <c r="E728" s="221"/>
      <c r="F728" s="222"/>
      <c r="G728" s="219"/>
      <c r="H728" s="223"/>
      <c r="I728" s="224"/>
      <c r="J728" s="224"/>
      <c r="K728" s="220"/>
      <c r="L728" s="225"/>
      <c r="M728" s="216"/>
      <c r="N728" s="227"/>
      <c r="O728" s="226"/>
      <c r="P728" s="226"/>
      <c r="Q728" s="226"/>
      <c r="R728" s="226" t="str">
        <f t="shared" si="15"/>
        <v/>
      </c>
      <c r="S728" s="220"/>
      <c r="T728" s="219"/>
      <c r="U728" s="204"/>
    </row>
    <row r="729" spans="1:21" ht="23.25" customHeight="1" x14ac:dyDescent="0.25">
      <c r="A729" s="210" t="str">
        <f>IF(B729="","",B729&amp;"-"&amp;TEXT(COUNTIF(B$2:B729,B729),"000"))</f>
        <v/>
      </c>
      <c r="B729" s="211"/>
      <c r="C729" s="220"/>
      <c r="D729" s="211"/>
      <c r="E729" s="212"/>
      <c r="F729" s="213"/>
      <c r="G729" s="210"/>
      <c r="H729" s="214"/>
      <c r="I729" s="215"/>
      <c r="J729" s="215"/>
      <c r="K729" s="211"/>
      <c r="L729" s="225"/>
      <c r="M729" s="216"/>
      <c r="N729" s="217"/>
      <c r="O729" s="218"/>
      <c r="P729" s="218"/>
      <c r="Q729" s="218"/>
      <c r="R729" s="218" t="str">
        <f t="shared" si="15"/>
        <v/>
      </c>
      <c r="S729" s="211"/>
      <c r="T729" s="210"/>
      <c r="U729" s="204"/>
    </row>
    <row r="730" spans="1:21" ht="23.25" customHeight="1" x14ac:dyDescent="0.25">
      <c r="A730" s="219" t="str">
        <f>IF(B730="","",B730&amp;"-"&amp;TEXT(COUNTIF(B$2:B730,B730),"000"))</f>
        <v/>
      </c>
      <c r="B730" s="220"/>
      <c r="C730" s="220"/>
      <c r="D730" s="220"/>
      <c r="E730" s="221"/>
      <c r="F730" s="222"/>
      <c r="G730" s="219"/>
      <c r="H730" s="223"/>
      <c r="I730" s="224"/>
      <c r="J730" s="224"/>
      <c r="K730" s="220"/>
      <c r="L730" s="225"/>
      <c r="M730" s="216"/>
      <c r="N730" s="227"/>
      <c r="O730" s="226"/>
      <c r="P730" s="226"/>
      <c r="Q730" s="226"/>
      <c r="R730" s="226" t="str">
        <f t="shared" si="15"/>
        <v/>
      </c>
      <c r="S730" s="220"/>
      <c r="T730" s="219"/>
      <c r="U730" s="204"/>
    </row>
    <row r="731" spans="1:21" ht="23.25" customHeight="1" x14ac:dyDescent="0.25">
      <c r="A731" s="210" t="str">
        <f>IF(B731="","",B731&amp;"-"&amp;TEXT(COUNTIF(B$2:B731,B731),"000"))</f>
        <v/>
      </c>
      <c r="B731" s="211"/>
      <c r="C731" s="220"/>
      <c r="D731" s="211"/>
      <c r="E731" s="212"/>
      <c r="F731" s="213"/>
      <c r="G731" s="210"/>
      <c r="H731" s="214"/>
      <c r="I731" s="215"/>
      <c r="J731" s="215"/>
      <c r="K731" s="211"/>
      <c r="L731" s="225"/>
      <c r="M731" s="216"/>
      <c r="N731" s="217"/>
      <c r="O731" s="218"/>
      <c r="P731" s="218"/>
      <c r="Q731" s="218"/>
      <c r="R731" s="218" t="str">
        <f t="shared" si="15"/>
        <v/>
      </c>
      <c r="S731" s="211"/>
      <c r="T731" s="210"/>
      <c r="U731" s="204"/>
    </row>
    <row r="732" spans="1:21" ht="23.25" customHeight="1" x14ac:dyDescent="0.25">
      <c r="A732" s="219" t="str">
        <f>IF(B732="","",B732&amp;"-"&amp;TEXT(COUNTIF(B$2:B732,B732),"000"))</f>
        <v/>
      </c>
      <c r="B732" s="220"/>
      <c r="C732" s="220"/>
      <c r="D732" s="220"/>
      <c r="E732" s="221"/>
      <c r="F732" s="222"/>
      <c r="G732" s="219"/>
      <c r="H732" s="223"/>
      <c r="I732" s="224"/>
      <c r="J732" s="224"/>
      <c r="K732" s="220"/>
      <c r="L732" s="225"/>
      <c r="M732" s="216"/>
      <c r="N732" s="227"/>
      <c r="O732" s="226"/>
      <c r="P732" s="226"/>
      <c r="Q732" s="226"/>
      <c r="R732" s="226" t="str">
        <f t="shared" si="15"/>
        <v/>
      </c>
      <c r="S732" s="220"/>
      <c r="T732" s="219"/>
      <c r="U732" s="204"/>
    </row>
    <row r="733" spans="1:21" ht="23.25" customHeight="1" x14ac:dyDescent="0.25">
      <c r="A733" s="210" t="str">
        <f>IF(B733="","",B733&amp;"-"&amp;TEXT(COUNTIF(B$2:B733,B733),"000"))</f>
        <v/>
      </c>
      <c r="B733" s="211"/>
      <c r="C733" s="220"/>
      <c r="D733" s="211"/>
      <c r="E733" s="212"/>
      <c r="F733" s="213"/>
      <c r="G733" s="210"/>
      <c r="H733" s="214"/>
      <c r="I733" s="215"/>
      <c r="J733" s="215"/>
      <c r="K733" s="211"/>
      <c r="L733" s="225"/>
      <c r="M733" s="216"/>
      <c r="N733" s="217"/>
      <c r="O733" s="218"/>
      <c r="P733" s="218"/>
      <c r="Q733" s="218"/>
      <c r="R733" s="218" t="str">
        <f t="shared" si="15"/>
        <v/>
      </c>
      <c r="S733" s="211"/>
      <c r="T733" s="210"/>
      <c r="U733" s="204"/>
    </row>
    <row r="734" spans="1:21" ht="23.25" customHeight="1" x14ac:dyDescent="0.25">
      <c r="A734" s="219" t="str">
        <f>IF(B734="","",B734&amp;"-"&amp;TEXT(COUNTIF(B$2:B734,B734),"000"))</f>
        <v/>
      </c>
      <c r="B734" s="220"/>
      <c r="C734" s="220"/>
      <c r="D734" s="220"/>
      <c r="E734" s="221"/>
      <c r="F734" s="222"/>
      <c r="G734" s="219"/>
      <c r="H734" s="223"/>
      <c r="I734" s="224"/>
      <c r="J734" s="224"/>
      <c r="K734" s="220"/>
      <c r="L734" s="225"/>
      <c r="M734" s="216"/>
      <c r="N734" s="227"/>
      <c r="O734" s="226"/>
      <c r="P734" s="226"/>
      <c r="Q734" s="226"/>
      <c r="R734" s="226" t="str">
        <f t="shared" si="15"/>
        <v/>
      </c>
      <c r="S734" s="220"/>
      <c r="T734" s="219"/>
      <c r="U734" s="204"/>
    </row>
    <row r="735" spans="1:21" ht="23.25" customHeight="1" x14ac:dyDescent="0.25">
      <c r="A735" s="210" t="str">
        <f>IF(B735="","",B735&amp;"-"&amp;TEXT(COUNTIF(B$2:B735,B735),"000"))</f>
        <v/>
      </c>
      <c r="B735" s="211"/>
      <c r="C735" s="220"/>
      <c r="D735" s="211"/>
      <c r="E735" s="212"/>
      <c r="F735" s="213"/>
      <c r="G735" s="210"/>
      <c r="H735" s="214"/>
      <c r="I735" s="215"/>
      <c r="J735" s="215"/>
      <c r="K735" s="211"/>
      <c r="L735" s="225"/>
      <c r="M735" s="216"/>
      <c r="N735" s="217"/>
      <c r="O735" s="218"/>
      <c r="P735" s="218"/>
      <c r="Q735" s="218"/>
      <c r="R735" s="218" t="str">
        <f t="shared" si="15"/>
        <v/>
      </c>
      <c r="S735" s="211"/>
      <c r="T735" s="210"/>
      <c r="U735" s="204"/>
    </row>
    <row r="736" spans="1:21" ht="23.25" customHeight="1" x14ac:dyDescent="0.25">
      <c r="A736" s="219" t="str">
        <f>IF(B736="","",B736&amp;"-"&amp;TEXT(COUNTIF(B$2:B736,B736),"000"))</f>
        <v/>
      </c>
      <c r="B736" s="220"/>
      <c r="C736" s="220"/>
      <c r="D736" s="220"/>
      <c r="E736" s="221"/>
      <c r="F736" s="222"/>
      <c r="G736" s="219"/>
      <c r="H736" s="223"/>
      <c r="I736" s="224"/>
      <c r="J736" s="224"/>
      <c r="K736" s="220"/>
      <c r="L736" s="225"/>
      <c r="M736" s="216"/>
      <c r="N736" s="227"/>
      <c r="O736" s="226"/>
      <c r="P736" s="226"/>
      <c r="Q736" s="226"/>
      <c r="R736" s="226" t="str">
        <f t="shared" si="15"/>
        <v/>
      </c>
      <c r="S736" s="220"/>
      <c r="T736" s="219"/>
      <c r="U736" s="204"/>
    </row>
    <row r="737" spans="1:21" ht="23.25" customHeight="1" x14ac:dyDescent="0.25">
      <c r="A737" s="210" t="str">
        <f>IF(B737="","",B737&amp;"-"&amp;TEXT(COUNTIF(B$2:B737,B737),"000"))</f>
        <v/>
      </c>
      <c r="B737" s="211"/>
      <c r="C737" s="220"/>
      <c r="D737" s="211"/>
      <c r="E737" s="212"/>
      <c r="F737" s="213"/>
      <c r="G737" s="210"/>
      <c r="H737" s="214"/>
      <c r="I737" s="215"/>
      <c r="J737" s="215"/>
      <c r="K737" s="211"/>
      <c r="L737" s="225"/>
      <c r="M737" s="216"/>
      <c r="N737" s="217"/>
      <c r="O737" s="218"/>
      <c r="P737" s="218"/>
      <c r="Q737" s="218"/>
      <c r="R737" s="218" t="str">
        <f t="shared" si="15"/>
        <v/>
      </c>
      <c r="S737" s="211"/>
      <c r="T737" s="210"/>
      <c r="U737" s="204"/>
    </row>
    <row r="738" spans="1:21" ht="23.25" customHeight="1" x14ac:dyDescent="0.25">
      <c r="A738" s="219" t="str">
        <f>IF(B738="","",B738&amp;"-"&amp;TEXT(COUNTIF(B$2:B738,B738),"000"))</f>
        <v/>
      </c>
      <c r="B738" s="220"/>
      <c r="C738" s="220"/>
      <c r="D738" s="220"/>
      <c r="E738" s="221"/>
      <c r="F738" s="222"/>
      <c r="G738" s="219"/>
      <c r="H738" s="223"/>
      <c r="I738" s="224"/>
      <c r="J738" s="224"/>
      <c r="K738" s="220"/>
      <c r="L738" s="225"/>
      <c r="M738" s="216"/>
      <c r="N738" s="227"/>
      <c r="O738" s="226"/>
      <c r="P738" s="226"/>
      <c r="Q738" s="226"/>
      <c r="R738" s="226" t="str">
        <f t="shared" si="15"/>
        <v/>
      </c>
      <c r="S738" s="220"/>
      <c r="T738" s="219"/>
      <c r="U738" s="204"/>
    </row>
    <row r="739" spans="1:21" ht="23.25" customHeight="1" x14ac:dyDescent="0.25">
      <c r="A739" s="210" t="str">
        <f>IF(B739="","",B739&amp;"-"&amp;TEXT(COUNTIF(B$2:B739,B739),"000"))</f>
        <v/>
      </c>
      <c r="B739" s="211"/>
      <c r="C739" s="220"/>
      <c r="D739" s="211"/>
      <c r="E739" s="212"/>
      <c r="F739" s="213"/>
      <c r="G739" s="210"/>
      <c r="H739" s="214"/>
      <c r="I739" s="215"/>
      <c r="J739" s="215"/>
      <c r="K739" s="211"/>
      <c r="L739" s="225"/>
      <c r="M739" s="216"/>
      <c r="N739" s="217"/>
      <c r="O739" s="218"/>
      <c r="P739" s="218"/>
      <c r="Q739" s="218"/>
      <c r="R739" s="218" t="str">
        <f t="shared" si="15"/>
        <v/>
      </c>
      <c r="S739" s="211"/>
      <c r="T739" s="210"/>
      <c r="U739" s="204"/>
    </row>
    <row r="740" spans="1:21" ht="23.25" customHeight="1" x14ac:dyDescent="0.25">
      <c r="A740" s="219" t="str">
        <f>IF(B740="","",B740&amp;"-"&amp;TEXT(COUNTIF(B$2:B740,B740),"000"))</f>
        <v/>
      </c>
      <c r="B740" s="220"/>
      <c r="C740" s="220"/>
      <c r="D740" s="220"/>
      <c r="E740" s="221"/>
      <c r="F740" s="222"/>
      <c r="G740" s="219"/>
      <c r="H740" s="223"/>
      <c r="I740" s="224"/>
      <c r="J740" s="224"/>
      <c r="K740" s="220"/>
      <c r="L740" s="225"/>
      <c r="M740" s="216"/>
      <c r="N740" s="227"/>
      <c r="O740" s="226"/>
      <c r="P740" s="226"/>
      <c r="Q740" s="226"/>
      <c r="R740" s="226" t="str">
        <f t="shared" si="15"/>
        <v/>
      </c>
      <c r="S740" s="220"/>
      <c r="T740" s="219"/>
      <c r="U740" s="204"/>
    </row>
    <row r="741" spans="1:21" ht="23.25" customHeight="1" x14ac:dyDescent="0.25">
      <c r="A741" s="210" t="str">
        <f>IF(B741="","",B741&amp;"-"&amp;TEXT(COUNTIF(B$2:B741,B741),"000"))</f>
        <v/>
      </c>
      <c r="B741" s="211"/>
      <c r="C741" s="220"/>
      <c r="D741" s="211"/>
      <c r="E741" s="212"/>
      <c r="F741" s="213"/>
      <c r="G741" s="210"/>
      <c r="H741" s="214"/>
      <c r="I741" s="215"/>
      <c r="J741" s="215"/>
      <c r="K741" s="211"/>
      <c r="L741" s="225"/>
      <c r="M741" s="216"/>
      <c r="N741" s="217"/>
      <c r="O741" s="218"/>
      <c r="P741" s="218"/>
      <c r="Q741" s="218"/>
      <c r="R741" s="218" t="str">
        <f t="shared" si="15"/>
        <v/>
      </c>
      <c r="S741" s="211"/>
      <c r="T741" s="210"/>
      <c r="U741" s="204"/>
    </row>
    <row r="742" spans="1:21" ht="23.25" customHeight="1" x14ac:dyDescent="0.25">
      <c r="A742" s="219" t="str">
        <f>IF(B742="","",B742&amp;"-"&amp;TEXT(COUNTIF(B$2:B742,B742),"000"))</f>
        <v/>
      </c>
      <c r="B742" s="220"/>
      <c r="C742" s="220"/>
      <c r="D742" s="220"/>
      <c r="E742" s="221"/>
      <c r="F742" s="222"/>
      <c r="G742" s="219"/>
      <c r="H742" s="223"/>
      <c r="I742" s="224"/>
      <c r="J742" s="224"/>
      <c r="K742" s="220"/>
      <c r="L742" s="225"/>
      <c r="M742" s="216"/>
      <c r="N742" s="227"/>
      <c r="O742" s="226"/>
      <c r="P742" s="226"/>
      <c r="Q742" s="226"/>
      <c r="R742" s="226" t="str">
        <f t="shared" si="15"/>
        <v/>
      </c>
      <c r="S742" s="220"/>
      <c r="T742" s="219"/>
      <c r="U742" s="204"/>
    </row>
    <row r="743" spans="1:21" ht="23.25" customHeight="1" x14ac:dyDescent="0.25">
      <c r="A743" s="210" t="str">
        <f>IF(B743="","",B743&amp;"-"&amp;TEXT(COUNTIF(B$2:B743,B743),"000"))</f>
        <v/>
      </c>
      <c r="B743" s="211"/>
      <c r="C743" s="220"/>
      <c r="D743" s="211"/>
      <c r="E743" s="212"/>
      <c r="F743" s="213"/>
      <c r="G743" s="210"/>
      <c r="H743" s="214"/>
      <c r="I743" s="215"/>
      <c r="J743" s="215"/>
      <c r="K743" s="211"/>
      <c r="L743" s="225"/>
      <c r="M743" s="216"/>
      <c r="N743" s="217"/>
      <c r="O743" s="218"/>
      <c r="P743" s="218"/>
      <c r="Q743" s="218"/>
      <c r="R743" s="218" t="str">
        <f t="shared" si="15"/>
        <v/>
      </c>
      <c r="S743" s="211"/>
      <c r="T743" s="210"/>
      <c r="U743" s="204"/>
    </row>
    <row r="744" spans="1:21" ht="23.25" customHeight="1" x14ac:dyDescent="0.25">
      <c r="A744" s="219" t="str">
        <f>IF(B744="","",B744&amp;"-"&amp;TEXT(COUNTIF(B$2:B744,B744),"000"))</f>
        <v/>
      </c>
      <c r="B744" s="220"/>
      <c r="C744" s="220"/>
      <c r="D744" s="220"/>
      <c r="E744" s="221"/>
      <c r="F744" s="222"/>
      <c r="G744" s="219"/>
      <c r="H744" s="223"/>
      <c r="I744" s="224"/>
      <c r="J744" s="224"/>
      <c r="K744" s="220"/>
      <c r="L744" s="225"/>
      <c r="M744" s="216"/>
      <c r="N744" s="227"/>
      <c r="O744" s="226"/>
      <c r="P744" s="226"/>
      <c r="Q744" s="226"/>
      <c r="R744" s="226" t="str">
        <f t="shared" si="15"/>
        <v/>
      </c>
      <c r="S744" s="220"/>
      <c r="T744" s="219"/>
      <c r="U744" s="204"/>
    </row>
    <row r="745" spans="1:21" ht="23.25" customHeight="1" x14ac:dyDescent="0.25">
      <c r="A745" s="210" t="str">
        <f>IF(B745="","",B745&amp;"-"&amp;TEXT(COUNTIF(B$2:B745,B745),"000"))</f>
        <v/>
      </c>
      <c r="B745" s="211"/>
      <c r="C745" s="220"/>
      <c r="D745" s="211"/>
      <c r="E745" s="212"/>
      <c r="F745" s="213"/>
      <c r="G745" s="210"/>
      <c r="H745" s="214"/>
      <c r="I745" s="215"/>
      <c r="J745" s="215"/>
      <c r="K745" s="211"/>
      <c r="L745" s="225"/>
      <c r="M745" s="216"/>
      <c r="N745" s="217"/>
      <c r="O745" s="218"/>
      <c r="P745" s="218"/>
      <c r="Q745" s="218"/>
      <c r="R745" s="218" t="str">
        <f t="shared" si="15"/>
        <v/>
      </c>
      <c r="S745" s="211"/>
      <c r="T745" s="210"/>
      <c r="U745" s="204"/>
    </row>
    <row r="746" spans="1:21" ht="23.25" customHeight="1" x14ac:dyDescent="0.25">
      <c r="A746" s="219" t="str">
        <f>IF(B746="","",B746&amp;"-"&amp;TEXT(COUNTIF(B$2:B746,B746),"000"))</f>
        <v/>
      </c>
      <c r="B746" s="220"/>
      <c r="C746" s="220"/>
      <c r="D746" s="220"/>
      <c r="E746" s="221"/>
      <c r="F746" s="222"/>
      <c r="G746" s="219"/>
      <c r="H746" s="223"/>
      <c r="I746" s="224"/>
      <c r="J746" s="224"/>
      <c r="K746" s="220"/>
      <c r="L746" s="225"/>
      <c r="M746" s="216"/>
      <c r="N746" s="227"/>
      <c r="O746" s="226"/>
      <c r="P746" s="226"/>
      <c r="Q746" s="226"/>
      <c r="R746" s="226" t="str">
        <f t="shared" si="15"/>
        <v/>
      </c>
      <c r="S746" s="220"/>
      <c r="T746" s="219"/>
      <c r="U746" s="204"/>
    </row>
    <row r="747" spans="1:21" ht="23.25" customHeight="1" x14ac:dyDescent="0.25">
      <c r="A747" s="210" t="str">
        <f>IF(B747="","",B747&amp;"-"&amp;TEXT(COUNTIF(B$2:B747,B747),"000"))</f>
        <v/>
      </c>
      <c r="B747" s="211"/>
      <c r="C747" s="220"/>
      <c r="D747" s="211"/>
      <c r="E747" s="212"/>
      <c r="F747" s="213"/>
      <c r="G747" s="210"/>
      <c r="H747" s="214"/>
      <c r="I747" s="215"/>
      <c r="J747" s="215"/>
      <c r="K747" s="211"/>
      <c r="L747" s="225"/>
      <c r="M747" s="216"/>
      <c r="N747" s="217"/>
      <c r="O747" s="218"/>
      <c r="P747" s="218"/>
      <c r="Q747" s="218"/>
      <c r="R747" s="218" t="str">
        <f t="shared" si="15"/>
        <v/>
      </c>
      <c r="S747" s="211"/>
      <c r="T747" s="210"/>
      <c r="U747" s="204"/>
    </row>
    <row r="748" spans="1:21" ht="23.25" customHeight="1" x14ac:dyDescent="0.25">
      <c r="A748" s="219" t="str">
        <f>IF(B748="","",B748&amp;"-"&amp;TEXT(COUNTIF(B$2:B748,B748),"000"))</f>
        <v/>
      </c>
      <c r="B748" s="220"/>
      <c r="C748" s="220"/>
      <c r="D748" s="220"/>
      <c r="E748" s="221"/>
      <c r="F748" s="222"/>
      <c r="G748" s="219"/>
      <c r="H748" s="223"/>
      <c r="I748" s="224"/>
      <c r="J748" s="224"/>
      <c r="K748" s="220"/>
      <c r="L748" s="225"/>
      <c r="M748" s="216"/>
      <c r="N748" s="227"/>
      <c r="O748" s="226"/>
      <c r="P748" s="226"/>
      <c r="Q748" s="226"/>
      <c r="R748" s="226" t="str">
        <f t="shared" ref="R748" si="16">IF(B748="","",SUM(O748:Q748))</f>
        <v/>
      </c>
      <c r="S748" s="220"/>
      <c r="T748" s="219"/>
      <c r="U748" s="204"/>
    </row>
    <row r="749" spans="1:21" ht="23.25" customHeight="1" x14ac:dyDescent="0.25">
      <c r="A749" s="205"/>
      <c r="B749" s="206"/>
      <c r="C749" s="206"/>
      <c r="D749" s="206"/>
      <c r="E749" s="205"/>
      <c r="F749" s="205"/>
      <c r="G749" s="205"/>
      <c r="H749" s="206"/>
      <c r="I749" s="207"/>
      <c r="J749" s="207"/>
      <c r="K749" s="206"/>
      <c r="L749" s="208"/>
      <c r="M749" s="205"/>
      <c r="N749" s="209"/>
      <c r="O749" s="209"/>
      <c r="P749" s="209"/>
      <c r="Q749" s="209"/>
      <c r="R749" s="209"/>
      <c r="S749" s="205"/>
      <c r="T749" s="205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41" activePane="bottomLeft" state="frozen"/>
      <selection pane="bottomLeft" activeCell="A73" sqref="A73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2810</v>
      </c>
      <c r="C1" s="96" t="s">
        <v>2811</v>
      </c>
      <c r="D1" s="96" t="s">
        <v>4</v>
      </c>
      <c r="E1" s="96" t="s">
        <v>2812</v>
      </c>
      <c r="F1" s="96" t="s">
        <v>19</v>
      </c>
      <c r="G1" s="96" t="s">
        <v>2813</v>
      </c>
      <c r="H1" s="96" t="s">
        <v>2814</v>
      </c>
      <c r="I1" s="96" t="s">
        <v>2815</v>
      </c>
      <c r="J1" s="96" t="s">
        <v>2816</v>
      </c>
      <c r="L1" s="129" t="s">
        <v>2817</v>
      </c>
      <c r="M1" s="100">
        <v>2026</v>
      </c>
      <c r="U1" s="162" t="s">
        <v>2818</v>
      </c>
      <c r="V1" s="161"/>
      <c r="X1" s="159" t="s">
        <v>2819</v>
      </c>
      <c r="Y1" s="107"/>
      <c r="Z1" s="107"/>
      <c r="AA1" s="107"/>
      <c r="AC1" s="256" t="s">
        <v>2820</v>
      </c>
    </row>
    <row r="2" spans="1:31" x14ac:dyDescent="0.25">
      <c r="A2" s="98" cm="1">
        <f t="array" ref="A2:J64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2810</v>
      </c>
      <c r="Y2" s="160" t="s">
        <v>19</v>
      </c>
      <c r="Z2" s="160" t="s">
        <v>2821</v>
      </c>
      <c r="AA2" s="160" t="s">
        <v>2822</v>
      </c>
      <c r="AC2" s="257" t="s">
        <v>1</v>
      </c>
      <c r="AD2" s="257" t="s">
        <v>2823</v>
      </c>
      <c r="AE2" s="257" t="s">
        <v>2824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2825</v>
      </c>
      <c r="M3" s="19" t="s">
        <v>2826</v>
      </c>
      <c r="N3" s="19" t="s">
        <v>2827</v>
      </c>
      <c r="O3" s="19" t="s">
        <v>2828</v>
      </c>
      <c r="P3" s="19" t="s">
        <v>2829</v>
      </c>
      <c r="Q3" s="19" t="s">
        <v>2830</v>
      </c>
      <c r="R3" s="19" t="s">
        <v>2831</v>
      </c>
      <c r="S3" s="19" t="s">
        <v>2832</v>
      </c>
      <c r="T3" s="19" t="s">
        <v>2833</v>
      </c>
      <c r="X3" t="s">
        <v>2834</v>
      </c>
      <c r="Y3" t="s">
        <v>2695</v>
      </c>
      <c r="Z3">
        <v>0</v>
      </c>
      <c r="AA3">
        <v>0</v>
      </c>
      <c r="AC3" s="251">
        <v>2026</v>
      </c>
      <c r="AD3" s="95" t="s">
        <v>1784</v>
      </c>
      <c r="AE3" s="252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35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6">_xlfn.VSTACK(0,_xlfn._xlws.FILTER(S4:S200,S4:S200&lt;&gt;""))</f>
        <v>0</v>
      </c>
      <c r="X4" t="s">
        <v>2835</v>
      </c>
      <c r="Y4" t="s">
        <v>2695</v>
      </c>
      <c r="Z4">
        <v>0</v>
      </c>
      <c r="AA4">
        <v>0</v>
      </c>
      <c r="AC4" s="251">
        <v>2026</v>
      </c>
      <c r="AD4" s="95" t="s">
        <v>246</v>
      </c>
      <c r="AE4" s="252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2836</v>
      </c>
      <c r="Y5" t="s">
        <v>2711</v>
      </c>
      <c r="Z5">
        <v>1</v>
      </c>
      <c r="AA5">
        <v>0.6</v>
      </c>
      <c r="AC5" s="251">
        <v>2026</v>
      </c>
      <c r="AD5" s="95" t="s">
        <v>2837</v>
      </c>
      <c r="AE5" s="252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2836</v>
      </c>
      <c r="Y6" t="s">
        <v>2838</v>
      </c>
      <c r="Z6">
        <v>1</v>
      </c>
      <c r="AA6">
        <v>0</v>
      </c>
      <c r="AC6" s="251">
        <v>2026</v>
      </c>
      <c r="AD6" s="95" t="s">
        <v>2839</v>
      </c>
      <c r="AE6" s="252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2840</v>
      </c>
      <c r="Y7" t="s">
        <v>2695</v>
      </c>
      <c r="Z7">
        <v>0</v>
      </c>
      <c r="AA7">
        <v>0</v>
      </c>
      <c r="AC7" s="251">
        <v>2026</v>
      </c>
      <c r="AD7" s="95" t="s">
        <v>107</v>
      </c>
      <c r="AE7" s="252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2841</v>
      </c>
      <c r="Y8" s="95" t="s">
        <v>1342</v>
      </c>
      <c r="AA8">
        <v>1.2</v>
      </c>
      <c r="AC8" s="251">
        <v>2026</v>
      </c>
      <c r="AD8" s="95"/>
      <c r="AE8" s="252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2841</v>
      </c>
      <c r="Y9" s="95" t="s">
        <v>1022</v>
      </c>
      <c r="AA9">
        <v>1.2</v>
      </c>
      <c r="AC9" s="251">
        <v>2026</v>
      </c>
      <c r="AD9" s="95"/>
      <c r="AE9" s="252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2841</v>
      </c>
      <c r="Y10" s="95" t="s">
        <v>1366</v>
      </c>
      <c r="AA10">
        <v>1.2</v>
      </c>
      <c r="AC10" s="251">
        <v>2026</v>
      </c>
      <c r="AD10" s="95"/>
      <c r="AE10" s="252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2841</v>
      </c>
      <c r="Y11" s="95" t="s">
        <v>2842</v>
      </c>
      <c r="AA11">
        <v>1.2</v>
      </c>
      <c r="AC11" s="251">
        <v>2026</v>
      </c>
      <c r="AD11" s="95"/>
      <c r="AE11" s="252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2841</v>
      </c>
      <c r="Y12" s="95" t="s">
        <v>2843</v>
      </c>
      <c r="AA12">
        <v>1.2</v>
      </c>
      <c r="AC12" s="251">
        <v>2026</v>
      </c>
      <c r="AD12" s="95"/>
      <c r="AE12" s="252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2844</v>
      </c>
      <c r="Y13" s="95" t="s">
        <v>1342</v>
      </c>
      <c r="AA13">
        <v>1.2</v>
      </c>
      <c r="AC13" s="251">
        <v>2026</v>
      </c>
      <c r="AD13" s="95"/>
      <c r="AE13" s="252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2844</v>
      </c>
      <c r="Y14" s="95" t="s">
        <v>1022</v>
      </c>
      <c r="AA14">
        <v>1.2</v>
      </c>
      <c r="AC14" s="251">
        <v>2026</v>
      </c>
      <c r="AD14" s="95"/>
      <c r="AE14" s="252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2844</v>
      </c>
      <c r="Y15" s="95" t="s">
        <v>1366</v>
      </c>
      <c r="AA15">
        <v>1.2</v>
      </c>
      <c r="AC15" s="251">
        <v>2026</v>
      </c>
      <c r="AD15" s="95"/>
      <c r="AE15" s="252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2844</v>
      </c>
      <c r="Y16" s="95" t="s">
        <v>2842</v>
      </c>
      <c r="AA16">
        <v>1.2</v>
      </c>
      <c r="AC16" s="251">
        <v>2026</v>
      </c>
      <c r="AD16" s="95"/>
      <c r="AE16" s="252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2844</v>
      </c>
      <c r="Y17" s="95" t="s">
        <v>2843</v>
      </c>
      <c r="AA17">
        <v>1.2</v>
      </c>
      <c r="AC17" s="251">
        <v>2026</v>
      </c>
      <c r="AD17" s="95"/>
      <c r="AE17" s="252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A realizar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2845</v>
      </c>
      <c r="Y18" s="95" t="s">
        <v>1342</v>
      </c>
      <c r="AA18">
        <v>1.2</v>
      </c>
      <c r="AC18" s="251">
        <v>2026</v>
      </c>
      <c r="AD18" s="95"/>
      <c r="AE18" s="252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>Realizado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2845</v>
      </c>
      <c r="Y19" s="95" t="s">
        <v>1022</v>
      </c>
      <c r="AA19">
        <v>1.2</v>
      </c>
      <c r="AC19" s="251">
        <v>2026</v>
      </c>
      <c r="AD19" s="95"/>
      <c r="AE19" s="252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2026-021</v>
      </c>
      <c r="N20" t="str">
        <v xml:space="preserve">Cancelado </v>
      </c>
      <c r="O20" t="str">
        <v>Escola de Instrutores - Curso "Fundamentos em TD&amp;E"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2845</v>
      </c>
      <c r="Y20" s="95" t="s">
        <v>1366</v>
      </c>
      <c r="AA20">
        <v>1.2</v>
      </c>
      <c r="AC20" s="251">
        <v>2026</v>
      </c>
      <c r="AD20" s="95"/>
      <c r="AE20" s="252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2845</v>
      </c>
      <c r="Y21" s="95" t="s">
        <v>2842</v>
      </c>
      <c r="AA21">
        <v>1.2</v>
      </c>
      <c r="AC21" s="251">
        <v>2026</v>
      </c>
      <c r="AD21" s="95"/>
      <c r="AE21" s="252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Curso "Fundamentos em TD&amp;E"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2845</v>
      </c>
      <c r="Y22" s="95" t="s">
        <v>2843</v>
      </c>
      <c r="AA22">
        <v>1.2</v>
      </c>
      <c r="AC22" s="251">
        <v>2026</v>
      </c>
      <c r="AD22" s="95"/>
      <c r="AE22" s="252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2846</v>
      </c>
      <c r="Y23" s="95" t="s">
        <v>2711</v>
      </c>
      <c r="AA23">
        <v>2.4</v>
      </c>
      <c r="AC23" s="251">
        <v>2026</v>
      </c>
      <c r="AD23" s="95"/>
      <c r="AE23" s="252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2846</v>
      </c>
      <c r="Y24" s="95" t="s">
        <v>2838</v>
      </c>
      <c r="AA24">
        <v>0</v>
      </c>
      <c r="AC24" s="251">
        <v>2026</v>
      </c>
      <c r="AD24" s="95"/>
      <c r="AE24" s="252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2847</v>
      </c>
      <c r="Y25" s="95" t="s">
        <v>854</v>
      </c>
      <c r="AA25">
        <v>3.6</v>
      </c>
      <c r="AC25" s="251">
        <v>2026</v>
      </c>
      <c r="AD25" s="95"/>
      <c r="AE25" s="252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2847</v>
      </c>
      <c r="Y26" s="95" t="s">
        <v>2848</v>
      </c>
      <c r="Z26">
        <v>0</v>
      </c>
      <c r="AA26">
        <v>0</v>
      </c>
      <c r="AC26" s="251">
        <v>2026</v>
      </c>
      <c r="AD26" s="95"/>
      <c r="AE26" s="252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9" t="s">
        <v>2849</v>
      </c>
      <c r="Y27" s="95" t="s">
        <v>2711</v>
      </c>
      <c r="AA27">
        <v>2.4</v>
      </c>
      <c r="AC27" s="251">
        <v>2026</v>
      </c>
      <c r="AD27" s="95"/>
      <c r="AE27" s="252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9" t="s">
        <v>2849</v>
      </c>
      <c r="Y28" s="95" t="s">
        <v>2838</v>
      </c>
      <c r="AA28">
        <v>0</v>
      </c>
      <c r="AC28" s="251">
        <v>2026</v>
      </c>
      <c r="AD28" s="95"/>
      <c r="AE28" s="252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9" t="s">
        <v>2850</v>
      </c>
      <c r="Y29" s="95" t="s">
        <v>2711</v>
      </c>
      <c r="AA29">
        <v>2.4</v>
      </c>
      <c r="AC29" s="251">
        <v>2026</v>
      </c>
      <c r="AD29" s="95"/>
      <c r="AE29" s="252"/>
    </row>
    <row r="30" spans="1:31" x14ac:dyDescent="0.25">
      <c r="A30" s="98">
        <v>2026</v>
      </c>
      <c r="B30" s="98" t="str">
        <v>2026-019</v>
      </c>
      <c r="C30" s="98" t="str">
        <v>A realizar</v>
      </c>
      <c r="D30" s="95" t="str">
        <v>Fiscalizações Baseadas em Risco</v>
      </c>
      <c r="E30" s="97">
        <v>20</v>
      </c>
      <c r="F30" s="95" t="str">
        <v>Reinaldo Alencar</v>
      </c>
      <c r="G30" s="97">
        <v>2</v>
      </c>
      <c r="H30" s="99">
        <v>20</v>
      </c>
      <c r="I30" s="99">
        <v>3</v>
      </c>
      <c r="J30" s="99">
        <v>23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9" t="s">
        <v>2850</v>
      </c>
      <c r="Y30" s="95" t="s">
        <v>2838</v>
      </c>
      <c r="AA30">
        <v>0</v>
      </c>
      <c r="AC30" s="251">
        <v>2026</v>
      </c>
      <c r="AD30" s="95"/>
      <c r="AE30" s="252"/>
    </row>
    <row r="31" spans="1:31" x14ac:dyDescent="0.25">
      <c r="A31" s="98">
        <v>2026</v>
      </c>
      <c r="B31" s="98" t="str">
        <v>2026-019</v>
      </c>
      <c r="C31" s="98" t="str">
        <v>A realizar</v>
      </c>
      <c r="D31" s="95" t="str">
        <v>Fiscalizações Baseadas em Risco</v>
      </c>
      <c r="E31" s="97">
        <v>20</v>
      </c>
      <c r="F31" s="95" t="str">
        <v>Rogério Ribeiro</v>
      </c>
      <c r="G31" s="97">
        <v>2</v>
      </c>
      <c r="H31" s="99">
        <v>20</v>
      </c>
      <c r="I31" s="99">
        <v>3</v>
      </c>
      <c r="J31" s="99">
        <v>23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9" t="s">
        <v>2851</v>
      </c>
      <c r="Y31" s="95" t="s">
        <v>471</v>
      </c>
      <c r="Z31">
        <v>0</v>
      </c>
      <c r="AA31">
        <v>0</v>
      </c>
      <c r="AC31" s="251">
        <v>2026</v>
      </c>
      <c r="AD31" s="95"/>
      <c r="AE31" s="252"/>
    </row>
    <row r="32" spans="1:31" x14ac:dyDescent="0.25">
      <c r="A32" s="98">
        <v>2026</v>
      </c>
      <c r="B32" s="98" t="str">
        <v>2026-020</v>
      </c>
      <c r="C32" s="98" t="str">
        <v>Realizado</v>
      </c>
      <c r="D32" s="95" t="str">
        <v>Tcendo o Futuro</v>
      </c>
      <c r="E32" s="97">
        <v>4</v>
      </c>
      <c r="F32" s="95" t="str">
        <v>Cinthia Thais de Carvalho Luz Thomazi</v>
      </c>
      <c r="G32" s="97">
        <v>5</v>
      </c>
      <c r="H32" s="99">
        <v>4</v>
      </c>
      <c r="I32" s="99">
        <v>1.2</v>
      </c>
      <c r="J32" s="99">
        <v>5.2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9" t="s">
        <v>2852</v>
      </c>
      <c r="Y32" t="s">
        <v>1342</v>
      </c>
      <c r="Z32">
        <v>4</v>
      </c>
      <c r="AA32">
        <v>0.6</v>
      </c>
      <c r="AC32" s="251">
        <v>2026</v>
      </c>
      <c r="AD32" s="95"/>
      <c r="AE32" s="252"/>
    </row>
    <row r="33" spans="1:31" x14ac:dyDescent="0.25">
      <c r="A33" s="98">
        <v>2026</v>
      </c>
      <c r="B33" s="98" t="str">
        <v>2026-020</v>
      </c>
      <c r="C33" s="98" t="str">
        <v>Realizado</v>
      </c>
      <c r="D33" s="95" t="str">
        <v>Tcendo o Futuro</v>
      </c>
      <c r="E33" s="97">
        <v>4</v>
      </c>
      <c r="F33" s="95" t="str">
        <v>Adriana Cuoco Portugal</v>
      </c>
      <c r="G33" s="97">
        <v>5</v>
      </c>
      <c r="H33" s="99">
        <v>4</v>
      </c>
      <c r="I33" s="99">
        <v>1.2</v>
      </c>
      <c r="J33" s="99">
        <v>5.2</v>
      </c>
      <c r="L33">
        <v>2026</v>
      </c>
      <c r="M33" t="str">
        <v>2026-040</v>
      </c>
      <c r="N33" t="str">
        <v>A realizar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9" t="s">
        <v>2852</v>
      </c>
      <c r="Y33" t="s">
        <v>2853</v>
      </c>
      <c r="Z33">
        <v>4</v>
      </c>
      <c r="AA33">
        <v>0.6</v>
      </c>
      <c r="AC33" s="253"/>
      <c r="AD33" s="254" t="s">
        <v>2854</v>
      </c>
      <c r="AE33" s="255">
        <f>SUM(AE3:AE32)</f>
        <v>80</v>
      </c>
    </row>
    <row r="34" spans="1:31" x14ac:dyDescent="0.25">
      <c r="A34" s="98">
        <v>2026</v>
      </c>
      <c r="B34" s="98" t="str">
        <v>2026-020</v>
      </c>
      <c r="C34" s="98" t="str">
        <v>Realizado</v>
      </c>
      <c r="D34" s="95" t="str">
        <v>Tcendo o Futuro</v>
      </c>
      <c r="E34" s="97">
        <v>4</v>
      </c>
      <c r="F34" s="95" t="str">
        <v>Fernanda Viana de Souza</v>
      </c>
      <c r="G34" s="97">
        <v>5</v>
      </c>
      <c r="H34" s="99">
        <v>4</v>
      </c>
      <c r="I34" s="99">
        <v>1.2</v>
      </c>
      <c r="J34" s="99">
        <v>5.2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9" t="s">
        <v>2852</v>
      </c>
      <c r="Y34" t="s">
        <v>2855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>Realizado</v>
      </c>
      <c r="D35" s="95" t="str">
        <v>Tcendo o Futuro</v>
      </c>
      <c r="E35" s="97">
        <v>4</v>
      </c>
      <c r="F35" s="95" t="str">
        <v>Denise Duarte Guirra Kuhlmann</v>
      </c>
      <c r="G35" s="97">
        <v>5</v>
      </c>
      <c r="H35" s="99">
        <v>4</v>
      </c>
      <c r="I35" s="99">
        <v>1.2</v>
      </c>
      <c r="J35" s="99">
        <v>5.2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9" t="s">
        <v>2852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2026-020</v>
      </c>
      <c r="C36" s="98" t="str">
        <v>Realizado</v>
      </c>
      <c r="D36" s="95" t="str">
        <v>Tcendo o Futuro</v>
      </c>
      <c r="E36" s="97">
        <v>4</v>
      </c>
      <c r="F36" s="95" t="str">
        <v>Priscila Nolasco</v>
      </c>
      <c r="G36" s="97">
        <v>5</v>
      </c>
      <c r="H36" s="99">
        <v>4</v>
      </c>
      <c r="I36" s="99">
        <v>1.2</v>
      </c>
      <c r="J36" s="99">
        <v>5.2</v>
      </c>
      <c r="R36" t="str">
        <v/>
      </c>
      <c r="S36" t="str">
        <v/>
      </c>
      <c r="T36">
        <v>63</v>
      </c>
      <c r="X36" s="259" t="s">
        <v>2852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2026-021</v>
      </c>
      <c r="C37" s="163" t="str">
        <v xml:space="preserve">Cancelado </v>
      </c>
      <c r="D37" t="str">
        <v>Escola de Instrutores - Curso "Fundamentos em TD&amp;E"</v>
      </c>
      <c r="E37" s="163">
        <v>16</v>
      </c>
      <c r="F37" t="str">
        <v>Paulo José Góes Daltro</v>
      </c>
      <c r="G37" s="163">
        <v>1</v>
      </c>
      <c r="H37" s="163">
        <v>0</v>
      </c>
      <c r="I37" s="163">
        <v>0</v>
      </c>
      <c r="J37" s="163">
        <v>0</v>
      </c>
      <c r="R37" t="str">
        <v/>
      </c>
      <c r="S37" t="str">
        <v/>
      </c>
      <c r="X37" t="s">
        <v>2856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2026-022</v>
      </c>
      <c r="C38" s="163" t="str">
        <v>A realizar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R38" t="str">
        <v/>
      </c>
      <c r="S38" t="str">
        <v/>
      </c>
      <c r="X38" t="s">
        <v>2856</v>
      </c>
      <c r="Y38" s="262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2026-022</v>
      </c>
      <c r="C39" s="163" t="str">
        <v>A realizar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R39" t="str">
        <v/>
      </c>
      <c r="S39" t="str">
        <v/>
      </c>
      <c r="X39" t="s">
        <v>2938</v>
      </c>
      <c r="Y39" t="s">
        <v>548</v>
      </c>
      <c r="Z39">
        <v>32</v>
      </c>
      <c r="AA39">
        <v>0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Curso "Fundamentos em TD&amp;E"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R40" t="str">
        <v/>
      </c>
      <c r="S40" t="str">
        <v/>
      </c>
    </row>
    <row r="41" spans="1:31" x14ac:dyDescent="0.25">
      <c r="A41">
        <v>2026</v>
      </c>
      <c r="B41" t="str">
        <v>2026-025</v>
      </c>
      <c r="C41" s="163" t="str">
        <v>A realizar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63" t="str">
        <v>A realizar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A realizar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32</v>
      </c>
      <c r="I64">
        <v>0</v>
      </c>
      <c r="J64">
        <v>32</v>
      </c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79" t="s">
        <v>2857</v>
      </c>
      <c r="B1" s="279"/>
      <c r="C1" s="279"/>
      <c r="D1" s="279"/>
      <c r="E1" s="279"/>
      <c r="F1" s="279"/>
      <c r="G1" s="279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0" t="s">
        <v>2858</v>
      </c>
      <c r="B4" s="281"/>
      <c r="D4" s="282" t="s">
        <v>2859</v>
      </c>
      <c r="E4" s="283"/>
      <c r="G4" s="125" t="s">
        <v>2860</v>
      </c>
    </row>
    <row r="5" spans="1:7" ht="54.95" customHeight="1" thickBot="1" x14ac:dyDescent="0.75">
      <c r="A5" s="115">
        <f>COUNTIF('Ações InCompany'!B:B,2026)</f>
        <v>42</v>
      </c>
      <c r="B5" s="116" t="s">
        <v>2861</v>
      </c>
      <c r="D5" s="123">
        <f>COUNTIFS('Ações InCompany'!B:B,2026,'Ações InCompany'!C:C,"Realizado")</f>
        <v>25</v>
      </c>
      <c r="E5" s="124" t="s">
        <v>2861</v>
      </c>
      <c r="G5" s="126">
        <f>COUNTIFS('Ações InCompany'!B:B,2026,'Ações InCompany'!C:C,"A realizar")</f>
        <v>14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7" t="s">
        <v>2862</v>
      </c>
      <c r="B8" s="277"/>
      <c r="D8" s="277" t="s">
        <v>2863</v>
      </c>
      <c r="E8" s="277"/>
    </row>
    <row r="9" spans="1:7" ht="5.0999999999999996" customHeight="1" x14ac:dyDescent="0.25">
      <c r="A9" s="278"/>
      <c r="B9" s="278"/>
      <c r="D9" s="278"/>
      <c r="E9" s="278"/>
    </row>
    <row r="10" spans="1:7" ht="24.95" customHeight="1" x14ac:dyDescent="0.25">
      <c r="A10" s="108" t="s">
        <v>5</v>
      </c>
      <c r="B10" s="108" t="s">
        <v>2864</v>
      </c>
      <c r="D10" s="108" t="s">
        <v>2865</v>
      </c>
      <c r="E10" s="108" t="s">
        <v>2866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13</v>
      </c>
      <c r="D11" s="109" t="s">
        <v>2867</v>
      </c>
      <c r="E11" s="110">
        <f>SUMIFS('Ações InCompany'!O:O,'Ações InCompany'!B:B,2026,'Ações InCompany'!C:C,"Realizado")</f>
        <v>400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8</v>
      </c>
      <c r="D12" s="111" t="s">
        <v>2868</v>
      </c>
      <c r="E12" s="112">
        <f>SUMIFS('Ações InCompany'!P:P,'Ações InCompany'!B:B,2026,'Ações InCompany'!C:C,"Realizado")</f>
        <v>371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4</v>
      </c>
      <c r="D13" s="109" t="s">
        <v>2869</v>
      </c>
      <c r="E13" s="110">
        <f>SUMIFS('Ações InCompany'!Q:Q,'Ações InCompany'!B:B,2026,'Ações InCompany'!C:C,"Realizado")</f>
        <v>345</v>
      </c>
    </row>
    <row r="14" spans="1:7" ht="27.95" customHeight="1" x14ac:dyDescent="0.3">
      <c r="A14" s="113" t="s">
        <v>2870</v>
      </c>
      <c r="B14" s="114">
        <f>SUM(B11:B13)</f>
        <v>25</v>
      </c>
      <c r="D14" s="113" t="s">
        <v>2871</v>
      </c>
      <c r="E14" s="114">
        <f>SUM(E11:E13)</f>
        <v>1116</v>
      </c>
    </row>
    <row r="30" spans="1:5" ht="17.25" x14ac:dyDescent="0.3">
      <c r="A30" s="277" t="s">
        <v>2872</v>
      </c>
      <c r="B30" s="277"/>
      <c r="C30" s="277"/>
      <c r="D30" s="277"/>
      <c r="E30" s="277"/>
    </row>
    <row r="31" spans="1:5" ht="5.0999999999999996" customHeight="1" x14ac:dyDescent="0.25">
      <c r="A31" s="278"/>
      <c r="B31" s="278"/>
      <c r="C31" s="278"/>
      <c r="D31" s="278"/>
      <c r="E31" s="278"/>
    </row>
    <row r="32" spans="1:5" ht="24.95" customHeight="1" x14ac:dyDescent="0.25">
      <c r="A32" s="108" t="s">
        <v>6</v>
      </c>
      <c r="B32" s="108" t="s">
        <v>2873</v>
      </c>
      <c r="C32" s="108" t="s">
        <v>2874</v>
      </c>
      <c r="D32" s="108" t="s">
        <v>2875</v>
      </c>
      <c r="E32" s="108" t="s">
        <v>2876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2</v>
      </c>
      <c r="D33" s="117">
        <f t="shared" ref="D33:D44" si="0">B33+C33</f>
        <v>7</v>
      </c>
      <c r="E33" s="118">
        <f t="shared" ref="E33:E44" si="1">D33/$D$45</f>
        <v>0.17948717948717949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7.6923076923076927E-2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0.12820512820512819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5.128205128205128E-2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5.128205128205128E-2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4</v>
      </c>
      <c r="C38" s="128">
        <f>COUNTIFS('Ações InCompany'!B:B,2026,'Ações InCompany'!C:C,"A realizar",'Ações InCompany'!G:G,A38)</f>
        <v>3</v>
      </c>
      <c r="D38" s="119">
        <f t="shared" si="0"/>
        <v>7</v>
      </c>
      <c r="E38" s="120">
        <f t="shared" si="1"/>
        <v>0.17948717948717949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1</v>
      </c>
      <c r="C39" s="146">
        <f>COUNTIFS('Ações InCompany'!B:B,2026,'Ações InCompany'!C:C,"A realizar",'Ações InCompany'!G:G,A39)</f>
        <v>2</v>
      </c>
      <c r="D39" s="145">
        <f t="shared" si="0"/>
        <v>3</v>
      </c>
      <c r="E39" s="147">
        <f t="shared" si="1"/>
        <v>7.6923076923076927E-2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2.564102564102564E-2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3</v>
      </c>
      <c r="C41" s="152">
        <f>COUNTIFS('Ações InCompany'!B:B,2026,'Ações InCompany'!C:C,"A realizar",'Ações InCompany'!G:G,A41)</f>
        <v>4</v>
      </c>
      <c r="D41" s="151">
        <f>B41+C41</f>
        <v>7</v>
      </c>
      <c r="E41" s="157">
        <f>D41/$D$45</f>
        <v>0.17948717948717949</v>
      </c>
    </row>
    <row r="42" spans="1:5" ht="24" customHeight="1" x14ac:dyDescent="0.25">
      <c r="A42" s="156" t="s">
        <v>2877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5.128205128205128E-2</v>
      </c>
    </row>
    <row r="44" spans="1:5" ht="24" customHeight="1" x14ac:dyDescent="0.25">
      <c r="A44" s="148" t="s">
        <v>2878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2870</v>
      </c>
      <c r="B45" s="121">
        <f>SUM(B33:B44)</f>
        <v>25</v>
      </c>
      <c r="C45" s="121">
        <f>SUM(C33:C44)</f>
        <v>14</v>
      </c>
      <c r="D45" s="121">
        <f>SUM(D33:D44)</f>
        <v>39</v>
      </c>
      <c r="E45" s="122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2879</v>
      </c>
      <c r="B1" s="12" t="s">
        <v>2880</v>
      </c>
      <c r="C1" s="13" t="s">
        <v>2881</v>
      </c>
      <c r="D1" s="13" t="s">
        <v>2882</v>
      </c>
      <c r="E1" s="13" t="s">
        <v>2883</v>
      </c>
    </row>
    <row r="2" spans="1:5" ht="18" customHeight="1" x14ac:dyDescent="0.25">
      <c r="A2" s="12" t="s">
        <v>2884</v>
      </c>
      <c r="B2" s="12" t="s">
        <v>2885</v>
      </c>
      <c r="C2" s="12" t="s">
        <v>1728</v>
      </c>
      <c r="D2" s="12" t="s">
        <v>2886</v>
      </c>
      <c r="E2" s="12" t="s">
        <v>2887</v>
      </c>
    </row>
    <row r="3" spans="1:5" ht="18" customHeight="1" x14ac:dyDescent="0.25">
      <c r="A3" s="12" t="s">
        <v>2884</v>
      </c>
      <c r="B3" s="12" t="s">
        <v>2885</v>
      </c>
      <c r="C3" s="14" t="s">
        <v>24</v>
      </c>
      <c r="D3" s="12" t="s">
        <v>2888</v>
      </c>
      <c r="E3" s="12" t="s">
        <v>2889</v>
      </c>
    </row>
    <row r="4" spans="1:5" ht="18" customHeight="1" x14ac:dyDescent="0.25">
      <c r="A4" s="12" t="s">
        <v>2884</v>
      </c>
      <c r="B4" s="12" t="s">
        <v>2885</v>
      </c>
      <c r="C4" s="12" t="s">
        <v>67</v>
      </c>
      <c r="D4" s="12" t="s">
        <v>2886</v>
      </c>
      <c r="E4" s="12" t="s">
        <v>2890</v>
      </c>
    </row>
    <row r="5" spans="1:5" ht="18" customHeight="1" x14ac:dyDescent="0.25">
      <c r="A5" s="12" t="s">
        <v>2884</v>
      </c>
      <c r="B5" s="12" t="s">
        <v>2885</v>
      </c>
      <c r="C5" s="12" t="s">
        <v>71</v>
      </c>
      <c r="D5" s="12" t="s">
        <v>2891</v>
      </c>
      <c r="E5" s="12" t="s">
        <v>2892</v>
      </c>
    </row>
    <row r="6" spans="1:5" ht="18" customHeight="1" x14ac:dyDescent="0.25">
      <c r="A6" s="12" t="s">
        <v>2884</v>
      </c>
      <c r="B6" s="12" t="s">
        <v>2885</v>
      </c>
      <c r="C6" s="12" t="s">
        <v>2725</v>
      </c>
      <c r="D6" s="12" t="s">
        <v>2893</v>
      </c>
      <c r="E6" s="12" t="s">
        <v>2894</v>
      </c>
    </row>
    <row r="7" spans="1:5" ht="18" customHeight="1" x14ac:dyDescent="0.25">
      <c r="A7" s="12" t="s">
        <v>2884</v>
      </c>
      <c r="B7" s="12" t="s">
        <v>2895</v>
      </c>
      <c r="C7" s="12" t="s">
        <v>32</v>
      </c>
      <c r="D7" s="12" t="s">
        <v>2896</v>
      </c>
      <c r="E7" s="12" t="s">
        <v>2897</v>
      </c>
    </row>
    <row r="8" spans="1:5" ht="18" customHeight="1" x14ac:dyDescent="0.25">
      <c r="A8" s="12" t="s">
        <v>2884</v>
      </c>
      <c r="B8" s="12" t="s">
        <v>2895</v>
      </c>
      <c r="C8" s="12" t="s">
        <v>37</v>
      </c>
      <c r="D8" s="12" t="s">
        <v>2898</v>
      </c>
      <c r="E8" s="12" t="s">
        <v>2899</v>
      </c>
    </row>
    <row r="9" spans="1:5" ht="18" customHeight="1" x14ac:dyDescent="0.25">
      <c r="A9" s="12" t="s">
        <v>2884</v>
      </c>
      <c r="B9" s="12" t="s">
        <v>2900</v>
      </c>
      <c r="C9" s="12" t="s">
        <v>456</v>
      </c>
      <c r="D9" s="12" t="s">
        <v>2901</v>
      </c>
      <c r="E9" s="12" t="s">
        <v>2902</v>
      </c>
    </row>
    <row r="10" spans="1:5" ht="18" customHeight="1" x14ac:dyDescent="0.25">
      <c r="A10" s="12" t="s">
        <v>2884</v>
      </c>
      <c r="B10" s="12" t="s">
        <v>2900</v>
      </c>
      <c r="C10" s="12" t="s">
        <v>198</v>
      </c>
      <c r="D10" s="12" t="s">
        <v>23</v>
      </c>
      <c r="E10" s="12" t="s">
        <v>2903</v>
      </c>
    </row>
    <row r="11" spans="1:5" ht="18" customHeight="1" x14ac:dyDescent="0.25">
      <c r="A11" s="12" t="s">
        <v>2884</v>
      </c>
      <c r="B11" s="12" t="s">
        <v>2900</v>
      </c>
      <c r="C11" s="12" t="s">
        <v>363</v>
      </c>
      <c r="D11" s="12" t="s">
        <v>23</v>
      </c>
      <c r="E11" s="12" t="s">
        <v>2904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2905</v>
      </c>
      <c r="B1" s="5" t="s">
        <v>10</v>
      </c>
      <c r="C1" s="15" t="s">
        <v>2906</v>
      </c>
      <c r="D1" s="15" t="s">
        <v>2811</v>
      </c>
    </row>
    <row r="2" spans="1:4" ht="21" customHeight="1" x14ac:dyDescent="0.25">
      <c r="A2" s="261" t="s">
        <v>23</v>
      </c>
      <c r="B2" s="261" t="s">
        <v>34</v>
      </c>
      <c r="C2" s="12" t="s">
        <v>2907</v>
      </c>
      <c r="D2" s="12" t="s">
        <v>2740</v>
      </c>
    </row>
    <row r="3" spans="1:4" ht="21" customHeight="1" x14ac:dyDescent="0.25">
      <c r="A3" s="12" t="s">
        <v>61</v>
      </c>
      <c r="B3" s="261" t="s">
        <v>26</v>
      </c>
      <c r="C3" s="12" t="s">
        <v>2908</v>
      </c>
      <c r="D3" s="12" t="s">
        <v>2787</v>
      </c>
    </row>
    <row r="4" spans="1:4" ht="21" customHeight="1" x14ac:dyDescent="0.25">
      <c r="A4" s="14" t="s">
        <v>80</v>
      </c>
      <c r="B4" s="261" t="s">
        <v>219</v>
      </c>
      <c r="D4" s="12" t="s">
        <v>2746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2879</v>
      </c>
      <c r="B1" s="12" t="s">
        <v>2880</v>
      </c>
      <c r="C1" s="13" t="s">
        <v>2881</v>
      </c>
      <c r="D1" s="13" t="s">
        <v>2882</v>
      </c>
      <c r="E1" s="13" t="s">
        <v>2883</v>
      </c>
    </row>
    <row r="2" spans="1:5" ht="18" customHeight="1" x14ac:dyDescent="0.25">
      <c r="A2" s="12" t="s">
        <v>2909</v>
      </c>
      <c r="B2" s="12" t="s">
        <v>2885</v>
      </c>
      <c r="C2" s="14" t="s">
        <v>24</v>
      </c>
      <c r="D2" s="12" t="s">
        <v>2886</v>
      </c>
      <c r="E2" s="18" t="s">
        <v>2910</v>
      </c>
    </row>
    <row r="3" spans="1:5" ht="18" customHeight="1" x14ac:dyDescent="0.25">
      <c r="A3" s="12" t="s">
        <v>2909</v>
      </c>
      <c r="B3" s="12" t="s">
        <v>2885</v>
      </c>
      <c r="C3" s="12" t="s">
        <v>67</v>
      </c>
      <c r="D3" s="12" t="s">
        <v>2888</v>
      </c>
      <c r="E3" s="12" t="s">
        <v>2911</v>
      </c>
    </row>
    <row r="4" spans="1:5" ht="18" customHeight="1" x14ac:dyDescent="0.25">
      <c r="A4" s="12" t="s">
        <v>2909</v>
      </c>
      <c r="B4" s="12" t="s">
        <v>2885</v>
      </c>
      <c r="C4" s="12" t="s">
        <v>71</v>
      </c>
      <c r="D4" s="12" t="s">
        <v>2891</v>
      </c>
      <c r="E4" s="12" t="s">
        <v>2912</v>
      </c>
    </row>
    <row r="5" spans="1:5" ht="27.75" customHeight="1" x14ac:dyDescent="0.25">
      <c r="A5" s="12" t="s">
        <v>2909</v>
      </c>
      <c r="B5" s="12" t="s">
        <v>2885</v>
      </c>
      <c r="C5" s="12" t="s">
        <v>2688</v>
      </c>
      <c r="D5" s="18" t="s">
        <v>2913</v>
      </c>
      <c r="E5" s="12" t="s">
        <v>2914</v>
      </c>
    </row>
    <row r="6" spans="1:5" ht="18" customHeight="1" x14ac:dyDescent="0.25">
      <c r="A6" s="12" t="s">
        <v>2909</v>
      </c>
      <c r="B6" s="12" t="s">
        <v>2885</v>
      </c>
      <c r="C6" s="12" t="s">
        <v>2725</v>
      </c>
      <c r="D6" s="12" t="s">
        <v>2893</v>
      </c>
      <c r="E6" s="12" t="s">
        <v>2894</v>
      </c>
    </row>
    <row r="7" spans="1:5" ht="18" customHeight="1" x14ac:dyDescent="0.25">
      <c r="A7" s="12" t="s">
        <v>2909</v>
      </c>
      <c r="B7" s="12" t="s">
        <v>2895</v>
      </c>
      <c r="C7" s="12" t="s">
        <v>2709</v>
      </c>
      <c r="D7" s="12" t="s">
        <v>2915</v>
      </c>
      <c r="E7" s="12" t="s">
        <v>2916</v>
      </c>
    </row>
    <row r="8" spans="1:5" ht="18" customHeight="1" x14ac:dyDescent="0.25">
      <c r="A8" s="12" t="s">
        <v>2909</v>
      </c>
      <c r="B8" s="12" t="s">
        <v>2895</v>
      </c>
      <c r="C8" s="12" t="s">
        <v>37</v>
      </c>
      <c r="D8" s="12" t="s">
        <v>2898</v>
      </c>
      <c r="E8" s="12" t="s">
        <v>2899</v>
      </c>
    </row>
    <row r="9" spans="1:5" ht="18" customHeight="1" x14ac:dyDescent="0.25">
      <c r="A9" s="12" t="s">
        <v>2909</v>
      </c>
      <c r="B9" s="12" t="s">
        <v>2895</v>
      </c>
      <c r="C9" s="12" t="s">
        <v>2693</v>
      </c>
      <c r="D9" s="12" t="s">
        <v>2917</v>
      </c>
      <c r="E9" s="18" t="s">
        <v>2918</v>
      </c>
    </row>
    <row r="10" spans="1:5" ht="18" customHeight="1" x14ac:dyDescent="0.25">
      <c r="A10" s="12" t="s">
        <v>2909</v>
      </c>
      <c r="B10" s="12" t="s">
        <v>2919</v>
      </c>
      <c r="C10" s="12" t="s">
        <v>2877</v>
      </c>
      <c r="D10" s="12" t="s">
        <v>2920</v>
      </c>
      <c r="E10" s="18" t="s">
        <v>2921</v>
      </c>
    </row>
    <row r="11" spans="1:5" ht="18" customHeight="1" x14ac:dyDescent="0.25">
      <c r="A11" s="12" t="s">
        <v>2909</v>
      </c>
      <c r="B11" s="12" t="s">
        <v>2919</v>
      </c>
      <c r="C11" s="12" t="s">
        <v>198</v>
      </c>
      <c r="D11" s="12" t="s">
        <v>23</v>
      </c>
      <c r="E11" s="12" t="s">
        <v>2903</v>
      </c>
    </row>
    <row r="12" spans="1:5" ht="18" customHeight="1" x14ac:dyDescent="0.25">
      <c r="A12" s="12" t="s">
        <v>2909</v>
      </c>
      <c r="B12" s="12" t="s">
        <v>2919</v>
      </c>
      <c r="C12" s="12" t="s">
        <v>363</v>
      </c>
      <c r="D12" s="12" t="s">
        <v>23</v>
      </c>
      <c r="E12" s="12" t="s">
        <v>2904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tabSelected="1" workbookViewId="0">
      <pane ySplit="4" topLeftCell="A5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4" t="s">
        <v>2922</v>
      </c>
      <c r="B1" s="284"/>
      <c r="C1" s="284"/>
      <c r="D1" s="284"/>
      <c r="E1" s="284"/>
      <c r="F1" s="284"/>
    </row>
    <row r="2" spans="1:7" x14ac:dyDescent="0.25">
      <c r="A2" s="285" t="s">
        <v>2923</v>
      </c>
      <c r="B2" s="285"/>
      <c r="C2" s="285"/>
      <c r="D2" s="285"/>
      <c r="E2" s="285"/>
      <c r="F2" s="285"/>
    </row>
    <row r="4" spans="1:7" x14ac:dyDescent="0.25">
      <c r="A4" s="102" t="s">
        <v>19</v>
      </c>
      <c r="B4" s="102" t="s">
        <v>2814</v>
      </c>
      <c r="C4" s="102" t="s">
        <v>2815</v>
      </c>
      <c r="D4" s="102" t="s">
        <v>2924</v>
      </c>
      <c r="E4" s="102" t="s">
        <v>2816</v>
      </c>
      <c r="F4" s="102" t="s">
        <v>2925</v>
      </c>
    </row>
    <row r="5" spans="1:7" x14ac:dyDescent="0.25">
      <c r="A5" t="str" cm="1">
        <f t="array" ref="A5:A30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16</v>
      </c>
      <c r="C5" s="103">
        <f>IF($A5="","",SUMIFS('GECC 2026'!I$2:I$200,'GECC 2026'!F$2:F$200,$A5))</f>
        <v>4.8</v>
      </c>
      <c r="D5" s="258">
        <f>IF($A5="","",SUMIFS('GECC 2026'!$AE$3:$AE$32,'GECC 2026'!$AD$3:$AD$32,$A5))</f>
        <v>0</v>
      </c>
      <c r="E5" s="243">
        <f>IF($A5="","",SUMIFS('GECC 2026'!J$2:J$200,'GECC 2026'!F$2:F$200,$A5)+SUMIFS('GECC 2026'!$AE$3:$AE$32,'GECC 2026'!$AD$3:$AD$32,$A5))</f>
        <v>20.8</v>
      </c>
      <c r="F5" s="101">
        <f>IF($A5="","",COUNTIFS('GECC 2026'!F$2:F$200,$A5))</f>
        <v>4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8">
        <f>IF($A6="","",SUMIFS('GECC 2026'!$AE$3:$AE$32,'GECC 2026'!$AD$3:$AD$32,$A6))</f>
        <v>0</v>
      </c>
      <c r="E6" s="243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Arthur Wú</v>
      </c>
      <c r="B7" s="103">
        <f>IF($A7="","",SUMIFS('GECC 2026'!H$2:H$200,'GECC 2026'!F$2:F$200,$A7))</f>
        <v>33</v>
      </c>
      <c r="C7" s="103">
        <f>IF($A7="","",SUMIFS('GECC 2026'!I$2:I$200,'GECC 2026'!F$2:F$200,$A7))</f>
        <v>10.199999999999999</v>
      </c>
      <c r="D7" s="258">
        <f>IF($A7="","",SUMIFS('GECC 2026'!$AE$3:$AE$32,'GECC 2026'!$AD$3:$AD$32,$A7))</f>
        <v>0</v>
      </c>
      <c r="E7" s="243">
        <f>IF($A7="","",SUMIFS('GECC 2026'!J$2:J$200,'GECC 2026'!F$2:F$200,$A7)+SUMIFS('GECC 2026'!$AE$3:$AE$32,'GECC 2026'!$AD$3:$AD$32,$A7))</f>
        <v>43.2</v>
      </c>
      <c r="F7" s="101">
        <f>IF($A7="","",COUNTIFS('GECC 2026'!F$2:F$200,$A7))</f>
        <v>5</v>
      </c>
    </row>
    <row r="8" spans="1:7" x14ac:dyDescent="0.25">
      <c r="A8" t="str">
        <v>Cássio Murilo Alves Costa Filho</v>
      </c>
      <c r="B8" s="103">
        <f>IF($A8="","",SUMIFS('GECC 2026'!H$2:H$200,'GECC 2026'!F$2:F$200,$A8))</f>
        <v>16</v>
      </c>
      <c r="C8" s="103">
        <f>IF($A8="","",SUMIFS('GECC 2026'!I$2:I$200,'GECC 2026'!F$2:F$200,$A8))</f>
        <v>4.8</v>
      </c>
      <c r="D8" s="258">
        <f>IF($A8="","",SUMIFS('GECC 2026'!$AE$3:$AE$32,'GECC 2026'!$AD$3:$AD$32,$A8))</f>
        <v>16</v>
      </c>
      <c r="E8" s="243">
        <f>IF($A8="","",SUMIFS('GECC 2026'!J$2:J$200,'GECC 2026'!F$2:F$200,$A8)+SUMIFS('GECC 2026'!$AE$3:$AE$32,'GECC 2026'!$AD$3:$AD$32,$A8))</f>
        <v>36.799999999999997</v>
      </c>
      <c r="F8" s="101">
        <f>IF($A8="","",COUNTIFS('GECC 2026'!F$2:F$200,$A8))</f>
        <v>1</v>
      </c>
    </row>
    <row r="9" spans="1:7" x14ac:dyDescent="0.25">
      <c r="A9" t="str">
        <v>Cinthia Thais de Carvalho Luz Thomazi</v>
      </c>
      <c r="B9" s="103">
        <f>IF($A9="","",SUMIFS('GECC 2026'!H$2:H$200,'GECC 2026'!F$2:F$200,$A9))</f>
        <v>36</v>
      </c>
      <c r="C9" s="103">
        <f>IF($A9="","",SUMIFS('GECC 2026'!I$2:I$200,'GECC 2026'!F$2:F$200,$A9))</f>
        <v>7.2</v>
      </c>
      <c r="D9" s="258">
        <f>IF($A9="","",SUMIFS('GECC 2026'!$AE$3:$AE$32,'GECC 2026'!$AD$3:$AD$32,$A9))</f>
        <v>0</v>
      </c>
      <c r="E9" s="243">
        <f>IF($A9="","",SUMIFS('GECC 2026'!J$2:J$200,'GECC 2026'!F$2:F$200,$A9)+SUMIFS('GECC 2026'!$AE$3:$AE$32,'GECC 2026'!$AD$3:$AD$32,$A9))</f>
        <v>43.2</v>
      </c>
      <c r="F9" s="101">
        <f>IF($A9="","",COUNTIFS('GECC 2026'!F$2:F$200,$A9))</f>
        <v>5</v>
      </c>
    </row>
    <row r="10" spans="1:7" x14ac:dyDescent="0.25">
      <c r="A10" t="str">
        <v>Denise Duarte Guirra Kuhlmann</v>
      </c>
      <c r="B10" s="103">
        <f>IF($A10="","",SUMIFS('GECC 2026'!H$2:H$200,'GECC 2026'!F$2:F$200,$A10))</f>
        <v>12</v>
      </c>
      <c r="C10" s="103">
        <f>IF($A10="","",SUMIFS('GECC 2026'!I$2:I$200,'GECC 2026'!F$2:F$200,$A10))</f>
        <v>3.5999999999999996</v>
      </c>
      <c r="D10" s="258">
        <f>IF($A10="","",SUMIFS('GECC 2026'!$AE$3:$AE$32,'GECC 2026'!$AD$3:$AD$32,$A10))</f>
        <v>0</v>
      </c>
      <c r="E10" s="243">
        <f>IF($A10="","",SUMIFS('GECC 2026'!J$2:J$200,'GECC 2026'!F$2:F$200,$A10)+SUMIFS('GECC 2026'!$AE$3:$AE$32,'GECC 2026'!$AD$3:$AD$32,$A10))</f>
        <v>15.600000000000001</v>
      </c>
      <c r="F10" s="101">
        <f>IF($A10="","",COUNTIFS('GECC 2026'!F$2:F$200,$A10))</f>
        <v>3</v>
      </c>
    </row>
    <row r="11" spans="1:7" x14ac:dyDescent="0.25">
      <c r="A11" t="str">
        <v>Diversos</v>
      </c>
      <c r="B11" s="103">
        <f>IF($A11="","",SUMIFS('GECC 2026'!H$2:H$200,'GECC 2026'!F$2:F$200,$A11))</f>
        <v>0</v>
      </c>
      <c r="C11" s="103">
        <f>IF($A11="","",SUMIFS('GECC 2026'!I$2:I$200,'GECC 2026'!F$2:F$200,$A11))</f>
        <v>0</v>
      </c>
      <c r="D11" s="258">
        <f>IF($A11="","",SUMIFS('GECC 2026'!$AE$3:$AE$32,'GECC 2026'!$AD$3:$AD$32,$A11))</f>
        <v>0</v>
      </c>
      <c r="E11" s="243">
        <f>IF($A11="","",SUMIFS('GECC 2026'!J$2:J$200,'GECC 2026'!F$2:F$200,$A11)+SUMIFS('GECC 2026'!$AE$3:$AE$32,'GECC 2026'!$AD$3:$AD$32,$A11))</f>
        <v>0</v>
      </c>
      <c r="F11" s="101">
        <f>IF($A11="","",COUNTIFS('GECC 2026'!F$2:F$200,$A11))</f>
        <v>1</v>
      </c>
    </row>
    <row r="12" spans="1:7" x14ac:dyDescent="0.25">
      <c r="A12" t="str">
        <v>Fernanda Viana de Souza</v>
      </c>
      <c r="B12" s="103">
        <f>IF($A12="","",SUMIFS('GECC 2026'!H$2:H$200,'GECC 2026'!F$2:F$200,$A12))</f>
        <v>15</v>
      </c>
      <c r="C12" s="103">
        <f>IF($A12="","",SUMIFS('GECC 2026'!I$2:I$200,'GECC 2026'!F$2:F$200,$A12))</f>
        <v>4.05</v>
      </c>
      <c r="D12" s="258">
        <f>IF($A12="","",SUMIFS('GECC 2026'!$AE$3:$AE$32,'GECC 2026'!$AD$3:$AD$32,$A12))</f>
        <v>0</v>
      </c>
      <c r="E12" s="243">
        <f>IF($A12="","",SUMIFS('GECC 2026'!J$2:J$200,'GECC 2026'!F$2:F$200,$A12)+SUMIFS('GECC 2026'!$AE$3:$AE$32,'GECC 2026'!$AD$3:$AD$32,$A12))</f>
        <v>19.05</v>
      </c>
      <c r="F12" s="101">
        <f>IF($A12="","",COUNTIFS('GECC 2026'!F$2:F$200,$A12))</f>
        <v>4</v>
      </c>
    </row>
    <row r="13" spans="1:7" x14ac:dyDescent="0.25">
      <c r="A13" t="str">
        <v>Flávio José Fonseca de Souza</v>
      </c>
      <c r="B13" s="103">
        <f>IF($A13="","",SUMIFS('GECC 2026'!H$2:H$200,'GECC 2026'!F$2:F$200,$A13))</f>
        <v>8</v>
      </c>
      <c r="C13" s="103">
        <f>IF($A13="","",SUMIFS('GECC 2026'!I$2:I$200,'GECC 2026'!F$2:F$200,$A13))</f>
        <v>2.4</v>
      </c>
      <c r="D13" s="258">
        <f>IF($A13="","",SUMIFS('GECC 2026'!$AE$3:$AE$32,'GECC 2026'!$AD$3:$AD$32,$A13))</f>
        <v>0</v>
      </c>
      <c r="E13" s="243">
        <f>IF($A13="","",SUMIFS('GECC 2026'!J$2:J$200,'GECC 2026'!F$2:F$200,$A13)+SUMIFS('GECC 2026'!$AE$3:$AE$32,'GECC 2026'!$AD$3:$AD$32,$A13))</f>
        <v>10.4</v>
      </c>
      <c r="F13" s="101">
        <f>IF($A13="","",COUNTIFS('GECC 2026'!F$2:F$200,$A13))</f>
        <v>1</v>
      </c>
    </row>
    <row r="14" spans="1:7" x14ac:dyDescent="0.25">
      <c r="A14" t="str">
        <v>Gabriel Heller</v>
      </c>
      <c r="B14" s="103">
        <f>IF($A14="","",SUMIFS('GECC 2026'!H$2:H$200,'GECC 2026'!F$2:F$200,$A14))</f>
        <v>36</v>
      </c>
      <c r="C14" s="103">
        <f>IF($A14="","",SUMIFS('GECC 2026'!I$2:I$200,'GECC 2026'!F$2:F$200,$A14))</f>
        <v>1.2</v>
      </c>
      <c r="D14" s="258">
        <f>IF($A14="","",SUMIFS('GECC 2026'!$AE$3:$AE$32,'GECC 2026'!$AD$3:$AD$32,$A14))</f>
        <v>0</v>
      </c>
      <c r="E14" s="243">
        <f>IF($A14="","",SUMIFS('GECC 2026'!J$2:J$200,'GECC 2026'!F$2:F$200,$A14)+SUMIFS('GECC 2026'!$AE$3:$AE$32,'GECC 2026'!$AD$3:$AD$32,$A14))</f>
        <v>37.200000000000003</v>
      </c>
      <c r="F14" s="101">
        <f>IF($A14="","",COUNTIFS('GECC 2026'!F$2:F$200,$A14))</f>
        <v>2</v>
      </c>
    </row>
    <row r="15" spans="1:7" x14ac:dyDescent="0.25">
      <c r="A15" t="str">
        <v>Gustavo Takahashi</v>
      </c>
      <c r="B15" s="103">
        <f>IF($A15="","",SUMIFS('GECC 2026'!H$2:H$200,'GECC 2026'!F$2:F$200,$A15))</f>
        <v>25</v>
      </c>
      <c r="C15" s="103">
        <f>IF($A15="","",SUMIFS('GECC 2026'!I$2:I$200,'GECC 2026'!F$2:F$200,$A15))</f>
        <v>0</v>
      </c>
      <c r="D15" s="258">
        <f>IF($A15="","",SUMIFS('GECC 2026'!$AE$3:$AE$32,'GECC 2026'!$AD$3:$AD$32,$A15))</f>
        <v>0</v>
      </c>
      <c r="E15" s="243">
        <f>IF($A15="","",SUMIFS('GECC 2026'!J$2:J$200,'GECC 2026'!F$2:F$200,$A15)+SUMIFS('GECC 2026'!$AE$3:$AE$32,'GECC 2026'!$AD$3:$AD$32,$A15))</f>
        <v>25</v>
      </c>
      <c r="F15" s="101">
        <f>IF($A15="","",COUNTIFS('GECC 2026'!F$2:F$200,$A15))</f>
        <v>4</v>
      </c>
    </row>
    <row r="16" spans="1:7" x14ac:dyDescent="0.25">
      <c r="A16" t="str">
        <v>Indio Artiaga do Brasil Rabelo</v>
      </c>
      <c r="B16" s="103">
        <f>IF($A16="","",SUMIFS('GECC 2026'!H$2:H$200,'GECC 2026'!F$2:F$200,$A16))</f>
        <v>12</v>
      </c>
      <c r="C16" s="103">
        <f>IF($A16="","",SUMIFS('GECC 2026'!I$2:I$200,'GECC 2026'!F$2:F$200,$A16))</f>
        <v>3.6</v>
      </c>
      <c r="D16" s="258">
        <f>IF($A16="","",SUMIFS('GECC 2026'!$AE$3:$AE$32,'GECC 2026'!$AD$3:$AD$32,$A16))</f>
        <v>0</v>
      </c>
      <c r="E16" s="243">
        <f>IF($A16="","",SUMIFS('GECC 2026'!J$2:J$200,'GECC 2026'!F$2:F$200,$A16)+SUMIFS('GECC 2026'!$AE$3:$AE$32,'GECC 2026'!$AD$3:$AD$32,$A16))</f>
        <v>15.6</v>
      </c>
      <c r="F16" s="101">
        <f>IF($A16="","",COUNTIFS('GECC 2026'!F$2:F$200,$A16))</f>
        <v>1</v>
      </c>
    </row>
    <row r="17" spans="1:6" x14ac:dyDescent="0.25">
      <c r="A17" t="str">
        <v>Leonardo de Melo</v>
      </c>
      <c r="B17" s="103">
        <f>IF($A17="","",SUMIFS('GECC 2026'!H$2:H$200,'GECC 2026'!F$2:F$200,$A17))</f>
        <v>0</v>
      </c>
      <c r="C17" s="103">
        <f>IF($A17="","",SUMIFS('GECC 2026'!I$2:I$200,'GECC 2026'!F$2:F$200,$A17))</f>
        <v>0</v>
      </c>
      <c r="D17" s="258">
        <f>IF($A17="","",SUMIFS('GECC 2026'!$AE$3:$AE$32,'GECC 2026'!$AD$3:$AD$32,$A17))</f>
        <v>0</v>
      </c>
      <c r="E17" s="243">
        <f>IF($A17="","",SUMIFS('GECC 2026'!J$2:J$200,'GECC 2026'!F$2:F$200,$A17)+SUMIFS('GECC 2026'!$AE$3:$AE$32,'GECC 2026'!$AD$3:$AD$32,$A17))</f>
        <v>0</v>
      </c>
      <c r="F17" s="101">
        <f>IF($A17="","",COUNTIFS('GECC 2026'!F$2:F$200,$A17))</f>
        <v>1</v>
      </c>
    </row>
    <row r="18" spans="1:6" x14ac:dyDescent="0.25">
      <c r="A18" t="str">
        <v>Leonardo José Alves Leal Neri</v>
      </c>
      <c r="B18" s="103">
        <f>IF($A18="","",SUMIFS('GECC 2026'!H$2:H$200,'GECC 2026'!F$2:F$200,$A18))</f>
        <v>40</v>
      </c>
      <c r="C18" s="103">
        <f>IF($A18="","",SUMIFS('GECC 2026'!I$2:I$200,'GECC 2026'!F$2:F$200,$A18))</f>
        <v>12</v>
      </c>
      <c r="D18" s="258">
        <f>IF($A18="","",SUMIFS('GECC 2026'!$AE$3:$AE$32,'GECC 2026'!$AD$3:$AD$32,$A18))</f>
        <v>0</v>
      </c>
      <c r="E18" s="243">
        <f>IF($A18="","",SUMIFS('GECC 2026'!J$2:J$200,'GECC 2026'!F$2:F$200,$A18)+SUMIFS('GECC 2026'!$AE$3:$AE$32,'GECC 2026'!$AD$3:$AD$32,$A18))</f>
        <v>52</v>
      </c>
      <c r="F18" s="101">
        <f>IF($A18="","",COUNTIFS('GECC 2026'!F$2:F$200,$A18))</f>
        <v>2</v>
      </c>
    </row>
    <row r="19" spans="1:6" x14ac:dyDescent="0.25">
      <c r="A19" t="str">
        <v>Luciana Alvim</v>
      </c>
      <c r="B19" s="103">
        <f>IF($A19="","",SUMIFS('GECC 2026'!H$2:H$200,'GECC 2026'!F$2:F$200,$A19))</f>
        <v>60</v>
      </c>
      <c r="C19" s="103">
        <f>IF($A19="","",SUMIFS('GECC 2026'!I$2:I$200,'GECC 2026'!F$2:F$200,$A19))</f>
        <v>94</v>
      </c>
      <c r="D19" s="258">
        <f>IF($A19="","",SUMIFS('GECC 2026'!$AE$3:$AE$32,'GECC 2026'!$AD$3:$AD$32,$A19))</f>
        <v>0</v>
      </c>
      <c r="E19" s="243">
        <f>IF($A19="","",SUMIFS('GECC 2026'!J$2:J$200,'GECC 2026'!F$2:F$200,$A19)+SUMIFS('GECC 2026'!$AE$3:$AE$32,'GECC 2026'!$AD$3:$AD$32,$A19))</f>
        <v>154</v>
      </c>
      <c r="F19" s="101">
        <f>IF($A19="","",COUNTIFS('GECC 2026'!F$2:F$200,$A19))</f>
        <v>6</v>
      </c>
    </row>
    <row r="20" spans="1:6" x14ac:dyDescent="0.25">
      <c r="A20" t="str">
        <v>Marcelo Bálbio Moraes</v>
      </c>
      <c r="B20" s="103">
        <f>IF($A20="","",SUMIFS('GECC 2026'!H$2:H$200,'GECC 2026'!F$2:F$200,$A20))</f>
        <v>0</v>
      </c>
      <c r="C20" s="103">
        <f>IF($A20="","",SUMIFS('GECC 2026'!I$2:I$200,'GECC 2026'!F$2:F$200,$A20))</f>
        <v>0</v>
      </c>
      <c r="D20" s="258">
        <f>IF($A20="","",SUMIFS('GECC 2026'!$AE$3:$AE$32,'GECC 2026'!$AD$3:$AD$32,$A20))</f>
        <v>16</v>
      </c>
      <c r="E20" s="243">
        <f>IF($A20="","",SUMIFS('GECC 2026'!J$2:J$200,'GECC 2026'!F$2:F$200,$A20)+SUMIFS('GECC 2026'!$AE$3:$AE$32,'GECC 2026'!$AD$3:$AD$32,$A20))</f>
        <v>16</v>
      </c>
      <c r="F20" s="101">
        <f>IF($A20="","",COUNTIFS('GECC 2026'!F$2:F$200,$A20))</f>
        <v>0</v>
      </c>
    </row>
    <row r="21" spans="1:6" x14ac:dyDescent="0.25">
      <c r="A21" t="str">
        <v>Mauri Siqueira Montessi</v>
      </c>
      <c r="B21" s="103">
        <f>IF($A21="","",SUMIFS('GECC 2026'!H$2:H$200,'GECC 2026'!F$2:F$200,$A21))</f>
        <v>0</v>
      </c>
      <c r="C21" s="103">
        <f>IF($A21="","",SUMIFS('GECC 2026'!I$2:I$200,'GECC 2026'!F$2:F$200,$A21))</f>
        <v>0</v>
      </c>
      <c r="D21" s="258">
        <f>IF($A21="","",SUMIFS('GECC 2026'!$AE$3:$AE$32,'GECC 2026'!$AD$3:$AD$32,$A21))</f>
        <v>16</v>
      </c>
      <c r="E21" s="243">
        <f>IF($A21="","",SUMIFS('GECC 2026'!J$2:J$200,'GECC 2026'!F$2:F$200,$A21)+SUMIFS('GECC 2026'!$AE$3:$AE$32,'GECC 2026'!$AD$3:$AD$32,$A21))</f>
        <v>16</v>
      </c>
      <c r="F21" s="101">
        <f>IF($A21="","",COUNTIFS('GECC 2026'!F$2:F$200,$A21))</f>
        <v>0</v>
      </c>
    </row>
    <row r="22" spans="1:6" x14ac:dyDescent="0.25">
      <c r="A22" t="str">
        <v>Michel Martins de Morais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8">
        <f>IF($A22="","",SUMIFS('GECC 2026'!$AE$3:$AE$32,'GECC 2026'!$AD$3:$AD$32,$A22))</f>
        <v>16</v>
      </c>
      <c r="E22" s="243">
        <f>IF($A22="","",SUMIFS('GECC 2026'!J$2:J$200,'GECC 2026'!F$2:F$200,$A22)+SUMIFS('GECC 2026'!$AE$3:$AE$32,'GECC 2026'!$AD$3:$AD$32,$A22))</f>
        <v>16</v>
      </c>
      <c r="F22" s="101">
        <f>IF($A22="","",COUNTIFS('GECC 2026'!F$2:F$200,$A22))</f>
        <v>0</v>
      </c>
    </row>
    <row r="23" spans="1:6" x14ac:dyDescent="0.25">
      <c r="A23" t="str">
        <v>Paulo José Góes Daltro</v>
      </c>
      <c r="B23" s="103">
        <f>IF($A23="","",SUMIFS('GECC 2026'!H$2:H$200,'GECC 2026'!F$2:F$200,$A23))</f>
        <v>0</v>
      </c>
      <c r="C23" s="103">
        <f>IF($A23="","",SUMIFS('GECC 2026'!I$2:I$200,'GECC 2026'!F$2:F$200,$A23))</f>
        <v>0</v>
      </c>
      <c r="D23" s="258">
        <f>IF($A23="","",SUMIFS('GECC 2026'!$AE$3:$AE$32,'GECC 2026'!$AD$3:$AD$32,$A23))</f>
        <v>0</v>
      </c>
      <c r="E23" s="243">
        <f>IF($A23="","",SUMIFS('GECC 2026'!J$2:J$200,'GECC 2026'!F$2:F$200,$A23)+SUMIFS('GECC 2026'!$AE$3:$AE$32,'GECC 2026'!$AD$3:$AD$32,$A23))</f>
        <v>0</v>
      </c>
      <c r="F23" s="101">
        <f>IF($A23="","",COUNTIFS('GECC 2026'!F$2:F$200,$A23))</f>
        <v>3</v>
      </c>
    </row>
    <row r="24" spans="1:6" x14ac:dyDescent="0.25">
      <c r="A24" t="str">
        <v>Priscila Nolasco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3.5999999999999996</v>
      </c>
      <c r="D24" s="258">
        <f>IF($A24="","",SUMIFS('GECC 2026'!$AE$3:$AE$32,'GECC 2026'!$AD$3:$AD$32,$A24))</f>
        <v>0</v>
      </c>
      <c r="E24" s="243">
        <f>IF($A24="","",SUMIFS('GECC 2026'!J$2:J$200,'GECC 2026'!F$2:F$200,$A24)+SUMIFS('GECC 2026'!$AE$3:$AE$32,'GECC 2026'!$AD$3:$AD$32,$A24))</f>
        <v>15.600000000000001</v>
      </c>
      <c r="F24" s="101">
        <f>IF($A24="","",COUNTIFS('GECC 2026'!F$2:F$200,$A24))</f>
        <v>3</v>
      </c>
    </row>
    <row r="25" spans="1:6" x14ac:dyDescent="0.25">
      <c r="A25" t="str">
        <v>Reinaldo Alencar</v>
      </c>
      <c r="B25" s="103">
        <f>IF($A25="","",SUMIFS('GECC 2026'!H$2:H$200,'GECC 2026'!F$2:F$200,$A25))</f>
        <v>48</v>
      </c>
      <c r="C25" s="103">
        <f>IF($A25="","",SUMIFS('GECC 2026'!I$2:I$200,'GECC 2026'!F$2:F$200,$A25))</f>
        <v>7.1999999999999993</v>
      </c>
      <c r="D25" s="258">
        <f>IF($A25="","",SUMIFS('GECC 2026'!$AE$3:$AE$32,'GECC 2026'!$AD$3:$AD$32,$A25))</f>
        <v>0</v>
      </c>
      <c r="E25" s="243">
        <f>IF($A25="","",SUMIFS('GECC 2026'!J$2:J$200,'GECC 2026'!F$2:F$200,$A25)+SUMIFS('GECC 2026'!$AE$3:$AE$32,'GECC 2026'!$AD$3:$AD$32,$A25))</f>
        <v>55.2</v>
      </c>
      <c r="F25" s="101">
        <f>IF($A25="","",COUNTIFS('GECC 2026'!F$2:F$200,$A25))</f>
        <v>3</v>
      </c>
    </row>
    <row r="26" spans="1:6" x14ac:dyDescent="0.25">
      <c r="A26" t="str">
        <v>Rogério Ribeiro</v>
      </c>
      <c r="B26" s="103">
        <f>IF($A26="","",SUMIFS('GECC 2026'!H$2:H$200,'GECC 2026'!F$2:F$200,$A26))</f>
        <v>48</v>
      </c>
      <c r="C26" s="103">
        <f>IF($A26="","",SUMIFS('GECC 2026'!I$2:I$200,'GECC 2026'!F$2:F$200,$A26))</f>
        <v>7.1999999999999993</v>
      </c>
      <c r="D26" s="258">
        <f>IF($A26="","",SUMIFS('GECC 2026'!$AE$3:$AE$32,'GECC 2026'!$AD$3:$AD$32,$A26))</f>
        <v>0</v>
      </c>
      <c r="E26" s="243">
        <f>IF($A26="","",SUMIFS('GECC 2026'!J$2:J$200,'GECC 2026'!F$2:F$200,$A26)+SUMIFS('GECC 2026'!$AE$3:$AE$32,'GECC 2026'!$AD$3:$AD$32,$A26))</f>
        <v>55.2</v>
      </c>
      <c r="F26" s="101">
        <f>IF($A26="","",COUNTIFS('GECC 2026'!F$2:F$200,$A26))</f>
        <v>3</v>
      </c>
    </row>
    <row r="27" spans="1:6" x14ac:dyDescent="0.25">
      <c r="A27" t="str">
        <v>Rômulo Miranda Alvim</v>
      </c>
      <c r="B27" s="103">
        <f>IF($A27="","",SUMIFS('GECC 2026'!H$2:H$200,'GECC 2026'!F$2:F$200,$A27))</f>
        <v>24</v>
      </c>
      <c r="C27" s="103">
        <f>IF($A27="","",SUMIFS('GECC 2026'!I$2:I$200,'GECC 2026'!F$2:F$200,$A27))</f>
        <v>3.6</v>
      </c>
      <c r="D27" s="258">
        <f>IF($A27="","",SUMIFS('GECC 2026'!$AE$3:$AE$32,'GECC 2026'!$AD$3:$AD$32,$A27))</f>
        <v>16</v>
      </c>
      <c r="E27" s="243">
        <f>IF($A27="","",SUMIFS('GECC 2026'!J$2:J$200,'GECC 2026'!F$2:F$200,$A27)+SUMIFS('GECC 2026'!$AE$3:$AE$32,'GECC 2026'!$AD$3:$AD$32,$A27))</f>
        <v>43.6</v>
      </c>
      <c r="F27" s="101">
        <f>IF($A27="","",COUNTIFS('GECC 2026'!F$2:F$200,$A27))</f>
        <v>2</v>
      </c>
    </row>
    <row r="28" spans="1:6" x14ac:dyDescent="0.25">
      <c r="A28" t="str">
        <v>Servidores, colaboradores e estagiários do TCDF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8">
        <f>IF($A28="","",SUMIFS('GECC 2026'!$AE$3:$AE$32,'GECC 2026'!$AD$3:$AD$32,$A28))</f>
        <v>0</v>
      </c>
      <c r="E28" s="243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Tarsila Firmino Ely</v>
      </c>
      <c r="B29" s="103">
        <f>IF($A29="","",SUMIFS('GECC 2026'!H$2:H$200,'GECC 2026'!F$2:F$200,$A29))</f>
        <v>56</v>
      </c>
      <c r="C29" s="103">
        <f>IF($A29="","",SUMIFS('GECC 2026'!I$2:I$200,'GECC 2026'!F$2:F$200,$A29))</f>
        <v>96.4</v>
      </c>
      <c r="D29" s="258">
        <f>IF($A29="","",SUMIFS('GECC 2026'!$AE$3:$AE$32,'GECC 2026'!$AD$3:$AD$32,$A29))</f>
        <v>0</v>
      </c>
      <c r="E29" s="243">
        <f>IF($A29="","",SUMIFS('GECC 2026'!J$2:J$200,'GECC 2026'!F$2:F$200,$A29)+SUMIFS('GECC 2026'!$AE$3:$AE$32,'GECC 2026'!$AD$3:$AD$32,$A29))</f>
        <v>152.4</v>
      </c>
      <c r="F29" s="101">
        <f>IF($A29="","",COUNTIFS('GECC 2026'!F$2:F$200,$A29))</f>
        <v>5</v>
      </c>
    </row>
    <row r="30" spans="1:6" x14ac:dyDescent="0.25">
      <c r="A30" t="str">
        <v>Túllio Herbeth Teixeira Moraes</v>
      </c>
      <c r="B30" s="103">
        <f>IF($A30="","",SUMIFS('GECC 2026'!H$2:H$200,'GECC 2026'!F$2:F$200,$A30))</f>
        <v>3</v>
      </c>
      <c r="C30" s="103">
        <f>IF($A30="","",SUMIFS('GECC 2026'!I$2:I$200,'GECC 2026'!F$2:F$200,$A30))</f>
        <v>0.44999999999999996</v>
      </c>
      <c r="D30" s="258">
        <f>IF($A30="","",SUMIFS('GECC 2026'!$AE$3:$AE$32,'GECC 2026'!$AD$3:$AD$32,$A30))</f>
        <v>0</v>
      </c>
      <c r="E30" s="243">
        <f>IF($A30="","",SUMIFS('GECC 2026'!J$2:J$200,'GECC 2026'!F$2:F$200,$A30)+SUMIFS('GECC 2026'!$AE$3:$AE$32,'GECC 2026'!$AD$3:$AD$32,$A30))</f>
        <v>3.45</v>
      </c>
      <c r="F30" s="101">
        <f>IF($A30="","",COUNTIFS('GECC 2026'!F$2:F$200,$A30))</f>
        <v>1</v>
      </c>
    </row>
    <row r="31" spans="1:6" x14ac:dyDescent="0.25">
      <c r="B31" s="103" t="str">
        <f>IF($A31="","",SUMIFS('GECC 2026'!H$2:H$200,'GECC 2026'!F$2:F$200,$A31))</f>
        <v/>
      </c>
      <c r="C31" s="103" t="str">
        <f>IF($A31="","",SUMIFS('GECC 2026'!I$2:I$200,'GECC 2026'!F$2:F$200,$A31))</f>
        <v/>
      </c>
      <c r="D31" s="258" t="str">
        <f>IF($A31="","",SUMIFS('GECC 2026'!$AE$3:$AE$32,'GECC 2026'!$AD$3:$AD$32,$A31))</f>
        <v/>
      </c>
      <c r="E31" s="243" t="str">
        <f>IF($A31="","",SUMIFS('GECC 2026'!J$2:J$200,'GECC 2026'!F$2:F$200,$A31)+SUMIFS('GECC 2026'!$AE$3:$AE$32,'GECC 2026'!$AD$3:$AD$32,$A31))</f>
        <v/>
      </c>
      <c r="F31" s="101" t="str">
        <f>IF($A31="","",COUNTIFS('GECC 2026'!F$2:F$200,$A31))</f>
        <v/>
      </c>
    </row>
    <row r="32" spans="1:6" x14ac:dyDescent="0.25">
      <c r="B32" s="103" t="str">
        <f>IF($A32="","",SUMIFS('GECC 2026'!H$2:H$200,'GECC 2026'!F$2:F$200,$A32))</f>
        <v/>
      </c>
      <c r="C32" s="103" t="str">
        <f>IF($A32="","",SUMIFS('GECC 2026'!I$2:I$200,'GECC 2026'!F$2:F$200,$A32))</f>
        <v/>
      </c>
      <c r="D32" s="258" t="str">
        <f>IF($A32="","",SUMIFS('GECC 2026'!$AE$3:$AE$32,'GECC 2026'!$AD$3:$AD$32,$A32))</f>
        <v/>
      </c>
      <c r="E32" s="243" t="str">
        <f>IF($A32="","",SUMIFS('GECC 2026'!J$2:J$200,'GECC 2026'!F$2:F$200,$A32)+SUMIFS('GECC 2026'!$AE$3:$AE$32,'GECC 2026'!$AD$3:$AD$32,$A32))</f>
        <v/>
      </c>
      <c r="F32" s="101" t="str">
        <f>IF($A32="","",COUNTIFS('GECC 2026'!F$2:F$200,$A32))</f>
        <v/>
      </c>
    </row>
    <row r="33" spans="2:6" x14ac:dyDescent="0.25">
      <c r="B33" s="103" t="str">
        <f>IF($A33="","",SUMIFS('GECC 2026'!H$2:H$200,'GECC 2026'!F$2:F$200,$A33))</f>
        <v/>
      </c>
      <c r="C33" s="103" t="str">
        <f>IF($A33="","",SUMIFS('GECC 2026'!I$2:I$200,'GECC 2026'!F$2:F$200,$A33))</f>
        <v/>
      </c>
      <c r="D33" s="258" t="str">
        <f>IF($A33="","",SUMIFS('GECC 2026'!$AE$3:$AE$32,'GECC 2026'!$AD$3:$AD$32,$A33))</f>
        <v/>
      </c>
      <c r="E33" s="243" t="str">
        <f>IF($A33="","",SUMIFS('GECC 2026'!J$2:J$200,'GECC 2026'!F$2:F$200,$A33)+SUMIFS('GECC 2026'!$AE$3:$AE$32,'GECC 2026'!$AD$3:$AD$32,$A33))</f>
        <v/>
      </c>
      <c r="F33" s="101" t="str">
        <f>IF($A33="","",COUNTIFS('GECC 2026'!F$2:F$200,$A33))</f>
        <v/>
      </c>
    </row>
    <row r="34" spans="2:6" x14ac:dyDescent="0.25">
      <c r="B34" s="103" t="str">
        <f>IF($A34="","",SUMIFS('GECC 2026'!H$2:H$200,'GECC 2026'!F$2:F$200,$A34))</f>
        <v/>
      </c>
      <c r="C34" s="103" t="str">
        <f>IF($A34="","",SUMIFS('GECC 2026'!I$2:I$200,'GECC 2026'!F$2:F$200,$A34))</f>
        <v/>
      </c>
      <c r="D34" s="258" t="str">
        <f>IF($A34="","",SUMIFS('GECC 2026'!$AE$3:$AE$32,'GECC 2026'!$AD$3:$AD$32,$A34))</f>
        <v/>
      </c>
      <c r="E34" s="243" t="str">
        <f>IF($A34="","",SUMIFS('GECC 2026'!J$2:J$200,'GECC 2026'!F$2:F$200,$A34)+SUMIFS('GECC 2026'!$AE$3:$AE$32,'GECC 2026'!$AD$3:$AD$32,$A34))</f>
        <v/>
      </c>
      <c r="F34" s="101" t="str">
        <f>IF($A34="","",COUNTIFS('GECC 2026'!F$2:F$200,$A34))</f>
        <v/>
      </c>
    </row>
    <row r="35" spans="2:6" x14ac:dyDescent="0.25">
      <c r="B35" s="103" t="str">
        <f>IF($A35="","",SUMIFS('GECC 2026'!H$2:H$200,'GECC 2026'!F$2:F$200,$A35))</f>
        <v/>
      </c>
      <c r="C35" s="103" t="str">
        <f>IF($A35="","",SUMIFS('GECC 2026'!I$2:I$200,'GECC 2026'!F$2:F$200,$A35))</f>
        <v/>
      </c>
      <c r="D35" s="258" t="str">
        <f>IF($A35="","",SUMIFS('GECC 2026'!$AE$3:$AE$32,'GECC 2026'!$AD$3:$AD$32,$A35))</f>
        <v/>
      </c>
      <c r="E35" s="243" t="str">
        <f>IF($A35="","",SUMIFS('GECC 2026'!J$2:J$200,'GECC 2026'!F$2:F$200,$A35)+SUMIFS('GECC 2026'!$AE$3:$AE$32,'GECC 2026'!$AD$3:$AD$32,$A35))</f>
        <v/>
      </c>
      <c r="F35" s="101" t="str">
        <f>IF($A35="","",COUNTIFS('GECC 2026'!F$2:F$200,$A35))</f>
        <v/>
      </c>
    </row>
    <row r="36" spans="2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8" t="str">
        <f>IF($A36="","",SUMIFS('GECC 2026'!$AE$3:$AE$32,'GECC 2026'!$AD$3:$AD$32,$A36))</f>
        <v/>
      </c>
      <c r="E36" s="243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2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8" t="str">
        <f>IF($A37="","",SUMIFS('GECC 2026'!$AE$3:$AE$32,'GECC 2026'!$AD$3:$AD$32,$A37))</f>
        <v/>
      </c>
      <c r="E37" s="243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2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8" t="str">
        <f>IF($A38="","",SUMIFS('GECC 2026'!$AE$3:$AE$32,'GECC 2026'!$AD$3:$AD$32,$A38))</f>
        <v/>
      </c>
      <c r="E38" s="243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2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8" t="str">
        <f>IF($A39="","",SUMIFS('GECC 2026'!$AE$3:$AE$32,'GECC 2026'!$AD$3:$AD$32,$A39))</f>
        <v/>
      </c>
      <c r="E39" s="243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2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8" t="str">
        <f>IF($A40="","",SUMIFS('GECC 2026'!$AE$3:$AE$32,'GECC 2026'!$AD$3:$AD$32,$A40))</f>
        <v/>
      </c>
      <c r="E40" s="243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2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8" t="str">
        <f>IF($A41="","",SUMIFS('GECC 2026'!$AE$3:$AE$32,'GECC 2026'!$AD$3:$AD$32,$A41))</f>
        <v/>
      </c>
      <c r="E41" s="243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2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8" t="str">
        <f>IF($A42="","",SUMIFS('GECC 2026'!$AE$3:$AE$32,'GECC 2026'!$AD$3:$AD$32,$A42))</f>
        <v/>
      </c>
      <c r="E42" s="243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2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8" t="str">
        <f>IF($A43="","",SUMIFS('GECC 2026'!$AE$3:$AE$32,'GECC 2026'!$AD$3:$AD$32,$A43))</f>
        <v/>
      </c>
      <c r="E43" s="243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2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8" t="str">
        <f>IF($A44="","",SUMIFS('GECC 2026'!$AE$3:$AE$32,'GECC 2026'!$AD$3:$AD$32,$A44))</f>
        <v/>
      </c>
      <c r="E44" s="243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2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8" t="str">
        <f>IF($A45="","",SUMIFS('GECC 2026'!$AE$3:$AE$32,'GECC 2026'!$AD$3:$AD$32,$A45))</f>
        <v/>
      </c>
      <c r="E45" s="243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2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8" t="str">
        <f>IF($A46="","",SUMIFS('GECC 2026'!$AE$3:$AE$32,'GECC 2026'!$AD$3:$AD$32,$A46))</f>
        <v/>
      </c>
      <c r="E46" s="243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2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8" t="str">
        <f>IF($A47="","",SUMIFS('GECC 2026'!$AE$3:$AE$32,'GECC 2026'!$AD$3:$AD$32,$A47))</f>
        <v/>
      </c>
      <c r="E47" s="243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2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8" t="str">
        <f>IF($A48="","",SUMIFS('GECC 2026'!$AE$3:$AE$32,'GECC 2026'!$AD$3:$AD$32,$A48))</f>
        <v/>
      </c>
      <c r="E48" s="243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8" t="str">
        <f>IF($A49="","",SUMIFS('GECC 2026'!$AE$3:$AE$32,'GECC 2026'!$AD$3:$AD$32,$A49))</f>
        <v/>
      </c>
      <c r="E49" s="243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8" t="str">
        <f>IF($A50="","",SUMIFS('GECC 2026'!$AE$3:$AE$32,'GECC 2026'!$AD$3:$AD$32,$A50))</f>
        <v/>
      </c>
      <c r="E50" s="243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8" t="str">
        <f>IF($A51="","",SUMIFS('GECC 2026'!$AE$3:$AE$32,'GECC 2026'!$AD$3:$AD$32,$A51))</f>
        <v/>
      </c>
      <c r="E51" s="243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8" t="str">
        <f>IF($A52="","",SUMIFS('GECC 2026'!$AE$3:$AE$32,'GECC 2026'!$AD$3:$AD$32,$A52))</f>
        <v/>
      </c>
      <c r="E52" s="243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8" t="str">
        <f>IF($A53="","",SUMIFS('GECC 2026'!$AE$3:$AE$32,'GECC 2026'!$AD$3:$AD$32,$A53))</f>
        <v/>
      </c>
      <c r="E53" s="243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8" t="str">
        <f>IF($A54="","",SUMIFS('GECC 2026'!$AE$3:$AE$32,'GECC 2026'!$AD$3:$AD$32,$A54))</f>
        <v/>
      </c>
      <c r="E54" s="243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8" t="str">
        <f>IF($A55="","",SUMIFS('GECC 2026'!$AE$3:$AE$32,'GECC 2026'!$AD$3:$AD$32,$A55))</f>
        <v/>
      </c>
      <c r="E55" s="243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8" t="str">
        <f>IF($A56="","",SUMIFS('GECC 2026'!$AE$3:$AE$32,'GECC 2026'!$AD$3:$AD$32,$A56))</f>
        <v/>
      </c>
      <c r="E56" s="243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8" t="str">
        <f>IF($A57="","",SUMIFS('GECC 2026'!$AE$3:$AE$32,'GECC 2026'!$AD$3:$AD$32,$A57))</f>
        <v/>
      </c>
      <c r="E57" s="243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8" t="str">
        <f>IF($A58="","",SUMIFS('GECC 2026'!$AE$3:$AE$32,'GECC 2026'!$AD$3:$AD$32,$A58))</f>
        <v/>
      </c>
      <c r="E58" s="243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8" t="str">
        <f>IF($A59="","",SUMIFS('GECC 2026'!$AE$3:$AE$32,'GECC 2026'!$AD$3:$AD$32,$A59))</f>
        <v/>
      </c>
      <c r="E59" s="243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8" t="str">
        <f>IF($A60="","",SUMIFS('GECC 2026'!$AE$3:$AE$32,'GECC 2026'!$AD$3:$AD$32,$A60))</f>
        <v/>
      </c>
      <c r="E60" s="243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8" t="str">
        <f>IF($A61="","",SUMIFS('GECC 2026'!$AE$3:$AE$32,'GECC 2026'!$AD$3:$AD$32,$A61))</f>
        <v/>
      </c>
      <c r="E61" s="243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8" t="str">
        <f>IF($A62="","",SUMIFS('GECC 2026'!$AE$3:$AE$32,'GECC 2026'!$AD$3:$AD$32,$A62))</f>
        <v/>
      </c>
      <c r="E62" s="243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8" t="str">
        <f>IF($A63="","",SUMIFS('GECC 2026'!$AE$3:$AE$32,'GECC 2026'!$AD$3:$AD$32,$A63))</f>
        <v/>
      </c>
      <c r="E63" s="243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8" t="str">
        <f>IF($A64="","",SUMIFS('GECC 2026'!$AE$3:$AE$32,'GECC 2026'!$AD$3:$AD$32,$A64))</f>
        <v/>
      </c>
      <c r="E64" s="243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8" t="str">
        <f>IF($A65="","",SUMIFS('GECC 2026'!$AE$3:$AE$32,'GECC 2026'!$AD$3:$AD$32,$A65))</f>
        <v/>
      </c>
      <c r="E65" s="243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8" t="str">
        <f>IF($A66="","",SUMIFS('GECC 2026'!$AE$3:$AE$32,'GECC 2026'!$AD$3:$AD$32,$A66))</f>
        <v/>
      </c>
      <c r="E66" s="243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8" t="str">
        <f>IF($A67="","",SUMIFS('GECC 2026'!$AE$3:$AE$32,'GECC 2026'!$AD$3:$AD$32,$A67))</f>
        <v/>
      </c>
      <c r="E67" s="243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8" t="str">
        <f>IF($A68="","",SUMIFS('GECC 2026'!$AE$3:$AE$32,'GECC 2026'!$AD$3:$AD$32,$A68))</f>
        <v/>
      </c>
      <c r="E68" s="243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8" t="str">
        <f>IF($A69="","",SUMIFS('GECC 2026'!$AE$3:$AE$32,'GECC 2026'!$AD$3:$AD$32,$A69))</f>
        <v/>
      </c>
      <c r="E69" s="243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8" t="str">
        <f>IF($A70="","",SUMIFS('GECC 2026'!$AE$3:$AE$32,'GECC 2026'!$AD$3:$AD$32,$A70))</f>
        <v/>
      </c>
      <c r="E70" s="243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8" t="str">
        <f>IF($A71="","",SUMIFS('GECC 2026'!$AE$3:$AE$32,'GECC 2026'!$AD$3:$AD$32,$A71))</f>
        <v/>
      </c>
      <c r="E71" s="243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8" t="str">
        <f>IF($A72="","",SUMIFS('GECC 2026'!$AE$3:$AE$32,'GECC 2026'!$AD$3:$AD$32,$A72))</f>
        <v/>
      </c>
      <c r="E72" s="243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8" t="str">
        <f>IF($A73="","",SUMIFS('GECC 2026'!$AE$3:$AE$32,'GECC 2026'!$AD$3:$AD$32,$A73))</f>
        <v/>
      </c>
      <c r="E73" s="243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8" t="str">
        <f>IF($A74="","",SUMIFS('GECC 2026'!$AE$3:$AE$32,'GECC 2026'!$AD$3:$AD$32,$A74))</f>
        <v/>
      </c>
      <c r="E74" s="243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8" t="str">
        <f>IF($A75="","",SUMIFS('GECC 2026'!$AE$3:$AE$32,'GECC 2026'!$AD$3:$AD$32,$A75))</f>
        <v/>
      </c>
      <c r="E75" s="243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8" t="str">
        <f>IF($A76="","",SUMIFS('GECC 2026'!$AE$3:$AE$32,'GECC 2026'!$AD$3:$AD$32,$A76))</f>
        <v/>
      </c>
      <c r="E76" s="243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8" t="str">
        <f>IF($A77="","",SUMIFS('GECC 2026'!$AE$3:$AE$32,'GECC 2026'!$AD$3:$AD$32,$A77))</f>
        <v/>
      </c>
      <c r="E77" s="243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8" t="str">
        <f>IF($A78="","",SUMIFS('GECC 2026'!$AE$3:$AE$32,'GECC 2026'!$AD$3:$AD$32,$A78))</f>
        <v/>
      </c>
      <c r="E78" s="243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8" t="str">
        <f>IF($A79="","",SUMIFS('GECC 2026'!$AE$3:$AE$32,'GECC 2026'!$AD$3:$AD$32,$A79))</f>
        <v/>
      </c>
      <c r="E79" s="243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8" t="str">
        <f>IF($A80="","",SUMIFS('GECC 2026'!$AE$3:$AE$32,'GECC 2026'!$AD$3:$AD$32,$A80))</f>
        <v/>
      </c>
      <c r="E80" s="243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8" t="str">
        <f>IF($A81="","",SUMIFS('GECC 2026'!$AE$3:$AE$32,'GECC 2026'!$AD$3:$AD$32,$A81))</f>
        <v/>
      </c>
      <c r="E81" s="243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8" t="str">
        <f>IF($A82="","",SUMIFS('GECC 2026'!$AE$3:$AE$32,'GECC 2026'!$AD$3:$AD$32,$A82))</f>
        <v/>
      </c>
      <c r="E82" s="243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8" t="str">
        <f>IF($A83="","",SUMIFS('GECC 2026'!$AE$3:$AE$32,'GECC 2026'!$AD$3:$AD$32,$A83))</f>
        <v/>
      </c>
      <c r="E83" s="243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8" t="str">
        <f>IF($A84="","",SUMIFS('GECC 2026'!$AE$3:$AE$32,'GECC 2026'!$AD$3:$AD$32,$A84))</f>
        <v/>
      </c>
      <c r="E84" s="243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8" t="str">
        <f>IF($A85="","",SUMIFS('GECC 2026'!$AE$3:$AE$32,'GECC 2026'!$AD$3:$AD$32,$A85))</f>
        <v/>
      </c>
      <c r="E85" s="243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8" t="str">
        <f>IF($A86="","",SUMIFS('GECC 2026'!$AE$3:$AE$32,'GECC 2026'!$AD$3:$AD$32,$A86))</f>
        <v/>
      </c>
      <c r="E86" s="243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8" t="str">
        <f>IF($A87="","",SUMIFS('GECC 2026'!$AE$3:$AE$32,'GECC 2026'!$AD$3:$AD$32,$A87))</f>
        <v/>
      </c>
      <c r="E87" s="243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8" t="str">
        <f>IF($A88="","",SUMIFS('GECC 2026'!$AE$3:$AE$32,'GECC 2026'!$AD$3:$AD$32,$A88))</f>
        <v/>
      </c>
      <c r="E88" s="243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8" t="str">
        <f>IF($A89="","",SUMIFS('GECC 2026'!$AE$3:$AE$32,'GECC 2026'!$AD$3:$AD$32,$A89))</f>
        <v/>
      </c>
      <c r="E89" s="243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8" t="str">
        <f>IF($A90="","",SUMIFS('GECC 2026'!$AE$3:$AE$32,'GECC 2026'!$AD$3:$AD$32,$A90))</f>
        <v/>
      </c>
      <c r="E90" s="243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8" t="str">
        <f>IF($A91="","",SUMIFS('GECC 2026'!$AE$3:$AE$32,'GECC 2026'!$AD$3:$AD$32,$A91))</f>
        <v/>
      </c>
      <c r="E91" s="243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8" t="str">
        <f>IF($A92="","",SUMIFS('GECC 2026'!$AE$3:$AE$32,'GECC 2026'!$AD$3:$AD$32,$A92))</f>
        <v/>
      </c>
      <c r="E92" s="243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8" t="str">
        <f>IF($A93="","",SUMIFS('GECC 2026'!$AE$3:$AE$32,'GECC 2026'!$AD$3:$AD$32,$A93))</f>
        <v/>
      </c>
      <c r="E93" s="243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8" t="str">
        <f>IF($A94="","",SUMIFS('GECC 2026'!$AE$3:$AE$32,'GECC 2026'!$AD$3:$AD$32,$A94))</f>
        <v/>
      </c>
      <c r="E94" s="243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8" t="str">
        <f>IF($A95="","",SUMIFS('GECC 2026'!$AE$3:$AE$32,'GECC 2026'!$AD$3:$AD$32,$A95))</f>
        <v/>
      </c>
      <c r="E95" s="243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8" t="str">
        <f>IF($A96="","",SUMIFS('GECC 2026'!$AE$3:$AE$32,'GECC 2026'!$AD$3:$AD$32,$A96))</f>
        <v/>
      </c>
      <c r="E96" s="243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8" t="str">
        <f>IF($A97="","",SUMIFS('GECC 2026'!$AE$3:$AE$32,'GECC 2026'!$AD$3:$AD$32,$A97))</f>
        <v/>
      </c>
      <c r="E97" s="243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8" t="str">
        <f>IF($A98="","",SUMIFS('GECC 2026'!$AE$3:$AE$32,'GECC 2026'!$AD$3:$AD$32,$A98))</f>
        <v/>
      </c>
      <c r="E98" s="243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8" t="str">
        <f>IF($A99="","",SUMIFS('GECC 2026'!$AE$3:$AE$32,'GECC 2026'!$AD$3:$AD$32,$A99))</f>
        <v/>
      </c>
      <c r="E99" s="243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8" t="str">
        <f>IF($A100="","",SUMIFS('GECC 2026'!$AE$3:$AE$32,'GECC 2026'!$AD$3:$AD$32,$A100))</f>
        <v/>
      </c>
      <c r="E100" s="243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8" t="str">
        <f>IF($A101="","",SUMIFS('GECC 2026'!$AE$3:$AE$32,'GECC 2026'!$AD$3:$AD$32,$A101))</f>
        <v/>
      </c>
      <c r="E101" s="243" t="str">
        <f>IF($A101="","",SUMIFS('GECC 2026'!J$2:J$200,'GECC 2026'!F$2:F$200,$A101)+SUMIFS('GECC 2026'!$AE$3:$AE$32,'GECC 2026'!$AD$3:$AD$32,$A101))</f>
        <v/>
      </c>
    </row>
    <row r="102" spans="1:6" x14ac:dyDescent="0.25">
      <c r="D102" s="258" t="str">
        <f>IF($A102="","",SUMIFS('GECC 2026'!$AE$3:$AE$32,'GECC 2026'!$AD$3:$AD$32,$A102))</f>
        <v/>
      </c>
      <c r="E102" s="243" t="str">
        <f>IF($A102="","",SUMIFS('GECC 2026'!J$2:J$200,'GECC 2026'!F$2:F$200,$A102)+SUMIFS('GECC 2026'!$AE$3:$AE$32,'GECC 2026'!$AD$3:$AD$32,$A102))</f>
        <v/>
      </c>
    </row>
    <row r="103" spans="1:6" x14ac:dyDescent="0.25">
      <c r="D103" s="258" t="str">
        <f>IF($A103="","",SUMIFS('GECC 2026'!$AE$3:$AE$32,'GECC 2026'!$AD$3:$AD$32,$A103))</f>
        <v/>
      </c>
      <c r="E103" s="243" t="str">
        <f>IF($A103="","",SUMIFS('GECC 2026'!J$2:J$200,'GECC 2026'!F$2:F$200,$A103)+SUMIFS('GECC 2026'!$AE$3:$AE$32,'GECC 2026'!$AD$3:$AD$32,$A103))</f>
        <v/>
      </c>
    </row>
    <row r="104" spans="1:6" x14ac:dyDescent="0.25">
      <c r="D104" s="258" t="str">
        <f>IF($A104="","",SUMIFS('GECC 2026'!$AE$3:$AE$32,'GECC 2026'!$AD$3:$AD$32,$A104))</f>
        <v/>
      </c>
      <c r="E104" s="243" t="str">
        <f>IF($A104="","",SUMIFS('GECC 2026'!J$2:J$200,'GECC 2026'!F$2:F$200,$A104)+SUMIFS('GECC 2026'!$AE$3:$AE$32,'GECC 2026'!$AD$3:$AD$32,$A104))</f>
        <v/>
      </c>
    </row>
    <row r="105" spans="1:6" x14ac:dyDescent="0.25">
      <c r="A105" s="244" t="s">
        <v>2871</v>
      </c>
      <c r="B105" s="245">
        <f>SUM(B5:B100)</f>
        <v>524</v>
      </c>
      <c r="C105" s="245">
        <f>SUM(C5:C100)</f>
        <v>269.89999999999992</v>
      </c>
      <c r="D105" s="258">
        <f>IF($A105="","",SUMIFS('GECC 2026'!$AE$3:$AE$32,'GECC 2026'!$AD$3:$AD$32,$A105))</f>
        <v>0</v>
      </c>
      <c r="E105" s="243">
        <f>IF($A105="","",SUMIFS('GECC 2026'!J$2:J$200,'GECC 2026'!F$2:F$200,$A105)+SUMIFS('GECC 2026'!$AE$3:$AE$32,'GECC 2026'!$AD$3:$AD$32,$A105))</f>
        <v>0</v>
      </c>
      <c r="F105" s="246">
        <f>SUM(F5:F100)</f>
        <v>63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6" t="s">
        <v>2926</v>
      </c>
      <c r="B1" s="286"/>
      <c r="C1" s="286"/>
      <c r="D1" s="286"/>
      <c r="E1" s="286"/>
      <c r="F1" s="286"/>
      <c r="G1" s="286"/>
      <c r="H1" s="286"/>
    </row>
    <row r="2" spans="1:8" x14ac:dyDescent="0.25">
      <c r="A2" s="130" t="s">
        <v>2927</v>
      </c>
    </row>
    <row r="4" spans="1:8" ht="21.95" customHeight="1" x14ac:dyDescent="0.25">
      <c r="A4" s="287" t="s">
        <v>2928</v>
      </c>
      <c r="B4" s="288"/>
      <c r="D4" s="287" t="s">
        <v>2929</v>
      </c>
      <c r="E4" s="288"/>
      <c r="G4" s="287" t="s">
        <v>2930</v>
      </c>
      <c r="H4" s="288"/>
    </row>
    <row r="5" spans="1:8" ht="35.1" customHeight="1" x14ac:dyDescent="0.25">
      <c r="A5" s="291">
        <f>COUNTIF('Ações InCompany'!E:E,"*maratona*")</f>
        <v>13</v>
      </c>
      <c r="B5" s="290"/>
      <c r="D5" s="289">
        <f>SUM(H8:H100)</f>
        <v>1566</v>
      </c>
      <c r="E5" s="290"/>
      <c r="G5" s="289">
        <f>IFERROR(ROUND(D5/A5,0),"-")</f>
        <v>120</v>
      </c>
      <c r="H5" s="290"/>
    </row>
    <row r="6" spans="1:8" ht="9.9499999999999993" customHeight="1" x14ac:dyDescent="0.25"/>
    <row r="7" spans="1:8" ht="24.95" customHeight="1" thickBot="1" x14ac:dyDescent="0.3">
      <c r="A7" s="143" t="s">
        <v>2931</v>
      </c>
      <c r="B7" s="143" t="s">
        <v>2932</v>
      </c>
      <c r="C7" s="143" t="s">
        <v>1</v>
      </c>
      <c r="D7" s="143" t="s">
        <v>2933</v>
      </c>
      <c r="E7" s="143" t="s">
        <v>2934</v>
      </c>
      <c r="F7" s="143" t="s">
        <v>2811</v>
      </c>
      <c r="G7" s="143" t="s">
        <v>5</v>
      </c>
      <c r="H7" s="143" t="s">
        <v>2935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3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1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2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1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2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1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2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1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2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1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2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3">
        <v>12</v>
      </c>
      <c r="B19" s="234">
        <v>46286</v>
      </c>
      <c r="C19" s="233">
        <v>2026</v>
      </c>
      <c r="D19" s="235" t="str">
        <v>Maratona Temática - Obras Públicas</v>
      </c>
      <c r="E19" s="233" t="str">
        <v>21 e 22/09/2026</v>
      </c>
      <c r="F19" s="233" t="str">
        <v>A realizar</v>
      </c>
      <c r="G19" s="233" t="str">
        <v>Jurisdicionados</v>
      </c>
      <c r="H19" s="236">
        <v>0</v>
      </c>
    </row>
    <row r="20" spans="1:8" x14ac:dyDescent="0.25">
      <c r="A20" s="237">
        <v>13</v>
      </c>
      <c r="B20" s="238">
        <v>46335</v>
      </c>
      <c r="C20" s="237">
        <v>2026</v>
      </c>
      <c r="D20" s="239" t="str">
        <v>Maratona Temática - Mobilidade Urbana</v>
      </c>
      <c r="E20" s="237" t="str">
        <v>09 e 10/11/2026</v>
      </c>
      <c r="F20" s="237" t="str">
        <v>A realizar</v>
      </c>
      <c r="G20" s="237" t="str">
        <v>Jurisdicionados</v>
      </c>
      <c r="H20" s="24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3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2026-05-26T20:34:34Z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