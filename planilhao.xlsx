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99" documentId="13_ncr:1_{C887EC22-7CD1-4717-84BE-7303F42C5C0A}" xr6:coauthVersionLast="47" xr6:coauthVersionMax="47" xr10:uidLastSave="{1F4A6E8C-ACD3-4988-AC77-47EEBF57BE37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<sst xmlns="http://schemas.openxmlformats.org/spreadsheetml/2006/main" count="6594" uniqueCount="2980">
  <si>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</si>
  <si>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</si>
  <si>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</si>
  <si>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</si>
  <si>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</si>
  <si>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</si>
  <si>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</si>
  <si>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</si>
  <si>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</si>
  <si>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</si>
  <si>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</si>
  <si>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</si>
  <si>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</si>
  <si>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</si>
  <si>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</si>
  <si>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</si>
  <si>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</si>
  <si>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</si>
  <si>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</si>
  <si>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</si>
  <si>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</si>
  <si>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</si>
  <si>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</si>
  <si>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</si>
  <si>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</si>
  <si>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</si>
  <si>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</si>
  <si>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</si>
  <si>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</si>
  <si>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</si>
  <si>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</si>
  <si>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</si>
  <si>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</si>
  <si>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</si>
  <si>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</si>
  <si>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</si>
  <si>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</si>
  <si>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</si>
  <si>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</si>
  <si>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</si>
  <si>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</si>
  <si>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</si>
  <si>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</si>
  <si>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</si>
  <si>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</si>
  <si>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</si>
  <si>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</si>
  <si>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</si>
  <si>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</si>
  <si>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</si>
  <si>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</si>
  <si>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</si>
  <si>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</si>
  <si>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</si>
  <si>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</si>
  <si>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</si>
  <si>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</si>
  <si>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</si>
  <si>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</si>
  <si>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</si>
  <si>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</si>
  <si>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</si>
  <si>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</si>
  <si>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</si>
  <si>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</si>
  <si>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</si>
  <si>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</si>
  <si>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</si>
  <si>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</si>
  <si>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</si>
  <si>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</si>
  <si>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</si>
  <si>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</si>
  <si>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</si>
  <si>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</si>
  <si>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</si>
  <si>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</si>
  <si>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</si>
  <si>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</si>
  <si>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</si>
  <si>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</si>
  <si>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</si>
  <si>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</si>
  <si>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</si>
  <si>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</si>
  <si>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</si>
  <si>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</si>
  <si>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</si>
  <si>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</si>
  <si>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</si>
  <si>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</si>
  <si>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</si>
  <si>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</si>
  <si>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</si>
  <si>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</si>
  <si>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</si>
  <si>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</si>
  <si>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</si>
  <si>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</si>
  <si>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</si>
  <si>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</si>
  <si>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</si>
  <si>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</si>
  <si>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</si>
  <si>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</si>
  <si>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</si>
  <si>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</si>
  <si>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</si>
  <si>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</si>
  <si>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</si>
  <si>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</si>
  <si>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</si>
  <si>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</si>
  <si>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</si>
  <si>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</si>
  <si>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</si>
  <si>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</si>
  <si>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</si>
  <si>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</si>
  <si>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</si>
  <si>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</si>
  <si>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</si>
  <si>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</si>
  <si>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</si>
  <si>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</si>
  <si>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</si>
  <si>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</si>
  <si>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</si>
  <si>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</si>
  <si>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</si>
  <si>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</si>
  <si>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</si>
  <si>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</si>
  <si>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</si>
  <si>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</si>
  <si>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</si>
  <si>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</si>
  <si>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</si>
  <si>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</si>
  <si>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</si>
  <si>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</si>
  <si>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</si>
  <si>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</si>
  <si>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</si>
  <si>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</si>
  <si>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</si>
  <si>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</si>
  <si>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</si>
  <si>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</si>
  <si>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</si>
  <si>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</si>
  <si>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</si>
  <si>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</si>
  <si>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</si>
  <si>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</si>
  <si>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</si>
  <si>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</si>
  <si>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</si>
  <si>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</si>
  <si>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</si>
  <si>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</si>
  <si>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</si>
  <si>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</si>
  <si>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</si>
  <si>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</si>
  <si>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</si>
  <si>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</si>
  <si>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</si>
  <si>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</si>
  <si>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</si>
  <si>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</si>
  <si>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</si>
  <si>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</si>
  <si>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</si>
  <si>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</si>
  <si>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</si>
  <si>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</si>
  <si>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</si>
  <si>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</si>
  <si>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</si>
  <si>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</si>
  <si>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</si>
  <si>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</si>
  <si>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</si>
  <si>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</si>
  <si>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</si>
  <si>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</si>
  <si>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</si>
  <si>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</si>
  <si>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</si>
  <si>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</si>
  <si>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</si>
  <si>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</si>
  <si>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</si>
  <si>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</si>
  <si>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</si>
  <si>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</si>
  <si>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</si>
  <si>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</si>
  <si>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</si>
  <si>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</si>
  <si>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</si>
  <si>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</si>
  <si>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</si>
  <si>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</si>
  <si>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</si>
  <si>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</si>
  <si>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</si>
  <si>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</si>
  <si>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</si>
  <si>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</si>
  <si>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</si>
  <si>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</si>
  <si>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</si>
  <si>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</si>
  <si>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</si>
  <si>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</si>
  <si>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</si>
  <si>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</si>
  <si>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</si>
  <si>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</si>
  <si>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</si>
  <si>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</si>
  <si>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</si>
  <si>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</si>
  <si>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</si>
  <si>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</si>
  <si>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</si>
  <si>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</si>
  <si>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</si>
  <si>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</si>
  <si>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</si>
  <si>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</si>
  <si>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</si>
  <si>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</si>
  <si>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</si>
  <si>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</si>
  <si>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</si>
  <si>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</si>
  <si>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</si>
  <si>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</si>
  <si>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</si>
  <si>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</si>
  <si>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</si>
  <si>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</si>
  <si>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</si>
  <si>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</si>
  <si>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</si>
  <si>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</si>
  <si>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</si>
  <si>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</si>
  <si>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</si>
  <si>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</si>
  <si>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</si>
  <si>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</si>
  <si>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</si>
  <si>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</si>
  <si>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</si>
  <si>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</si>
  <si>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</si>
  <si>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</si>
  <si>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</si>
  <si>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</si>
  <si>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</si>
  <si>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</si>
  <si>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</si>
  <si>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</si>
  <si>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</si>
  <si>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</si>
  <si>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</si>
  <si>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</si>
  <si>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</si>
  <si>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</si>
  <si>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</si>
  <si>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</si>
  <si>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</si>
  <si>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</si>
  <si>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</si>
  <si>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</si>
  <si>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</si>
  <si>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</si>
  <si>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</si>
  <si>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</si>
  <si>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</si>
  <si>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</si>
  <si>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</si>
  <si>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</si>
  <si>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</si>
  <si>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</si>
  <si>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</si>
  <si>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</si>
  <si>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</si>
  <si>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</si>
  <si>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</si>
  <si>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</si>
  <si>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</si>
  <si>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</si>
  <si>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</si>
  <si>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</si>
  <si>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</si>
  <si>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</si>
  <si>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</si>
  <si>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</si>
  <si>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</si>
  <si>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</si>
  <si>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</si>
  <si>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</si>
  <si>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</si>
  <si>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</si>
  <si>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</si>
  <si>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</si>
  <si>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</si>
  <si>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</si>
  <si>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</si>
  <si>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</si>
  <si>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</si>
  <si>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</si>
  <si>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</si>
  <si>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</si>
  <si>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</si>
  <si>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</si>
  <si>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</si>
  <si>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</si>
  <si>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</si>
  <si>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</si>
  <si>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</si>
  <si>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</si>
  <si>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</si>
  <si>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</si>
  <si>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</si>
  <si>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</si>
  <si>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</si>
  <si>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</si>
  <si>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</si>
  <si>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</si>
  <si>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</si>
  <si>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</si>
  <si>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</si>
  <si>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</si>
  <si>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</si>
  <si>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</si>
  <si>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</si>
  <si>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</si>
  <si>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</si>
  <si>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</si>
  <si>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</si>
  <si>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</si>
  <si>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</si>
  <si>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</si>
  <si>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</si>
  <si>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</si>
  <si>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</si>
  <si>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</si>
  <si>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</si>
  <si>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</si>
  <si>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</si>
  <si>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</si>
  <si>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</si>
  <si>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</si>
  <si>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</si>
  <si>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</si>
  <si>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</si>
  <si>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</si>
  <si>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</si>
  <si>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</si>
  <si>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</si>
  <si>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</si>
  <si>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</si>
  <si>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</si>
  <si>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</si>
  <si>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</si>
  <si>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</si>
  <si>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</si>
  <si>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</si>
  <si>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</si>
  <si>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</si>
  <si>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</si>
  <si>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</si>
  <si>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</si>
  <si>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</si>
  <si>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</si>
  <si>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</si>
  <si>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</si>
  <si>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</si>
  <si>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</si>
  <si>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</si>
  <si>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</si>
  <si>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</si>
  <si>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</si>
  <si>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</si>
  <si>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</si>
  <si>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</si>
  <si>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</si>
  <si>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</si>
  <si>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</si>
  <si>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</si>
  <si>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</si>
  <si>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</si>
  <si>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</si>
  <si>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</si>
  <si>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</si>
  <si>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</si>
  <si>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</si>
  <si>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</si>
  <si>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</si>
  <si>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</si>
  <si>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</si>
  <si>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</si>
  <si>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</si>
  <si>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</si>
  <si>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</si>
  <si>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</si>
  <si>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</si>
  <si>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</si>
  <si>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</si>
  <si>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</si>
  <si>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</si>
  <si>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</si>
  <si>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</si>
  <si>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</si>
  <si>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</si>
  <si>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</si>
  <si>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</si>
  <si>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</si>
  <si>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</si>
  <si>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</si>
  <si>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</si>
  <si>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</si>
  <si>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</si>
  <si>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</si>
  <si>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</si>
  <si>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</si>
  <si>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</si>
  <si>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</si>
  <si>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</si>
  <si>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</si>
  <si>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</si>
  <si>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</si>
  <si>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</si>
  <si>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</si>
  <si>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</si>
  <si>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</si>
  <si>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</si>
  <si>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</si>
  <si>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</si>
  <si>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</si>
  <si>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</si>
  <si>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</si>
  <si>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</si>
  <si>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</si>
  <si>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</si>
  <si>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</si>
  <si>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</si>
  <si>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</si>
  <si>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</si>
  <si>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</si>
  <si>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</si>
  <si>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</si>
  <si>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</si>
  <si>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</si>
  <si>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</si>
  <si>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</si>
  <si>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</si>
  <si>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</si>
  <si>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</si>
  <si>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</si>
  <si>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</si>
  <si>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</si>
  <si>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</si>
  <si>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</si>
  <si>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</si>
  <si>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</si>
  <si>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</si>
  <si>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</si>
  <si>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</si>
  <si>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</si>
  <si>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</si>
  <si>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</si>
  <si>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</si>
  <si>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</si>
  <si>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</si>
  <si>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</si>
  <si>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</si>
  <si>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</si>
  <si>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</si>
  <si>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</si>
  <si>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</si>
  <si>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</si>
  <si>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</si>
  <si>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</si>
  <si>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</si>
  <si>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</si>
  <si>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</si>
  <si>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</si>
  <si>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</si>
  <si>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</si>
  <si>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</si>
  <si>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</si>
  <si>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</si>
  <si>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</si>
  <si>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</si>
  <si>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</si>
  <si>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</si>
  <si>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</si>
  <si>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</si>
  <si>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</si>
  <si>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</si>
  <si>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</si>
  <si>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</si>
  <si>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</si>
  <si>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</si>
  <si>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</si>
  <si>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</si>
  <si>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</si>
  <si>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</si>
  <si>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</si>
  <si>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</si>
  <si>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</si>
  <si>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</si>
  <si>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</si>
  <si>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</si>
  <si>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</si>
  <si>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</si>
  <si>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</si>
  <si>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</si>
  <si>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</si>
  <si>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</si>
  <si>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</si>
  <si>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</si>
  <si>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</si>
  <si>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</si>
  <si>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</si>
  <si>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</si>
  <si>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</si>
  <si>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</si>
  <si>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</si>
  <si>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</si>
  <si>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</si>
  <si>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</si>
  <si>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</si>
  <si>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</si>
  <si>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</si>
  <si>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</si>
  <si>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</si>
  <si>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</si>
  <si>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</si>
  <si>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</si>
  <si>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</si>
  <si>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</si>
  <si>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</si>
  <si>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</si>
  <si>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</si>
  <si>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</si>
  <si>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</si>
  <si>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</si>
  <si>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</si>
  <si>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</si>
  <si>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</si>
  <si>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</si>
  <si>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</si>
  <si>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</si>
  <si>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</si>
  <si>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</si>
  <si>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</si>
  <si>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</si>
  <si>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</si>
  <si>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</si>
  <si>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</si>
  <si>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</si>
  <si>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</si>
  <si>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</si>
  <si>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</si>
  <si>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</si>
  <si>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</si>
  <si>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</si>
  <si>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</si>
  <si>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</si>
  <si>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</si>
  <si>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</si>
  <si>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</si>
  <si>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</si>
  <si>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</si>
  <si>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</si>
  <si>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</si>
  <si>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</si>
  <si>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</si>
  <si>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</si>
  <si>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</si>
  <si>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</si>
  <si>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</si>
  <si>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</si>
  <si>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</si>
  <si>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</si>
  <si>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</si>
  <si>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</si>
  <si>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</si>
  <si>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</si>
  <si>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</si>
  <si>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</si>
  <si>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</si>
  <si>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</si>
  <si>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</si>
  <si>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</si>
  <si>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</si>
  <si>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</si>
  <si>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</si>
  <si>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</si>
  <si>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</si>
  <si>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</si>
  <si>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</si>
  <si>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</si>
  <si>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</si>
  <si>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</si>
  <si>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</si>
  <si>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</si>
  <si>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</si>
  <si>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</si>
  <si>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</si>
  <si>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</si>
  <si>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</si>
  <si>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</si>
  <si>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</si>
  <si>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</si>
  <si>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</si>
  <si>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</si>
  <si>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</si>
  <si>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</si>
  <si>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</si>
  <si>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</si>
  <si>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</si>
  <si>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</si>
  <si>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</si>
  <si>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</si>
  <si>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</si>
  <si>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</si>
  <si>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</si>
  <si>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</si>
  <si>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</si>
  <si>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</si>
  <si>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</si>
  <si>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</si>
  <si>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</si>
  <si>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</si>
  <si>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</si>
  <si>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</si>
  <si>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</si>
  <si>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</si>
  <si>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</si>
  <si>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</si>
  <si>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</si>
  <si>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</si>
  <si>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</si>
  <si>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</si>
  <si>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</si>
  <si>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</si>
  <si>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</si>
  <si>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</si>
  <si>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</si>
  <si>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</si>
  <si>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</si>
  <si>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</si>
  <si>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</si>
  <si>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</si>
  <si>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</si>
  <si>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</si>
  <si>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</si>
  <si>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</si>
  <si>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</si>
  <si>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</si>
  <si>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</si>
  <si>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</si>
  <si>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</si>
  <si>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</si>
  <si>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</si>
  <si>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</si>
  <si>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</si>
  <si>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</si>
  <si>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</si>
  <si>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</si>
  <si>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</si>
  <si>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</si>
  <si>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</si>
  <si>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</si>
  <si>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</si>
  <si>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</si>
  <si>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</si>
  <si>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</si>
  <si>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</si>
  <si>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</si>
  <si>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</si>
  <si>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</si>
  <si>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</si>
  <si>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</si>
  <si>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</si>
  <si>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</si>
  <si>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</si>
  <si>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</si>
  <si>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</si>
  <si>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</si>
  <si>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</si>
  <si>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</si>
  <si>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</si>
  <si>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</si>
  <si>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</si>
  <si>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</si>
  <si>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</si>
  <si>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</si>
  <si>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</si>
  <si>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</si>
  <si>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</si>
  <si>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</si>
  <si>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</si>
  <si>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</si>
  <si>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</si>
  <si>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</si>
  <si>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</si>
  <si>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</si>
  <si>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</si>
  <si>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</si>
  <si>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</si>
  <si>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</si>
  <si>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</si>
  <si>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</si>
  <si>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</si>
  <si>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</si>
  <si>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</si>
  <si>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</si>
  <si>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</si>
  <si>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</si>
  <si>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</si>
  <si>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</si>
  <si>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</si>
  <si>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</si>
  <si>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</si>
  <si>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</si>
  <si>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</si>
  <si>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</si>
  <si>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</si>
  <si>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</si>
  <si>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</si>
  <si>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</si>
  <si>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</si>
  <si>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</si>
  <si>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</si>
  <si>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</si>
  <si>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</si>
  <si>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</si>
  <si>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</si>
  <si>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</si>
  <si>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</si>
  <si>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</si>
  <si>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</si>
  <si>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</si>
  <si>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</si>
  <si>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</si>
  <si>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</si>
  <si>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</si>
  <si>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</si>
  <si>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</si>
  <si>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</si>
  <si>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</si>
  <si>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</si>
  <si>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</si>
  <si>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</si>
  <si>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</si>
  <si>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</si>
  <si>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</si>
  <si>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</si>
  <si>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</si>
  <si>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</si>
  <si>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</si>
  <si>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</si>
  <si>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</si>
  <si>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</si>
  <si>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</si>
  <si>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</si>
  <si>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</si>
  <si>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</si>
  <si>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</si>
  <si>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</si>
  <si>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</si>
  <si>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</si>
  <si>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</si>
  <si>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</si>
  <si>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</si>
  <si>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</si>
  <si>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</si>
  <si>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</si>
  <si>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</si>
  <si>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</si>
  <si>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</si>
  <si>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</si>
  <si>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</si>
  <si>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</si>
  <si>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</si>
  <si>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</si>
  <si>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</si>
  <si>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</si>
  <si>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</si>
  <si>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</si>
  <si>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</si>
  <si>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</si>
  <si>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</si>
  <si>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</si>
  <si>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</si>
  <si>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</si>
  <si>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</si>
  <si>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</si>
  <si>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</si>
  <si>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</si>
  <si>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</si>
  <si>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</si>
  <si>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</si>
  <si>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</si>
  <si>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</si>
  <si>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</si>
  <si>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</si>
  <si>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</si>
  <si>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</si>
  <si>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</si>
  <si>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</si>
  <si>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</si>
  <si>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</si>
  <si>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</si>
  <si>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</si>
  <si>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</si>
  <si>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</si>
  <si>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</si>
  <si>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</si>
  <si>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</si>
  <si>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</si>
  <si>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</si>
  <si>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</si>
  <si>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</si>
  <si>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</si>
  <si>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</si>
  <si>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</si>
  <si>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</si>
  <si>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</si>
  <si>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</si>
  <si>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</si>
  <si>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</si>
  <si>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</si>
  <si>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</si>
  <si>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</si>
  <si>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</si>
  <si>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</si>
  <si>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</si>
  <si>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</si>
  <si>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</si>
  <si>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</si>
  <si>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</si>
  <si>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</si>
  <si>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</si>
  <si>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</si>
  <si>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</si>
  <si>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</si>
  <si>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</si>
  <si>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</si>
  <si>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</si>
  <si>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</si>
  <si>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</si>
  <si>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</si>
  <si>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</si>
  <si>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</si>
  <si>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</si>
  <si>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</si>
  <si>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</si>
  <si>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</si>
  <si>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</si>
  <si>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</si>
  <si>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</si>
  <si>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</si>
  <si>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</si>
  <si>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</si>
  <si>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</si>
  <si>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</si>
  <si>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</si>
  <si>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</si>
  <si>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</si>
  <si>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</si>
  <si>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</si>
  <si>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</si>
  <si>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</si>
  <si>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</si>
  <si>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</si>
  <si>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</si>
  <si>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</si>
  <si>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</si>
  <si>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</si>
  <si>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</si>
  <si>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</si>
  <si>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</si>
  <si>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</si>
  <si>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</si>
  <si>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</si>
  <si>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</si>
  <si>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</si>
  <si>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</si>
  <si>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</si>
  <si>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</si>
  <si>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</si>
  <si>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</si>
  <si>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</si>
  <si>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</si>
  <si>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</si>
  <si>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</si>
  <si>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</si>
  <si>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</si>
  <si>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</si>
  <si>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</si>
  <si>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</si>
  <si>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</si>
  <si>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</si>
  <si>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</si>
  <si>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</si>
  <si>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</si>
  <si>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</si>
  <si>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</si>
  <si>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</si>
  <si>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</si>
  <si>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</si>
  <si>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</si>
  <si>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</si>
  <si>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</si>
  <si>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</si>
  <si>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</si>
  <si>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</si>
  <si>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</si>
  <si>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</si>
  <si>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</si>
  <si>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</si>
  <si>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</si>
  <si>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</si>
  <si>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</si>
  <si>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</si>
  <si>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</si>
  <si>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</si>
  <si>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</si>
  <si>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</si>
  <si>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</si>
  <si>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</si>
  <si>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</si>
  <si>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</si>
  <si>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</si>
  <si>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</si>
  <si>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</si>
  <si>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</si>
  <si>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</si>
  <si>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</si>
  <si>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</si>
  <si>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</si>
  <si>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</si>
  <si>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</si>
  <si>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</si>
  <si>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</si>
  <si>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</si>
  <si>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</si>
  <si>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</si>
  <si>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</si>
  <si>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</si>
  <si>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</si>
  <si>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</si>
  <si>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</si>
  <si>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</si>
  <si>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</si>
  <si>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</si>
  <si>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</si>
  <si>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</si>
  <si>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</si>
  <si>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</si>
  <si>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</si>
  <si>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</si>
  <si>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</si>
  <si>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</si>
  <si>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</si>
  <si>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</si>
  <si>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</si>
  <si>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</si>
  <si>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</si>
  <si>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</si>
  <si>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</si>
  <si>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</si>
  <si>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</si>
  <si>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</si>
  <si>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</si>
  <si>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</si>
  <si>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</si>
  <si>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</si>
  <si>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</si>
  <si>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</si>
  <si>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</si>
  <si>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</si>
  <si>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</si>
  <si>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</si>
  <si>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</si>
  <si>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</si>
  <si>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</si>
  <si>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</si>
  <si>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</si>
  <si>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</si>
  <si>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</si>
  <si>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</si>
  <si>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</si>
  <si>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</si>
  <si>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</si>
  <si>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</si>
  <si>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</si>
  <si>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</si>
  <si>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</si>
  <si>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</si>
  <si>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</si>
  <si>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</si>
  <si>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</si>
  <si>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</si>
  <si>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</si>
  <si>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</si>
  <si>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</si>
  <si>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</si>
  <si>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</si>
  <si>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</si>
  <si>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</si>
  <si>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</si>
  <si>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</si>
  <si>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</si>
  <si>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</si>
  <si>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</si>
  <si>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</si>
  <si>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</si>
  <si>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</si>
  <si>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</si>
  <si>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</si>
  <si>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</si>
  <si>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</si>
  <si>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</si>
  <si>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</si>
  <si>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</si>
  <si>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</si>
  <si>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</si>
  <si>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</si>
  <si>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</si>
  <si>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</si>
  <si>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</si>
  <si>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</si>
  <si>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</si>
  <si>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</si>
  <si>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</si>
  <si>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</si>
  <si>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</si>
  <si>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</si>
  <si>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</si>
  <si>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</si>
  <si>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</si>
  <si>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</si>
  <si>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</si>
  <si>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</si>
  <si>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</si>
  <si>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</si>
  <si>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</si>
  <si>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</si>
  <si>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</si>
  <si>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</si>
  <si>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</si>
  <si>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</si>
  <si>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</si>
  <si>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</si>
  <si>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</si>
  <si>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</si>
  <si>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</si>
  <si>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</si>
  <si>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</si>
  <si>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</si>
  <si>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</si>
  <si>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</si>
  <si>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</si>
  <si>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</si>
  <si>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</si>
  <si>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</si>
  <si>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</si>
  <si>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</si>
  <si>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</si>
  <si>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</si>
  <si>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</si>
  <si>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</si>
  <si>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</si>
  <si>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</si>
  <si>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</si>
  <si>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</si>
  <si>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</si>
  <si>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</si>
  <si>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</si>
  <si>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</si>
  <si>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</si>
  <si>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</si>
  <si>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</si>
  <si>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</si>
  <si>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</si>
  <si>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</si>
  <si>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</si>
  <si>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</si>
  <si>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</si>
  <si>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</si>
  <si>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</si>
  <si>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</si>
  <si>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</si>
  <si>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</si>
  <si>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</si>
  <si>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</si>
  <si>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</si>
  <si>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</si>
  <si>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</si>
  <si>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</si>
  <si>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</si>
  <si>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</si>
  <si>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</si>
  <si>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</si>
  <si>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</si>
  <si>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</si>
  <si>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</si>
  <si>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</si>
  <si>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</si>
  <si>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</si>
  <si>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</si>
  <si>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</si>
  <si>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</si>
  <si>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</si>
  <si>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</si>
  <si>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</si>
  <si>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</si>
  <si>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</si>
  <si>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</si>
  <si>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</si>
  <si>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</si>
  <si>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</si>
  <si>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</si>
  <si>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</si>
  <si>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</si>
  <si>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</si>
  <si>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</si>
  <si>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</si>
  <si>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</si>
  <si>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</si>
  <si>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</si>
  <si>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</si>
  <si>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</si>
  <si>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</si>
  <si>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</si>
  <si>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</si>
  <si>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</si>
  <si>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</si>
  <si>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</si>
  <si>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</si>
  <si>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</si>
  <si>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</si>
  <si>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</si>
  <si>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</si>
  <si>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</si>
  <si>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</si>
  <si>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</si>
  <si>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</si>
  <si>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</si>
  <si>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</si>
  <si>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</si>
  <si>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</si>
  <si>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</si>
  <si>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</si>
  <si>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</si>
  <si>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</si>
  <si>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</si>
  <si>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</si>
  <si>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</si>
  <si>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</si>
  <si>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</si>
  <si>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</si>
  <si>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</si>
  <si>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</si>
  <si>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</si>
  <si>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</si>
  <si>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</si>
  <si>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</si>
  <si>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</si>
  <si>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</si>
  <si>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</si>
  <si>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</si>
  <si>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</si>
  <si>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</si>
  <si>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</si>
  <si>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</si>
  <si>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</si>
  <si>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</si>
  <si>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</si>
  <si>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</si>
  <si>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</si>
  <si>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</si>
  <si>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</si>
  <si>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</si>
  <si>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</si>
  <si>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</si>
  <si>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</si>
  <si>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</si>
  <si>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</si>
  <si>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</si>
  <si>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</si>
  <si>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</si>
  <si>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</si>
  <si>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</si>
  <si>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</si>
  <si>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</si>
  <si>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</si>
  <si>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</si>
  <si>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</si>
  <si>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</si>
  <si>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</si>
  <si>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</si>
  <si>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</si>
  <si>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</si>
  <si>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</si>
  <si>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</si>
  <si>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</si>
  <si>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</si>
  <si>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</si>
  <si>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</si>
  <si>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</si>
  <si>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</si>
  <si>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</si>
  <si>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</si>
  <si>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</si>
  <si>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</si>
  <si>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</si>
  <si>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</si>
  <si>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</si>
  <si>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</si>
  <si>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</si>
  <si>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</si>
  <si>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</si>
  <si>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</si>
  <si>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</si>
  <si>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</si>
  <si>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</si>
  <si>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</si>
  <si>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</si>
  <si>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</si>
  <si>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</si>
  <si>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</si>
  <si>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</si>
  <si>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</si>
  <si>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</si>
  <si>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</si>
  <si>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</si>
  <si>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</si>
  <si>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</si>
  <si>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</si>
  <si>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</si>
  <si>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</si>
  <si>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</si>
  <si>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</si>
  <si>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</si>
  <si>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</si>
  <si>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</si>
  <si>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</si>
  <si>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</si>
  <si>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</si>
  <si>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</si>
  <si>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</si>
  <si>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</si>
  <si>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</si>
  <si>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</si>
  <si>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</si>
  <si>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</si>
  <si>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</si>
  <si>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</si>
  <si>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</si>
  <si>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</si>
  <si>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</si>
  <si>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</si>
  <si>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</si>
  <si>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</si>
  <si>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</si>
  <si>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</si>
  <si>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</si>
  <si>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</si>
  <si>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</si>
  <si>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</si>
  <si>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</si>
  <si>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</si>
  <si>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</si>
  <si>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</si>
  <si>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</si>
  <si>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</si>
  <si>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</si>
  <si>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</si>
  <si>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</si>
  <si>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</si>
  <si>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</si>
  <si>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</si>
  <si>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</si>
  <si>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</si>
  <si>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</si>
  <si>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</si>
  <si>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</si>
  <si>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</si>
  <si>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</si>
  <si>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</si>
  <si>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</si>
  <si>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</si>
  <si>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</si>
  <si>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</si>
  <si>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</si>
  <si>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</si>
  <si>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</si>
  <si>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</si>
  <si>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</si>
  <si>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</si>
  <si>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</si>
  <si>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</si>
  <si>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</si>
  <si>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</si>
  <si>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</si>
  <si>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</si>
  <si>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</si>
  <si>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</si>
  <si>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</si>
  <si>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</si>
  <si>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</si>
  <si>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</si>
  <si>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</si>
  <si>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</si>
  <si>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</si>
  <si>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</si>
  <si>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</si>
  <si>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</si>
  <si>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</si>
  <si>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</si>
  <si>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</si>
  <si>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</si>
  <si>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</si>
  <si>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</si>
  <si>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</si>
  <si>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</si>
  <si>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</si>
  <si>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</si>
  <si>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</si>
  <si>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</si>
  <si>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</si>
  <si>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</si>
  <si>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</si>
  <si>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</si>
  <si>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</si>
  <si>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</si>
  <si>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</si>
  <si>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</si>
  <si>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</si>
  <si>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</si>
  <si>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</si>
  <si>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</si>
  <si>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</si>
  <si>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</si>
  <si>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</si>
  <si>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</si>
  <si>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</si>
  <si>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</si>
  <si>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</si>
  <si>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</si>
  <si>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</si>
  <si>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</si>
  <si>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</si>
  <si>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</si>
  <si>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</si>
  <si>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</si>
  <si>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</si>
  <si>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</si>
  <si>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</si>
  <si>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</si>
  <si>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</si>
  <si>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</si>
  <si>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</si>
  <si>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</si>
  <si>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</si>
  <si>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</si>
  <si>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</si>
  <si>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</si>
  <si>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</si>
  <si>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</si>
  <si>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</si>
  <si>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</si>
  <si>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</si>
  <si>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</si>
  <si>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</si>
  <si>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</si>
  <si>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</si>
  <si>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</si>
  <si>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</si>
  <si>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</si>
  <si>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</si>
  <si>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</si>
  <si>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</si>
  <si>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</si>
  <si>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</si>
  <si>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</si>
  <si>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</si>
  <si>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</si>
  <si>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</si>
  <si>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</si>
  <si>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</si>
  <si>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</si>
  <si>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</si>
  <si>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</si>
  <si>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</si>
  <si>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</si>
  <si>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</si>
  <si>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</si>
  <si>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</si>
  <si>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</si>
  <si>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</si>
  <si>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</si>
  <si>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</si>
  <si>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</si>
  <si>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</si>
  <si>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</si>
  <si>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</si>
  <si>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</si>
  <si>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</si>
  <si>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</si>
  <si>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</si>
  <si>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</si>
  <si>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</si>
  <si>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</si>
  <si>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</si>
  <si>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</si>
  <si>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</si>
  <si>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</si>
  <si>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</si>
  <si>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</si>
  <si>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</si>
  <si>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</si>
  <si>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</si>
  <si>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</si>
  <si>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</si>
  <si>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</si>
  <si>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</si>
  <si>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</si>
  <si>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</si>
  <si>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</si>
  <si>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</si>
  <si>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</si>
  <si>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</si>
  <si>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</si>
  <si>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</si>
  <si>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</si>
  <si>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</si>
  <si>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</si>
  <si>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</si>
  <si>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</si>
  <si>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</si>
  <si>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</si>
  <si>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</si>
  <si>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</si>
  <si>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</si>
  <si>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</si>
  <si>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</si>
  <si>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</si>
  <si>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</si>
  <si>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</si>
  <si>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</si>
  <si>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</si>
  <si>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</si>
  <si>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</si>
  <si>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</si>
  <si>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</si>
  <si>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</si>
  <si>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</si>
  <si>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</si>
  <si>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</si>
  <si>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</si>
  <si>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</si>
  <si>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</si>
  <si>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</si>
  <si>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</si>
  <si>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</si>
  <si>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</si>
  <si>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</si>
  <si>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</si>
  <si>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</si>
  <si>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</si>
  <si>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</si>
  <si>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</si>
  <si>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</si>
  <si>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</si>
  <si>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</si>
  <si>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</si>
  <si>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</si>
  <si>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</si>
  <si>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</si>
  <si>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</si>
  <si>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</si>
  <si>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</si>
  <si>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</si>
  <si>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</si>
  <si>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</si>
  <si>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</si>
  <si>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</si>
  <si>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</si>
  <si>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</si>
  <si>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</si>
  <si>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</si>
  <si>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</si>
  <si>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</si>
  <si>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</si>
  <si>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</si>
  <si>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</si>
  <si>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</si>
  <si>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</si>
  <si>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</si>
  <si>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</si>
  <si>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</si>
  <si>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</si>
  <si>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</si>
  <si>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</si>
  <si>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</si>
  <si>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</si>
  <si>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</si>
  <si>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</si>
  <si>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</si>
  <si>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</si>
  <si>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</si>
  <si>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</si>
  <si>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</si>
  <si>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</si>
  <si>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</si>
  <si>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</si>
  <si>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</si>
  <si>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</si>
  <si>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</si>
  <si>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</si>
  <si>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</si>
  <si>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</si>
  <si>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</si>
  <si>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</si>
  <si>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</si>
  <si>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</si>
  <si>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</si>
  <si>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</si>
  <si>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</si>
  <si>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</si>
  <si>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</si>
  <si>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</si>
  <si>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</si>
  <si>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</si>
  <si>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</si>
  <si>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</si>
  <si>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</si>
  <si>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</si>
  <si>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</si>
  <si>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</si>
  <si>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</si>
  <si>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</si>
  <si>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</si>
  <si>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</si>
  <si>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</si>
  <si>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</si>
  <si>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</si>
  <si>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</si>
  <si>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</si>
  <si>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</si>
  <si>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</si>
  <si>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</si>
  <si>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</si>
  <si>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</si>
  <si>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</si>
  <si>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</si>
  <si>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</si>
  <si>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</si>
  <si>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</si>
  <si>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</si>
  <si>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</si>
  <si>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</si>
  <si>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</si>
  <si>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</si>
  <si>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</si>
  <si>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</si>
  <si>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</si>
  <si>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</si>
  <si>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</si>
  <si>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</si>
  <si>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</si>
  <si>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</si>
  <si>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</si>
  <si>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</si>
  <si>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</si>
  <si>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</si>
  <si>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</si>
  <si>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</si>
  <si>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</si>
  <si>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</si>
  <si>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</si>
  <si>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</si>
  <si>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</si>
  <si>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</si>
  <si>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</si>
  <si>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</si>
  <si>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</si>
  <si>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</si>
  <si>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</si>
  <si>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</si>
  <si>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</si>
  <si>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</si>
  <si>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</si>
  <si>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</si>
  <si>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</si>
  <si>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</si>
  <si>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</si>
  <si>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</si>
  <si>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</si>
  <si>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</si>
  <si>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</si>
  <si>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</si>
  <si>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</si>
  <si>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</si>
  <si>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</si>
  <si>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</si>
  <si>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</si>
  <si>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</si>
  <si>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</si>
  <si>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</si>
  <si>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</si>
  <si>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</si>
  <si>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</si>
  <si>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</si>
  <si>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</si>
  <si>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</si>
  <si>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</si>
  <si>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</si>
  <si>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</si>
  <si>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</si>
  <si>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</si>
  <si>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</si>
  <si>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</si>
  <si>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</si>
  <si>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</si>
  <si>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</si>
  <si>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</si>
  <si>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</si>
  <si>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</si>
  <si>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</si>
  <si>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</si>
  <si>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</si>
  <si>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</si>
  <si>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</si>
  <si>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</si>
  <si>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</si>
  <si>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</si>
  <si>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</si>
  <si>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</si>
  <si>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</si>
  <si>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</si>
  <si>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</si>
  <si>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</si>
  <si>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</si>
  <si>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</si>
  <si>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</si>
  <si>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</si>
  <si>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</si>
  <si>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</si>
  <si>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</si>
  <si>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</si>
  <si>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</si>
  <si>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</si>
  <si>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</si>
  <si>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</si>
  <si>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</si>
  <si>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</si>
  <si>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</si>
  <si>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</si>
  <si>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</si>
  <si>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</si>
  <si>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</si>
  <si>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</si>
  <si>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</si>
  <si>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</si>
  <si>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</si>
  <si>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</si>
  <si>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</si>
  <si>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</si>
  <si>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</si>
  <si>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</si>
  <si>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</si>
  <si>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</si>
  <si>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</si>
  <si>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</si>
  <si>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</si>
  <si>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</si>
  <si>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</si>
  <si>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</si>
  <si>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</si>
  <si>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</si>
  <si>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</si>
  <si>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</si>
  <si>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</si>
  <si>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</si>
  <si>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</si>
  <si>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</si>
  <si>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</si>
  <si>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</si>
  <si>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</si>
  <si>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</si>
  <si>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</si>
  <si>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</si>
  <si>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</si>
  <si>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</si>
  <si>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</si>
  <si>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</si>
  <si>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</si>
  <si>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</si>
  <si>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</si>
  <si>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</si>
  <si>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</si>
  <si>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</si>
  <si>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</si>
  <si>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</si>
  <si>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</si>
  <si>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</si>
  <si>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</si>
  <si>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</si>
  <si>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</si>
  <si>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</si>
  <si>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</si>
  <si>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</si>
  <si>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</si>
  <si>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</si>
  <si>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</si>
  <si>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</si>
  <si>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</si>
  <si>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</si>
  <si>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</si>
  <si>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</si>
  <si>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</si>
  <si>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</si>
  <si>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</si>
  <si>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</si>
  <si>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</si>
  <si>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</si>
  <si>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</si>
  <si>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</si>
  <si>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</si>
  <si>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</si>
  <si>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</si>
  <si>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</si>
  <si>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</si>
  <si>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</si>
  <si>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</si>
  <si>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</si>
  <si>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</si>
  <si>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</si>
  <si>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</si>
  <si>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</si>
  <si>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</si>
  <si>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</si>
  <si>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</si>
  <si>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</si>
  <si>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</si>
  <si>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</si>
  <si>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</si>
  <si>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</si>
  <si>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</si>
  <si>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</si>
  <si>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</si>
  <si>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</si>
  <si>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</si>
  <si>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</si>
  <si>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</si>
  <si>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</si>
  <si>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</si>
  <si>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</si>
  <si>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</si>
  <si>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</si>
  <si>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</si>
  <si>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</si>
  <si>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</si>
  <si>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</si>
  <si>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</si>
  <si>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</si>
  <si>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</si>
  <si>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</si>
  <si>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</si>
  <si>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</si>
  <si>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</si>
  <si>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</si>
  <si>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</si>
  <si>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</si>
  <si>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</si>
  <si>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</si>
  <si>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</si>
  <si>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</si>
  <si>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</si>
  <si>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</si>
  <si>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</si>
  <si>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</si>
  <si>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</si>
  <si>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</si>
  <si>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</si>
  <si>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</si>
  <si>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</si>
  <si>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</si>
  <si>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</si>
  <si>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</si>
  <si>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</si>
  <si>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</si>
  <si>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</si>
  <si>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</si>
  <si>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</si>
  <si>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</si>
  <si>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</si>
  <si>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</si>
  <si>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</si>
  <si>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</si>
  <si>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</si>
  <si>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</si>
  <si>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</si>
  <si>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</si>
  <si>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</si>
  <si>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</si>
  <si>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</si>
  <si>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</si>
  <si>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</si>
  <si>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</si>
  <si>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</si>
  <si>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</si>
  <si>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</si>
  <si>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</si>
  <si>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</si>
  <si>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</si>
  <si>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</si>
  <si>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</si>
  <si>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</si>
  <si>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</si>
  <si>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</si>
  <si>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</si>
  <si>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</si>
  <si>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</si>
  <si>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</si>
  <si>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</si>
  <si>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</si>
  <si>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</si>
  <si>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</si>
  <si>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</si>
  <si>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</si>
  <si>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</si>
  <si>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</si>
  <si>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</si>
  <si>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</si>
  <si>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</si>
  <si>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</si>
  <si>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</si>
  <si>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</si>
  <si>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</si>
  <si>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</si>
  <si>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</si>
  <si>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</si>
  <si>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</si>
  <si>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</si>
  <si>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</si>
  <si>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</si>
  <si>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</si>
  <si>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</si>
  <si>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</si>
  <si>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</si>
  <si>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</si>
  <si>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</si>
  <si>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</si>
  <si>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</si>
  <si>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</si>
  <si>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</si>
  <si>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</si>
  <si>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</si>
  <si>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</si>
  <si>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</si>
  <si>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</si>
  <si>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</si>
  <si>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</si>
  <si>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</si>
  <si>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</si>
  <si>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</si>
  <si>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</si>
  <si>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</si>
  <si>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</si>
  <si>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</si>
  <si>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</si>
  <si>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</si>
  <si>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</si>
  <si>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</si>
  <si>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</si>
  <si>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</si>
  <si>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</si>
  <si>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</si>
  <si>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</si>
  <si>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</si>
  <si>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</si>
  <si>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</si>
  <si>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</si>
  <si>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</si>
  <si>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</si>
  <si>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</si>
  <si>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</si>
  <si>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</si>
  <si>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</si>
  <si>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</si>
  <si>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</si>
  <si>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</si>
  <si>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</si>
  <si>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</si>
  <si>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</si>
  <si>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</si>
  <si>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</si>
  <si>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</si>
  <si>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</si>
  <si>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</si>
  <si>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</si>
  <si>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</si>
  <si>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</si>
  <si>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</si>
  <si>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</si>
  <si>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</si>
  <si>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</si>
  <si>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</si>
  <si>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</si>
  <si>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</si>
  <si>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</si>
  <si>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</si>
  <si>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</si>
  <si>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</si>
  <si>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</si>
  <si>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</si>
  <si>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</si>
  <si>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</si>
  <si>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</si>
  <si>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</si>
  <si>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</si>
  <si>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</si>
  <si>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</si>
  <si>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</si>
  <si>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</si>
  <si>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</si>
  <si>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</si>
  <si>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</si>
  <si>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</si>
  <si>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</si>
  <si>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</si>
  <si>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</si>
  <si>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</si>
  <si>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</si>
  <si>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</si>
  <si>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</si>
  <si>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</si>
  <si>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</si>
  <si>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</si>
  <si>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</si>
  <si>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</si>
  <si>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</si>
  <si>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</si>
  <si>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</si>
  <si>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</si>
  <si>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</si>
  <si>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</si>
  <si>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</si>
  <si>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</si>
  <si>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</si>
  <si>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</si>
  <si>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</si>
  <si>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</si>
  <si>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</si>
  <si>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</si>
  <si>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</si>
  <si>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</si>
  <si>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</si>
  <si>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</si>
  <si>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</si>
  <si>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</si>
  <si>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</si>
  <si>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</si>
  <si>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</si>
  <si>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</si>
  <si>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</si>
  <si>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</si>
  <si>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</si>
  <si>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</si>
  <si>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</si>
  <si>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</si>
  <si>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</si>
  <si>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</si>
  <si>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</si>
  <si>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</si>
  <si>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</si>
  <si>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</si>
  <si>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</si>
  <si>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</si>
  <si>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</si>
  <si>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</si>
  <si>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</si>
  <si>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</si>
  <si>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</si>
  <si>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</si>
  <si>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</si>
  <si>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</si>
  <si>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</si>
  <si>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</si>
  <si>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</si>
  <si>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</si>
  <si>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</si>
  <si>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</si>
  <si>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</si>
  <si>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</si>
  <si>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</si>
  <si>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</si>
  <si>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</si>
  <si>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</si>
  <si>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</si>
  <si>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</si>
  <si>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</si>
  <si>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</si>
  <si>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</si>
  <si>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</si>
  <si>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</si>
  <si>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</si>
  <si>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</si>
  <si>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</si>
  <si>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</si>
  <si>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</si>
  <si>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</si>
  <si>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</si>
  <si>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</si>
  <si>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</si>
  <si>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</si>
  <si>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</si>
  <si>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</si>
  <si>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</si>
  <si>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</si>
  <si>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</si>
  <si>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</si>
  <si>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</si>
  <si>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</si>
  <si>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</si>
  <si>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</si>
  <si>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</si>
  <si>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</si>
  <si>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</si>
  <si>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</si>
  <si>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</si>
  <si>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</si>
  <si>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</si>
  <si>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</si>
  <si>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</si>
  <si>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</si>
  <si>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</si>
  <si>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</si>
  <si>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</si>
  <si>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</si>
  <si>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</si>
  <si>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</si>
  <si>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</si>
  <si>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</si>
  <si>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</si>
  <si>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</si>
  <si>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</si>
  <si>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</si>
  <si>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</si>
  <si>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</si>
  <si>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</si>
  <si>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</si>
  <si>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</si>
  <si>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</si>
  <si>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</si>
  <si>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</si>
  <si>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</si>
  <si>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</si>
  <si>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</si>
  <si>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</si>
  <si>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</si>
  <si>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</si>
  <si>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</si>
  <si>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</si>
  <si>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</si>
  <si>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</si>
  <si>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</si>
  <si>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</si>
  <si>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</si>
  <si>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</si>
  <si>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</si>
  <si>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</si>
  <si>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</si>
  <si>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</si>
  <si>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</si>
  <si>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</si>
  <si>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</si>
  <si>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</si>
  <si>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</si>
  <si>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</si>
  <si>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</si>
  <si>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</si>
  <si>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</si>
  <si>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</si>
  <si>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</si>
  <si>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</si>
  <si>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</si>
  <si>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</si>
  <si>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</si>
  <si>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</si>
  <si>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</si>
  <si>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</si>
  <si>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</si>
  <si>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</si>
  <si>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</si>
  <si>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</si>
  <si>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</si>
  <si>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</si>
  <si>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</si>
  <si>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</si>
  <si>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</si>
  <si>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</si>
  <si>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</si>
  <si>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</si>
  <si>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</si>
  <si>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</si>
  <si>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</si>
  <si>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</si>
  <si>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</si>
  <si>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</si>
  <si>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</si>
  <si>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</si>
  <si>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</si>
  <si>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</si>
  <si>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</si>
  <si>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</si>
  <si>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</si>
  <si>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</si>
  <si>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</si>
  <si>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</si>
  <si>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</si>
  <si>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</si>
  <si>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</si>
  <si>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</si>
  <si>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</si>
  <si>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</si>
  <si>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</si>
  <si>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</si>
  <si>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</si>
  <si>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</si>
  <si>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</si>
  <si>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</si>
  <si>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</si>
  <si>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</si>
  <si>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</si>
  <si>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</si>
  <si>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</si>
  <si>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</si>
  <si>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</si>
  <si>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</si>
  <si>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</si>
  <si>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</si>
  <si>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</si>
  <si>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</si>
  <si>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</si>
  <si>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</si>
  <si>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</si>
  <si>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</si>
  <si>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</si>
  <si>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</si>
  <si>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</si>
  <si>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</si>
  <si>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</si>
  <si>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</si>
  <si>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</si>
  <si>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</si>
  <si>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</si>
  <si>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</si>
  <si>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</si>
  <si>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</si>
  <si>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</si>
  <si>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</si>
  <si>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</si>
  <si>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</si>
  <si>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</si>
  <si>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</si>
  <si>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</si>
  <si>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</si>
  <si>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</si>
  <si>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</si>
  <si>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</si>
  <si>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</si>
  <si>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</si>
  <si>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</si>
  <si>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</si>
  <si>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</si>
  <si>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</si>
  <si>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</si>
  <si>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</si>
  <si>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</si>
  <si>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</si>
  <si>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</si>
  <si>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</si>
  <si>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</si>
  <si>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</si>
  <si>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</si>
  <si>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</si>
  <si>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</si>
  <si>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</si>
  <si>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</si>
  <si>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</si>
  <si>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</si>
  <si>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</si>
  <si>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</si>
  <si>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</si>
  <si>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</si>
  <si>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</si>
  <si>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</si>
  <si>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</si>
  <si>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</si>
  <si>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</si>
  <si>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</si>
  <si>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</si>
  <si>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</si>
  <si>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</si>
  <si>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</si>
  <si>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</si>
  <si>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</si>
  <si>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</si>
  <si>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</si>
  <si>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</si>
  <si>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</si>
  <si>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</si>
  <si>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</si>
  <si>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</si>
  <si>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</si>
  <si>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</si>
  <si>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</si>
  <si>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</si>
  <si>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</si>
  <si>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</si>
  <si>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</si>
  <si>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</si>
  <si>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</si>
  <si>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</si>
  <si>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</si>
  <si>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</si>
  <si>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</si>
  <si>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</si>
  <si>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</si>
  <si>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</si>
  <si>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</si>
  <si>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</si>
  <si>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</si>
  <si>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</si>
  <si>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</si>
  <si>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</si>
  <si>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</si>
  <si>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</si>
  <si>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</si>
  <si>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</si>
  <si>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</si>
  <si>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</si>
  <si>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</si>
  <si>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</si>
  <si>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</si>
  <si>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</si>
  <si>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</si>
  <si>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</si>
  <si>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</si>
  <si>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</si>
  <si>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</si>
  <si>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</si>
  <si>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</si>
  <si>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</si>
  <si>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</si>
  <si>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</si>
  <si>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</si>
  <si>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</si>
  <si>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</si>
  <si>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</si>
  <si>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</si>
  <si>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</si>
  <si>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</si>
  <si>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</si>
  <si>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</si>
  <si>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</si>
  <si>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</si>
  <si>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</si>
  <si>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</si>
  <si>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</si>
  <si>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</si>
  <si>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</si>
  <si>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</si>
  <si>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</si>
  <si>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</si>
  <si>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</si>
  <si>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</si>
  <si>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</si>
  <si>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</si>
  <si>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</si>
  <si>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</si>
  <si>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</si>
  <si>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</si>
  <si>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</si>
  <si>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</si>
  <si>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</si>
  <si>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</si>
  <si>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</si>
  <si>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</si>
  <si>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</si>
  <si>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</si>
  <si>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</si>
  <si>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</si>
  <si>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</si>
  <si>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</si>
  <si>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</si>
  <si>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</si>
  <si>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</si>
  <si>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</si>
  <si>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</si>
  <si>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</si>
  <si>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</si>
  <si>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</si>
  <si>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</si>
  <si>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</si>
  <si>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</si>
  <si>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</si>
  <si>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</si>
  <si>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</si>
  <si>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</si>
  <si>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</si>
  <si>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</si>
  <si>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</si>
  <si>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</si>
  <si>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</si>
  <si>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</si>
  <si>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</si>
  <si>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</si>
  <si>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</si>
  <si>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</si>
  <si>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</si>
  <si>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</si>
  <si>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</si>
  <si>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</si>
  <si>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</si>
  <si>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</si>
  <si>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</si>
  <si>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</si>
  <si>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</si>
  <si>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</si>
  <si>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</si>
  <si>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</si>
  <si>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</si>
  <si>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</si>
  <si>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</si>
  <si>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</si>
  <si>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</si>
  <si>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</si>
  <si>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</si>
  <si>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</si>
  <si>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</si>
  <si>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</si>
  <si>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</si>
  <si>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</si>
  <si>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</si>
  <si>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</si>
  <si>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</si>
  <si>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</si>
  <si>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</si>
  <si>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</si>
  <si>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</si>
  <si>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</si>
  <si>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</si>
  <si>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</si>
  <si>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</si>
  <si>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</si>
  <si>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</si>
  <si>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</si>
  <si>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</si>
  <si>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</si>
  <si>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</si>
  <si>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</si>
  <si>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</si>
  <si>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</si>
  <si>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</si>
  <si>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</si>
  <si>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</si>
  <si>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</si>
  <si>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</si>
  <si>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</si>
  <si>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</si>
  <si>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</si>
  <si>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</si>
  <si>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</si>
  <si>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</si>
  <si>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</si>
  <si>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</si>
  <si>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</si>
  <si>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</si>
  <si>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</si>
  <si>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</si>
  <si>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</si>
  <si>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</si>
  <si>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</si>
  <si>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</si>
  <si>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</si>
  <si>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</si>
  <si>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</si>
  <si>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</si>
  <si>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</si>
  <si>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</si>
  <si>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</si>
  <si>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</si>
  <si>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</si>
  <si>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</si>
  <si>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</si>
  <si>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</si>
  <si>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</si>
  <si>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</si>
  <si>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</si>
  <si>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</si>
  <si>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</si>
  <si>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</si>
  <si>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</si>
  <si>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</si>
  <si>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</si>
  <si>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</si>
  <si>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</si>
  <si>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</si>
  <si>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</si>
  <si>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</si>
  <si>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</si>
  <si>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</si>
  <si>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</si>
  <si>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</si>
  <si>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</si>
  <si>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</si>
  <si>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</si>
  <si>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</si>
  <si>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</si>
  <si>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</si>
  <si>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</si>
  <si>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</si>
  <si>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</si>
  <si>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</si>
  <si>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</si>
  <si>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</si>
  <si>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</si>
  <si>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</si>
  <si>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</si>
  <si>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</si>
  <si>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</si>
  <si>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</si>
  <si>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</si>
  <si>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</si>
  <si>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</si>
  <si>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</si>
  <si>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</si>
  <si>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</si>
  <si>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</si>
  <si>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</si>
  <si>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</si>
  <si>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</si>
  <si>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</si>
  <si>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</si>
  <si>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</si>
  <si>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</si>
  <si>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</si>
  <si>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</si>
  <si>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</si>
  <si>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</si>
  <si>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</si>
  <si>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</si>
  <si>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</si>
  <si>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</si>
  <si>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</si>
  <si>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</si>
  <si>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</si>
  <si>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</si>
  <si>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</si>
  <si>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</si>
  <si>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</si>
  <si>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</si>
  <si>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</si>
  <si>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</si>
  <si>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</si>
  <si>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</si>
  <si>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</si>
  <si>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</si>
  <si>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</si>
  <si>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</si>
  <si>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</si>
  <si>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</si>
  <si>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</si>
  <si>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</si>
  <si>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</si>
  <si>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</si>
  <si>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</si>
  <si>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</si>
  <si>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</si>
  <si>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</si>
  <si>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</si>
  <si>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</si>
  <si>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</si>
  <si>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</si>
  <si>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</si>
  <si>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</si>
  <si>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</si>
  <si>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</si>
  <si>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</si>
  <si>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</si>
  <si>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</si>
  <si>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</si>
  <si>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</si>
  <si>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</si>
  <si>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</si>
  <si>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</si>
  <si>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</si>
  <si>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</si>
  <si>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</si>
  <si>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</si>
  <si>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</si>
  <si>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</si>
  <si>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</si>
  <si>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</si>
  <si>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</si>
  <si>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</si>
  <si>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</si>
  <si>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</si>
  <si>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</si>
  <si>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</si>
  <si>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</si>
  <si>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</si>
  <si>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</si>
  <si>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</si>
  <si>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</si>
  <si>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</si>
  <si>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</si>
  <si>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</si>
  <si>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</si>
  <si>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</si>
  <si>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</si>
  <si>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</si>
  <si>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</si>
  <si>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</si>
  <si>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</si>
  <si>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</si>
  <si>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</si>
  <si>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</si>
  <si>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</si>
  <si>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</si>
  <si>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</si>
  <si>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</si>
  <si>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</si>
  <si>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</si>
  <si>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</si>
  <si>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</si>
  <si>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</si>
  <si>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</si>
  <si>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</si>
  <si>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</si>
  <si>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</si>
  <si>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</si>
  <si>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</si>
  <si>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</si>
  <si>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</si>
  <si>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</si>
  <si>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</si>
  <si>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</si>
  <si>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</si>
  <si>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</si>
  <si>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</si>
  <si>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</si>
  <si>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</si>
  <si>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</si>
  <si>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</si>
  <si>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</si>
  <si>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</si>
  <si>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</si>
  <si>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</si>
  <si>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</si>
  <si>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</si>
  <si>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</si>
  <si>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</si>
  <si>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</si>
  <si>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</si>
  <si>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</si>
  <si>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</si>
  <si>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</si>
  <si>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</si>
  <si>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</si>
  <si>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</si>
  <si>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</si>
  <si>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</si>
  <si>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</si>
  <si>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</si>
  <si>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</si>
  <si>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</si>
  <si>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</si>
  <si>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</si>
  <si>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</si>
  <si>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</si>
  <si>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</si>
  <si>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</si>
  <si>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</si>
  <si>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</si>
  <si>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</si>
  <si>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</si>
  <si>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</si>
  <si>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</si>
  <si>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</si>
  <si>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</si>
  <si>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</si>
  <si>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</si>
  <si>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</si>
  <si>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</si>
  <si>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</si>
  <si>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</si>
  <si>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</si>
  <si>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</si>
  <si>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</si>
  <si>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</si>
  <si>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</si>
  <si>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</si>
  <si>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</si>
  <si>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</si>
  <si>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</si>
  <si>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</si>
  <si>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</si>
  <si>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</si>
  <si>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</si>
  <si>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</si>
  <si>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</si>
  <si>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</si>
  <si>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</si>
  <si>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</si>
  <si>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</si>
  <si>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</si>
  <si>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</si>
  <si>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</si>
  <si>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</si>
  <si>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</si>
  <si>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</si>
  <si>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</si>
  <si>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</si>
  <si>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</si>
  <si>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</si>
  <si>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</si>
  <si>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</si>
  <si>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</si>
  <si>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</si>
  <si>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</si>
  <si>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</si>
  <si>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</si>
  <si>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</si>
  <si>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</si>
  <si>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</si>
  <si>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</si>
  <si>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</si>
  <si>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</si>
  <si>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</si>
  <si>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</si>
  <si>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</si>
  <si>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</si>
  <si>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</si>
  <si>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</si>
  <si>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</si>
  <si>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</si>
  <si>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</si>
  <si>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</si>
  <si>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</si>
  <si>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</si>
  <si>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</si>
  <si>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</si>
  <si>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</si>
  <si>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</si>
  <si>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</si>
  <si>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</si>
  <si>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</si>
  <si>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</si>
  <si>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</si>
  <si>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</si>
  <si>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</si>
  <si>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</si>
  <si>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</si>
  <si>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</si>
  <si>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</si>
  <si>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</si>
  <si>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</si>
  <si>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</si>
  <si>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</si>
  <si>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</si>
  <si>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</si>
  <si>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</si>
  <si>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</si>
  <si>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</si>
  <si>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</si>
  <si>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</si>
  <si>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</si>
  <si>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</si>
  <si>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</si>
  <si>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</si>
  <si>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</si>
  <si>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</si>
  <si>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</si>
  <si>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</si>
  <si>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</si>
  <si>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</si>
  <si>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</si>
  <si>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</si>
  <si>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</si>
  <si>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</si>
  <si>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</si>
  <si>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</si>
  <si>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</si>
  <si>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</si>
  <si>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</si>
  <si>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</si>
  <si>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</si>
  <si>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</si>
  <si>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</si>
  <si>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</si>
  <si>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</si>
  <si>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</si>
  <si>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</si>
  <si>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</si>
  <si>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</si>
  <si>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</si>
  <si>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</si>
  <si>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</si>
  <si>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</si>
  <si>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</si>
  <si>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</si>
  <si>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</si>
  <si>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</si>
  <si>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</si>
  <si>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</si>
  <si>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</si>
  <si>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</si>
  <si>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</si>
  <si>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</si>
  <si>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</si>
  <si>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</si>
  <si>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</si>
  <si>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</si>
  <si>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</si>
  <si>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</si>
  <si>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</si>
  <si>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</si>
  <si>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</si>
  <si>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</si>
  <si>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</si>
  <si>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</si>
  <si>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</si>
  <si>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</si>
  <si>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</si>
  <si>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</si>
  <si>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</si>
  <si>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</si>
  <si>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</si>
  <si>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</si>
  <si>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</si>
  <si>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</si>
  <si>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</si>
  <si>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</si>
  <si>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</si>
  <si>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</si>
  <si>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</si>
  <si>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</si>
  <si>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</si>
  <si>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</si>
  <si>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</si>
  <si>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</si>
  <si>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</si>
  <si>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</si>
  <si>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</si>
  <si>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</si>
  <si>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</si>
  <si>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</si>
  <si>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</si>
  <si>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</si>
  <si>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</si>
  <si>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</si>
  <si>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</si>
  <si>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</si>
  <si>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</si>
  <si>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</si>
  <si>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</si>
  <si>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</si>
  <si>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</si>
  <si>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</si>
  <si>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</si>
  <si>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</si>
  <si>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</si>
  <si>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</si>
  <si>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</si>
  <si>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</si>
  <si>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</si>
  <si>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</si>
  <si>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</si>
  <si>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</si>
  <si>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</si>
  <si>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</si>
  <si>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</si>
  <si>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</si>
  <si>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</si>
  <si>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</si>
  <si>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</si>
  <si>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</si>
  <si>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</si>
  <si>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</si>
  <si>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</si>
  <si>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</si>
  <si>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</si>
  <si>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</si>
  <si>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</si>
  <si>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</si>
  <si>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</si>
  <si>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</si>
  <si>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</si>
  <si>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</si>
  <si>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</si>
  <si>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</si>
  <si>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</si>
  <si>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</si>
  <si>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</si>
  <si>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</si>
  <si>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</si>
  <si>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</si>
  <si>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</si>
  <si>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</si>
  <si>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</si>
  <si>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</si>
  <si>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</si>
  <si>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</si>
  <si>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</si>
  <si>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</si>
  <si>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</si>
  <si>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</si>
  <si>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</si>
  <si>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</si>
  <si>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17/09/2026 e 18/09/2026</t>
  </si>
  <si>
    <t>24/09/2026 e 25/09/2026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</si>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</sst>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E701" activePane="bottomLeft" state="frozen"/>
      <selection pane="bottomLeft" activeCell="I707" sqref="I707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/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2741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69" t="s">
        <v>2727</v>
      </c>
      <c r="H706" s="290" t="s">
        <v>2838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2741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60" t="s">
        <v>2727</v>
      </c>
      <c r="H707" s="289" t="s">
        <v>2839</v>
      </c>
      <c r="I707" s="213">
        <v>46289</v>
      </c>
      <c r="J707" s="213"/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2741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69" t="s">
        <v>2727</v>
      </c>
      <c r="H708" s="221"/>
      <c r="I708" s="222"/>
      <c r="J708" s="222"/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2741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2840</v>
      </c>
      <c r="C1" s="96" t="s">
        <v>2841</v>
      </c>
      <c r="D1" s="96" t="s">
        <v>4</v>
      </c>
      <c r="E1" s="96" t="s">
        <v>2842</v>
      </c>
      <c r="F1" s="96" t="s">
        <v>19</v>
      </c>
      <c r="G1" s="96" t="s">
        <v>2843</v>
      </c>
      <c r="H1" s="96" t="s">
        <v>2844</v>
      </c>
      <c r="I1" s="96" t="s">
        <v>2845</v>
      </c>
      <c r="J1" s="96" t="s">
        <v>2846</v>
      </c>
      <c r="L1" s="129" t="s">
        <v>2847</v>
      </c>
      <c r="M1" s="100">
        <v>2026</v>
      </c>
      <c r="U1" s="162" t="s">
        <v>2848</v>
      </c>
      <c r="V1" s="161"/>
      <c r="X1" s="159" t="s">
        <v>2849</v>
      </c>
      <c r="Y1" s="107"/>
      <c r="Z1" s="107"/>
      <c r="AA1" s="107"/>
      <c r="AC1" s="253" t="s">
        <v>2850</v>
      </c>
    </row>
    <row r="2" spans="1:31">
      <c r="A2" s="98" cm="1">
        <f t="array" ref="A2:J10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2840</v>
      </c>
      <c r="Y2" s="160" t="s">
        <v>19</v>
      </c>
      <c r="Z2" s="160" t="s">
        <v>2851</v>
      </c>
      <c r="AA2" s="160" t="s">
        <v>2852</v>
      </c>
      <c r="AC2" s="254" t="s">
        <v>1</v>
      </c>
      <c r="AD2" s="254" t="s">
        <v>2853</v>
      </c>
      <c r="AE2" s="254" t="s">
        <v>2854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2855</v>
      </c>
      <c r="M3" s="19" t="s">
        <v>2856</v>
      </c>
      <c r="N3" s="19" t="s">
        <v>2857</v>
      </c>
      <c r="O3" s="19" t="s">
        <v>2858</v>
      </c>
      <c r="P3" s="19" t="s">
        <v>2859</v>
      </c>
      <c r="Q3" s="19" t="s">
        <v>2860</v>
      </c>
      <c r="R3" s="19" t="s">
        <v>2861</v>
      </c>
      <c r="S3" s="19" t="s">
        <v>2862</v>
      </c>
      <c r="T3" s="19" t="s">
        <v>2863</v>
      </c>
      <c r="X3" t="s">
        <v>2864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2865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2866</v>
      </c>
      <c r="Y5" t="s">
        <v>2713</v>
      </c>
      <c r="Z5">
        <v>1</v>
      </c>
      <c r="AA5">
        <v>0.6</v>
      </c>
      <c r="AC5" s="248">
        <v>2026</v>
      </c>
      <c r="AD5" s="95" t="s">
        <v>2867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2866</v>
      </c>
      <c r="Y6" t="s">
        <v>2868</v>
      </c>
      <c r="Z6">
        <v>1</v>
      </c>
      <c r="AA6">
        <v>0</v>
      </c>
      <c r="AC6" s="248">
        <v>2026</v>
      </c>
      <c r="AD6" s="95" t="s">
        <v>2869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2870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2871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2871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2871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2871</v>
      </c>
      <c r="Y11" s="95" t="s">
        <v>2872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2871</v>
      </c>
      <c r="Y12" s="95" t="s">
        <v>2873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2874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2874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2874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2874</v>
      </c>
      <c r="Y16" s="95" t="s">
        <v>2872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2874</v>
      </c>
      <c r="Y17" s="95" t="s">
        <v>2873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2875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2875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2875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2875</v>
      </c>
      <c r="Y21" s="95" t="s">
        <v>2872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2875</v>
      </c>
      <c r="Y22" s="95" t="s">
        <v>2873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2876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2876</v>
      </c>
      <c r="Y24" s="95" t="s">
        <v>2868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2877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2877</v>
      </c>
      <c r="Y26" s="95" t="s">
        <v>2878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2879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2879</v>
      </c>
      <c r="Y28" s="95" t="s">
        <v>2868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2880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2880</v>
      </c>
      <c r="Y30" s="95" t="s">
        <v>2868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2881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2882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2882</v>
      </c>
      <c r="Y33" t="s">
        <v>2883</v>
      </c>
      <c r="Z33">
        <v>4</v>
      </c>
      <c r="AA33">
        <v>0.6</v>
      </c>
      <c r="AC33" s="250"/>
      <c r="AD33" s="251" t="s">
        <v>2884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2882</v>
      </c>
      <c r="Y34" t="s">
        <v>2885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2882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2882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2886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2886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2887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2888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</v>
      </c>
      <c r="R41">
        <v>5</v>
      </c>
      <c r="S41">
        <v>86</v>
      </c>
      <c r="T41">
        <v>81</v>
      </c>
      <c r="X41" t="s">
        <v>2889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</v>
      </c>
      <c r="R42">
        <v>5</v>
      </c>
      <c r="S42">
        <v>91</v>
      </c>
      <c r="T42">
        <v>86</v>
      </c>
      <c r="X42" t="s">
        <v>2889</v>
      </c>
      <c r="Y42" t="s">
        <v>2890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</v>
      </c>
      <c r="R43">
        <v>5</v>
      </c>
      <c r="S43">
        <v>96</v>
      </c>
      <c r="T43">
        <v>91</v>
      </c>
      <c r="X43" t="s">
        <v>2891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</v>
      </c>
      <c r="R44">
        <v>5</v>
      </c>
      <c r="S44">
        <v>101</v>
      </c>
      <c r="T44">
        <v>96</v>
      </c>
      <c r="X44" t="s">
        <v>2891</v>
      </c>
      <c r="Y44" s="95" t="s">
        <v>2868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101</v>
      </c>
      <c r="X45" t="s">
        <v>2892</v>
      </c>
      <c r="Y45" t="s">
        <v>2893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2892</v>
      </c>
      <c r="Y46" t="s">
        <v>2894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2892</v>
      </c>
      <c r="Y47" t="s">
        <v>2895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2892</v>
      </c>
      <c r="Y48" t="s">
        <v>2896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2892</v>
      </c>
      <c r="Y49" t="s">
        <v>2897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2892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2892</v>
      </c>
      <c r="Y51" t="s">
        <v>2898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2892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2892</v>
      </c>
      <c r="Y53" t="s">
        <v>2899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2892</v>
      </c>
      <c r="Y54" t="s">
        <v>2900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5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5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5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5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5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2026-050</v>
      </c>
      <c r="C88" t="str">
        <v>A realizar</v>
      </c>
      <c r="D88" t="str">
        <v>TCendo o Futuro</v>
      </c>
      <c r="E88">
        <v>0</v>
      </c>
      <c r="F88" t="str">
        <v>Cinthia Thais de Carvalho Luz Thomazi</v>
      </c>
      <c r="G88">
        <v>5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Adriana Cuoco Portugal</v>
      </c>
      <c r="G89">
        <v>5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Fernanda Viana de Souza</v>
      </c>
      <c r="G90">
        <v>5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Denise Duarte Guirra Kuhlmann</v>
      </c>
      <c r="G91">
        <v>5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Priscila Nolasco</v>
      </c>
      <c r="G92">
        <v>5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2026-051</v>
      </c>
      <c r="C93" t="str">
        <v>A realizar</v>
      </c>
      <c r="D93" t="str">
        <v>TCendo o Futuro</v>
      </c>
      <c r="E93">
        <v>0</v>
      </c>
      <c r="F93" t="str">
        <v>Cinthia Thais de Carvalho Luz Thomazi</v>
      </c>
      <c r="G93">
        <v>5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2026-051</v>
      </c>
      <c r="C94" t="str">
        <v>A realizar</v>
      </c>
      <c r="D94" t="str">
        <v>TCendo o Futuro</v>
      </c>
      <c r="E94">
        <v>0</v>
      </c>
      <c r="F94" t="str">
        <v>Adriana Cuoco Portugal</v>
      </c>
      <c r="G94">
        <v>5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Fernanda Viana de Souza</v>
      </c>
      <c r="G95">
        <v>5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Denise Duarte Guirra Kuhlmann</v>
      </c>
      <c r="G96">
        <v>5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Priscila Nolasco</v>
      </c>
      <c r="G97">
        <v>5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2026-052</v>
      </c>
      <c r="C98" t="str">
        <v>A realizar</v>
      </c>
      <c r="D98" t="str">
        <v>TCendo o Futuro</v>
      </c>
      <c r="E98">
        <v>0</v>
      </c>
      <c r="F98" t="str">
        <v>Cinthia Thais de Carvalho Luz Thomazi</v>
      </c>
      <c r="G98">
        <v>5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2026-052</v>
      </c>
      <c r="C99" t="str">
        <v>A realizar</v>
      </c>
      <c r="D99" t="str">
        <v>TCendo o Futuro</v>
      </c>
      <c r="E99">
        <v>0</v>
      </c>
      <c r="F99" t="str">
        <v>Adriana Cuoco Portugal</v>
      </c>
      <c r="G99">
        <v>5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2026-052</v>
      </c>
      <c r="C100" t="str">
        <v>A realizar</v>
      </c>
      <c r="D100" t="str">
        <v>TCendo o Futuro</v>
      </c>
      <c r="E100">
        <v>0</v>
      </c>
      <c r="F100" t="str">
        <v>Fernanda Viana de Souza</v>
      </c>
      <c r="G100">
        <v>5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Denise Duarte Guirra Kuhlmann</v>
      </c>
      <c r="G101">
        <v>5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Priscila Nolasco</v>
      </c>
      <c r="G102">
        <v>5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R103" t="str">
        <v/>
      </c>
      <c r="S103" t="str">
        <v/>
      </c>
    </row>
    <row r="104" spans="1:19">
      <c r="R104" t="str">
        <v/>
      </c>
      <c r="S104" t="str">
        <v/>
      </c>
    </row>
    <row r="105" spans="1:19">
      <c r="R105" t="str">
        <v/>
      </c>
      <c r="S105" t="str">
        <v/>
      </c>
    </row>
    <row r="106" spans="1:19"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2901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2902</v>
      </c>
      <c r="B4" s="280"/>
      <c r="D4" s="281" t="s">
        <v>2903</v>
      </c>
      <c r="E4" s="282"/>
      <c r="G4" s="125" t="s">
        <v>2904</v>
      </c>
    </row>
    <row r="5" spans="1:7" ht="54.95" customHeight="1" thickBot="1">
      <c r="A5" s="115">
        <f>COUNTIF('Ações InCompany'!B:B,2026)</f>
        <v>52</v>
      </c>
      <c r="B5" s="116" t="s">
        <v>2905</v>
      </c>
      <c r="D5" s="123">
        <f>COUNTIFS('Ações InCompany'!B:B,2026,'Ações InCompany'!C:C,"Realizado")</f>
        <v>32</v>
      </c>
      <c r="E5" s="124" t="s">
        <v>2905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2906</v>
      </c>
      <c r="B8" s="277"/>
      <c r="D8" s="277" t="s">
        <v>2907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2908</v>
      </c>
      <c r="D10" s="108" t="s">
        <v>2909</v>
      </c>
      <c r="E10" s="108" t="s">
        <v>2910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2911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2912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2913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2914</v>
      </c>
      <c r="B14" s="114">
        <f>SUM(B11:B13)</f>
        <v>32</v>
      </c>
      <c r="D14" s="113" t="s">
        <v>2915</v>
      </c>
      <c r="E14" s="114">
        <f>SUM(E11:E13)</f>
        <v>1278</v>
      </c>
    </row>
    <row r="30" spans="1:5" ht="17.25">
      <c r="A30" s="277" t="s">
        <v>2916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2917</v>
      </c>
      <c r="C32" s="108" t="s">
        <v>2918</v>
      </c>
      <c r="D32" s="108" t="s">
        <v>2919</v>
      </c>
      <c r="E32" s="108" t="s">
        <v>2920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2921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2922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2914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2923</v>
      </c>
      <c r="B1" s="12" t="s">
        <v>2924</v>
      </c>
      <c r="C1" s="13" t="s">
        <v>2925</v>
      </c>
      <c r="D1" s="13" t="s">
        <v>2926</v>
      </c>
      <c r="E1" s="13" t="s">
        <v>2927</v>
      </c>
    </row>
    <row r="2" spans="1:5" ht="18" customHeight="1">
      <c r="A2" s="12" t="s">
        <v>2928</v>
      </c>
      <c r="B2" s="12" t="s">
        <v>2929</v>
      </c>
      <c r="C2" s="12" t="s">
        <v>1729</v>
      </c>
      <c r="D2" s="12" t="s">
        <v>2930</v>
      </c>
      <c r="E2" s="12" t="s">
        <v>2931</v>
      </c>
    </row>
    <row r="3" spans="1:5" ht="18" customHeight="1">
      <c r="A3" s="12" t="s">
        <v>2928</v>
      </c>
      <c r="B3" s="12" t="s">
        <v>2929</v>
      </c>
      <c r="C3" s="14" t="s">
        <v>24</v>
      </c>
      <c r="D3" s="12" t="s">
        <v>2932</v>
      </c>
      <c r="E3" s="12" t="s">
        <v>2933</v>
      </c>
    </row>
    <row r="4" spans="1:5" ht="18" customHeight="1">
      <c r="A4" s="12" t="s">
        <v>2928</v>
      </c>
      <c r="B4" s="12" t="s">
        <v>2929</v>
      </c>
      <c r="C4" s="12" t="s">
        <v>68</v>
      </c>
      <c r="D4" s="12" t="s">
        <v>2930</v>
      </c>
      <c r="E4" s="12" t="s">
        <v>2934</v>
      </c>
    </row>
    <row r="5" spans="1:5" ht="18" customHeight="1">
      <c r="A5" s="12" t="s">
        <v>2928</v>
      </c>
      <c r="B5" s="12" t="s">
        <v>2929</v>
      </c>
      <c r="C5" s="12" t="s">
        <v>72</v>
      </c>
      <c r="D5" s="12" t="s">
        <v>2935</v>
      </c>
      <c r="E5" s="12" t="s">
        <v>2936</v>
      </c>
    </row>
    <row r="6" spans="1:5" ht="18" customHeight="1">
      <c r="A6" s="12" t="s">
        <v>2928</v>
      </c>
      <c r="B6" s="12" t="s">
        <v>2929</v>
      </c>
      <c r="C6" s="12" t="s">
        <v>2727</v>
      </c>
      <c r="D6" s="12" t="s">
        <v>2937</v>
      </c>
      <c r="E6" s="12" t="s">
        <v>2938</v>
      </c>
    </row>
    <row r="7" spans="1:5" ht="18" customHeight="1">
      <c r="A7" s="12" t="s">
        <v>2928</v>
      </c>
      <c r="B7" s="12" t="s">
        <v>2939</v>
      </c>
      <c r="C7" s="12" t="s">
        <v>33</v>
      </c>
      <c r="D7" s="12" t="s">
        <v>2940</v>
      </c>
      <c r="E7" s="12" t="s">
        <v>2941</v>
      </c>
    </row>
    <row r="8" spans="1:5" ht="18" customHeight="1">
      <c r="A8" s="12" t="s">
        <v>2928</v>
      </c>
      <c r="B8" s="12" t="s">
        <v>2939</v>
      </c>
      <c r="C8" s="12" t="s">
        <v>38</v>
      </c>
      <c r="D8" s="12" t="s">
        <v>2942</v>
      </c>
      <c r="E8" s="12" t="s">
        <v>2943</v>
      </c>
    </row>
    <row r="9" spans="1:5" ht="18" customHeight="1">
      <c r="A9" s="12" t="s">
        <v>2928</v>
      </c>
      <c r="B9" s="12" t="s">
        <v>2944</v>
      </c>
      <c r="C9" s="12" t="s">
        <v>457</v>
      </c>
      <c r="D9" s="12" t="s">
        <v>2945</v>
      </c>
      <c r="E9" s="12" t="s">
        <v>2946</v>
      </c>
    </row>
    <row r="10" spans="1:5" ht="18" customHeight="1">
      <c r="A10" s="12" t="s">
        <v>2928</v>
      </c>
      <c r="B10" s="12" t="s">
        <v>2944</v>
      </c>
      <c r="C10" s="12" t="s">
        <v>199</v>
      </c>
      <c r="D10" s="12" t="s">
        <v>23</v>
      </c>
      <c r="E10" s="12" t="s">
        <v>2947</v>
      </c>
    </row>
    <row r="11" spans="1:5" ht="18" customHeight="1">
      <c r="A11" s="12" t="s">
        <v>2928</v>
      </c>
      <c r="B11" s="12" t="s">
        <v>2944</v>
      </c>
      <c r="C11" s="12" t="s">
        <v>364</v>
      </c>
      <c r="D11" s="12" t="s">
        <v>23</v>
      </c>
      <c r="E11" s="12" t="s">
        <v>2948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2949</v>
      </c>
      <c r="B1" s="5" t="s">
        <v>10</v>
      </c>
      <c r="C1" s="15" t="s">
        <v>2950</v>
      </c>
      <c r="D1" s="15" t="s">
        <v>2841</v>
      </c>
    </row>
    <row r="2" spans="1:4" ht="21" customHeight="1">
      <c r="A2" s="258" t="s">
        <v>23</v>
      </c>
      <c r="B2" s="258" t="s">
        <v>35</v>
      </c>
      <c r="C2" s="12" t="s">
        <v>2951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2952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2923</v>
      </c>
      <c r="B1" s="12" t="s">
        <v>2924</v>
      </c>
      <c r="C1" s="13" t="s">
        <v>2925</v>
      </c>
      <c r="D1" s="13" t="s">
        <v>2926</v>
      </c>
      <c r="E1" s="13" t="s">
        <v>2927</v>
      </c>
    </row>
    <row r="2" spans="1:5" ht="18" customHeight="1">
      <c r="A2" s="12" t="s">
        <v>2953</v>
      </c>
      <c r="B2" s="12" t="s">
        <v>2929</v>
      </c>
      <c r="C2" s="14" t="s">
        <v>24</v>
      </c>
      <c r="D2" s="12" t="s">
        <v>2930</v>
      </c>
      <c r="E2" s="18" t="s">
        <v>2954</v>
      </c>
    </row>
    <row r="3" spans="1:5" ht="18" customHeight="1">
      <c r="A3" s="12" t="s">
        <v>2953</v>
      </c>
      <c r="B3" s="12" t="s">
        <v>2929</v>
      </c>
      <c r="C3" s="12" t="s">
        <v>68</v>
      </c>
      <c r="D3" s="12" t="s">
        <v>2932</v>
      </c>
      <c r="E3" s="12" t="s">
        <v>2955</v>
      </c>
    </row>
    <row r="4" spans="1:5" ht="18" customHeight="1">
      <c r="A4" s="12" t="s">
        <v>2953</v>
      </c>
      <c r="B4" s="12" t="s">
        <v>2929</v>
      </c>
      <c r="C4" s="12" t="s">
        <v>72</v>
      </c>
      <c r="D4" s="12" t="s">
        <v>2935</v>
      </c>
      <c r="E4" s="12" t="s">
        <v>2956</v>
      </c>
    </row>
    <row r="5" spans="1:5" ht="27.75" customHeight="1">
      <c r="A5" s="12" t="s">
        <v>2953</v>
      </c>
      <c r="B5" s="12" t="s">
        <v>2929</v>
      </c>
      <c r="C5" s="12" t="s">
        <v>2690</v>
      </c>
      <c r="D5" s="18" t="s">
        <v>2957</v>
      </c>
      <c r="E5" s="12" t="s">
        <v>2958</v>
      </c>
    </row>
    <row r="6" spans="1:5" ht="18" customHeight="1">
      <c r="A6" s="12" t="s">
        <v>2953</v>
      </c>
      <c r="B6" s="12" t="s">
        <v>2929</v>
      </c>
      <c r="C6" s="12" t="s">
        <v>2727</v>
      </c>
      <c r="D6" s="12" t="s">
        <v>2937</v>
      </c>
      <c r="E6" s="12" t="s">
        <v>2938</v>
      </c>
    </row>
    <row r="7" spans="1:5" ht="18" customHeight="1">
      <c r="A7" s="12" t="s">
        <v>2953</v>
      </c>
      <c r="B7" s="12" t="s">
        <v>2939</v>
      </c>
      <c r="C7" s="12" t="s">
        <v>2711</v>
      </c>
      <c r="D7" s="12" t="s">
        <v>2959</v>
      </c>
      <c r="E7" s="12" t="s">
        <v>2960</v>
      </c>
    </row>
    <row r="8" spans="1:5" ht="18" customHeight="1">
      <c r="A8" s="12" t="s">
        <v>2953</v>
      </c>
      <c r="B8" s="12" t="s">
        <v>2939</v>
      </c>
      <c r="C8" s="12" t="s">
        <v>38</v>
      </c>
      <c r="D8" s="12" t="s">
        <v>2942</v>
      </c>
      <c r="E8" s="12" t="s">
        <v>2943</v>
      </c>
    </row>
    <row r="9" spans="1:5" ht="18" customHeight="1">
      <c r="A9" s="12" t="s">
        <v>2953</v>
      </c>
      <c r="B9" s="12" t="s">
        <v>2939</v>
      </c>
      <c r="C9" s="12" t="s">
        <v>2695</v>
      </c>
      <c r="D9" s="12" t="s">
        <v>2961</v>
      </c>
      <c r="E9" s="18" t="s">
        <v>2962</v>
      </c>
    </row>
    <row r="10" spans="1:5" ht="18" customHeight="1">
      <c r="A10" s="12" t="s">
        <v>2953</v>
      </c>
      <c r="B10" s="12" t="s">
        <v>2963</v>
      </c>
      <c r="C10" s="12" t="s">
        <v>2921</v>
      </c>
      <c r="D10" s="12" t="s">
        <v>2964</v>
      </c>
      <c r="E10" s="18" t="s">
        <v>2965</v>
      </c>
    </row>
    <row r="11" spans="1:5" ht="18" customHeight="1">
      <c r="A11" s="12" t="s">
        <v>2953</v>
      </c>
      <c r="B11" s="12" t="s">
        <v>2963</v>
      </c>
      <c r="C11" s="12" t="s">
        <v>199</v>
      </c>
      <c r="D11" s="12" t="s">
        <v>23</v>
      </c>
      <c r="E11" s="12" t="s">
        <v>2947</v>
      </c>
    </row>
    <row r="12" spans="1:5" ht="18" customHeight="1">
      <c r="A12" s="12" t="s">
        <v>2953</v>
      </c>
      <c r="B12" s="12" t="s">
        <v>2963</v>
      </c>
      <c r="C12" s="12" t="s">
        <v>364</v>
      </c>
      <c r="D12" s="12" t="s">
        <v>23</v>
      </c>
      <c r="E12" s="12" t="s">
        <v>2948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2966</v>
      </c>
      <c r="B1" s="292"/>
      <c r="C1" s="292"/>
      <c r="D1" s="292"/>
      <c r="E1" s="292"/>
      <c r="F1" s="292"/>
    </row>
    <row r="2" spans="1:7">
      <c r="A2" s="293" t="s">
        <v>2967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2844</v>
      </c>
      <c r="C4" s="102" t="s">
        <v>2845</v>
      </c>
      <c r="D4" s="102" t="s">
        <v>2968</v>
      </c>
      <c r="E4" s="102" t="s">
        <v>2846</v>
      </c>
      <c r="F4" s="102" t="s">
        <v>2969</v>
      </c>
    </row>
    <row r="5" spans="1:7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16</v>
      </c>
      <c r="E31" s="240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5">
        <f>IF($A32="","",SUMIFS('GECC 2026'!$AE$3:$AE$32,'GECC 2026'!$AD$3:$AD$32,$A32))</f>
        <v>0</v>
      </c>
      <c r="E32" s="240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5">
        <f>IF($A33="","",SUMIFS('GECC 2026'!$AE$3:$AE$32,'GECC 2026'!$AD$3:$AD$32,$A33))</f>
        <v>16</v>
      </c>
      <c r="E33" s="240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5">
        <f>IF($A35="","",SUMIFS('GECC 2026'!$AE$3:$AE$32,'GECC 2026'!$AD$3:$AD$32,$A35))</f>
        <v>0</v>
      </c>
      <c r="E35" s="240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7</v>
      </c>
    </row>
    <row r="37" spans="1:6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5">
        <f>IF($A39="","",SUMIFS('GECC 2026'!$AE$3:$AE$32,'GECC 2026'!$AD$3:$AD$32,$A39))</f>
        <v>16</v>
      </c>
      <c r="E39" s="240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5">
        <f>IF($A40="","",SUMIFS('GECC 2026'!$AE$3:$AE$32,'GECC 2026'!$AD$3:$AD$32,$A40))</f>
        <v>0</v>
      </c>
      <c r="E40" s="240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5" t="str">
        <f>IF($A44="","",SUMIFS('GECC 2026'!$AE$3:$AE$32,'GECC 2026'!$AD$3:$AD$32,$A44))</f>
        <v/>
      </c>
      <c r="E44" s="240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2915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2970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2971</v>
      </c>
    </row>
    <row r="4" spans="1:8" ht="21.95" customHeight="1">
      <c r="A4" s="284" t="s">
        <v>2972</v>
      </c>
      <c r="B4" s="285"/>
      <c r="D4" s="284" t="s">
        <v>2973</v>
      </c>
      <c r="E4" s="285"/>
      <c r="G4" s="284" t="s">
        <v>2974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2975</v>
      </c>
      <c r="B7" s="143" t="s">
        <v>2976</v>
      </c>
      <c r="C7" s="143" t="s">
        <v>1</v>
      </c>
      <c r="D7" s="143" t="s">
        <v>2977</v>
      </c>
      <c r="E7" s="143" t="s">
        <v>2978</v>
      </c>
      <c r="F7" s="143" t="s">
        <v>2841</v>
      </c>
      <c r="G7" s="143" t="s">
        <v>5</v>
      </c>
      <c r="H7" s="143" t="s">
        <v>2979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