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42" documentId="13_ncr:1_{C887EC22-7CD1-4717-84BE-7303F42C5C0A}" xr6:coauthVersionLast="47" xr6:coauthVersionMax="47" xr10:uidLastSave="{88EF525E-2353-425D-9E12-72A4CC755B57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D45" i="23" l="1"/>
  <c r="F45" i="23"/>
  <c r="C45" i="23"/>
  <c r="B45" i="23"/>
  <c r="E4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B44" i="23"/>
  <c r="E44" i="23"/>
  <c r="F44" i="23"/>
  <c r="C44" i="23"/>
  <c r="D44" i="23"/>
  <c r="E43" i="23"/>
  <c r="D42" i="23"/>
  <c r="D40" i="23"/>
  <c r="D39" i="23"/>
  <c r="E38" i="23"/>
  <c r="E37" i="23"/>
  <c r="E36" i="23"/>
  <c r="F38" i="23"/>
  <c r="F41" i="23"/>
  <c r="C37" i="23"/>
  <c r="C39" i="23"/>
  <c r="C41" i="23"/>
  <c r="B39" i="23"/>
  <c r="E41" i="23"/>
  <c r="D38" i="23"/>
  <c r="D36" i="23"/>
  <c r="F37" i="23"/>
  <c r="F43" i="23"/>
  <c r="C38" i="23"/>
  <c r="C43" i="23"/>
  <c r="B42" i="23"/>
  <c r="D20" i="23"/>
  <c r="C29" i="23"/>
  <c r="B8" i="23"/>
  <c r="F33" i="23"/>
  <c r="D33" i="23"/>
  <c r="F16" i="23"/>
  <c r="B16" i="23"/>
  <c r="D18" i="23"/>
  <c r="C28" i="23"/>
  <c r="F13" i="23"/>
  <c r="C27" i="23"/>
  <c r="F8" i="23"/>
  <c r="B34" i="23"/>
  <c r="C12" i="23"/>
  <c r="F21" i="23"/>
  <c r="E33" i="23"/>
  <c r="D19" i="23"/>
  <c r="B28" i="23"/>
  <c r="F19" i="23"/>
  <c r="C8" i="23"/>
  <c r="D41" i="23"/>
  <c r="C42" i="23"/>
  <c r="E39" i="23"/>
  <c r="D37" i="23"/>
  <c r="F40" i="23"/>
  <c r="C40" i="23"/>
  <c r="B38" i="23"/>
  <c r="E42" i="23"/>
  <c r="B36" i="23"/>
  <c r="D43" i="23"/>
  <c r="E29" i="23"/>
  <c r="C6" i="23"/>
  <c r="E24" i="23"/>
  <c r="B7" i="23"/>
  <c r="F20" i="23"/>
  <c r="B26" i="23"/>
  <c r="F29" i="23"/>
  <c r="C33" i="23"/>
  <c r="C21" i="23"/>
  <c r="D10" i="23"/>
  <c r="D28" i="23"/>
  <c r="F6" i="23"/>
  <c r="E20" i="23"/>
  <c r="E6" i="23"/>
  <c r="F25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<sst xmlns="http://schemas.openxmlformats.org/spreadsheetml/2006/main" count="6614" uniqueCount="2986">
  <si>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</si>
  <si>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</si>
  <si>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</si>
  <si>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</si>
  <si>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</si>
  <si>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</si>
  <si>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</si>
  <si>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</si>
  <si>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</si>
  <si>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</si>
  <si>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</si>
  <si>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</si>
  <si>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</si>
  <si>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</si>
  <si>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</si>
  <si>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</si>
  <si>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</si>
  <si>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</si>
  <si>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</si>
  <si>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</si>
  <si>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</si>
  <si>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</si>
  <si>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</si>
  <si>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</si>
  <si>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</si>
  <si>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</si>
  <si>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</si>
  <si>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</si>
  <si>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</si>
  <si>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</si>
  <si>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</si>
  <si>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</si>
  <si>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</si>
  <si>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</si>
  <si>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</si>
  <si>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</si>
  <si>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</si>
  <si>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</si>
  <si>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</si>
  <si>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</si>
  <si>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</si>
  <si>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</si>
  <si>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</si>
  <si>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</si>
  <si>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</si>
  <si>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</si>
  <si>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</si>
  <si>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</si>
  <si>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</si>
  <si>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</si>
  <si>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</si>
  <si>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</si>
  <si>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</si>
  <si>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</si>
  <si>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</si>
  <si>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</si>
  <si>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</si>
  <si>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</si>
  <si>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</si>
  <si>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</si>
  <si>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</si>
  <si>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</si>
  <si>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</si>
  <si>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</si>
  <si>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</si>
  <si>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</si>
  <si>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</si>
  <si>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</si>
  <si>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</si>
  <si>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</si>
  <si>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</si>
  <si>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</si>
  <si>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</si>
  <si>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</si>
  <si>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</si>
  <si>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</si>
  <si>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</si>
  <si>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</si>
  <si>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</si>
  <si>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</si>
  <si>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</si>
  <si>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</si>
  <si>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</si>
  <si>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</si>
  <si>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</si>
  <si>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</si>
  <si>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</si>
  <si>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</si>
  <si>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</si>
  <si>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</si>
  <si>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</si>
  <si>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</si>
  <si>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</si>
  <si>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</si>
  <si>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</si>
  <si>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</si>
  <si>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</si>
  <si>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</si>
  <si>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</si>
  <si>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</si>
  <si>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</si>
  <si>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</si>
  <si>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</si>
  <si>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</si>
  <si>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</si>
  <si>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</si>
  <si>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</si>
  <si>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</si>
  <si>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</si>
  <si>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</si>
  <si>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</si>
  <si>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</si>
  <si>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</si>
  <si>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</si>
  <si>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</si>
  <si>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</si>
  <si>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</si>
  <si>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</si>
  <si>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</si>
  <si>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</si>
  <si>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</si>
  <si>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</si>
  <si>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</si>
  <si>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</si>
  <si>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</si>
  <si>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</si>
  <si>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</si>
  <si>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</si>
  <si>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</si>
  <si>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</si>
  <si>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</si>
  <si>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</si>
  <si>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</si>
  <si>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</si>
  <si>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</si>
  <si>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</si>
  <si>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</si>
  <si>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</si>
  <si>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</si>
  <si>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</si>
  <si>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</si>
  <si>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</si>
  <si>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</si>
  <si>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</si>
  <si>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</si>
  <si>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</si>
  <si>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</si>
  <si>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</si>
  <si>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</si>
  <si>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</si>
  <si>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</si>
  <si>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</si>
  <si>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</si>
  <si>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</si>
  <si>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</si>
  <si>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</si>
  <si>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</si>
  <si>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</si>
  <si>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</si>
  <si>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</si>
  <si>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</si>
  <si>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</si>
  <si>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</si>
  <si>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</si>
  <si>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</si>
  <si>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</si>
  <si>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</si>
  <si>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</si>
  <si>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</si>
  <si>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</si>
  <si>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</si>
  <si>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</si>
  <si>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</si>
  <si>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</si>
  <si>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</si>
  <si>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</si>
  <si>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</si>
  <si>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</si>
  <si>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</si>
  <si>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</si>
  <si>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</si>
  <si>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</si>
  <si>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</si>
  <si>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</si>
  <si>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</si>
  <si>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</si>
  <si>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</si>
  <si>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</si>
  <si>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</si>
  <si>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</si>
  <si>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</si>
  <si>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</si>
  <si>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</si>
  <si>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</si>
  <si>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</si>
  <si>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</si>
  <si>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</si>
  <si>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</si>
  <si>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</si>
  <si>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</si>
  <si>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</si>
  <si>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</si>
  <si>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</si>
  <si>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</si>
  <si>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</si>
  <si>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</si>
  <si>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</si>
  <si>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</si>
  <si>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</si>
  <si>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</si>
  <si>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</si>
  <si>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</si>
  <si>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</si>
  <si>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</si>
  <si>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</si>
  <si>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</si>
  <si>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</si>
  <si>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</si>
  <si>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</si>
  <si>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</si>
  <si>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</si>
  <si>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</si>
  <si>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</si>
  <si>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</si>
  <si>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</si>
  <si>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</si>
  <si>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</si>
  <si>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</si>
  <si>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</si>
  <si>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</si>
  <si>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</si>
  <si>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</si>
  <si>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</si>
  <si>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</si>
  <si>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</si>
  <si>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</si>
  <si>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</si>
  <si>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</si>
  <si>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</si>
  <si>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</si>
  <si>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</si>
  <si>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</si>
  <si>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</si>
  <si>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</si>
  <si>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</si>
  <si>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</si>
  <si>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</si>
  <si>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</si>
  <si>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</si>
  <si>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</si>
  <si>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</si>
  <si>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</si>
  <si>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</si>
  <si>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</si>
  <si>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</si>
  <si>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</si>
  <si>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</si>
  <si>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</si>
  <si>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</si>
  <si>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</si>
  <si>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</si>
  <si>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</si>
  <si>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</si>
  <si>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</si>
  <si>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</si>
  <si>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</si>
  <si>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</si>
  <si>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</si>
  <si>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</si>
  <si>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</si>
  <si>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</si>
  <si>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</si>
  <si>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</si>
  <si>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</si>
  <si>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</si>
  <si>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</si>
  <si>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</si>
  <si>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</si>
  <si>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</si>
  <si>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</si>
  <si>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</si>
  <si>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</si>
  <si>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</si>
  <si>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</si>
  <si>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</si>
  <si>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</si>
  <si>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</si>
  <si>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</si>
  <si>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</si>
  <si>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</si>
  <si>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</si>
  <si>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</si>
  <si>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</si>
  <si>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</si>
  <si>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</si>
  <si>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</si>
  <si>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</si>
  <si>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</si>
  <si>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</si>
  <si>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</si>
  <si>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</si>
  <si>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</si>
  <si>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</si>
  <si>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</si>
  <si>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</si>
  <si>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</si>
  <si>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</si>
  <si>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</si>
  <si>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</si>
  <si>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</si>
  <si>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</si>
  <si>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</si>
  <si>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</si>
  <si>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</si>
  <si>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</si>
  <si>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</si>
  <si>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</si>
  <si>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</si>
  <si>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</si>
  <si>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</si>
  <si>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</si>
  <si>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</si>
  <si>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</si>
  <si>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</si>
  <si>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</si>
  <si>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</si>
  <si>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</si>
  <si>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</si>
  <si>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</si>
  <si>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</si>
  <si>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</si>
  <si>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</si>
  <si>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</si>
  <si>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</si>
  <si>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</si>
  <si>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</si>
  <si>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</si>
  <si>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</si>
  <si>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</si>
  <si>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</si>
  <si>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</si>
  <si>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</si>
  <si>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</si>
  <si>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</si>
  <si>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</si>
  <si>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</si>
  <si>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</si>
  <si>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</si>
  <si>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</si>
  <si>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</si>
  <si>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</si>
  <si>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</si>
  <si>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</si>
  <si>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</si>
  <si>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</si>
  <si>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</si>
  <si>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</si>
  <si>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</si>
  <si>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</si>
  <si>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</si>
  <si>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</si>
  <si>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</si>
  <si>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</si>
  <si>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</si>
  <si>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</si>
  <si>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</si>
  <si>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</si>
  <si>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</si>
  <si>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</si>
  <si>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</si>
  <si>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</si>
  <si>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</si>
  <si>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</si>
  <si>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</si>
  <si>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</si>
  <si>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</si>
  <si>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</si>
  <si>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</si>
  <si>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</si>
  <si>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</si>
  <si>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</si>
  <si>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</si>
  <si>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</si>
  <si>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</si>
  <si>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</si>
  <si>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</si>
  <si>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</si>
  <si>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</si>
  <si>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</si>
  <si>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</si>
  <si>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</si>
  <si>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</si>
  <si>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</si>
  <si>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</si>
  <si>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</si>
  <si>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</si>
  <si>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</si>
  <si>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</si>
  <si>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</si>
  <si>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</si>
  <si>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</si>
  <si>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</si>
  <si>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</si>
  <si>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</si>
  <si>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</si>
  <si>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</si>
  <si>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</si>
  <si>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</si>
  <si>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</si>
  <si>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</si>
  <si>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</si>
  <si>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</si>
  <si>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</si>
  <si>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</si>
  <si>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</si>
  <si>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</si>
  <si>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</si>
  <si>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</si>
  <si>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</si>
  <si>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</si>
  <si>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</si>
  <si>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</si>
  <si>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</si>
  <si>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</si>
  <si>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</si>
  <si>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</si>
  <si>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</si>
  <si>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</si>
  <si>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</si>
  <si>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</si>
  <si>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</si>
  <si>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</si>
  <si>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</si>
  <si>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</si>
  <si>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</si>
  <si>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</si>
  <si>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</si>
  <si>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</si>
  <si>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</si>
  <si>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</si>
  <si>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</si>
  <si>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</si>
  <si>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</si>
  <si>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</si>
  <si>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</si>
  <si>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</si>
  <si>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</si>
  <si>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</si>
  <si>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</si>
  <si>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</si>
  <si>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</si>
  <si>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</si>
  <si>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</si>
  <si>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</si>
  <si>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</si>
  <si>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</si>
  <si>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</si>
  <si>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</si>
  <si>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</si>
  <si>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</si>
  <si>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</si>
  <si>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</si>
  <si>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</si>
  <si>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</si>
  <si>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</si>
  <si>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</si>
  <si>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</si>
  <si>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</si>
  <si>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</si>
  <si>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</si>
  <si>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</si>
  <si>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</si>
  <si>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</si>
  <si>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</si>
  <si>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</si>
  <si>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</si>
  <si>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</si>
  <si>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</si>
  <si>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</si>
  <si>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</si>
  <si>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</si>
  <si>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</si>
  <si>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</si>
  <si>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</si>
  <si>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</si>
  <si>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</si>
  <si>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</si>
  <si>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</si>
  <si>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</si>
  <si>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</si>
  <si>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</si>
  <si>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</si>
  <si>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</si>
  <si>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</si>
  <si>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</si>
  <si>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</si>
  <si>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</si>
  <si>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</si>
  <si>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</si>
  <si>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</si>
  <si>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</si>
  <si>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</si>
  <si>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</si>
  <si>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</si>
  <si>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</si>
  <si>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</si>
  <si>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</si>
  <si>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</si>
  <si>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</si>
  <si>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</si>
  <si>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</si>
  <si>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</si>
  <si>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</si>
  <si>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</si>
  <si>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</si>
  <si>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</si>
  <si>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</si>
  <si>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</si>
  <si>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</si>
  <si>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</si>
  <si>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</si>
  <si>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</si>
  <si>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</si>
  <si>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</si>
  <si>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</si>
  <si>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</si>
  <si>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</si>
  <si>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</si>
  <si>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</si>
  <si>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</si>
  <si>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</si>
  <si>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</si>
  <si>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</si>
  <si>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</si>
  <si>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</si>
  <si>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</si>
  <si>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</si>
  <si>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</si>
  <si>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</si>
  <si>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</si>
  <si>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</si>
  <si>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</si>
  <si>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</si>
  <si>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</si>
  <si>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</si>
  <si>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</si>
  <si>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</si>
  <si>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</si>
  <si>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</si>
  <si>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</si>
  <si>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</si>
  <si>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</si>
  <si>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</si>
  <si>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</si>
  <si>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</si>
  <si>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</si>
  <si>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</si>
  <si>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</si>
  <si>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</si>
  <si>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</si>
  <si>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</si>
  <si>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</si>
  <si>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</si>
  <si>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</si>
  <si>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</si>
  <si>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</si>
  <si>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</si>
  <si>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</si>
  <si>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</si>
  <si>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</si>
  <si>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</si>
  <si>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</si>
  <si>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</si>
  <si>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</si>
  <si>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</si>
  <si>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</si>
  <si>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</si>
  <si>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</si>
  <si>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</si>
  <si>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</si>
  <si>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</si>
  <si>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</si>
  <si>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</si>
  <si>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</si>
  <si>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</si>
  <si>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</si>
  <si>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</si>
  <si>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</si>
  <si>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</si>
  <si>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</si>
  <si>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</si>
  <si>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</si>
  <si>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</si>
  <si>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</si>
  <si>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</si>
  <si>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</si>
  <si>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</si>
  <si>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</si>
  <si>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</si>
  <si>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</si>
  <si>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</si>
  <si>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</si>
  <si>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</si>
  <si>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</si>
  <si>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</si>
  <si>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</si>
  <si>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</si>
  <si>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</si>
  <si>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</si>
  <si>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</si>
  <si>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</si>
  <si>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</si>
  <si>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</si>
  <si>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</si>
  <si>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</si>
  <si>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</si>
  <si>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</si>
  <si>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</si>
  <si>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</si>
  <si>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</si>
  <si>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</si>
  <si>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</si>
  <si>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</si>
  <si>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</si>
  <si>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</si>
  <si>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</si>
  <si>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</si>
  <si>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</si>
  <si>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</si>
  <si>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</si>
  <si>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</si>
  <si>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</si>
  <si>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</si>
  <si>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</si>
  <si>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</si>
  <si>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</si>
  <si>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</si>
  <si>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</si>
  <si>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</si>
  <si>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</si>
  <si>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</si>
  <si>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</si>
  <si>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</si>
  <si>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</si>
  <si>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</si>
  <si>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</si>
  <si>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</si>
  <si>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</si>
  <si>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</si>
  <si>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</si>
  <si>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</si>
  <si>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</si>
  <si>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</si>
  <si>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</si>
  <si>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</si>
  <si>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</si>
  <si>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</si>
  <si>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</si>
  <si>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</si>
  <si>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</si>
  <si>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</si>
  <si>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</si>
  <si>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</si>
  <si>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</si>
  <si>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</si>
  <si>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</si>
  <si>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</si>
  <si>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</si>
  <si>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</si>
  <si>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</si>
  <si>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</si>
  <si>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</si>
  <si>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</si>
  <si>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</si>
  <si>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</si>
  <si>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</si>
  <si>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</si>
  <si>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</si>
  <si>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</si>
  <si>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</si>
  <si>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</si>
  <si>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</si>
  <si>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</si>
  <si>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</si>
  <si>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</si>
  <si>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</si>
  <si>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</si>
  <si>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</si>
  <si>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</si>
  <si>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</si>
  <si>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</si>
  <si>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</si>
  <si>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</si>
  <si>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</si>
  <si>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</si>
  <si>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</si>
  <si>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</si>
  <si>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</si>
  <si>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</si>
  <si>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</si>
  <si>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</si>
  <si>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</si>
  <si>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</si>
  <si>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</si>
  <si>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</si>
  <si>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</si>
  <si>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</si>
  <si>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</si>
  <si>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</si>
  <si>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</si>
  <si>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</si>
  <si>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</si>
  <si>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</si>
  <si>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</si>
  <si>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</si>
  <si>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</si>
  <si>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</si>
  <si>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</si>
  <si>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</si>
  <si>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</si>
  <si>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</si>
  <si>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</si>
  <si>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</si>
  <si>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</si>
  <si>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</si>
  <si>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</si>
  <si>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</si>
  <si>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</si>
  <si>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</si>
  <si>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</si>
  <si>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</si>
  <si>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</si>
  <si>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</si>
  <si>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</si>
  <si>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</si>
  <si>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</si>
  <si>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</si>
  <si>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</si>
  <si>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</si>
  <si>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</si>
  <si>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</si>
  <si>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</si>
  <si>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</si>
  <si>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</si>
  <si>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</si>
  <si>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</si>
  <si>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</si>
  <si>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</si>
  <si>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</si>
  <si>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</si>
  <si>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</si>
  <si>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</si>
  <si>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</si>
  <si>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</si>
  <si>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</si>
  <si>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</si>
  <si>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</si>
  <si>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</si>
  <si>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</si>
  <si>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</si>
  <si>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</si>
  <si>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</si>
  <si>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</si>
  <si>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</si>
  <si>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</si>
  <si>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</si>
  <si>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</si>
  <si>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</si>
  <si>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</si>
  <si>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</si>
  <si>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</si>
  <si>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</si>
  <si>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</si>
  <si>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</si>
  <si>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</si>
  <si>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</si>
  <si>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</si>
  <si>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</si>
  <si>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</si>
  <si>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</si>
  <si>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</si>
  <si>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</si>
  <si>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</si>
  <si>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</si>
  <si>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</si>
  <si>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</si>
  <si>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</si>
  <si>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</si>
  <si>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</si>
  <si>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</si>
  <si>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</si>
  <si>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</si>
  <si>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</si>
  <si>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</si>
  <si>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</si>
  <si>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</si>
  <si>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</si>
  <si>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</si>
  <si>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</si>
  <si>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</si>
  <si>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</si>
  <si>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</si>
  <si>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</si>
  <si>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</si>
  <si>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</si>
  <si>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</si>
  <si>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</si>
  <si>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</si>
  <si>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</si>
  <si>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</si>
  <si>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</si>
  <si>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</si>
  <si>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</si>
  <si>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</si>
  <si>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</si>
  <si>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</si>
  <si>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</si>
  <si>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</si>
  <si>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</si>
  <si>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</si>
  <si>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</si>
  <si>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</si>
  <si>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</si>
  <si>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</si>
  <si>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</si>
  <si>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</si>
  <si>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</si>
  <si>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</si>
  <si>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</si>
  <si>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</si>
  <si>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</si>
  <si>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</si>
  <si>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</si>
  <si>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</si>
  <si>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</si>
  <si>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</si>
  <si>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</si>
  <si>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</si>
  <si>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</si>
  <si>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</si>
  <si>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</si>
  <si>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</si>
  <si>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</si>
  <si>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</si>
  <si>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</si>
  <si>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</si>
  <si>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</si>
  <si>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</si>
  <si>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</si>
  <si>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</si>
  <si>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</si>
  <si>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</si>
  <si>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</si>
  <si>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</si>
  <si>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</si>
  <si>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</si>
  <si>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</si>
  <si>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</si>
  <si>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</si>
  <si>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</si>
  <si>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</si>
  <si>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</si>
  <si>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</si>
  <si>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</si>
  <si>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</si>
  <si>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</si>
  <si>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</si>
  <si>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</si>
  <si>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</si>
  <si>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</si>
  <si>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</si>
  <si>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</si>
  <si>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</si>
  <si>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</si>
  <si>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</si>
  <si>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</si>
  <si>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</si>
  <si>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</si>
  <si>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</si>
  <si>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</si>
  <si>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</si>
  <si>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</si>
  <si>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</si>
  <si>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</si>
  <si>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</si>
  <si>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</si>
  <si>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</si>
  <si>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</si>
  <si>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</si>
  <si>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</si>
  <si>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</si>
  <si>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</si>
  <si>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</si>
  <si>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</si>
  <si>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</si>
  <si>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</si>
  <si>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</si>
  <si>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</si>
  <si>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</si>
  <si>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</si>
  <si>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</si>
  <si>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</si>
  <si>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</si>
  <si>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</si>
  <si>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</si>
  <si>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</si>
  <si>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</si>
  <si>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</si>
  <si>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</si>
  <si>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</si>
  <si>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</si>
  <si>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</si>
  <si>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</si>
  <si>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</si>
  <si>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</si>
  <si>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</si>
  <si>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</si>
  <si>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</si>
  <si>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</si>
  <si>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</si>
  <si>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</si>
  <si>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</si>
  <si>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</si>
  <si>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</si>
  <si>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</si>
  <si>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</si>
  <si>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</si>
  <si>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</si>
  <si>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</si>
  <si>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</si>
  <si>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</si>
  <si>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</si>
  <si>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</si>
  <si>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</si>
  <si>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</si>
  <si>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</si>
  <si>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</si>
  <si>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</si>
  <si>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</si>
  <si>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</si>
  <si>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</si>
  <si>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</si>
  <si>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</si>
  <si>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</si>
  <si>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</si>
  <si>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</si>
  <si>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</si>
  <si>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</si>
  <si>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</si>
  <si>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</si>
  <si>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</si>
  <si>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</si>
  <si>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</si>
  <si>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</si>
  <si>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</si>
  <si>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</si>
  <si>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</si>
  <si>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</si>
  <si>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</si>
  <si>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</si>
  <si>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</si>
  <si>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</si>
  <si>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</si>
  <si>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</si>
  <si>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</si>
  <si>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</si>
  <si>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</si>
  <si>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</si>
  <si>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</si>
  <si>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</si>
  <si>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</si>
  <si>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</si>
  <si>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</si>
  <si>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</si>
  <si>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</si>
  <si>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</si>
  <si>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</si>
  <si>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</si>
  <si>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</si>
  <si>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</si>
  <si>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</si>
  <si>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</si>
  <si>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</si>
  <si>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</si>
  <si>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</si>
  <si>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</si>
  <si>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</si>
  <si>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</si>
  <si>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</si>
  <si>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</si>
  <si>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</si>
  <si>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</si>
  <si>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</si>
  <si>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</si>
  <si>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</si>
  <si>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</si>
  <si>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</si>
  <si>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</si>
  <si>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</si>
  <si>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</si>
  <si>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</si>
  <si>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</si>
  <si>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</si>
  <si>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</si>
  <si>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</si>
  <si>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</si>
  <si>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</si>
  <si>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</si>
  <si>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</si>
  <si>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</si>
  <si>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</si>
  <si>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</si>
  <si>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</si>
  <si>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</si>
  <si>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</si>
  <si>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</si>
  <si>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</si>
  <si>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</si>
  <si>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</si>
  <si>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</si>
  <si>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</si>
  <si>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</si>
  <si>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</si>
  <si>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</si>
  <si>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</si>
  <si>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</si>
  <si>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</si>
  <si>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</si>
  <si>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</si>
  <si>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</si>
  <si>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</si>
  <si>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</si>
  <si>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</si>
  <si>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</si>
  <si>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</si>
  <si>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</si>
  <si>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</si>
  <si>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</si>
  <si>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</si>
  <si>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</si>
  <si>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</si>
  <si>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</si>
  <si>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</si>
  <si>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</si>
  <si>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</si>
  <si>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</si>
  <si>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</si>
  <si>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</si>
  <si>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</si>
  <si>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</si>
  <si>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</si>
  <si>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</si>
  <si>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</si>
  <si>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</si>
  <si>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</si>
  <si>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</si>
  <si>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</si>
  <si>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</si>
  <si>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</si>
  <si>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</si>
  <si>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</si>
  <si>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</si>
  <si>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</si>
  <si>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</si>
  <si>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</si>
  <si>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</si>
  <si>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</si>
  <si>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</si>
  <si>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</si>
  <si>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</si>
  <si>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</si>
  <si>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</si>
  <si>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</si>
  <si>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</si>
  <si>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</si>
  <si>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</si>
  <si>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</si>
  <si>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</si>
  <si>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</si>
  <si>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</si>
  <si>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</si>
  <si>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</si>
  <si>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</si>
  <si>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</si>
  <si>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</si>
  <si>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</si>
  <si>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</si>
  <si>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</si>
  <si>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</si>
  <si>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</si>
  <si>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</si>
  <si>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</si>
  <si>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</si>
  <si>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</si>
  <si>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</si>
  <si>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</si>
  <si>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</si>
  <si>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</si>
  <si>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</si>
  <si>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</si>
  <si>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</si>
  <si>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</si>
  <si>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</si>
  <si>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</si>
  <si>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</si>
  <si>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</si>
  <si>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</si>
  <si>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</si>
  <si>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</si>
  <si>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</si>
  <si>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</si>
  <si>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</si>
  <si>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</si>
  <si>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</si>
  <si>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</si>
  <si>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</si>
  <si>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</si>
  <si>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</si>
  <si>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</si>
  <si>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</si>
  <si>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</si>
  <si>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</si>
  <si>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</si>
  <si>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</si>
  <si>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</si>
  <si>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</si>
  <si>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</si>
  <si>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</si>
  <si>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</si>
  <si>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</si>
  <si>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</si>
  <si>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</si>
  <si>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</si>
  <si>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</si>
  <si>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</si>
  <si>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</si>
  <si>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</si>
  <si>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</si>
  <si>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</si>
  <si>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</si>
  <si>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</si>
  <si>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</si>
  <si>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</si>
  <si>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</si>
  <si>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</si>
  <si>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</si>
  <si>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</si>
  <si>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</si>
  <si>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</si>
  <si>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</si>
  <si>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</si>
  <si>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</si>
  <si>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</si>
  <si>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</si>
  <si>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</si>
  <si>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</si>
  <si>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</si>
  <si>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</si>
  <si>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</si>
  <si>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</si>
  <si>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</si>
  <si>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</si>
  <si>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</si>
  <si>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</si>
  <si>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</si>
  <si>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</si>
  <si>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</si>
  <si>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</si>
  <si>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</si>
  <si>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</si>
  <si>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</si>
  <si>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</si>
  <si>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</si>
  <si>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</si>
  <si>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</si>
  <si>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</si>
  <si>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</si>
  <si>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</si>
  <si>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</si>
  <si>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</si>
  <si>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</si>
  <si>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</si>
  <si>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</si>
  <si>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</si>
  <si>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</si>
  <si>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</si>
  <si>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</si>
  <si>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</si>
  <si>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</si>
  <si>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</si>
  <si>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</si>
  <si>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</si>
  <si>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</si>
  <si>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</si>
  <si>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</si>
  <si>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</si>
  <si>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</si>
  <si>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</si>
  <si>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</si>
  <si>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</si>
  <si>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</si>
  <si>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</si>
  <si>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</si>
  <si>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</si>
  <si>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</si>
  <si>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</si>
  <si>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</si>
  <si>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</si>
  <si>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</si>
  <si>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</si>
  <si>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</si>
  <si>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</si>
  <si>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</si>
  <si>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</si>
  <si>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</si>
  <si>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</si>
  <si>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</si>
  <si>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</si>
  <si>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</si>
  <si>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</si>
  <si>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</si>
  <si>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</si>
  <si>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</si>
  <si>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</si>
  <si>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</si>
  <si>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</si>
  <si>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</si>
  <si>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</si>
  <si>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</si>
  <si>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</si>
  <si>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</si>
  <si>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</si>
  <si>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</si>
  <si>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</si>
  <si>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</si>
  <si>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</si>
  <si>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</si>
  <si>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</si>
  <si>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</si>
  <si>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</si>
  <si>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</si>
  <si>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</si>
  <si>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</si>
  <si>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</si>
  <si>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</si>
  <si>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</si>
  <si>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</si>
  <si>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</si>
  <si>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</si>
  <si>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</si>
  <si>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</si>
  <si>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</si>
  <si>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</si>
  <si>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</si>
  <si>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</si>
  <si>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</si>
  <si>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</si>
  <si>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</si>
  <si>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</si>
  <si>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</si>
  <si>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</si>
  <si>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</si>
  <si>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</si>
  <si>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</si>
  <si>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</si>
  <si>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</si>
  <si>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</si>
  <si>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</si>
  <si>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</si>
  <si>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</si>
  <si>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</si>
  <si>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</si>
  <si>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</si>
  <si>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</si>
  <si>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</si>
  <si>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</si>
  <si>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</si>
  <si>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</si>
  <si>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</si>
  <si>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</si>
  <si>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</si>
  <si>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</si>
  <si>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</si>
  <si>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</si>
  <si>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</si>
  <si>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</si>
  <si>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</si>
  <si>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</si>
  <si>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</si>
  <si>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</si>
  <si>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</si>
  <si>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</si>
  <si>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</si>
  <si>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</si>
  <si>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</si>
  <si>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</si>
  <si>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</si>
  <si>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</si>
  <si>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</si>
  <si>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</si>
  <si>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</si>
  <si>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</si>
  <si>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</si>
  <si>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</si>
  <si>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</si>
  <si>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</si>
  <si>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</si>
  <si>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</si>
  <si>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</si>
  <si>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</si>
  <si>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</si>
  <si>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</si>
  <si>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</si>
  <si>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</si>
  <si>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</si>
  <si>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</si>
  <si>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</si>
  <si>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</si>
  <si>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</si>
  <si>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</si>
  <si>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</si>
  <si>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</si>
  <si>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</si>
  <si>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</si>
  <si>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</si>
  <si>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</si>
  <si>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</si>
  <si>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</si>
  <si>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</si>
  <si>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</si>
  <si>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</si>
  <si>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</si>
  <si>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</si>
  <si>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</si>
  <si>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</si>
  <si>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</si>
  <si>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</si>
  <si>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</si>
  <si>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</si>
  <si>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</si>
  <si>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</si>
  <si>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</si>
  <si>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</si>
  <si>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</si>
  <si>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</si>
  <si>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</si>
  <si>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</si>
  <si>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</si>
  <si>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</si>
  <si>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</si>
  <si>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</si>
  <si>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</si>
  <si>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</si>
  <si>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</si>
  <si>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</si>
  <si>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</si>
  <si>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</si>
  <si>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</si>
  <si>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</si>
  <si>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</si>
  <si>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</si>
  <si>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</si>
  <si>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</si>
  <si>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</si>
  <si>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</si>
  <si>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</si>
  <si>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</si>
  <si>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</si>
  <si>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</si>
  <si>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</si>
  <si>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</si>
  <si>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</si>
  <si>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</si>
  <si>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</si>
  <si>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</si>
  <si>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</si>
  <si>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</si>
  <si>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</si>
  <si>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</si>
  <si>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</si>
  <si>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</si>
  <si>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</si>
  <si>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</si>
  <si>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</si>
  <si>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</si>
  <si>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</si>
  <si>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</si>
  <si>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</si>
  <si>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</si>
  <si>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</si>
  <si>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</si>
  <si>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</si>
  <si>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</si>
  <si>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</si>
  <si>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</si>
  <si>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</si>
  <si>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</si>
  <si>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</si>
  <si>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</si>
  <si>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</si>
  <si>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</si>
  <si>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</si>
  <si>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</si>
  <si>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</si>
  <si>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</si>
  <si>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</si>
  <si>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</si>
  <si>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</si>
  <si>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</si>
  <si>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</si>
  <si>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</si>
  <si>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</si>
  <si>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</si>
  <si>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</si>
  <si>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</si>
  <si>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</si>
  <si>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</si>
  <si>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</si>
  <si>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</si>
  <si>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</si>
  <si>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</si>
  <si>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</si>
  <si>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</si>
  <si>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</si>
  <si>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</si>
  <si>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</si>
  <si>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</si>
  <si>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</si>
  <si>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</si>
  <si>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</si>
  <si>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</si>
  <si>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</si>
  <si>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</si>
  <si>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</si>
  <si>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</si>
  <si>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</si>
  <si>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</si>
  <si>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</si>
  <si>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</si>
  <si>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</si>
  <si>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</si>
  <si>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</si>
  <si>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</si>
  <si>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</si>
  <si>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</si>
  <si>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</si>
  <si>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</si>
  <si>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</si>
  <si>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</si>
  <si>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</si>
  <si>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</si>
  <si>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</si>
  <si>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</si>
  <si>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</si>
  <si>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</si>
  <si>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</si>
  <si>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</si>
  <si>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</si>
  <si>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</si>
  <si>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</si>
  <si>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</si>
  <si>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</si>
  <si>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</si>
  <si>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</si>
  <si>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</si>
  <si>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</si>
  <si>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</si>
  <si>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</si>
  <si>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</si>
  <si>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</si>
  <si>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</si>
  <si>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</si>
  <si>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</si>
  <si>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</si>
  <si>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</si>
  <si>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</si>
  <si>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</si>
  <si>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</si>
  <si>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</si>
  <si>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</si>
  <si>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</si>
  <si>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</si>
  <si>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</si>
  <si>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</si>
  <si>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</si>
  <si>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</si>
  <si>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</si>
  <si>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</si>
  <si>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</si>
  <si>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</si>
  <si>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</si>
  <si>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</si>
  <si>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</si>
  <si>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</si>
  <si>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</si>
  <si>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</si>
  <si>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</si>
  <si>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</si>
  <si>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</si>
  <si>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</si>
  <si>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</si>
  <si>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</si>
  <si>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</si>
  <si>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</si>
  <si>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</si>
  <si>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</si>
  <si>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</si>
  <si>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</si>
  <si>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</si>
  <si>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</si>
  <si>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</si>
  <si>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</si>
  <si>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</si>
  <si>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</si>
  <si>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</si>
  <si>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</si>
  <si>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</si>
  <si>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</si>
  <si>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</si>
  <si>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</si>
  <si>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</si>
  <si>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</si>
  <si>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</si>
  <si>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</si>
  <si>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</si>
  <si>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</si>
  <si>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</si>
  <si>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</si>
  <si>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</si>
  <si>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</si>
  <si>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</si>
  <si>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</si>
  <si>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</si>
  <si>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</si>
  <si>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</si>
  <si>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</si>
  <si>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</si>
  <si>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</si>
  <si>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</si>
  <si>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</si>
  <si>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</si>
  <si>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</si>
  <si>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</si>
  <si>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</si>
  <si>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</si>
  <si>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</si>
  <si>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</si>
  <si>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</si>
  <si>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</si>
  <si>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</si>
  <si>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</si>
  <si>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</si>
  <si>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</si>
  <si>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</si>
  <si>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</si>
  <si>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</si>
  <si>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</si>
  <si>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</si>
  <si>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</si>
  <si>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</si>
  <si>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</si>
  <si>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</si>
  <si>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</si>
  <si>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</si>
  <si>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</si>
  <si>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</si>
  <si>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</si>
  <si>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</si>
  <si>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</si>
  <si>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</si>
  <si>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</si>
  <si>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</si>
  <si>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</si>
  <si>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</si>
  <si>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</si>
  <si>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</si>
  <si>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</si>
  <si>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</si>
  <si>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</si>
  <si>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</si>
  <si>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</si>
  <si>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</si>
  <si>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</si>
  <si>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</si>
  <si>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</si>
  <si>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</si>
  <si>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</si>
  <si>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</si>
  <si>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</si>
  <si>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</si>
  <si>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</si>
  <si>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</si>
  <si>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</si>
  <si>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</si>
  <si>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</si>
  <si>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</si>
  <si>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</si>
  <si>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</si>
  <si>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</si>
  <si>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</si>
  <si>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</si>
  <si>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</si>
  <si>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</si>
  <si>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</si>
  <si>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</si>
  <si>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</si>
  <si>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</si>
  <si>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</si>
  <si>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</si>
  <si>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</si>
  <si>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</si>
  <si>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</si>
  <si>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</si>
  <si>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</si>
  <si>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</si>
  <si>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</si>
  <si>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</si>
  <si>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</si>
  <si>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</si>
  <si>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</si>
  <si>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</si>
  <si>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</si>
  <si>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</si>
  <si>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</si>
  <si>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</si>
  <si>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</si>
  <si>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</si>
  <si>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</si>
  <si>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</si>
  <si>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</si>
  <si>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</si>
  <si>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</si>
  <si>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</si>
  <si>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</si>
  <si>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</si>
  <si>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</si>
  <si>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</si>
  <si>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</si>
  <si>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</si>
  <si>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</si>
  <si>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</si>
  <si>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</si>
  <si>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</si>
  <si>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</si>
  <si>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</si>
  <si>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</si>
  <si>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</si>
  <si>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</si>
  <si>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</si>
  <si>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</si>
  <si>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</si>
  <si>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</si>
  <si>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</si>
  <si>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</si>
  <si>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</si>
  <si>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</si>
  <si>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</si>
  <si>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</si>
  <si>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</si>
  <si>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</si>
  <si>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</si>
  <si>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</si>
  <si>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</si>
  <si>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</si>
  <si>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</si>
  <si>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</si>
  <si>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</si>
  <si>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</si>
  <si>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</si>
  <si>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</si>
  <si>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</si>
  <si>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</si>
  <si>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</si>
  <si>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</si>
  <si>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</si>
  <si>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</si>
  <si>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</si>
  <si>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</si>
  <si>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</si>
  <si>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</si>
  <si>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</si>
  <si>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</si>
  <si>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</si>
  <si>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</si>
  <si>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</si>
  <si>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</si>
  <si>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</si>
  <si>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</si>
  <si>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</si>
  <si>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</si>
  <si>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</si>
  <si>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</si>
  <si>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</si>
  <si>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</si>
  <si>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</si>
  <si>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</si>
  <si>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</si>
  <si>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</si>
  <si>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</si>
  <si>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</si>
  <si>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</si>
  <si>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</si>
  <si>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</si>
  <si>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</si>
  <si>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</si>
  <si>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</si>
  <si>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</si>
  <si>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</si>
  <si>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</si>
  <si>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</si>
  <si>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</si>
  <si>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</si>
  <si>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</si>
  <si>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</si>
  <si>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</si>
  <si>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</si>
  <si>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</si>
  <si>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</si>
  <si>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</si>
  <si>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</si>
  <si>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</si>
  <si>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</si>
  <si>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</si>
  <si>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</si>
  <si>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</si>
  <si>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</si>
  <si>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</si>
  <si>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</si>
  <si>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</si>
  <si>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</si>
  <si>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</si>
  <si>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</si>
  <si>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</si>
  <si>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</si>
  <si>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</si>
  <si>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</si>
  <si>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</si>
  <si>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</si>
  <si>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</si>
  <si>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</si>
  <si>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</si>
  <si>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</si>
  <si>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</si>
  <si>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</si>
  <si>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</si>
  <si>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</si>
  <si>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</si>
  <si>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</si>
  <si>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</si>
  <si>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</si>
  <si>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</si>
  <si>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</si>
  <si>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</si>
  <si>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</si>
  <si>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</si>
  <si>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</si>
  <si>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</si>
  <si>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</si>
  <si>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</si>
  <si>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</si>
  <si>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</si>
  <si>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</si>
  <si>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</si>
  <si>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</si>
  <si>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</si>
  <si>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</si>
  <si>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</si>
  <si>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</si>
  <si>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</si>
  <si>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</si>
  <si>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</si>
  <si>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</si>
  <si>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</si>
  <si>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</si>
  <si>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</si>
  <si>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</si>
  <si>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</si>
  <si>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</si>
  <si>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</si>
  <si>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</si>
  <si>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</si>
  <si>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</si>
  <si>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</si>
  <si>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</si>
  <si>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</si>
  <si>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</si>
  <si>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</si>
  <si>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</si>
  <si>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</si>
  <si>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</si>
  <si>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</si>
  <si>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</si>
  <si>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</si>
  <si>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</si>
  <si>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</si>
  <si>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</si>
  <si>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</si>
  <si>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</si>
  <si>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</si>
  <si>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</si>
  <si>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</si>
  <si>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</si>
  <si>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</si>
  <si>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</si>
  <si>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</si>
  <si>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</si>
  <si>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</si>
  <si>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</si>
  <si>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</si>
  <si>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</si>
  <si>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</si>
  <si>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</si>
  <si>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</si>
  <si>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</si>
  <si>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</si>
  <si>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</si>
  <si>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</si>
  <si>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</si>
  <si>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</si>
  <si>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</si>
  <si>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</si>
  <si>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</si>
  <si>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</si>
  <si>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</si>
  <si>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</si>
  <si>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</si>
  <si>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</si>
  <si>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</si>
  <si>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</si>
  <si>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</si>
  <si>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</si>
  <si>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</si>
  <si>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</si>
  <si>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</si>
  <si>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</si>
  <si>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</si>
  <si>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</si>
  <si>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</si>
  <si>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</si>
  <si>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</si>
  <si>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</si>
  <si>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</si>
  <si>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</si>
  <si>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</si>
  <si>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</si>
  <si>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</si>
  <si>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</si>
  <si>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</si>
  <si>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</si>
  <si>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</si>
  <si>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</si>
  <si>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</si>
  <si>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</si>
  <si>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</si>
  <si>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</si>
  <si>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</si>
  <si>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</si>
  <si>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</si>
  <si>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</si>
  <si>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</si>
  <si>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</si>
  <si>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</si>
  <si>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</si>
  <si>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</si>
  <si>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</si>
  <si>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</si>
  <si>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</si>
  <si>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</si>
  <si>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</si>
  <si>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</si>
  <si>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</si>
  <si>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</si>
  <si>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</si>
  <si>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</si>
  <si>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</si>
  <si>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</si>
  <si>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</si>
  <si>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</si>
  <si>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</si>
  <si>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</si>
  <si>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</si>
  <si>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</si>
  <si>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</si>
  <si>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</si>
  <si>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</si>
  <si>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</si>
  <si>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</si>
  <si>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</si>
  <si>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</si>
  <si>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</si>
  <si>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</si>
  <si>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</si>
  <si>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</si>
  <si>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</si>
  <si>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</si>
  <si>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</si>
  <si>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</si>
  <si>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</si>
  <si>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</si>
  <si>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</si>
  <si>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</si>
  <si>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</si>
  <si>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</si>
  <si>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</si>
  <si>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</si>
  <si>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</si>
  <si>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</si>
  <si>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</si>
  <si>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</si>
  <si>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</si>
  <si>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</si>
  <si>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</si>
  <si>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</si>
  <si>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</si>
  <si>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</si>
  <si>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</si>
  <si>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</si>
  <si>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</si>
  <si>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</si>
  <si>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</si>
  <si>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</si>
  <si>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</si>
  <si>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</si>
  <si>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</si>
  <si>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</si>
  <si>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</si>
  <si>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</si>
  <si>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</si>
  <si>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</si>
  <si>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</si>
  <si>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</si>
  <si>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</si>
  <si>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</si>
  <si>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</si>
  <si>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</si>
  <si>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</si>
  <si>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</si>
  <si>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</si>
  <si>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</si>
  <si>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</si>
  <si>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</si>
  <si>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</si>
  <si>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</si>
  <si>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</si>
  <si>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</si>
  <si>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</si>
  <si>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</si>
  <si>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</si>
  <si>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</si>
  <si>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</si>
  <si>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</si>
  <si>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</si>
  <si>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</si>
  <si>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</si>
  <si>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</si>
  <si>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</si>
  <si>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</si>
  <si>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</si>
  <si>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</si>
  <si>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</si>
  <si>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</si>
  <si>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</si>
  <si>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</si>
  <si>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</si>
  <si>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</si>
  <si>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</si>
  <si>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</si>
  <si>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</si>
  <si>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</si>
  <si>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</si>
  <si>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</si>
  <si>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</si>
  <si>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</si>
  <si>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</si>
  <si>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</si>
  <si>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</si>
  <si>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</si>
  <si>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</si>
  <si>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</si>
  <si>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</si>
  <si>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</si>
  <si>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</si>
  <si>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</si>
  <si>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</si>
  <si>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</si>
  <si>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</si>
  <si>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</si>
  <si>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</si>
  <si>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</si>
  <si>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</si>
  <si>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</si>
  <si>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</si>
  <si>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</si>
  <si>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</si>
  <si>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</si>
  <si>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</si>
  <si>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</si>
  <si>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</si>
  <si>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</si>
  <si>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</si>
  <si>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</si>
  <si>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</si>
  <si>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</si>
  <si>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</si>
  <si>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</si>
  <si>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</si>
  <si>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</si>
  <si>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</si>
  <si>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</si>
  <si>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</si>
  <si>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</si>
  <si>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</si>
  <si>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</si>
  <si>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</si>
  <si>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</si>
  <si>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</si>
  <si>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</si>
  <si>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</si>
  <si>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</si>
  <si>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</si>
  <si>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</si>
  <si>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</si>
  <si>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</si>
  <si>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</si>
  <si>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</si>
  <si>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</si>
  <si>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</si>
  <si>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</si>
  <si>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</si>
  <si>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</si>
  <si>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</si>
  <si>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</si>
  <si>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</si>
  <si>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</si>
  <si>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</si>
  <si>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</si>
  <si>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</si>
  <si>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</si>
  <si>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</si>
  <si>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</si>
  <si>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</si>
  <si>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</si>
  <si>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</si>
  <si>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</si>
  <si>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</si>
  <si>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</si>
  <si>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</si>
  <si>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</si>
  <si>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</si>
  <si>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</si>
  <si>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</si>
  <si>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</si>
  <si>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</si>
  <si>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</si>
  <si>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</si>
  <si>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</si>
  <si>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</si>
  <si>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</si>
  <si>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</si>
  <si>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</si>
  <si>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</si>
  <si>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</si>
  <si>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</si>
  <si>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</si>
  <si>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</si>
  <si>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</si>
  <si>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</si>
  <si>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</si>
  <si>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</si>
  <si>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</si>
  <si>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</si>
  <si>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</si>
  <si>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</si>
  <si>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</si>
  <si>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</si>
  <si>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</si>
  <si>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</si>
  <si>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</si>
  <si>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</si>
  <si>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</si>
  <si>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</si>
  <si>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</si>
  <si>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</si>
  <si>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</si>
  <si>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</si>
  <si>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</si>
  <si>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</si>
  <si>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</si>
  <si>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</si>
  <si>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</si>
  <si>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</si>
  <si>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</si>
  <si>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</si>
  <si>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</si>
  <si>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</si>
  <si>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</si>
  <si>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</si>
  <si>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</si>
  <si>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</si>
  <si>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</si>
  <si>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</si>
  <si>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</si>
  <si>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</si>
  <si>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</si>
  <si>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</si>
  <si>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</si>
  <si>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</si>
  <si>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</si>
  <si>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</si>
  <si>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</si>
  <si>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</si>
  <si>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</si>
  <si>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</si>
  <si>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</si>
  <si>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</si>
  <si>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</si>
  <si>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</si>
  <si>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</si>
  <si>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</si>
  <si>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</si>
  <si>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</si>
  <si>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</si>
  <si>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</si>
  <si>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</si>
  <si>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</si>
  <si>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</si>
  <si>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</si>
  <si>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</si>
  <si>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</si>
  <si>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</si>
  <si>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</si>
  <si>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</si>
  <si>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</si>
  <si>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</si>
  <si>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</si>
  <si>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</si>
  <si>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</si>
  <si>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</si>
  <si>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</si>
  <si>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</si>
  <si>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</si>
  <si>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</si>
  <si>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</si>
  <si>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</si>
  <si>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</si>
  <si>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</si>
  <si>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</si>
  <si>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</si>
  <si>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</si>
  <si>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</si>
  <si>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</si>
  <si>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</si>
  <si>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</si>
  <si>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</si>
  <si>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</si>
  <si>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</si>
  <si>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</si>
  <si>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</si>
  <si>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</si>
  <si>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</si>
  <si>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</si>
  <si>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</si>
  <si>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</si>
  <si>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</si>
  <si>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</si>
  <si>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</si>
  <si>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</si>
  <si>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</si>
  <si>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</si>
  <si>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</si>
  <si>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</si>
  <si>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</si>
  <si>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</si>
  <si>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</si>
  <si>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</si>
  <si>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</si>
  <si>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</si>
  <si>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</si>
  <si>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</si>
  <si>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</si>
  <si>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</si>
  <si>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</si>
  <si>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</si>
  <si>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</si>
  <si>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</si>
  <si>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</si>
  <si>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</si>
  <si>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</si>
  <si>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</si>
  <si>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</si>
  <si>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</si>
  <si>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</si>
  <si>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</si>
  <si>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</si>
  <si>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</si>
  <si>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</si>
  <si>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</si>
  <si>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</si>
  <si>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</si>
  <si>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</si>
  <si>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</si>
  <si>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</si>
  <si>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</si>
  <si>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</si>
  <si>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</si>
  <si>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</si>
  <si>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</si>
  <si>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</si>
  <si>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</si>
  <si>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</si>
  <si>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</si>
  <si>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</si>
  <si>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</si>
  <si>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</si>
  <si>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</si>
  <si>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</si>
  <si>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</si>
  <si>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</si>
  <si>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</si>
  <si>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</si>
  <si>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</si>
  <si>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</si>
  <si>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</si>
  <si>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</si>
  <si>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</si>
  <si>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</si>
  <si>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</si>
  <si>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</si>
  <si>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</si>
  <si>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</si>
  <si>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</si>
  <si>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</si>
  <si>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</si>
  <si>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</si>
  <si>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</si>
  <si>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</si>
  <si>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</si>
  <si>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</si>
  <si>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</si>
  <si>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</si>
  <si>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</si>
  <si>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</si>
  <si>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</si>
  <si>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</si>
  <si>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</si>
  <si>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</si>
  <si>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</si>
  <si>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</si>
  <si>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</si>
  <si>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</si>
  <si>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</si>
  <si>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</si>
  <si>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</si>
  <si>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</si>
  <si>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</si>
  <si>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</si>
  <si>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</si>
  <si>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</si>
  <si>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</si>
  <si>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</si>
  <si>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</si>
  <si>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</si>
  <si>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</si>
  <si>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</si>
  <si>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</si>
  <si>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</si>
  <si>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</si>
  <si>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</si>
  <si>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</si>
  <si>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</si>
  <si>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</si>
  <si>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</si>
  <si>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</si>
  <si>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</si>
  <si>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</si>
  <si>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</si>
  <si>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</si>
  <si>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</si>
  <si>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</si>
  <si>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</si>
  <si>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</si>
  <si>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</si>
  <si>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</si>
  <si>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</si>
  <si>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</si>
  <si>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</si>
  <si>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</si>
  <si>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</si>
  <si>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</si>
  <si>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</si>
  <si>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</si>
  <si>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</si>
  <si>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</si>
  <si>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</si>
  <si>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</si>
  <si>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</si>
  <si>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</si>
  <si>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</si>
  <si>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</si>
  <si>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</si>
  <si>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</si>
  <si>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</si>
  <si>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</si>
  <si>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</si>
  <si>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</si>
  <si>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</si>
  <si>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</si>
  <si>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</si>
  <si>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</si>
  <si>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</si>
  <si>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</si>
  <si>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</si>
  <si>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</si>
  <si>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</si>
  <si>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</si>
  <si>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</si>
  <si>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</si>
  <si>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</si>
  <si>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</si>
  <si>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</si>
  <si>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</si>
  <si>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</si>
  <si>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</si>
  <si>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</si>
  <si>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</si>
  <si>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</si>
  <si>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</si>
  <si>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</si>
  <si>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</si>
  <si>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</si>
  <si>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</si>
  <si>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</si>
  <si>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</si>
  <si>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</si>
  <si>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</si>
  <si>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</si>
  <si>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</si>
  <si>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</si>
  <si>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</si>
  <si>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</si>
  <si>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</si>
  <si>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</si>
  <si>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</si>
  <si>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</si>
  <si>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</si>
  <si>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</si>
  <si>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</si>
  <si>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</si>
  <si>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</si>
  <si>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</si>
  <si>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</si>
  <si>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</si>
  <si>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</si>
  <si>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</si>
  <si>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</si>
  <si>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</si>
  <si>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</si>
  <si>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</si>
  <si>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</si>
  <si>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</si>
  <si>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</si>
  <si>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</si>
  <si>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</si>
  <si>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</si>
  <si>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</si>
  <si>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</si>
  <si>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</si>
  <si>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</si>
  <si>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</si>
  <si>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</si>
  <si>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</si>
  <si>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</si>
  <si>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</si>
  <si>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</si>
  <si>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</si>
  <si>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</si>
  <si>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</si>
  <si>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</si>
  <si>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</si>
  <si>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</si>
  <si>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</si>
  <si>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</si>
  <si>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</si>
  <si>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</si>
  <si>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</si>
  <si>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</si>
  <si>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</si>
  <si>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</si>
  <si>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</si>
  <si>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</si>
  <si>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</si>
  <si>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</si>
  <si>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</si>
  <si>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</si>
  <si>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</si>
  <si>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</si>
  <si>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</si>
  <si>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</si>
  <si>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</si>
  <si>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</si>
  <si>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</si>
  <si>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</si>
  <si>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</si>
  <si>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</si>
  <si>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</si>
  <si>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</si>
  <si>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</si>
  <si>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</si>
  <si>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</si>
  <si>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</si>
  <si>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</si>
  <si>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</si>
  <si>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</si>
  <si>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</si>
  <si>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</si>
  <si>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</si>
  <si>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</si>
  <si>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</si>
  <si>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</si>
  <si>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</si>
  <si>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</si>
  <si>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</si>
  <si>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</si>
  <si>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</si>
  <si>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</si>
  <si>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</si>
  <si>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</si>
  <si>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</si>
  <si>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</si>
  <si>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</si>
  <si>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</si>
  <si>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</si>
  <si>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</si>
  <si>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</si>
  <si>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</si>
  <si>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</si>
  <si>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</si>
  <si>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</si>
  <si>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</si>
  <si>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</si>
  <si>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</si>
  <si>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</si>
  <si>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</si>
  <si>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</si>
  <si>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</si>
  <si>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</si>
  <si>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</si>
  <si>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</si>
  <si>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</si>
  <si>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</si>
  <si>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</si>
  <si>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</si>
  <si>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</si>
  <si>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</si>
  <si>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</si>
  <si>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</si>
  <si>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</si>
  <si>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</si>
  <si>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</si>
  <si>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</si>
  <si>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</si>
  <si>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</si>
  <si>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</si>
  <si>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</si>
  <si>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</si>
  <si>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</si>
  <si>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</si>
  <si>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</si>
  <si>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</si>
  <si>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</si>
  <si>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</si>
  <si>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</si>
  <si>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</si>
  <si>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</si>
  <si>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</si>
  <si>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</si>
  <si>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</si>
  <si>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</si>
  <si>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</si>
  <si>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</si>
  <si>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</si>
  <si>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</si>
  <si>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</si>
  <si>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</si>
  <si>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</si>
  <si>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</si>
  <si>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</si>
  <si>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</si>
  <si>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</si>
  <si>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</si>
  <si>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</si>
  <si>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</si>
  <si>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</si>
  <si>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</si>
  <si>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</si>
  <si>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</si>
  <si>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</si>
  <si>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</si>
  <si>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</si>
  <si>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</si>
  <si>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</si>
  <si>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</si>
  <si>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</si>
  <si>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</si>
  <si>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</si>
  <si>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</si>
  <si>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</si>
  <si>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</si>
  <si>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</si>
  <si>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</si>
  <si>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</si>
  <si>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</si>
  <si>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</si>
  <si>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</si>
  <si>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</si>
  <si>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</si>
  <si>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</si>
  <si>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</si>
  <si>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</si>
  <si>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</si>
  <si>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</si>
  <si>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</si>
  <si>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</si>
  <si>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</si>
  <si>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</si>
  <si>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</si>
  <si>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</si>
  <si>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</si>
  <si>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</si>
  <si>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</si>
  <si>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</si>
  <si>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</si>
  <si>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</si>
  <si>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</si>
  <si>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</si>
  <si>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</si>
  <si>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</si>
  <si>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</si>
  <si>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</si>
  <si>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</si>
  <si>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</si>
  <si>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</si>
  <si>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</si>
  <si>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</si>
  <si>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</si>
  <si>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</si>
  <si>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</si>
  <si>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</si>
  <si>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</si>
  <si>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</si>
  <si>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</si>
  <si>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</si>
  <si>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</si>
  <si>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</si>
  <si>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</si>
  <si>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</si>
  <si>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</si>
  <si>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</si>
  <si>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</si>
  <si>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</si>
  <si>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</si>
  <si>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</si>
  <si>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</si>
  <si>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</si>
  <si>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</si>
  <si>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</si>
  <si>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</si>
  <si>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</si>
  <si>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</si>
  <si>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</si>
  <si>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</si>
  <si>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</si>
  <si>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</si>
  <si>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</si>
  <si>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</si>
  <si>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</si>
  <si>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</si>
  <si>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</si>
  <si>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</si>
  <si>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</si>
  <si>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</si>
  <si>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</si>
  <si>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</si>
  <si>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</si>
  <si>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</si>
  <si>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</si>
  <si>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</si>
  <si>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</si>
  <si>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</si>
  <si>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</si>
  <si>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</si>
  <si>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</si>
  <si>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</si>
  <si>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</si>
  <si>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</si>
  <si>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</si>
  <si>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</si>
  <si>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</si>
  <si>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</si>
  <si>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</si>
  <si>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</si>
  <si>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</si>
  <si>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</si>
  <si>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</si>
  <si>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</si>
  <si>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</si>
  <si>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</si>
  <si>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</si>
  <si>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</si>
  <si>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</si>
  <si>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</si>
  <si>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</si>
  <si>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</si>
  <si>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</si>
  <si>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</si>
  <si>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</si>
  <si>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</si>
  <si>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</si>
  <si>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</si>
  <si>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</si>
  <si>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</si>
  <si>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</si>
  <si>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</si>
  <si>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</si>
  <si>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</si>
  <si>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</si>
  <si>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</si>
  <si>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</si>
  <si>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</si>
  <si>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</si>
  <si>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</si>
  <si>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</si>
  <si>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</si>
  <si>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</si>
  <si>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</si>
  <si>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</si>
  <si>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</si>
  <si>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</si>
  <si>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</si>
  <si>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</si>
  <si>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</si>
  <si>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</si>
  <si>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</si>
  <si>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</si>
  <si>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</si>
  <si>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</si>
  <si>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</si>
  <si>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</si>
  <si>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</si>
  <si>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</si>
  <si>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</si>
  <si>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</si>
  <si>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</si>
  <si>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</si>
  <si>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</si>
  <si>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</si>
  <si>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</si>
  <si>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</si>
  <si>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</si>
  <si>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</si>
  <si>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</si>
  <si>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</si>
  <si>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</si>
  <si>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</si>
  <si>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</si>
  <si>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</si>
  <si>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</si>
  <si>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</si>
  <si>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</si>
  <si>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</si>
  <si>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</si>
  <si>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</si>
  <si>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</si>
  <si>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</si>
  <si>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</si>
  <si>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</si>
  <si>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</si>
  <si>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</si>
  <si>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</si>
  <si>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</si>
  <si>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</si>
  <si>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</si>
  <si>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</si>
  <si>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</si>
  <si>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</si>
  <si>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</si>
  <si>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</si>
  <si>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</si>
  <si>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</si>
  <si>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</si>
  <si>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</si>
  <si>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</si>
  <si>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</si>
  <si>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</si>
  <si>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</si>
  <si>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</si>
  <si>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</si>
  <si>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</si>
  <si>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</si>
  <si>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</si>
  <si>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</si>
  <si>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</si>
  <si>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</si>
  <si>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</si>
  <si>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</si>
  <si>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</si>
  <si>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</si>
  <si>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</si>
  <si>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</si>
  <si>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</si>
  <si>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</si>
  <si>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</si>
  <si>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</si>
  <si>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</si>
  <si>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</si>
  <si>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</si>
  <si>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</si>
  <si>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</si>
  <si>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</si>
  <si>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</si>
  <si>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</si>
  <si>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</si>
  <si>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</si>
  <si>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</si>
  <si>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</si>
  <si>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</si>
  <si>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</si>
  <si>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</si>
  <si>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</si>
  <si>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</si>
  <si>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</si>
  <si>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</si>
  <si>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</si>
  <si>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</si>
  <si>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</si>
  <si>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</si>
  <si>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</si>
  <si>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</si>
  <si>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</si>
  <si>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</si>
  <si>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</si>
  <si>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</si>
  <si>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</si>
  <si>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</si>
  <si>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</si>
  <si>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</si>
  <si>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</si>
  <si>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</si>
  <si>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</si>
  <si>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</si>
  <si>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</si>
  <si>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</si>
  <si>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</si>
  <si>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</si>
  <si>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</si>
  <si>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</si>
  <si>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</si>
  <si>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</si>
  <si>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</si>
  <si>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</si>
  <si>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</si>
  <si>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</si>
  <si>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</si>
  <si>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</si>
  <si>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</si>
  <si>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</si>
  <si>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</si>
  <si>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</si>
  <si>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</si>
  <si>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</si>
  <si>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</si>
  <si>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</si>
  <si>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</si>
  <si>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</si>
  <si>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</si>
  <si>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</si>
  <si>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</si>
  <si>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</si>
  <si>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</si>
  <si>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</si>
  <si>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</si>
  <si>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</si>
  <si>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</si>
  <si>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</si>
  <si>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</si>
  <si>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</si>
  <si>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</si>
  <si>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</si>
  <si>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</si>
  <si>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</si>
  <si>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</si>
  <si>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</si>
  <si>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</si>
  <si>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</si>
  <si>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</si>
  <si>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</si>
  <si>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</si>
  <si>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</si>
  <si>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</si>
  <si>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</si>
  <si>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</si>
  <si>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</si>
  <si>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</si>
  <si>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</si>
  <si>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</si>
  <si>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</si>
  <si>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</si>
  <si>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</si>
  <si>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</si>
  <si>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</si>
  <si>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</si>
  <si>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</si>
  <si>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</si>
  <si>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</si>
  <si>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</si>
  <si>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</si>
  <si>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</si>
  <si>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</si>
  <si>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</si>
  <si>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</si>
  <si>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</si>
  <si>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</si>
  <si>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</si>
  <si>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</si>
  <si>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</si>
  <si>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</si>
  <si>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</si>
  <si>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</si>
  <si>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</si>
  <si>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</si>
  <si>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</si>
  <si>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</si>
  <si>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</si>
  <si>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</si>
  <si>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</si>
  <si>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</si>
  <si>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</si>
  <si>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</si>
  <si>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</si>
  <si>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</si>
  <si>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</si>
  <si>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</si>
  <si>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</si>
  <si>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</si>
  <si>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</si>
  <si>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</si>
  <si>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</si>
  <si>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</si>
  <si>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</si>
  <si>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</si>
  <si>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</si>
  <si>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</si>
  <si>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</si>
  <si>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</si>
  <si>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</si>
  <si>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</si>
  <si>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</si>
  <si>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</si>
  <si>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</si>
  <si>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</si>
  <si>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</si>
  <si>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</si>
  <si>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</si>
  <si>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</si>
  <si>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</si>
  <si>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</si>
  <si>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</si>
  <si>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</si>
  <si>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</si>
  <si>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</si>
  <si>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</si>
  <si>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</si>
  <si>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</si>
  <si>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</si>
  <si>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</si>
  <si>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</si>
  <si>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</si>
  <si>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</si>
  <si>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</si>
  <si>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</si>
  <si>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</si>
  <si>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</si>
  <si>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</si>
  <si>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</si>
  <si>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</si>
  <si>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</si>
  <si>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</si>
  <si>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</si>
  <si>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</si>
  <si>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</si>
  <si>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</si>
  <si>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</si>
  <si>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</si>
  <si>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</si>
  <si>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</si>
  <si>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</si>
  <si>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</si>
  <si>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</si>
  <si>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</si>
  <si>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</si>
  <si>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</si>
  <si>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</si>
  <si>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</si>
  <si>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</si>
  <si>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</si>
  <si>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</si>
  <si>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</si>
  <si>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</si>
  <si>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</si>
  <si>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</si>
  <si>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</si>
  <si>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</si>
  <si>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</si>
  <si>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</si>
  <si>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</si>
  <si>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</si>
  <si>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</si>
  <si>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</si>
  <si>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</si>
  <si>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</si>
  <si>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</si>
  <si>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</si>
  <si>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</si>
  <si>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</si>
  <si>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</si>
  <si>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</si>
  <si>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</si>
  <si>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</si>
  <si>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</si>
  <si>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</si>
  <si>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</si>
  <si>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</si>
  <si>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</si>
  <si>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</si>
  <si>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</si>
  <si>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</si>
  <si>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</si>
  <si>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</si>
  <si>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</si>
  <si>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</si>
  <si>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</si>
  <si>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</si>
  <si>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</si>
  <si>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</si>
  <si>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</si>
  <si>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</si>
  <si>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</si>
  <si>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</si>
  <si>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</si>
  <si>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</si>
  <si>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</si>
  <si>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</si>
  <si>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</si>
  <si>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</si>
  <si>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</si>
  <si>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</si>
  <si>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</si>
  <si>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</si>
  <si>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</si>
  <si>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</si>
  <si>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</si>
  <si>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</si>
  <si>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</si>
  <si>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</si>
  <si>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</si>
  <si>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</si>
  <si>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</si>
  <si>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</si>
  <si>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</si>
  <si>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</si>
  <si>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</si>
  <si>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</si>
  <si>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</si>
  <si>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</si>
  <si>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</si>
  <si>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</si>
  <si>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</si>
  <si>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</si>
  <si>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</si>
  <si>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</si>
  <si>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</si>
  <si>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</si>
  <si>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</si>
  <si>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</si>
  <si>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7828/2026</t>
  </si>
  <si>
    <t>Oficina Temática – SEMAT: Falhas recorrentes em contratações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</si>
</sst>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94" activePane="bottomLeft" state="frozen"/>
      <selection pane="bottomLeft" activeCell="F682" sqref="F682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2984</v>
      </c>
      <c r="E710" s="210" t="s">
        <v>2985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2894</v>
      </c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 x14ac:dyDescent="0.2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 x14ac:dyDescent="0.25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2896</v>
      </c>
      <c r="Y46" t="s">
        <v>2898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 x14ac:dyDescent="0.25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 x14ac:dyDescent="0.25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 x14ac:dyDescent="0.25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 x14ac:dyDescent="0.25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 x14ac:dyDescent="0.25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 x14ac:dyDescent="0.25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 x14ac:dyDescent="0.25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 x14ac:dyDescent="0.25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 x14ac:dyDescent="0.25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 x14ac:dyDescent="0.25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 x14ac:dyDescent="0.25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 x14ac:dyDescent="0.25">
      <c r="R108" t="str">
        <v/>
      </c>
      <c r="S108" t="str">
        <v/>
      </c>
    </row>
    <row r="109" spans="1:19" x14ac:dyDescent="0.25">
      <c r="R109" t="str">
        <v/>
      </c>
      <c r="S109" t="str">
        <v/>
      </c>
    </row>
    <row r="110" spans="1:19" x14ac:dyDescent="0.25">
      <c r="R110" t="str">
        <v/>
      </c>
      <c r="S110" t="str">
        <v/>
      </c>
    </row>
    <row r="111" spans="1:19" x14ac:dyDescent="0.25">
      <c r="R111" t="str">
        <v/>
      </c>
      <c r="S111" t="str">
        <v/>
      </c>
    </row>
    <row r="112" spans="1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1" t="s">
        <v>2905</v>
      </c>
      <c r="B1" s="281"/>
      <c r="C1" s="281"/>
      <c r="D1" s="281"/>
      <c r="E1" s="281"/>
      <c r="F1" s="281"/>
      <c r="G1" s="281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2" t="s">
        <v>2906</v>
      </c>
      <c r="B4" s="283"/>
      <c r="D4" s="284" t="s">
        <v>2907</v>
      </c>
      <c r="E4" s="285"/>
      <c r="G4" s="125" t="s">
        <v>2908</v>
      </c>
    </row>
    <row r="5" spans="1:7" ht="54.95" customHeight="1" thickBot="1" x14ac:dyDescent="0.75">
      <c r="A5" s="115">
        <f>COUNTIF('Ações InCompany'!B:B,2026)</f>
        <v>54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16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9" t="s">
        <v>2910</v>
      </c>
      <c r="B8" s="279"/>
      <c r="D8" s="279" t="s">
        <v>2911</v>
      </c>
      <c r="E8" s="279"/>
    </row>
    <row r="9" spans="1:7" ht="5.0999999999999996" customHeight="1" x14ac:dyDescent="0.25">
      <c r="A9" s="280"/>
      <c r="B9" s="280"/>
      <c r="D9" s="280"/>
      <c r="E9" s="280"/>
    </row>
    <row r="10" spans="1:7" ht="24.95" customHeight="1" x14ac:dyDescent="0.25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2918</v>
      </c>
      <c r="B14" s="114">
        <f>SUM(B11:B13)</f>
        <v>32</v>
      </c>
      <c r="D14" s="113" t="s">
        <v>2919</v>
      </c>
      <c r="E14" s="114">
        <f>SUM(E11:E13)</f>
        <v>1474</v>
      </c>
    </row>
    <row r="30" spans="1:5" ht="17.25" x14ac:dyDescent="0.3">
      <c r="A30" s="279" t="s">
        <v>2920</v>
      </c>
      <c r="B30" s="279"/>
      <c r="C30" s="279"/>
      <c r="D30" s="279"/>
      <c r="E30" s="279"/>
    </row>
    <row r="31" spans="1:5" ht="5.0999999999999996" customHeight="1" x14ac:dyDescent="0.25">
      <c r="A31" s="280"/>
      <c r="B31" s="280"/>
      <c r="C31" s="280"/>
      <c r="D31" s="280"/>
      <c r="E31" s="280"/>
    </row>
    <row r="32" spans="1:5" ht="24.95" customHeight="1" x14ac:dyDescent="0.25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 x14ac:dyDescent="0.25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 x14ac:dyDescent="0.25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2918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 x14ac:dyDescent="0.25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 x14ac:dyDescent="0.25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 x14ac:dyDescent="0.25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 x14ac:dyDescent="0.25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 x14ac:dyDescent="0.25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 x14ac:dyDescent="0.25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 x14ac:dyDescent="0.25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 x14ac:dyDescent="0.25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 x14ac:dyDescent="0.25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 x14ac:dyDescent="0.25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 x14ac:dyDescent="0.25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 x14ac:dyDescent="0.25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 x14ac:dyDescent="0.25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 x14ac:dyDescent="0.25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 x14ac:dyDescent="0.25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 x14ac:dyDescent="0.25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6" t="s">
        <v>2970</v>
      </c>
      <c r="B1" s="286"/>
      <c r="C1" s="286"/>
      <c r="D1" s="286"/>
      <c r="E1" s="286"/>
      <c r="F1" s="286"/>
    </row>
    <row r="2" spans="1:7" x14ac:dyDescent="0.25">
      <c r="A2" s="287" t="s">
        <v>2971</v>
      </c>
      <c r="B2" s="287"/>
      <c r="C2" s="287"/>
      <c r="D2" s="287"/>
      <c r="E2" s="287"/>
      <c r="F2" s="287"/>
    </row>
    <row r="4" spans="1:7" x14ac:dyDescent="0.25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2919</v>
      </c>
      <c r="B105" s="242">
        <f>SUM(B5:B100)</f>
        <v>576</v>
      </c>
      <c r="C105" s="242">
        <f>SUM(C5:C100)</f>
        <v>382.50000000000006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8" t="s">
        <v>2974</v>
      </c>
      <c r="B1" s="288"/>
      <c r="C1" s="288"/>
      <c r="D1" s="288"/>
      <c r="E1" s="288"/>
      <c r="F1" s="288"/>
      <c r="G1" s="288"/>
      <c r="H1" s="288"/>
    </row>
    <row r="2" spans="1:8" x14ac:dyDescent="0.25">
      <c r="A2" s="130" t="s">
        <v>2975</v>
      </c>
    </row>
    <row r="4" spans="1:8" ht="21.95" customHeight="1" x14ac:dyDescent="0.25">
      <c r="A4" s="289" t="s">
        <v>2976</v>
      </c>
      <c r="B4" s="290"/>
      <c r="D4" s="289" t="s">
        <v>2977</v>
      </c>
      <c r="E4" s="290"/>
      <c r="G4" s="289" t="s">
        <v>2978</v>
      </c>
      <c r="H4" s="290"/>
    </row>
    <row r="5" spans="1:8" ht="35.1" customHeight="1" x14ac:dyDescent="0.25">
      <c r="A5" s="293">
        <f>COUNTIF('Ações InCompany'!E:E,"*maratona*")</f>
        <v>13</v>
      </c>
      <c r="B5" s="292"/>
      <c r="D5" s="291">
        <f>SUM(H8:H100)</f>
        <v>1762</v>
      </c>
      <c r="E5" s="292"/>
      <c r="G5" s="291">
        <f>IFERROR(ROUND(D5/A5,0),"-")</f>
        <v>136</v>
      </c>
      <c r="H5" s="292"/>
    </row>
    <row r="6" spans="1:8" ht="9.9499999999999993" customHeight="1" x14ac:dyDescent="0.25"/>
    <row r="7" spans="1:8" ht="24.95" customHeight="1" thickBot="1" x14ac:dyDescent="0.3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2026-07-01T21:18:33Z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