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36" documentId="13_ncr:1_{C887EC22-7CD1-4717-84BE-7303F42C5C0A}" xr6:coauthVersionLast="47" xr6:coauthVersionMax="47" xr10:uidLastSave="{92512C2A-3FCF-4554-83D9-C0C35767D110}"/>
  <bookViews>
    <workbookView xWindow="2868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s="1" a="1"/>
  <c r="A2" i="20" l="1" a="1"/>
  <c r="T4" i="20"/>
  <c r="A5" i="23" l="1" a="1"/>
  <c r="E105" i="23"/>
  <c r="A2" i="20"/>
  <c r="D35" i="23" l="1"/>
  <c r="B23" i="23"/>
  <c r="D10" i="23"/>
  <c r="C32" i="23"/>
  <c r="E9" i="23"/>
  <c r="E16" i="23"/>
  <c r="F27" i="23"/>
  <c r="B17" i="23"/>
  <c r="E35" i="23"/>
  <c r="C9" i="23"/>
  <c r="C6" i="23"/>
  <c r="C23" i="23"/>
  <c r="D9" i="23"/>
  <c r="D8" i="23"/>
  <c r="F32" i="23"/>
  <c r="F22" i="23"/>
  <c r="B35" i="23"/>
  <c r="D33" i="23"/>
  <c r="F24" i="23"/>
  <c r="E19" i="23"/>
  <c r="B19" i="23"/>
  <c r="F31" i="23"/>
  <c r="B22" i="23"/>
  <c r="D32" i="23"/>
  <c r="E24" i="23"/>
  <c r="E6" i="23"/>
  <c r="D34" i="23"/>
  <c r="B27" i="23"/>
  <c r="F17" i="23"/>
  <c r="F13" i="23"/>
  <c r="D21" i="23"/>
  <c r="B30" i="23"/>
  <c r="D16" i="23"/>
  <c r="D27" i="23"/>
  <c r="E13" i="23"/>
  <c r="D31" i="23"/>
  <c r="E21" i="23"/>
  <c r="F6" i="23"/>
  <c r="C20" i="23"/>
  <c r="D14" i="23"/>
  <c r="F15" i="23"/>
  <c r="B16" i="23"/>
  <c r="E28" i="23"/>
  <c r="C16" i="23"/>
  <c r="C7" i="23"/>
  <c r="C26" i="23"/>
  <c r="F23" i="23"/>
  <c r="B7" i="23"/>
  <c r="F18" i="23"/>
  <c r="D13" i="23"/>
  <c r="C34" i="23"/>
  <c r="F9" i="23"/>
  <c r="F14" i="23"/>
  <c r="F28" i="23"/>
  <c r="F20" i="23"/>
  <c r="F29" i="23"/>
  <c r="E32" i="23"/>
  <c r="C30" i="23"/>
  <c r="F19" i="23"/>
  <c r="B21" i="23"/>
  <c r="F34" i="23"/>
  <c r="E17" i="23"/>
  <c r="C13" i="23"/>
  <c r="D6" i="23"/>
  <c r="F21" i="23"/>
  <c r="B29" i="23"/>
  <c r="F26" i="23"/>
  <c r="B13" i="23"/>
  <c r="E26" i="23"/>
  <c r="F35" i="23"/>
  <c r="D11" i="23"/>
  <c r="E33" i="23"/>
  <c r="B15" i="23"/>
  <c r="D25" i="23"/>
  <c r="C14" i="23"/>
  <c r="B18" i="23"/>
  <c r="E8" i="23"/>
  <c r="C35" i="23"/>
  <c r="F11" i="23"/>
  <c r="F33" i="23"/>
  <c r="B12" i="23"/>
  <c r="D22" i="23"/>
  <c r="D30" i="23"/>
  <c r="C31" i="23"/>
  <c r="D29" i="23"/>
  <c r="C18" i="23"/>
  <c r="C28" i="23"/>
  <c r="C22" i="23"/>
  <c r="D23" i="23"/>
  <c r="D28" i="23"/>
  <c r="B11" i="23"/>
  <c r="E22" i="23"/>
  <c r="E31" i="23"/>
  <c r="D17" i="23"/>
  <c r="D7" i="23"/>
  <c r="C25" i="23"/>
  <c r="E29" i="23"/>
  <c r="D19" i="23"/>
  <c r="C24" i="23"/>
  <c r="C17" i="23"/>
  <c r="C11" i="23"/>
  <c r="F16" i="23"/>
  <c r="B9" i="23"/>
  <c r="D26" i="23"/>
  <c r="E7" i="23"/>
  <c r="C8" i="23"/>
  <c r="E25" i="23"/>
  <c r="E10" i="23"/>
  <c r="C33" i="23"/>
  <c r="B26" i="23"/>
  <c r="E34" i="23"/>
  <c r="B20" i="23"/>
  <c r="E27" i="23"/>
  <c r="F7" i="23"/>
  <c r="D12" i="23"/>
  <c r="B24" i="23"/>
  <c r="E20" i="23"/>
  <c r="C27" i="23"/>
  <c r="C19" i="23"/>
  <c r="D20" i="23"/>
  <c r="D18" i="23"/>
  <c r="B32" i="23"/>
  <c r="F10" i="23"/>
  <c r="E23" i="23"/>
  <c r="C12" i="23"/>
  <c r="E18" i="23"/>
  <c r="C29" i="23"/>
  <c r="D15" i="23"/>
  <c r="E11" i="23"/>
  <c r="B25" i="23"/>
  <c r="B8" i="23"/>
  <c r="F12" i="23"/>
  <c r="F8" i="23"/>
  <c r="B31" i="23"/>
  <c r="B14" i="23"/>
  <c r="B28" i="23"/>
  <c r="E15" i="23"/>
  <c r="F25" i="23"/>
  <c r="B34" i="23"/>
  <c r="E12" i="23"/>
  <c r="B33" i="23"/>
  <c r="C21" i="23"/>
  <c r="E14" i="23"/>
  <c r="B6" i="23"/>
  <c r="C10" i="23"/>
  <c r="E30" i="23"/>
  <c r="F30" i="23"/>
  <c r="D24" i="23"/>
  <c r="B10" i="23"/>
  <c r="C15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<sst xmlns="http://schemas.openxmlformats.org/spreadsheetml/2006/main" count="6535" uniqueCount="2962">
  <si>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</si>
  <si>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</si>
  <si>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</si>
  <si>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</si>
  <si>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</si>
  <si>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</si>
  <si>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</si>
  <si>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</si>
  <si>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</si>
  <si>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</si>
  <si>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</si>
  <si>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</si>
  <si>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</si>
  <si>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</si>
  <si>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</si>
  <si>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</si>
  <si>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</si>
  <si>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</si>
  <si>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</si>
  <si>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</si>
  <si>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</si>
  <si>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</si>
  <si>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</si>
  <si>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</si>
  <si>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</si>
  <si>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</si>
  <si>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</si>
  <si>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</si>
  <si>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</si>
  <si>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</si>
  <si>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</si>
  <si>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</si>
  <si>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</si>
  <si>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</si>
  <si>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</si>
  <si>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</si>
  <si>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</si>
  <si>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</si>
  <si>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</si>
  <si>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</si>
  <si>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</si>
  <si>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</si>
  <si>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</si>
  <si>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</si>
  <si>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</si>
  <si>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</si>
  <si>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</si>
  <si>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</si>
  <si>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</si>
  <si>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</si>
  <si>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</si>
  <si>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</si>
  <si>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</si>
  <si>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</si>
  <si>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</si>
  <si>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</si>
  <si>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</si>
  <si>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</si>
  <si>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</si>
  <si>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</si>
  <si>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</si>
  <si>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</si>
  <si>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</si>
  <si>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</si>
  <si>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</si>
  <si>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</si>
  <si>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</si>
  <si>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</si>
  <si>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</si>
  <si>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</si>
  <si>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</si>
  <si>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</si>
  <si>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</si>
  <si>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</si>
  <si>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</si>
  <si>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</si>
  <si>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</si>
  <si>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</si>
  <si>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</si>
  <si>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</si>
  <si>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</si>
  <si>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</si>
  <si>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</si>
  <si>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</si>
  <si>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</si>
  <si>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</si>
  <si>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</si>
  <si>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</si>
  <si>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</si>
  <si>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</si>
  <si>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</si>
  <si>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</si>
  <si>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</si>
  <si>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</si>
  <si>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</si>
  <si>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</si>
  <si>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</si>
  <si>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</si>
  <si>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</si>
  <si>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</si>
  <si>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</si>
  <si>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</si>
  <si>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</si>
  <si>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</si>
  <si>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</si>
  <si>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</si>
  <si>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</si>
  <si>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</si>
  <si>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</si>
  <si>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</si>
  <si>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</si>
  <si>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</si>
  <si>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</si>
  <si>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</si>
  <si>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</si>
  <si>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</si>
  <si>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</si>
  <si>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</si>
  <si>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</si>
  <si>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</si>
  <si>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</si>
  <si>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</si>
  <si>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</si>
  <si>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</si>
  <si>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</si>
  <si>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</si>
  <si>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</si>
  <si>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</si>
  <si>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</si>
  <si>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</si>
  <si>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</si>
  <si>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</si>
  <si>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</si>
  <si>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</si>
  <si>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</si>
  <si>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</si>
  <si>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</si>
  <si>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</si>
  <si>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</si>
  <si>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</si>
  <si>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</si>
  <si>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</si>
  <si>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</si>
  <si>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</si>
  <si>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</si>
  <si>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</si>
  <si>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</si>
  <si>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</si>
  <si>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</si>
  <si>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</si>
  <si>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</si>
  <si>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</si>
  <si>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</si>
  <si>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</si>
  <si>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</si>
  <si>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</si>
  <si>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</si>
  <si>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</si>
  <si>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</si>
  <si>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</si>
  <si>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</si>
  <si>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</si>
  <si>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</si>
  <si>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</si>
  <si>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</si>
  <si>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</si>
  <si>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</si>
  <si>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</si>
  <si>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</si>
  <si>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</si>
  <si>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</si>
  <si>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</si>
  <si>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</si>
  <si>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</si>
  <si>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</si>
  <si>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</si>
  <si>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</si>
  <si>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</si>
  <si>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</si>
  <si>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</si>
  <si>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</si>
  <si>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</si>
  <si>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</si>
  <si>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</si>
  <si>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</si>
  <si>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</si>
  <si>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</si>
  <si>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</si>
  <si>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</si>
  <si>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</si>
  <si>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</si>
  <si>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</si>
  <si>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</si>
  <si>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</si>
  <si>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</si>
  <si>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</si>
  <si>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</si>
  <si>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</si>
  <si>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</si>
  <si>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</si>
  <si>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</si>
  <si>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</si>
  <si>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</si>
  <si>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</si>
  <si>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</si>
  <si>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</si>
  <si>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</si>
  <si>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</si>
  <si>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</si>
  <si>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</si>
  <si>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</si>
  <si>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</si>
  <si>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</si>
  <si>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</si>
  <si>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</si>
  <si>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</si>
  <si>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</si>
  <si>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</si>
  <si>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</si>
  <si>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</si>
  <si>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</si>
  <si>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</si>
  <si>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</si>
  <si>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</si>
  <si>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</si>
  <si>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</si>
  <si>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</si>
  <si>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</si>
  <si>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</si>
  <si>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</si>
  <si>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</si>
  <si>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</si>
  <si>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</si>
  <si>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</si>
  <si>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</si>
  <si>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</si>
  <si>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</si>
  <si>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</si>
  <si>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</si>
  <si>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</si>
  <si>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</si>
  <si>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</si>
  <si>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</si>
  <si>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</si>
  <si>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</si>
  <si>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</si>
  <si>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</si>
  <si>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</si>
  <si>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</si>
  <si>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</si>
  <si>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</si>
  <si>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</si>
  <si>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</si>
  <si>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</si>
  <si>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</si>
  <si>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</si>
  <si>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</si>
  <si>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</si>
  <si>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</si>
  <si>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</si>
  <si>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</si>
  <si>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</si>
  <si>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</si>
  <si>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</si>
  <si>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</si>
  <si>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</si>
  <si>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</si>
  <si>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</si>
  <si>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</si>
  <si>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</si>
  <si>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</si>
  <si>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</si>
  <si>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</si>
  <si>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</si>
  <si>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</si>
  <si>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</si>
  <si>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</si>
  <si>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</si>
  <si>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</si>
  <si>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</si>
  <si>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</si>
  <si>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</si>
  <si>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</si>
  <si>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</si>
  <si>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</si>
  <si>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</si>
  <si>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</si>
  <si>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</si>
  <si>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</si>
  <si>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</si>
  <si>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</si>
  <si>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</si>
  <si>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</si>
  <si>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</si>
  <si>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</si>
  <si>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</si>
  <si>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</si>
  <si>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</si>
  <si>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</si>
  <si>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</si>
  <si>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</si>
  <si>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</si>
  <si>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</si>
  <si>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</si>
  <si>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</si>
  <si>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</si>
  <si>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</si>
  <si>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</si>
  <si>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</si>
  <si>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</si>
  <si>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</si>
  <si>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</si>
  <si>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</si>
  <si>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</si>
  <si>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</si>
  <si>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</si>
  <si>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</si>
  <si>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</si>
  <si>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</si>
  <si>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</si>
  <si>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</si>
  <si>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</si>
  <si>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</si>
  <si>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</si>
  <si>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</si>
  <si>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</si>
  <si>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</si>
  <si>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</si>
  <si>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</si>
  <si>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</si>
  <si>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</si>
  <si>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</si>
  <si>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</si>
  <si>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</si>
  <si>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</si>
  <si>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</si>
  <si>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</si>
  <si>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</si>
  <si>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</si>
  <si>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</si>
  <si>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</si>
  <si>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</si>
  <si>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</si>
  <si>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</si>
  <si>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</si>
  <si>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</si>
  <si>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</si>
  <si>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</si>
  <si>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</si>
  <si>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</si>
  <si>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</si>
  <si>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</si>
  <si>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</si>
  <si>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</si>
  <si>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</si>
  <si>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</si>
  <si>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</si>
  <si>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</si>
  <si>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</si>
  <si>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</si>
  <si>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</si>
  <si>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</si>
  <si>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</si>
  <si>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</si>
  <si>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</si>
  <si>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</si>
  <si>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</si>
  <si>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</si>
  <si>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</si>
  <si>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</si>
  <si>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</si>
  <si>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</si>
  <si>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</si>
  <si>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</si>
  <si>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</si>
  <si>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</si>
  <si>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</si>
  <si>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</si>
  <si>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</si>
  <si>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</si>
  <si>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</si>
  <si>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</si>
  <si>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</si>
  <si>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</si>
  <si>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</si>
  <si>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</si>
  <si>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</si>
  <si>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</si>
  <si>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</si>
  <si>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</si>
  <si>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</si>
  <si>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</si>
  <si>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</si>
  <si>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</si>
  <si>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</si>
  <si>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</si>
  <si>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</si>
  <si>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</si>
  <si>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</si>
  <si>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</si>
  <si>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</si>
  <si>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</si>
  <si>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</si>
  <si>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</si>
  <si>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</si>
  <si>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</si>
  <si>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</si>
  <si>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</si>
  <si>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</si>
  <si>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</si>
  <si>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</si>
  <si>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</si>
  <si>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</si>
  <si>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</si>
  <si>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</si>
  <si>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</si>
  <si>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</si>
  <si>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</si>
  <si>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</si>
  <si>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</si>
  <si>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</si>
  <si>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</si>
  <si>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</si>
  <si>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</si>
  <si>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</si>
  <si>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</si>
  <si>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</si>
  <si>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</si>
  <si>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</si>
  <si>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</si>
  <si>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</si>
  <si>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</si>
  <si>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</si>
  <si>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</si>
  <si>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</si>
  <si>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</si>
  <si>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</si>
  <si>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</si>
  <si>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</si>
  <si>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</si>
  <si>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</si>
  <si>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</si>
  <si>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</si>
  <si>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</si>
  <si>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</si>
  <si>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</si>
  <si>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</si>
  <si>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</si>
  <si>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</si>
  <si>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</si>
  <si>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</si>
  <si>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</si>
  <si>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</si>
  <si>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</si>
  <si>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</si>
  <si>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</si>
  <si>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</si>
  <si>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</si>
  <si>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</si>
  <si>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</si>
  <si>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</si>
  <si>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</si>
  <si>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</si>
  <si>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</si>
  <si>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</si>
  <si>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</si>
  <si>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</si>
  <si>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</si>
  <si>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</si>
  <si>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</si>
  <si>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</si>
  <si>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</si>
  <si>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</si>
  <si>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</si>
  <si>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</si>
  <si>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</si>
  <si>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</si>
  <si>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</si>
  <si>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</si>
  <si>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</si>
  <si>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</si>
  <si>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</si>
  <si>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</si>
  <si>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</si>
  <si>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</si>
  <si>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</si>
  <si>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</si>
  <si>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</si>
  <si>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</si>
  <si>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</si>
  <si>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</si>
  <si>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</si>
  <si>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</si>
  <si>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</si>
  <si>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</si>
  <si>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</si>
  <si>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</si>
  <si>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</si>
  <si>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</si>
  <si>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</si>
  <si>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</si>
  <si>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</si>
  <si>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</si>
  <si>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</si>
  <si>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</si>
  <si>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</si>
  <si>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</si>
  <si>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</si>
  <si>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</si>
  <si>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</si>
  <si>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</si>
  <si>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</si>
  <si>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</si>
  <si>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</si>
  <si>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</si>
  <si>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</si>
  <si>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</si>
  <si>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</si>
  <si>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</si>
  <si>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</si>
  <si>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</si>
  <si>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</si>
  <si>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</si>
  <si>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</si>
  <si>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</si>
  <si>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</si>
  <si>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</si>
  <si>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</si>
  <si>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</si>
  <si>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</si>
  <si>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</si>
  <si>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</si>
  <si>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</si>
  <si>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</si>
  <si>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</si>
  <si>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</si>
  <si>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</si>
  <si>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</si>
  <si>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</si>
  <si>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</si>
  <si>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</si>
  <si>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</si>
  <si>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</si>
  <si>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</si>
  <si>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</si>
  <si>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</si>
  <si>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</si>
  <si>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</si>
  <si>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</si>
  <si>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</si>
  <si>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</si>
  <si>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</si>
  <si>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</si>
  <si>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</si>
  <si>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</si>
  <si>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</si>
  <si>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</si>
  <si>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</si>
  <si>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</si>
  <si>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</si>
  <si>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</si>
  <si>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</si>
  <si>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</si>
  <si>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</si>
  <si>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</si>
  <si>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</si>
  <si>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</si>
  <si>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</si>
  <si>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</si>
  <si>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</si>
  <si>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</si>
  <si>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</si>
  <si>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</si>
  <si>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</si>
  <si>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</si>
  <si>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</si>
  <si>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</si>
  <si>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</si>
  <si>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</si>
  <si>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</si>
  <si>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</si>
  <si>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</si>
  <si>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</si>
  <si>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</si>
  <si>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</si>
  <si>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</si>
  <si>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</si>
  <si>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</si>
  <si>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</si>
  <si>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</si>
  <si>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</si>
  <si>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</si>
  <si>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</si>
  <si>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</si>
  <si>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</si>
  <si>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</si>
  <si>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</si>
  <si>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</si>
  <si>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</si>
  <si>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</si>
  <si>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</si>
  <si>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</si>
  <si>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</si>
  <si>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</si>
  <si>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</si>
  <si>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</si>
  <si>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</si>
  <si>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</si>
  <si>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</si>
  <si>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</si>
  <si>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</si>
  <si>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</si>
  <si>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</si>
  <si>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</si>
  <si>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</si>
  <si>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</si>
  <si>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</si>
  <si>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</si>
  <si>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</si>
  <si>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</si>
  <si>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</si>
  <si>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</si>
  <si>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</si>
  <si>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</si>
  <si>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</si>
  <si>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</si>
  <si>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</si>
  <si>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</si>
  <si>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</si>
  <si>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</si>
  <si>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</si>
  <si>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</si>
  <si>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</si>
  <si>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</si>
  <si>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</si>
  <si>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</si>
  <si>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</si>
  <si>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</si>
  <si>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</si>
  <si>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</si>
  <si>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</si>
  <si>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</si>
  <si>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</si>
  <si>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</si>
  <si>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</si>
  <si>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</si>
  <si>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</si>
  <si>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</si>
  <si>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</si>
  <si>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</si>
  <si>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</si>
  <si>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</si>
  <si>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</si>
  <si>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</si>
  <si>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</si>
  <si>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</si>
  <si>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</si>
  <si>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</si>
  <si>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</si>
  <si>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</si>
  <si>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</si>
  <si>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</si>
  <si>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</si>
  <si>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</si>
  <si>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</si>
  <si>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</si>
  <si>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</si>
  <si>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</si>
  <si>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</si>
  <si>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</si>
  <si>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</si>
  <si>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</si>
  <si>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</si>
  <si>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</si>
  <si>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</si>
  <si>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</si>
  <si>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</si>
  <si>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</si>
  <si>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</si>
  <si>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</si>
  <si>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</si>
  <si>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</si>
  <si>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</si>
  <si>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</si>
  <si>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</si>
  <si>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</si>
  <si>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</si>
  <si>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</si>
  <si>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</si>
  <si>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</si>
  <si>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</si>
  <si>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</si>
  <si>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</si>
  <si>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</si>
  <si>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</si>
  <si>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</si>
  <si>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</si>
  <si>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</si>
  <si>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</si>
  <si>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</si>
  <si>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</si>
  <si>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</si>
  <si>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</si>
  <si>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</si>
  <si>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</si>
  <si>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</si>
  <si>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</si>
  <si>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</si>
  <si>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</si>
  <si>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</si>
  <si>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</si>
  <si>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</si>
  <si>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</si>
  <si>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</si>
  <si>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</si>
  <si>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</si>
  <si>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</si>
  <si>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</si>
  <si>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</si>
  <si>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</si>
  <si>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</si>
  <si>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</si>
  <si>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</si>
  <si>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</si>
  <si>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</si>
  <si>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</si>
  <si>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</si>
  <si>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</si>
  <si>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</si>
  <si>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</si>
  <si>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</si>
  <si>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</si>
  <si>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</si>
  <si>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</si>
  <si>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</si>
  <si>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</si>
  <si>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</si>
  <si>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</si>
  <si>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</si>
  <si>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</si>
  <si>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</si>
  <si>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</si>
  <si>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</si>
  <si>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</si>
  <si>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</si>
  <si>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</si>
  <si>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</si>
  <si>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</si>
  <si>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</si>
  <si>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</si>
  <si>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</si>
  <si>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</si>
  <si>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</si>
  <si>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</si>
  <si>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</si>
  <si>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</si>
  <si>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</si>
  <si>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</si>
  <si>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</si>
  <si>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</si>
  <si>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</si>
  <si>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</si>
  <si>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</si>
  <si>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</si>
  <si>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</si>
  <si>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</si>
  <si>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</si>
  <si>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</si>
  <si>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</si>
  <si>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</si>
  <si>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</si>
  <si>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</si>
  <si>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</si>
  <si>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</si>
  <si>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</si>
  <si>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</si>
  <si>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</si>
  <si>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</si>
  <si>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</si>
  <si>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</si>
  <si>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</si>
  <si>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</si>
  <si>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</si>
  <si>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</si>
  <si>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</si>
  <si>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</si>
  <si>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</si>
  <si>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</si>
  <si>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</si>
  <si>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</si>
  <si>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</si>
  <si>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</si>
  <si>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</si>
  <si>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</si>
  <si>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</si>
  <si>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</si>
  <si>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</si>
  <si>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</si>
  <si>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</si>
  <si>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</si>
  <si>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</si>
  <si>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</si>
  <si>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</si>
  <si>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</si>
  <si>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</si>
  <si>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</si>
  <si>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</si>
  <si>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</si>
  <si>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</si>
  <si>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</si>
  <si>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</si>
  <si>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</si>
  <si>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</si>
  <si>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</si>
  <si>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</si>
  <si>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</si>
  <si>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</si>
  <si>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</si>
  <si>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</si>
  <si>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</si>
  <si>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</si>
  <si>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</si>
  <si>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</si>
  <si>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</si>
  <si>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</si>
  <si>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</si>
  <si>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</si>
  <si>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</si>
  <si>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</si>
  <si>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</si>
  <si>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</si>
  <si>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</si>
  <si>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</si>
  <si>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</si>
  <si>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</si>
  <si>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</si>
  <si>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</si>
  <si>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</si>
  <si>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</si>
  <si>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</si>
  <si>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</si>
  <si>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</si>
  <si>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</si>
  <si>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</si>
  <si>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</si>
  <si>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</si>
  <si>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</si>
  <si>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</si>
  <si>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</si>
  <si>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</si>
  <si>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</si>
  <si>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</si>
  <si>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</si>
  <si>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</si>
  <si>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</si>
  <si>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</si>
  <si>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</si>
  <si>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</si>
  <si>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</si>
  <si>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</si>
  <si>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</si>
  <si>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</si>
  <si>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</si>
  <si>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</si>
  <si>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</si>
  <si>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</si>
  <si>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</si>
  <si>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</si>
  <si>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</si>
  <si>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</si>
  <si>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</si>
  <si>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</si>
  <si>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</si>
  <si>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</si>
  <si>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</si>
  <si>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</si>
  <si>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</si>
  <si>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</si>
  <si>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</si>
  <si>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</si>
  <si>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</si>
  <si>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</si>
  <si>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</si>
  <si>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</si>
  <si>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</si>
  <si>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</si>
  <si>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</si>
  <si>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</si>
  <si>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</si>
  <si>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</si>
  <si>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</si>
  <si>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</si>
  <si>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</si>
  <si>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</si>
  <si>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</si>
  <si>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</si>
  <si>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</si>
  <si>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</si>
  <si>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</si>
  <si>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</si>
  <si>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</si>
  <si>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</si>
  <si>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</si>
  <si>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</si>
  <si>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</si>
  <si>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</si>
  <si>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</si>
  <si>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</si>
  <si>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</si>
  <si>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</si>
  <si>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</si>
  <si>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</si>
  <si>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</si>
  <si>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</si>
  <si>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</si>
  <si>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</si>
  <si>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</si>
  <si>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</si>
  <si>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</si>
  <si>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</si>
  <si>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</si>
  <si>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</si>
  <si>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</si>
  <si>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</si>
  <si>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</si>
  <si>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</si>
  <si>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</si>
  <si>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</si>
  <si>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</si>
  <si>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</si>
  <si>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</si>
  <si>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</si>
  <si>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</si>
  <si>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</si>
  <si>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</si>
  <si>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</si>
  <si>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</si>
  <si>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</si>
  <si>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</si>
  <si>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</si>
  <si>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</si>
  <si>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</si>
  <si>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</si>
  <si>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</si>
  <si>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</si>
  <si>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</si>
  <si>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</si>
  <si>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</si>
  <si>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</si>
  <si>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</si>
  <si>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</si>
  <si>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</si>
  <si>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</si>
  <si>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</si>
  <si>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</si>
  <si>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</si>
  <si>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</si>
  <si>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</si>
  <si>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</si>
  <si>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</si>
  <si>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</si>
  <si>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</si>
  <si>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</si>
  <si>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</si>
  <si>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</si>
  <si>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</si>
  <si>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</si>
  <si>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</si>
  <si>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</si>
  <si>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</si>
  <si>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</si>
  <si>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</si>
  <si>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</si>
  <si>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</si>
  <si>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</si>
  <si>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</si>
  <si>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</si>
  <si>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</si>
  <si>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</si>
  <si>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</si>
  <si>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</si>
  <si>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</si>
  <si>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</si>
  <si>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</si>
  <si>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</si>
  <si>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</si>
  <si>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</si>
  <si>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</si>
  <si>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</si>
  <si>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</si>
  <si>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</si>
  <si>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</si>
  <si>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</si>
  <si>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</si>
  <si>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</si>
  <si>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</si>
  <si>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</si>
  <si>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</si>
  <si>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</si>
  <si>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</si>
  <si>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</si>
  <si>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</si>
  <si>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</si>
  <si>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</si>
  <si>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</si>
  <si>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</si>
  <si>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</si>
  <si>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</si>
  <si>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</si>
  <si>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</si>
  <si>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</si>
  <si>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</si>
  <si>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</si>
  <si>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</si>
  <si>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</si>
  <si>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</si>
  <si>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</si>
  <si>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</si>
  <si>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</si>
  <si>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</si>
  <si>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</si>
  <si>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</si>
  <si>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</si>
  <si>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</si>
  <si>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</si>
  <si>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</si>
  <si>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</si>
  <si>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</si>
  <si>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</si>
  <si>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</si>
  <si>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</si>
  <si>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</si>
  <si>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</si>
  <si>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</si>
  <si>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</si>
  <si>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</si>
  <si>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</si>
  <si>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</si>
  <si>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</si>
  <si>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</si>
  <si>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</si>
  <si>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</si>
  <si>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</si>
  <si>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</si>
  <si>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</si>
  <si>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</si>
  <si>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</si>
  <si>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</si>
  <si>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</si>
  <si>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</si>
  <si>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</si>
  <si>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</si>
  <si>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</si>
  <si>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</si>
  <si>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</si>
  <si>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</si>
  <si>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</si>
  <si>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</si>
  <si>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</si>
  <si>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</si>
  <si>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</si>
  <si>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</si>
  <si>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</si>
  <si>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</si>
  <si>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</si>
  <si>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</si>
  <si>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</si>
  <si>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</si>
  <si>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</si>
  <si>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</si>
  <si>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</si>
  <si>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</si>
  <si>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</si>
  <si>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</si>
  <si>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</si>
  <si>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</si>
  <si>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</si>
  <si>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</si>
  <si>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</si>
  <si>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</si>
  <si>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</si>
  <si>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</si>
  <si>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</si>
  <si>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</si>
  <si>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</si>
  <si>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</si>
  <si>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</si>
  <si>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</si>
  <si>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</si>
  <si>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</si>
  <si>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</si>
  <si>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</si>
  <si>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</si>
  <si>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</si>
  <si>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</si>
  <si>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</si>
  <si>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</si>
  <si>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</si>
  <si>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</si>
  <si>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</si>
  <si>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</si>
  <si>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</si>
  <si>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</si>
  <si>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</si>
  <si>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</si>
  <si>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</si>
  <si>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</si>
  <si>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</si>
  <si>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</si>
  <si>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</si>
  <si>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</si>
  <si>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</si>
  <si>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</si>
  <si>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</si>
  <si>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</si>
  <si>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</si>
  <si>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</si>
  <si>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</si>
  <si>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</si>
  <si>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</si>
  <si>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</si>
  <si>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</si>
  <si>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</si>
  <si>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</si>
  <si>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</si>
  <si>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</si>
  <si>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</si>
  <si>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</si>
  <si>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</si>
  <si>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</si>
  <si>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</si>
  <si>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</si>
  <si>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</si>
  <si>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</si>
  <si>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</si>
  <si>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</si>
  <si>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</si>
  <si>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</si>
  <si>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</si>
  <si>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</si>
  <si>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</si>
  <si>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</si>
  <si>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</si>
  <si>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</si>
  <si>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</si>
  <si>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</si>
  <si>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</si>
  <si>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</si>
  <si>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</si>
  <si>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</si>
  <si>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</si>
  <si>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</si>
  <si>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</si>
  <si>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</si>
  <si>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</si>
  <si>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</si>
  <si>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</si>
  <si>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</si>
  <si>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</si>
  <si>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</si>
  <si>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</si>
  <si>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</si>
  <si>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</si>
  <si>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</si>
  <si>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</si>
  <si>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</si>
  <si>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</si>
  <si>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</si>
  <si>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</si>
  <si>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</si>
  <si>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</si>
  <si>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</si>
  <si>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</si>
  <si>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</si>
  <si>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</si>
  <si>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</si>
  <si>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</si>
  <si>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</si>
  <si>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</si>
  <si>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</si>
  <si>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</si>
  <si>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</si>
  <si>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</si>
  <si>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</si>
  <si>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</si>
  <si>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</si>
  <si>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</si>
  <si>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</si>
  <si>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</si>
  <si>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</si>
  <si>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</si>
  <si>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</si>
  <si>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</si>
  <si>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</si>
  <si>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</si>
  <si>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</si>
  <si>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</si>
  <si>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</si>
  <si>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</si>
  <si>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</si>
  <si>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</si>
  <si>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</si>
  <si>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</si>
  <si>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</si>
  <si>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</si>
  <si>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</si>
  <si>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</si>
  <si>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</si>
  <si>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</si>
  <si>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</si>
  <si>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</si>
  <si>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</si>
  <si>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</si>
  <si>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</si>
  <si>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</si>
  <si>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</si>
  <si>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</si>
  <si>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</si>
  <si>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</si>
  <si>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</si>
  <si>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</si>
  <si>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</si>
  <si>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</si>
  <si>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</si>
  <si>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</si>
  <si>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</si>
  <si>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</si>
  <si>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</si>
  <si>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</si>
  <si>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</si>
  <si>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</si>
  <si>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</si>
  <si>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</si>
  <si>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</si>
  <si>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</si>
  <si>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</si>
  <si>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</si>
  <si>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</si>
  <si>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</si>
  <si>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</si>
  <si>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</si>
  <si>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</si>
  <si>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</si>
  <si>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</si>
  <si>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</si>
  <si>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</si>
  <si>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</si>
  <si>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</si>
  <si>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</si>
  <si>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</si>
  <si>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</si>
  <si>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</si>
  <si>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</si>
  <si>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</si>
  <si>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</si>
  <si>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</si>
  <si>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</si>
  <si>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</si>
  <si>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</si>
  <si>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</si>
  <si>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</si>
  <si>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</si>
  <si>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</si>
  <si>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</si>
  <si>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</si>
  <si>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</si>
  <si>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</si>
  <si>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</si>
  <si>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</si>
  <si>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</si>
  <si>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</si>
  <si>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</si>
  <si>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</si>
  <si>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</si>
  <si>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</si>
  <si>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</si>
  <si>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</si>
  <si>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</si>
  <si>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</si>
  <si>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</si>
  <si>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</si>
  <si>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</si>
  <si>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</si>
  <si>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</si>
  <si>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</si>
  <si>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</si>
  <si>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</si>
  <si>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</si>
  <si>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</si>
  <si>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</si>
  <si>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</si>
  <si>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</si>
  <si>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</si>
  <si>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</si>
  <si>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</si>
  <si>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</si>
  <si>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</si>
  <si>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</si>
  <si>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</si>
  <si>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</si>
  <si>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</si>
  <si>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</si>
  <si>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</si>
  <si>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</si>
  <si>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</si>
  <si>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</si>
  <si>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</si>
  <si>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</si>
  <si>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</si>
  <si>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</si>
  <si>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</si>
  <si>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</si>
  <si>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</si>
  <si>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</si>
  <si>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</si>
  <si>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</si>
  <si>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</si>
  <si>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</si>
  <si>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</si>
  <si>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</si>
  <si>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</si>
  <si>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</si>
  <si>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</si>
  <si>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</si>
  <si>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</si>
  <si>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</si>
  <si>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</si>
  <si>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</si>
  <si>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</si>
  <si>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</si>
  <si>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</si>
  <si>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</si>
  <si>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</si>
  <si>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</si>
  <si>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</si>
  <si>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</si>
  <si>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</si>
  <si>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</si>
  <si>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</si>
  <si>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</si>
  <si>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</si>
  <si>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</si>
  <si>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</si>
  <si>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</si>
  <si>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</si>
  <si>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</si>
  <si>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</si>
  <si>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</si>
  <si>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</si>
  <si>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</si>
  <si>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</si>
  <si>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</si>
  <si>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</si>
  <si>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</si>
  <si>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</si>
  <si>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</si>
  <si>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</si>
  <si>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</si>
  <si>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</si>
  <si>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</si>
  <si>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</si>
  <si>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</si>
  <si>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</si>
  <si>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</si>
  <si>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</si>
  <si>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</si>
  <si>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</si>
  <si>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</si>
  <si>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</si>
  <si>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</si>
  <si>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</si>
  <si>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</si>
  <si>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</si>
  <si>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</si>
  <si>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</si>
  <si>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</si>
  <si>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</si>
  <si>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</si>
  <si>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</si>
  <si>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</si>
  <si>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</si>
  <si>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</si>
  <si>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</si>
  <si>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</si>
  <si>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</si>
  <si>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</si>
  <si>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</si>
  <si>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</si>
  <si>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</si>
  <si>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</si>
  <si>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</si>
  <si>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</si>
  <si>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</si>
  <si>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</si>
  <si>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</si>
  <si>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</si>
  <si>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</si>
  <si>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</si>
  <si>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</si>
  <si>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</si>
  <si>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</si>
  <si>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</si>
  <si>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</si>
  <si>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</si>
  <si>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</si>
  <si>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</si>
  <si>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</si>
  <si>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</si>
  <si>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</si>
  <si>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</si>
  <si>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</si>
  <si>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</si>
  <si>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</si>
  <si>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</si>
  <si>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</si>
  <si>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</si>
  <si>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</si>
  <si>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</si>
  <si>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</si>
  <si>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</si>
  <si>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</si>
  <si>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</si>
  <si>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</si>
  <si>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</si>
  <si>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</si>
  <si>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</si>
  <si>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</si>
  <si>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</si>
  <si>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</si>
  <si>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</si>
  <si>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</si>
  <si>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</si>
  <si>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</si>
  <si>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</si>
  <si>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</si>
  <si>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</si>
  <si>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</si>
  <si>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</si>
  <si>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</si>
  <si>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</si>
  <si>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</si>
  <si>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</si>
  <si>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</si>
  <si>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</si>
  <si>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</si>
  <si>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</si>
  <si>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</si>
  <si>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</si>
  <si>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</si>
  <si>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</si>
  <si>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</si>
  <si>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</si>
  <si>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</si>
  <si>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</si>
  <si>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</si>
  <si>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</si>
  <si>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</si>
  <si>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</si>
  <si>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</si>
  <si>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</si>
  <si>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</si>
  <si>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</si>
  <si>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</si>
  <si>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</si>
  <si>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</si>
  <si>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</si>
  <si>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</si>
  <si>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</si>
  <si>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</si>
  <si>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</si>
  <si>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</si>
  <si>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</si>
  <si>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</si>
  <si>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</si>
  <si>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</si>
  <si>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</si>
  <si>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</si>
  <si>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</si>
  <si>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</si>
  <si>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</si>
  <si>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</si>
  <si>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</si>
  <si>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</si>
  <si>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</si>
  <si>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</si>
  <si>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</si>
  <si>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</si>
  <si>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</si>
  <si>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</si>
  <si>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</si>
  <si>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</si>
  <si>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</si>
  <si>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</si>
  <si>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</si>
  <si>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</si>
  <si>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</si>
  <si>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</si>
  <si>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</si>
  <si>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</si>
  <si>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</si>
  <si>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</si>
  <si>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</si>
  <si>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</si>
  <si>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</si>
  <si>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</si>
  <si>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</si>
  <si>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</si>
  <si>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</si>
  <si>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</si>
  <si>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</si>
  <si>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</si>
  <si>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</si>
  <si>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</si>
  <si>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</si>
  <si>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</si>
  <si>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</si>
  <si>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</si>
  <si>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</si>
  <si>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</si>
  <si>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</si>
  <si>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</si>
  <si>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</si>
  <si>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</si>
  <si>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</si>
  <si>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</si>
  <si>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</si>
  <si>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</si>
  <si>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</si>
  <si>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</si>
  <si>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</si>
  <si>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</si>
  <si>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</si>
  <si>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</si>
  <si>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</si>
  <si>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</si>
  <si>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</si>
  <si>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</si>
  <si>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</si>
  <si>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</si>
  <si>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</si>
  <si>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</si>
  <si>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</si>
  <si>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</si>
  <si>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</si>
  <si>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</si>
  <si>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</si>
  <si>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</si>
  <si>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</si>
  <si>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</si>
  <si>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</si>
  <si>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</si>
  <si>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</si>
  <si>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</si>
  <si>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</si>
  <si>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</si>
  <si>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</si>
  <si>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</si>
  <si>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</si>
  <si>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</si>
  <si>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</si>
  <si>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</si>
  <si>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</si>
  <si>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</si>
  <si>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</si>
  <si>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</si>
  <si>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</si>
  <si>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</si>
  <si>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</si>
  <si>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</si>
  <si>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</si>
  <si>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</si>
  <si>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</si>
  <si>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</si>
  <si>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</si>
  <si>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</si>
  <si>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</si>
  <si>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</si>
  <si>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</si>
  <si>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</si>
  <si>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</si>
  <si>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</si>
  <si>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</si>
  <si>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</si>
  <si>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</si>
  <si>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</si>
  <si>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</si>
  <si>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</si>
  <si>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</si>
  <si>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</si>
  <si>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</si>
  <si>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</si>
  <si>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</si>
  <si>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</si>
  <si>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</si>
  <si>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</si>
  <si>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</si>
  <si>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</si>
  <si>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</si>
  <si>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</si>
  <si>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</si>
  <si>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</si>
  <si>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</si>
  <si>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</si>
  <si>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</si>
  <si>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</si>
  <si>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</si>
  <si>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</si>
  <si>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</si>
  <si>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</si>
  <si>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</si>
  <si>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</si>
  <si>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</si>
  <si>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</si>
  <si>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</si>
  <si>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</si>
  <si>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</si>
  <si>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</si>
  <si>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</si>
  <si>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</si>
  <si>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</si>
  <si>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</si>
  <si>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</si>
  <si>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</si>
  <si>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</si>
  <si>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</si>
  <si>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</si>
  <si>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</si>
  <si>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</si>
  <si>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</si>
  <si>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</si>
  <si>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</si>
  <si>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</si>
  <si>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</si>
  <si>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</si>
  <si>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</si>
  <si>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</si>
  <si>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</si>
  <si>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</si>
  <si>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</si>
  <si>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</si>
  <si>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</si>
  <si>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</si>
  <si>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</si>
  <si>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</si>
  <si>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</si>
  <si>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</si>
  <si>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</si>
  <si>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</si>
  <si>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</si>
  <si>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</si>
  <si>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</si>
  <si>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</si>
  <si>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</si>
  <si>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</si>
  <si>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</si>
  <si>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</si>
  <si>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</si>
  <si>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</si>
  <si>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</si>
  <si>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</si>
  <si>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</si>
  <si>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</si>
  <si>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</si>
  <si>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</si>
  <si>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</si>
  <si>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</si>
  <si>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</si>
  <si>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</si>
  <si>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</si>
  <si>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</si>
  <si>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</si>
  <si>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</si>
  <si>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</si>
  <si>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</si>
  <si>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</si>
  <si>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</si>
  <si>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</si>
  <si>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</si>
  <si>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</si>
  <si>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</si>
  <si>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</si>
  <si>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</si>
  <si>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</si>
  <si>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</si>
  <si>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</si>
  <si>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</si>
  <si>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</si>
  <si>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</si>
  <si>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</si>
  <si>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</si>
  <si>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</si>
  <si>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</si>
  <si>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</si>
  <si>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</si>
  <si>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</si>
  <si>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</si>
  <si>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</si>
  <si>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</si>
  <si>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</si>
  <si>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</si>
  <si>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</si>
  <si>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</si>
  <si>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</si>
  <si>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</si>
  <si>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</si>
  <si>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</si>
  <si>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</si>
  <si>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</si>
  <si>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</si>
  <si>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</si>
  <si>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</si>
  <si>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</si>
  <si>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</si>
  <si>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</si>
  <si>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</si>
  <si>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</si>
  <si>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</si>
  <si>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</si>
  <si>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</si>
  <si>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</si>
  <si>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</si>
  <si>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</si>
  <si>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</si>
  <si>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</si>
  <si>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</si>
  <si>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</si>
  <si>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</si>
  <si>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</si>
  <si>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</si>
  <si>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</si>
  <si>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</si>
  <si>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</si>
  <si>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</si>
  <si>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</si>
  <si>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</si>
  <si>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</si>
  <si>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</si>
  <si>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</si>
  <si>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</si>
  <si>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</si>
  <si>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</si>
  <si>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</si>
  <si>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</si>
  <si>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</si>
  <si>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</si>
  <si>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</si>
  <si>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</si>
  <si>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</si>
  <si>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</si>
  <si>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</si>
  <si>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</si>
  <si>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</si>
  <si>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</si>
  <si>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</si>
  <si>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</si>
  <si>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</si>
  <si>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</si>
  <si>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</si>
  <si>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</si>
  <si>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</si>
  <si>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</si>
  <si>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</si>
  <si>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</si>
  <si>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</si>
  <si>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</si>
  <si>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</si>
  <si>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</si>
  <si>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</si>
  <si>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</si>
  <si>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</si>
  <si>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</si>
  <si>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</si>
  <si>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</si>
  <si>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</si>
  <si>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</si>
  <si>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</si>
  <si>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</si>
  <si>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</si>
  <si>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</si>
  <si>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</si>
  <si>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</si>
  <si>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</si>
  <si>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</si>
  <si>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</si>
  <si>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</si>
  <si>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</si>
  <si>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</si>
  <si>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</si>
  <si>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</si>
  <si>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</si>
  <si>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</si>
  <si>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</si>
  <si>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</si>
  <si>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</si>
  <si>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</si>
  <si>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</si>
  <si>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</si>
  <si>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</si>
  <si>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</si>
  <si>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</si>
  <si>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</si>
  <si>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</si>
  <si>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</si>
  <si>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</si>
  <si>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</si>
  <si>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</si>
  <si>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</si>
  <si>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</si>
  <si>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</si>
  <si>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</si>
  <si>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</si>
  <si>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</si>
  <si>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</si>
  <si>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</si>
  <si>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</si>
  <si>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</si>
  <si>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</si>
  <si>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</si>
  <si>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</si>
  <si>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</si>
  <si>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</si>
  <si>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</si>
  <si>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</si>
  <si>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</si>
  <si>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</si>
  <si>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</si>
  <si>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</si>
  <si>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</si>
  <si>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</si>
  <si>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</si>
  <si>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</si>
  <si>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</si>
  <si>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</si>
  <si>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</si>
  <si>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</si>
  <si>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</si>
  <si>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</si>
  <si>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</si>
  <si>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</si>
  <si>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</si>
  <si>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</si>
  <si>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</si>
  <si>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</si>
  <si>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</si>
  <si>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</si>
  <si>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</si>
  <si>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</si>
  <si>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</si>
  <si>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</si>
  <si>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</si>
  <si>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</si>
  <si>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</si>
  <si>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</si>
  <si>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</si>
  <si>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</si>
  <si>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</si>
  <si>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</si>
  <si>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</si>
  <si>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</si>
  <si>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</si>
  <si>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</si>
  <si>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</si>
  <si>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</si>
  <si>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</si>
  <si>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</si>
  <si>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</si>
  <si>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</si>
  <si>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</si>
  <si>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</si>
  <si>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</si>
  <si>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</si>
  <si>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</si>
  <si>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</si>
  <si>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</si>
  <si>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</si>
  <si>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</si>
  <si>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</si>
  <si>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</si>
  <si>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</si>
  <si>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</si>
  <si>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</si>
  <si>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</si>
  <si>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</si>
  <si>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</si>
  <si>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</si>
  <si>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</si>
  <si>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</si>
  <si>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</si>
  <si>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</si>
  <si>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</si>
  <si>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</si>
  <si>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</si>
  <si>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</si>
  <si>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</si>
  <si>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</si>
  <si>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</si>
  <si>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</si>
  <si>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</si>
  <si>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</si>
  <si>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</si>
  <si>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</si>
  <si>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</si>
  <si>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</si>
  <si>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</si>
  <si>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</si>
  <si>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</si>
  <si>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</si>
  <si>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</si>
  <si>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</si>
  <si>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</si>
  <si>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</si>
  <si>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</si>
  <si>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</si>
  <si>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</si>
  <si>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</si>
  <si>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</si>
  <si>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</si>
  <si>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</si>
  <si>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</si>
  <si>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</si>
  <si>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</si>
  <si>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</si>
  <si>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</si>
  <si>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</si>
  <si>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</si>
  <si>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</si>
  <si>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</si>
  <si>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</si>
  <si>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</si>
  <si>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</si>
  <si>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</si>
  <si>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</si>
  <si>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</si>
  <si>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</si>
  <si>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</si>
  <si>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</si>
  <si>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</si>
  <si>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</si>
  <si>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</si>
  <si>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</si>
  <si>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</si>
  <si>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</si>
  <si>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</si>
  <si>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</si>
  <si>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</si>
  <si>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</si>
  <si>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</si>
  <si>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</si>
  <si>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</si>
  <si>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</si>
  <si>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</si>
  <si>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</si>
  <si>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</si>
  <si>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</si>
  <si>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</si>
  <si>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</si>
  <si>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</si>
  <si>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</si>
  <si>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</si>
  <si>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</si>
  <si>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</si>
  <si>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</si>
  <si>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</si>
  <si>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</si>
  <si>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</si>
  <si>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</si>
  <si>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</si>
  <si>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</si>
  <si>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</si>
  <si>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</si>
  <si>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</si>
  <si>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</si>
  <si>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</si>
  <si>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</si>
  <si>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</si>
  <si>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</si>
  <si>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</si>
  <si>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</si>
  <si>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</si>
  <si>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</si>
  <si>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</si>
  <si>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</si>
  <si>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</si>
  <si>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</si>
  <si>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</si>
  <si>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</si>
  <si>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</si>
  <si>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</si>
  <si>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</si>
  <si>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</si>
  <si>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</si>
  <si>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</si>
  <si>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</si>
  <si>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</si>
  <si>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</si>
  <si>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</si>
  <si>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</si>
  <si>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</si>
  <si>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</si>
  <si>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</si>
  <si>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</si>
  <si>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</si>
  <si>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</si>
  <si>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</si>
  <si>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</si>
  <si>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</si>
  <si>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</si>
  <si>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</si>
  <si>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</si>
  <si>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</si>
  <si>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</si>
  <si>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</si>
  <si>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</si>
  <si>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</si>
  <si>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</si>
  <si>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</si>
  <si>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</si>
  <si>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</si>
  <si>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</si>
  <si>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</si>
  <si>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</si>
  <si>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</si>
  <si>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</si>
  <si>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</si>
  <si>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</si>
  <si>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</si>
  <si>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</si>
  <si>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</si>
  <si>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</si>
  <si>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</si>
  <si>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</si>
  <si>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</si>
  <si>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</si>
  <si>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</si>
  <si>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</si>
  <si>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</si>
  <si>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</si>
  <si>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</si>
  <si>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</si>
  <si>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</si>
  <si>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</si>
  <si>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</si>
  <si>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</si>
  <si>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</si>
  <si>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</si>
  <si>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</si>
  <si>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</si>
  <si>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</si>
  <si>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</si>
  <si>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</si>
  <si>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</si>
  <si>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</si>
  <si>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</si>
  <si>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</si>
  <si>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</si>
  <si>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</si>
  <si>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</si>
  <si>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</si>
  <si>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</si>
  <si>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</si>
  <si>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</si>
  <si>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</si>
  <si>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</si>
  <si>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</si>
  <si>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</si>
  <si>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</si>
  <si>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</si>
  <si>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</si>
  <si>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</si>
  <si>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</si>
  <si>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</si>
  <si>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</si>
  <si>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</si>
  <si>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</si>
  <si>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</si>
  <si>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</si>
  <si>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</si>
  <si>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</si>
  <si>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</si>
  <si>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</si>
  <si>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</si>
  <si>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</si>
  <si>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</si>
  <si>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</si>
  <si>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</si>
  <si>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</si>
  <si>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</si>
  <si>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</si>
  <si>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</si>
  <si>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</si>
  <si>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</si>
  <si>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</si>
  <si>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</si>
  <si>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</si>
  <si>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</si>
  <si>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</si>
  <si>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</si>
  <si>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</si>
  <si>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</si>
  <si>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</si>
  <si>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</si>
  <si>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</si>
  <si>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</si>
  <si>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</si>
  <si>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</si>
  <si>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</si>
  <si>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</si>
  <si>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</si>
  <si>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</si>
  <si>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</si>
  <si>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</si>
  <si>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</si>
  <si>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</si>
  <si>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</si>
  <si>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</si>
  <si>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</si>
  <si>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</si>
  <si>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</si>
  <si>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</si>
  <si>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</si>
  <si>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</si>
  <si>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</si>
  <si>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</si>
  <si>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</si>
  <si>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</si>
  <si>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</si>
  <si>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</si>
  <si>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</si>
  <si>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</si>
  <si>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</si>
  <si>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</si>
  <si>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</si>
  <si>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</si>
  <si>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</si>
  <si>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</si>
  <si>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</si>
  <si>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</si>
  <si>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</si>
  <si>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</si>
  <si>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</si>
  <si>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</si>
  <si>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</si>
  <si>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</si>
  <si>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</si>
  <si>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</si>
  <si>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</si>
  <si>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</si>
  <si>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</si>
  <si>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</si>
  <si>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</si>
  <si>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</si>
  <si>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</si>
  <si>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</si>
  <si>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</si>
  <si>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</si>
  <si>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</si>
  <si>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</si>
  <si>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</si>
  <si>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</si>
  <si>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</si>
  <si>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</si>
  <si>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</si>
  <si>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</si>
  <si>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</si>
  <si>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</si>
  <si>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</si>
  <si>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</si>
  <si>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</si>
  <si>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</si>
  <si>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</si>
  <si>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</si>
  <si>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</si>
  <si>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</si>
  <si>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</si>
  <si>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</si>
  <si>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</si>
  <si>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</si>
  <si>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</si>
  <si>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</si>
  <si>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</si>
  <si>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</si>
  <si>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</si>
  <si>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</si>
  <si>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</si>
  <si>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</si>
  <si>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</si>
  <si>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</si>
  <si>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</si>
  <si>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</si>
  <si>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</si>
  <si>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</si>
  <si>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</si>
  <si>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</si>
  <si>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</si>
  <si>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</si>
  <si>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</si>
  <si>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</si>
  <si>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</si>
  <si>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</si>
  <si>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</si>
  <si>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</si>
  <si>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</si>
  <si>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</si>
  <si>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</si>
  <si>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</si>
  <si>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</si>
  <si>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</si>
  <si>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</si>
  <si>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</si>
  <si>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</si>
  <si>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</si>
  <si>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</si>
  <si>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</si>
  <si>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</si>
  <si>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</si>
  <si>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</si>
  <si>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</si>
  <si>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</si>
  <si>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</si>
  <si>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</si>
  <si>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</si>
  <si>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</si>
  <si>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</si>
  <si>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</si>
  <si>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</si>
  <si>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</si>
  <si>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</si>
  <si>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</si>
  <si>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</si>
  <si>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</si>
  <si>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</si>
  <si>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</si>
  <si>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</si>
  <si>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</si>
  <si>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</si>
  <si>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</si>
  <si>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</si>
  <si>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</si>
  <si>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</si>
  <si>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</si>
  <si>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</si>
  <si>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</si>
  <si>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</si>
  <si>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</si>
  <si>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</si>
  <si>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</si>
  <si>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</si>
  <si>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</si>
  <si>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</si>
  <si>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</si>
  <si>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</si>
  <si>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</si>
  <si>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</si>
  <si>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</si>
  <si>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</si>
  <si>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</si>
  <si>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</si>
  <si>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</si>
  <si>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</si>
  <si>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</si>
  <si>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</si>
  <si>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</si>
  <si>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</si>
  <si>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</si>
  <si>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</si>
  <si>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</si>
  <si>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</si>
  <si>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</si>
  <si>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</si>
  <si>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</si>
  <si>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</si>
  <si>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</si>
  <si>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</si>
  <si>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</si>
  <si>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</si>
  <si>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</si>
  <si>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</si>
  <si>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</si>
  <si>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</si>
  <si>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</si>
  <si>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</si>
  <si>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</si>
  <si>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</si>
  <si>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</si>
  <si>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</si>
  <si>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</si>
  <si>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</si>
  <si>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</si>
  <si>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</si>
  <si>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</si>
  <si>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</si>
  <si>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</si>
  <si>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</si>
  <si>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</si>
  <si>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</si>
  <si>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</si>
  <si>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</si>
  <si>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</si>
  <si>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</si>
  <si>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</si>
  <si>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</si>
  <si>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</si>
  <si>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</si>
  <si>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</si>
  <si>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</si>
  <si>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</si>
  <si>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</si>
  <si>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</si>
  <si>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</si>
  <si>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</si>
  <si>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</si>
  <si>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</si>
  <si>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</si>
  <si>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</si>
  <si>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</si>
  <si>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</si>
  <si>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</si>
  <si>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</si>
  <si>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</si>
  <si>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</si>
  <si>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</si>
  <si>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</si>
  <si>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</si>
  <si>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</si>
  <si>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</si>
  <si>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</si>
  <si>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</si>
  <si>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</si>
  <si>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</si>
  <si>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</si>
  <si>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</si>
  <si>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</si>
  <si>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</si>
  <si>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</si>
  <si>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</si>
  <si>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</si>
  <si>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</si>
  <si>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</si>
  <si>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</si>
  <si>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</si>
  <si>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</si>
  <si>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</si>
  <si>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</si>
  <si>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</si>
  <si>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</si>
  <si>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</si>
  <si>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</si>
  <si>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</si>
  <si>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</si>
  <si>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</si>
  <si>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</si>
  <si>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</si>
  <si>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</si>
  <si>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</si>
  <si>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</si>
  <si>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</si>
  <si>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</si>
  <si>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</si>
  <si>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</si>
  <si>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</si>
  <si>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</si>
  <si>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</si>
  <si>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</si>
  <si>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</si>
  <si>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</si>
  <si>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</si>
  <si>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</si>
  <si>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</si>
  <si>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</si>
  <si>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</si>
  <si>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</si>
  <si>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</si>
  <si>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</si>
  <si>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</si>
  <si>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</si>
  <si>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</si>
  <si>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</si>
  <si>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</si>
  <si>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</si>
  <si>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</si>
  <si>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</si>
  <si>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</si>
  <si>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</si>
  <si>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</si>
  <si>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</si>
  <si>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</si>
  <si>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</si>
  <si>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</si>
  <si>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</si>
  <si>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</si>
  <si>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</si>
  <si>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</si>
  <si>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</si>
  <si>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</si>
  <si>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</si>
  <si>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</si>
  <si>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</si>
  <si>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</si>
  <si>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</si>
  <si>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</si>
  <si>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</si>
  <si>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</si>
  <si>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</si>
  <si>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</si>
  <si>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</si>
  <si>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</si>
  <si>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</si>
  <si>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</si>
  <si>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</si>
  <si>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</si>
  <si>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</si>
  <si>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</si>
  <si>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</si>
  <si>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</si>
  <si>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</si>
  <si>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</si>
  <si>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</si>
  <si>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</si>
  <si>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</si>
  <si>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</si>
  <si>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</si>
  <si>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</si>
  <si>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</si>
  <si>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</si>
  <si>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</si>
  <si>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</si>
  <si>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</si>
  <si>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</si>
  <si>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</si>
  <si>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</si>
  <si>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</si>
  <si>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</si>
  <si>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</si>
  <si>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</si>
  <si>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</si>
  <si>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</si>
  <si>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</si>
  <si>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</si>
  <si>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</si>
  <si>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</si>
  <si>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</si>
  <si>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</si>
  <si>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</si>
  <si>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</si>
  <si>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</si>
  <si>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</si>
  <si>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</si>
  <si>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</si>
  <si>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</si>
  <si>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</si>
  <si>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</si>
  <si>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</si>
  <si>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</si>
  <si>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</si>
  <si>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</si>
  <si>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</si>
  <si>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</si>
  <si>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</si>
  <si>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</si>
  <si>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</si>
  <si>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</si>
  <si>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</si>
  <si>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</si>
  <si>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</si>
  <si>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</si>
  <si>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</si>
  <si>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</si>
  <si>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</si>
  <si>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</si>
  <si>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</si>
  <si>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</si>
  <si>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</si>
  <si>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</si>
  <si>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</si>
  <si>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</si>
  <si>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</si>
  <si>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</si>
  <si>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</si>
  <si>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</si>
  <si>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</si>
  <si>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</si>
  <si>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</si>
  <si>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</si>
  <si>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</si>
  <si>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</si>
  <si>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</si>
  <si>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</si>
  <si>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</si>
  <si>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</si>
  <si>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</si>
  <si>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</si>
  <si>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</si>
  <si>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</si>
  <si>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</si>
  <si>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</si>
  <si>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</si>
  <si>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</si>
  <si>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</si>
  <si>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</si>
  <si>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</si>
  <si>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</si>
  <si>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</si>
  <si>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</si>
  <si>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</si>
  <si>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</si>
  <si>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</si>
  <si>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</si>
  <si>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</si>
  <si>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</si>
  <si>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</si>
  <si>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</si>
  <si>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</si>
  <si>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</si>
  <si>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</si>
  <si>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</si>
  <si>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</si>
  <si>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</si>
  <si>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</si>
  <si>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</si>
  <si>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</si>
  <si>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</si>
  <si>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</si>
  <si>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</si>
  <si>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</si>
  <si>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</si>
  <si>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</si>
  <si>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</si>
  <si>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</si>
  <si>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</si>
  <si>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</si>
  <si>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</si>
  <si>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</si>
  <si>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</si>
  <si>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</si>
  <si>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</si>
  <si>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</si>
  <si>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</si>
  <si>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</si>
  <si>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</si>
  <si>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</si>
  <si>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</si>
  <si>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</si>
  <si>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</si>
  <si>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</si>
  <si>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</si>
  <si>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</si>
  <si>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</si>
  <si>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</si>
  <si>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</si>
  <si>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</si>
  <si>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</si>
  <si>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</si>
  <si>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</si>
  <si>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</si>
  <si>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</si>
  <si>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</si>
  <si>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</si>
  <si>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</si>
  <si>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</si>
  <si>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</si>
  <si>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</si>
  <si>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</si>
  <si>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</si>
  <si>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</si>
  <si>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</si>
  <si>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</si>
  <si>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</si>
  <si>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</si>
  <si>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</si>
  <si>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</si>
  <si>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</si>
  <si>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</si>
  <si>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</si>
  <si>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</si>
  <si>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</si>
  <si>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</si>
  <si>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</si>
  <si>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</si>
  <si>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</si>
  <si>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</si>
  <si>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</si>
  <si>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</si>
  <si>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</si>
  <si>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</si>
  <si>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</si>
  <si>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</si>
  <si>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</si>
  <si>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</si>
  <si>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</si>
  <si>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</si>
  <si>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</si>
  <si>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</si>
  <si>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</si>
  <si>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</si>
  <si>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</si>
  <si>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</si>
  <si>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</si>
  <si>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</si>
  <si>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</si>
  <si>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</si>
  <si>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</si>
  <si>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</si>
  <si>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</si>
  <si>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</si>
  <si>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</si>
  <si>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</si>
  <si>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</si>
  <si>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</si>
  <si>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</si>
  <si>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</si>
  <si>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</si>
  <si>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</si>
  <si>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</si>
  <si>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</si>
  <si>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</si>
  <si>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</si>
  <si>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</si>
  <si>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</si>
  <si>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</si>
  <si>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</si>
  <si>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</si>
  <si>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</si>
  <si>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</si>
  <si>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</si>
  <si>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</si>
  <si>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</si>
  <si>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</si>
  <si>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</si>
  <si>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</si>
  <si>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</si>
  <si>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</si>
  <si>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</si>
  <si>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</si>
  <si>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</si>
  <si>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</si>
  <si>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</si>
  <si>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</si>
  <si>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</si>
  <si>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</si>
  <si>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</si>
  <si>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</si>
  <si>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</si>
  <si>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</si>
  <si>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</si>
  <si>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</si>
  <si>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</si>
  <si>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</si>
  <si>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</si>
  <si>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</si>
  <si>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</si>
  <si>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</si>
  <si>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</si>
  <si>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</si>
  <si>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</si>
  <si>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</si>
  <si>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</si>
  <si>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</si>
  <si>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</si>
  <si>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</si>
  <si>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</si>
  <si>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</si>
  <si>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</si>
  <si>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</si>
  <si>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</si>
  <si>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</si>
  <si>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</si>
  <si>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</si>
  <si>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</si>
  <si>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</si>
  <si>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</si>
  <si>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</si>
  <si>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</si>
  <si>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</si>
  <si>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</si>
  <si>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</si>
  <si>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</si>
  <si>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</si>
  <si>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</si>
  <si>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</si>
  <si>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</si>
  <si>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</si>
  <si>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</si>
  <si>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</si>
  <si>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</si>
  <si>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</si>
  <si>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</si>
  <si>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</si>
  <si>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</si>
  <si>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</si>
  <si>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</si>
  <si>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</si>
  <si>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</si>
  <si>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</si>
  <si>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</si>
  <si>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</si>
  <si>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</si>
  <si>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</si>
  <si>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</si>
  <si>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</si>
  <si>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</si>
  <si>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</si>
  <si>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</si>
  <si>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</si>
  <si>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</si>
  <si>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</si>
  <si>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</si>
  <si>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</si>
  <si>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</si>
  <si>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</si>
  <si>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</si>
  <si>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</si>
  <si>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</si>
  <si>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</si>
  <si>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</si>
  <si>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</si>
  <si>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</si>
  <si>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</si>
  <si>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</si>
  <si>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</si>
  <si>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</si>
  <si>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</si>
  <si>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</si>
  <si>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</si>
  <si>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</si>
  <si>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</si>
  <si>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</si>
  <si>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</si>
  <si>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</si>
  <si>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</si>
  <si>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</si>
  <si>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</si>
  <si>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</si>
  <si>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</si>
  <si>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</si>
  <si>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</si>
  <si>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</si>
  <si>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</si>
  <si>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</si>
  <si>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</si>
  <si>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</si>
  <si>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</si>
  <si>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</si>
  <si>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</si>
  <si>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</si>
  <si>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</si>
  <si>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</si>
  <si>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</si>
  <si>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</si>
  <si>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</si>
  <si>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</si>
  <si>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</si>
  <si>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</si>
  <si>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</si>
  <si>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</si>
  <si>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</si>
  <si>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</si>
  <si>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</si>
  <si>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</si>
  <si>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</si>
  <si>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</si>
  <si>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</si>
  <si>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</si>
  <si>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</si>
  <si>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</si>
  <si>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</si>
  <si>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</si>
  <si>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</si>
  <si>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</si>
  <si>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</si>
  <si>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</si>
  <si>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</si>
  <si>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</si>
  <si>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</si>
  <si>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</si>
  <si>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</si>
  <si>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</si>
  <si>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</si>
  <si>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</si>
  <si>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</si>
  <si>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</si>
  <si>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</si>
  <si>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</si>
  <si>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</si>
  <si>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</si>
  <si>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</si>
  <si>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</si>
  <si>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</si>
  <si>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</si>
  <si>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</si>
  <si>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</si>
  <si>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</si>
  <si>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</si>
  <si>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</si>
  <si>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</si>
  <si>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</si>
  <si>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</si>
  <si>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</si>
  <si>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</si>
  <si>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</si>
  <si>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</si>
  <si>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</si>
  <si>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</si>
  <si>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</si>
  <si>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</si>
  <si>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</si>
  <si>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</si>
  <si>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</si>
  <si>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</si>
  <si>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</si>
  <si>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</si>
  <si>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</si>
  <si>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</si>
  <si>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</si>
  <si>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</si>
  <si>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</si>
  <si>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</si>
  <si>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</si>
  <si>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</si>
  <si>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</si>
  <si>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</si>
  <si>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</si>
  <si>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</si>
  <si>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</si>
  <si>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</si>
  <si>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</si>
  <si>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</si>
  <si>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</si>
  <si>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</si>
  <si>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</si>
  <si>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</si>
  <si>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</si>
  <si>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</si>
  <si>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</si>
  <si>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</si>
  <si>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</si>
  <si>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</si>
  <si>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</si>
  <si>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</si>
  <si>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</si>
  <si>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</si>
  <si>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</si>
  <si>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</si>
  <si>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</si>
  <si>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</si>
  <si>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</si>
  <si>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</si>
  <si>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</si>
  <si>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</si>
  <si>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</si>
  <si>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</si>
  <si>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</si>
  <si>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</si>
  <si>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</si>
  <si>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</si>
  <si>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</si>
  <si>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</si>
  <si>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</si>
  <si>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</si>
  <si>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</si>
  <si>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</si>
  <si>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</si>
  <si>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</si>
  <si>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</si>
  <si>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</si>
  <si>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</si>
  <si>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</si>
  <si>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</si>
  <si>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</si>
  <si>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</si>
  <si>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</si>
  <si>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</si>
  <si>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</si>
  <si>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</si>
  <si>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</si>
  <si>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</si>
  <si>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</si>
  <si>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</si>
  <si>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</si>
  <si>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</si>
  <si>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</si>
  <si>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</si>
  <si>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</si>
  <si>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</si>
  <si>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</si>
  <si>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</si>
  <si>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</si>
  <si>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</si>
  <si>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</si>
  <si>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</si>
  <si>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</si>
  <si>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</si>
  <si>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</si>
  <si>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</si>
  <si>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</si>
  <si>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</si>
  <si>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</si>
  <si>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</si>
  <si>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</si>
  <si>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</si>
  <si>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</si>
  <si>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</si>
  <si>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</si>
  <si>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</si>
  <si>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</si>
  <si>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</si>
  <si>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</si>
  <si>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</si>
  <si>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</si>
  <si>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</si>
  <si>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</si>
  <si>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</si>
  <si>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</si>
  <si>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</si>
  <si>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</si>
  <si>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</si>
  <si>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</si>
  <si>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</si>
  <si>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</si>
  <si>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</si>
  <si>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</si>
  <si>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</si>
  <si>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</si>
  <si>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</si>
  <si>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</si>
  <si>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</si>
  <si>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</si>
  <si>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</si>
  <si>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</si>
  <si>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</si>
  <si>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</si>
  <si>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</si>
  <si>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</si>
  <si>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</si>
  <si>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</si>
  <si>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</si>
  <si>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</si>
  <si>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</si>
  <si>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</si>
  <si>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</si>
  <si>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</si>
  <si>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</si>
  <si>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</si>
  <si>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</si>
  <si>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</si>
  <si>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</si>
  <si>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</si>
  <si>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</si>
  <si>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</si>
  <si>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</si>
  <si>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</si>
  <si>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</si>
  <si>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</si>
  <si>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</si>
  <si>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</si>
  <si>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</si>
  <si>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</si>
  <si>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</si>
  <si>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</si>
  <si>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</si>
  <si>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</si>
  <si>
    <t>26 e 27/10/2026</t>
  </si>
  <si>
    <t>6761/2026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</si>
</sst>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14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86" zoomScaleNormal="100" workbookViewId="0">
      <pane xSplit="3" topLeftCell="D1" activePane="topRight" state="frozen"/>
      <selection pane="topRight" activeCell="E704" sqref="E704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449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9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2767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2748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 t="shared" si="13"/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2960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2773</v>
      </c>
      <c r="E686" s="240" t="s">
        <v>2774</v>
      </c>
      <c r="F686" s="221" t="s">
        <v>23</v>
      </c>
      <c r="G686" s="218" t="s">
        <v>67</v>
      </c>
      <c r="H686" s="222" t="s">
        <v>2775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2776</v>
      </c>
      <c r="E687" s="211" t="s">
        <v>2777</v>
      </c>
      <c r="F687" s="212" t="s">
        <v>23</v>
      </c>
      <c r="G687" s="209" t="s">
        <v>67</v>
      </c>
      <c r="H687" s="213" t="s">
        <v>2778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2779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2780</v>
      </c>
      <c r="E688" s="240" t="s">
        <v>2781</v>
      </c>
      <c r="F688" s="221" t="s">
        <v>80</v>
      </c>
      <c r="G688" s="218" t="s">
        <v>2725</v>
      </c>
      <c r="H688" s="222" t="s">
        <v>2782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2783</v>
      </c>
      <c r="E689" s="245" t="s">
        <v>2784</v>
      </c>
      <c r="F689" s="212" t="s">
        <v>23</v>
      </c>
      <c r="G689" s="209" t="s">
        <v>2709</v>
      </c>
      <c r="H689" s="247" t="s">
        <v>2785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2783</v>
      </c>
      <c r="E690" s="246" t="s">
        <v>2786</v>
      </c>
      <c r="F690" s="221" t="s">
        <v>23</v>
      </c>
      <c r="G690" s="218" t="s">
        <v>2709</v>
      </c>
      <c r="H690" s="248" t="s">
        <v>2787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14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2788</v>
      </c>
      <c r="E691" s="245" t="s">
        <v>2667</v>
      </c>
      <c r="F691" s="212" t="s">
        <v>23</v>
      </c>
      <c r="G691" s="209" t="s">
        <v>37</v>
      </c>
      <c r="H691" s="213" t="s">
        <v>2789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2790</v>
      </c>
      <c r="E692" s="246" t="s">
        <v>2791</v>
      </c>
      <c r="F692" s="221" t="s">
        <v>23</v>
      </c>
      <c r="G692" s="218" t="s">
        <v>363</v>
      </c>
      <c r="H692" s="222" t="s">
        <v>2792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2793</v>
      </c>
      <c r="E693" s="245" t="s">
        <v>2794</v>
      </c>
      <c r="F693" s="212" t="s">
        <v>23</v>
      </c>
      <c r="G693" s="209" t="s">
        <v>24</v>
      </c>
      <c r="H693" s="213" t="s">
        <v>2795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2796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2797</v>
      </c>
      <c r="E694" s="220" t="s">
        <v>2798</v>
      </c>
      <c r="F694" s="221" t="s">
        <v>61</v>
      </c>
      <c r="G694" s="218" t="s">
        <v>2688</v>
      </c>
      <c r="H694" s="222" t="s">
        <v>2799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2800</v>
      </c>
      <c r="E695" s="211" t="s">
        <v>2801</v>
      </c>
      <c r="F695" s="212" t="s">
        <v>80</v>
      </c>
      <c r="G695" s="261" t="s">
        <v>2725</v>
      </c>
      <c r="H695" s="213" t="s">
        <v>2802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2803</v>
      </c>
      <c r="E696" s="220" t="s">
        <v>2804</v>
      </c>
      <c r="F696" s="221" t="s">
        <v>80</v>
      </c>
      <c r="G696" s="270" t="s">
        <v>2725</v>
      </c>
      <c r="H696" s="222" t="s">
        <v>2805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2806</v>
      </c>
      <c r="E697" s="211" t="s">
        <v>2807</v>
      </c>
      <c r="F697" s="212" t="s">
        <v>80</v>
      </c>
      <c r="G697" s="261" t="s">
        <v>2725</v>
      </c>
      <c r="H697" s="213" t="s">
        <v>2808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2809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2810</v>
      </c>
      <c r="E698" s="220" t="s">
        <v>2811</v>
      </c>
      <c r="F698" s="221" t="s">
        <v>23</v>
      </c>
      <c r="G698" s="218" t="s">
        <v>24</v>
      </c>
      <c r="H698" s="222" t="s">
        <v>2799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2812</v>
      </c>
      <c r="E699" s="211" t="s">
        <v>2813</v>
      </c>
      <c r="F699" s="212" t="s">
        <v>23</v>
      </c>
      <c r="G699" s="209" t="s">
        <v>67</v>
      </c>
      <c r="H699" s="213" t="s">
        <v>2814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2815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2816</v>
      </c>
      <c r="E700" s="220" t="s">
        <v>2817</v>
      </c>
      <c r="F700" s="221" t="s">
        <v>61</v>
      </c>
      <c r="G700" s="218" t="s">
        <v>71</v>
      </c>
      <c r="H700" s="222" t="s">
        <v>2818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2819</v>
      </c>
      <c r="E701" s="211" t="s">
        <v>2820</v>
      </c>
      <c r="F701" s="212" t="s">
        <v>61</v>
      </c>
      <c r="G701" s="209" t="s">
        <v>71</v>
      </c>
      <c r="H701" s="213" t="s">
        <v>2952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2748</v>
      </c>
      <c r="D702" s="219" t="s">
        <v>2821</v>
      </c>
      <c r="E702" s="220" t="s">
        <v>2822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>
        <v>20</v>
      </c>
      <c r="O702" s="225"/>
      <c r="P702" s="225"/>
      <c r="Q702" s="225"/>
      <c r="R702" s="225">
        <f t="shared" si="14"/>
        <v>0</v>
      </c>
      <c r="S702" s="219">
        <v>12</v>
      </c>
      <c r="T702" s="218" t="s">
        <v>2823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2953</v>
      </c>
      <c r="E703" s="211" t="s">
        <v>2954</v>
      </c>
      <c r="F703" s="212" t="s">
        <v>61</v>
      </c>
      <c r="G703" s="209" t="s">
        <v>71</v>
      </c>
      <c r="H703" s="213" t="s">
        <v>2799</v>
      </c>
      <c r="I703" s="213" t="s">
        <v>2955</v>
      </c>
      <c r="J703" s="213" t="s">
        <v>2956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2957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2756</v>
      </c>
      <c r="D704" s="219" t="s">
        <v>2961</v>
      </c>
      <c r="E704" s="220"/>
      <c r="F704" s="221"/>
      <c r="G704" s="218"/>
      <c r="H704" s="222"/>
      <c r="I704" s="223"/>
      <c r="J704" s="223"/>
      <c r="K704" s="219"/>
      <c r="L704" s="224"/>
      <c r="M704" s="215"/>
      <c r="N704" s="226"/>
      <c r="O704" s="225"/>
      <c r="P704" s="225"/>
      <c r="Q704" s="225"/>
      <c r="R704" s="225">
        <f t="shared" si="14"/>
        <v>0</v>
      </c>
      <c r="S704" s="219"/>
      <c r="T704" s="218"/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62" activePane="bottomLeft" state="frozen"/>
      <selection pane="bottomLeft" activeCell="I64" sqref="I6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2824</v>
      </c>
      <c r="C1" s="96" t="s">
        <v>2825</v>
      </c>
      <c r="D1" s="96" t="s">
        <v>4</v>
      </c>
      <c r="E1" s="96" t="s">
        <v>2826</v>
      </c>
      <c r="F1" s="96" t="s">
        <v>19</v>
      </c>
      <c r="G1" s="96" t="s">
        <v>2827</v>
      </c>
      <c r="H1" s="96" t="s">
        <v>2828</v>
      </c>
      <c r="I1" s="96" t="s">
        <v>2829</v>
      </c>
      <c r="J1" s="96" t="s">
        <v>2830</v>
      </c>
      <c r="L1" s="129" t="s">
        <v>2831</v>
      </c>
      <c r="M1" s="100">
        <v>2026</v>
      </c>
      <c r="U1" s="162" t="s">
        <v>2832</v>
      </c>
      <c r="V1" s="161"/>
      <c r="X1" s="159" t="s">
        <v>2833</v>
      </c>
      <c r="Y1" s="107"/>
      <c r="Z1" s="107"/>
      <c r="AA1" s="107"/>
      <c r="AC1" s="254" t="s">
        <v>2834</v>
      </c>
    </row>
    <row r="2" spans="1:31" x14ac:dyDescent="0.25">
      <c r="A2" s="98" cm="1">
        <f t="array" ref="A2:J71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2824</v>
      </c>
      <c r="Y2" s="160" t="s">
        <v>19</v>
      </c>
      <c r="Z2" s="160" t="s">
        <v>2835</v>
      </c>
      <c r="AA2" s="160" t="s">
        <v>2836</v>
      </c>
      <c r="AC2" s="255" t="s">
        <v>1</v>
      </c>
      <c r="AD2" s="255" t="s">
        <v>2837</v>
      </c>
      <c r="AE2" s="255" t="s">
        <v>2838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2839</v>
      </c>
      <c r="M3" s="19" t="s">
        <v>2840</v>
      </c>
      <c r="N3" s="19" t="s">
        <v>2841</v>
      </c>
      <c r="O3" s="19" t="s">
        <v>2842</v>
      </c>
      <c r="P3" s="19" t="s">
        <v>2843</v>
      </c>
      <c r="Q3" s="19" t="s">
        <v>2844</v>
      </c>
      <c r="R3" s="19" t="s">
        <v>2845</v>
      </c>
      <c r="S3" s="19" t="s">
        <v>2846</v>
      </c>
      <c r="T3" s="19" t="s">
        <v>2847</v>
      </c>
      <c r="X3" t="s">
        <v>2848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39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0">_xlfn.VSTACK(0,_xlfn._xlws.FILTER(S4:S200,S4:S200&lt;&gt;""))</f>
        <v>0</v>
      </c>
      <c r="X4" t="s">
        <v>2849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2850</v>
      </c>
      <c r="Y5" t="s">
        <v>2711</v>
      </c>
      <c r="Z5">
        <v>1</v>
      </c>
      <c r="AA5">
        <v>0.6</v>
      </c>
      <c r="AC5" s="249">
        <v>2026</v>
      </c>
      <c r="AD5" s="95" t="s">
        <v>2851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2850</v>
      </c>
      <c r="Y6" t="s">
        <v>2852</v>
      </c>
      <c r="Z6">
        <v>1</v>
      </c>
      <c r="AA6">
        <v>0</v>
      </c>
      <c r="AC6" s="249">
        <v>2026</v>
      </c>
      <c r="AD6" s="95" t="s">
        <v>2853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2854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2855</v>
      </c>
      <c r="Y11" s="95" t="s">
        <v>2856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2855</v>
      </c>
      <c r="Y12" s="95" t="s">
        <v>2857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2858</v>
      </c>
      <c r="Y16" s="95" t="s">
        <v>2856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2858</v>
      </c>
      <c r="Y17" s="95" t="s">
        <v>2857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2859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2859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2859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2859</v>
      </c>
      <c r="Y21" s="95" t="s">
        <v>2856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2859</v>
      </c>
      <c r="Y22" s="95" t="s">
        <v>2857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Em andamento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2860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2860</v>
      </c>
      <c r="Y24" s="95" t="s">
        <v>2852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2861</v>
      </c>
      <c r="Y26" s="95" t="s">
        <v>2862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2863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2863</v>
      </c>
      <c r="Y28" s="95" t="s">
        <v>2852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2864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2864</v>
      </c>
      <c r="Y30" s="95" t="s">
        <v>2852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2866</v>
      </c>
      <c r="Y33" t="s">
        <v>2867</v>
      </c>
      <c r="Z33">
        <v>4</v>
      </c>
      <c r="AA33">
        <v>0.6</v>
      </c>
      <c r="AC33" s="251"/>
      <c r="AD33" s="252" t="s">
        <v>2868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2866</v>
      </c>
      <c r="Y34" t="s">
        <v>2869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Em andamento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R40" t="str">
        <v/>
      </c>
      <c r="S40" t="str">
        <v/>
      </c>
      <c r="T40">
        <v>70</v>
      </c>
      <c r="X40" t="s">
        <v>2872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Em andamento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X41" t="s">
        <v>2958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Em andamento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2958</v>
      </c>
      <c r="Y42" t="s">
        <v>2959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Em andamento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Em andamento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Em andamento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R72" t="str">
        <v/>
      </c>
      <c r="S72" t="str">
        <v/>
      </c>
    </row>
    <row r="73" spans="1:19" x14ac:dyDescent="0.25"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2873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2874</v>
      </c>
      <c r="B4" s="282"/>
      <c r="D4" s="283" t="s">
        <v>2875</v>
      </c>
      <c r="E4" s="284"/>
      <c r="G4" s="125" t="s">
        <v>2876</v>
      </c>
    </row>
    <row r="5" spans="1:7" ht="54.95" customHeight="1" thickBot="1" x14ac:dyDescent="0.75">
      <c r="A5" s="115">
        <f>COUNTIF('Ações InCompany'!B:B,2026)</f>
        <v>48</v>
      </c>
      <c r="B5" s="116" t="s">
        <v>2877</v>
      </c>
      <c r="D5" s="123">
        <f>COUNTIFS('Ações InCompany'!B:B,2026,'Ações InCompany'!C:C,"Realizado")</f>
        <v>28</v>
      </c>
      <c r="E5" s="124" t="s">
        <v>2877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2878</v>
      </c>
      <c r="B8" s="278"/>
      <c r="D8" s="278" t="s">
        <v>2879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2880</v>
      </c>
      <c r="D10" s="108" t="s">
        <v>2881</v>
      </c>
      <c r="E10" s="108" t="s">
        <v>2882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14</v>
      </c>
      <c r="D11" s="109" t="s">
        <v>2883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9</v>
      </c>
      <c r="D12" s="111" t="s">
        <v>2884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2885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2886</v>
      </c>
      <c r="B14" s="114">
        <f>SUM(B11:B13)</f>
        <v>28</v>
      </c>
      <c r="D14" s="113" t="s">
        <v>2887</v>
      </c>
      <c r="E14" s="114">
        <f>SUM(E11:E13)</f>
        <v>1190</v>
      </c>
    </row>
    <row r="30" spans="1:5" ht="17.25" x14ac:dyDescent="0.3">
      <c r="A30" s="278" t="s">
        <v>2888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2889</v>
      </c>
      <c r="C32" s="108" t="s">
        <v>2890</v>
      </c>
      <c r="D32" s="108" t="s">
        <v>2891</v>
      </c>
      <c r="E32" s="108" t="s">
        <v>2892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0.24390243902439024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7.3170731707317069E-2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0.12195121951219512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2.4390243902439025E-2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4.878048780487805E-2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0.17073170731707318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2</v>
      </c>
      <c r="C39" s="146">
        <f>COUNTIFS('Ações InCompany'!B:B,2026,'Ações InCompany'!C:C,"A realizar",'Ações InCompany'!G:G,A39)</f>
        <v>1</v>
      </c>
      <c r="D39" s="145">
        <f t="shared" si="0"/>
        <v>3</v>
      </c>
      <c r="E39" s="147">
        <f t="shared" si="1"/>
        <v>7.3170731707317069E-2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2.4390243902439025E-2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4</v>
      </c>
      <c r="C41" s="152">
        <f>COUNTIFS('Ações InCompany'!B:B,2026,'Ações InCompany'!C:C,"A realizar",'Ações InCompany'!G:G,A41)</f>
        <v>2</v>
      </c>
      <c r="D41" s="151">
        <f>B41+C41</f>
        <v>6</v>
      </c>
      <c r="E41" s="157">
        <f>D41/$D$45</f>
        <v>0.14634146341463414</v>
      </c>
    </row>
    <row r="42" spans="1:5" ht="24" customHeight="1" x14ac:dyDescent="0.25">
      <c r="A42" s="156" t="s">
        <v>2893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4.878048780487805E-2</v>
      </c>
    </row>
    <row r="44" spans="1:5" ht="24" customHeight="1" x14ac:dyDescent="0.25">
      <c r="A44" s="148" t="s">
        <v>2894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1</v>
      </c>
      <c r="D44" s="149">
        <f t="shared" si="0"/>
        <v>1</v>
      </c>
      <c r="E44" s="150">
        <f t="shared" si="1"/>
        <v>2.4390243902439025E-2</v>
      </c>
    </row>
    <row r="45" spans="1:5" ht="24" customHeight="1" x14ac:dyDescent="0.25">
      <c r="A45" s="113" t="s">
        <v>2886</v>
      </c>
      <c r="B45" s="121">
        <f>SUM(B33:B44)</f>
        <v>28</v>
      </c>
      <c r="C45" s="121">
        <f>SUM(C33:C44)</f>
        <v>13</v>
      </c>
      <c r="D45" s="121">
        <f>SUM(D33:D44)</f>
        <v>41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2900</v>
      </c>
      <c r="B2" s="12" t="s">
        <v>2901</v>
      </c>
      <c r="C2" s="12" t="s">
        <v>1728</v>
      </c>
      <c r="D2" s="12" t="s">
        <v>2902</v>
      </c>
      <c r="E2" s="12" t="s">
        <v>2903</v>
      </c>
    </row>
    <row r="3" spans="1:5" ht="18" customHeight="1" x14ac:dyDescent="0.25">
      <c r="A3" s="12" t="s">
        <v>2900</v>
      </c>
      <c r="B3" s="12" t="s">
        <v>2901</v>
      </c>
      <c r="C3" s="14" t="s">
        <v>24</v>
      </c>
      <c r="D3" s="12" t="s">
        <v>2904</v>
      </c>
      <c r="E3" s="12" t="s">
        <v>2905</v>
      </c>
    </row>
    <row r="4" spans="1:5" ht="18" customHeight="1" x14ac:dyDescent="0.25">
      <c r="A4" s="12" t="s">
        <v>2900</v>
      </c>
      <c r="B4" s="12" t="s">
        <v>2901</v>
      </c>
      <c r="C4" s="12" t="s">
        <v>67</v>
      </c>
      <c r="D4" s="12" t="s">
        <v>2902</v>
      </c>
      <c r="E4" s="12" t="s">
        <v>2906</v>
      </c>
    </row>
    <row r="5" spans="1:5" ht="18" customHeight="1" x14ac:dyDescent="0.25">
      <c r="A5" s="12" t="s">
        <v>2900</v>
      </c>
      <c r="B5" s="12" t="s">
        <v>2901</v>
      </c>
      <c r="C5" s="12" t="s">
        <v>71</v>
      </c>
      <c r="D5" s="12" t="s">
        <v>2907</v>
      </c>
      <c r="E5" s="12" t="s">
        <v>2908</v>
      </c>
    </row>
    <row r="6" spans="1:5" ht="18" customHeight="1" x14ac:dyDescent="0.25">
      <c r="A6" s="12" t="s">
        <v>2900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2900</v>
      </c>
      <c r="B7" s="12" t="s">
        <v>2911</v>
      </c>
      <c r="C7" s="12" t="s">
        <v>32</v>
      </c>
      <c r="D7" s="12" t="s">
        <v>2912</v>
      </c>
      <c r="E7" s="12" t="s">
        <v>2913</v>
      </c>
    </row>
    <row r="8" spans="1:5" ht="18" customHeight="1" x14ac:dyDescent="0.25">
      <c r="A8" s="12" t="s">
        <v>2900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2900</v>
      </c>
      <c r="B9" s="12" t="s">
        <v>2916</v>
      </c>
      <c r="C9" s="12" t="s">
        <v>456</v>
      </c>
      <c r="D9" s="12" t="s">
        <v>2917</v>
      </c>
      <c r="E9" s="12" t="s">
        <v>2918</v>
      </c>
    </row>
    <row r="10" spans="1:5" ht="18" customHeight="1" x14ac:dyDescent="0.25">
      <c r="A10" s="12" t="s">
        <v>2900</v>
      </c>
      <c r="B10" s="12" t="s">
        <v>2916</v>
      </c>
      <c r="C10" s="12" t="s">
        <v>198</v>
      </c>
      <c r="D10" s="12" t="s">
        <v>23</v>
      </c>
      <c r="E10" s="12" t="s">
        <v>2919</v>
      </c>
    </row>
    <row r="11" spans="1:5" ht="18" customHeight="1" x14ac:dyDescent="0.25">
      <c r="A11" s="12" t="s">
        <v>2900</v>
      </c>
      <c r="B11" s="12" t="s">
        <v>2916</v>
      </c>
      <c r="C11" s="12" t="s">
        <v>363</v>
      </c>
      <c r="D11" s="12" t="s">
        <v>23</v>
      </c>
      <c r="E11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2921</v>
      </c>
      <c r="B1" s="5" t="s">
        <v>10</v>
      </c>
      <c r="C1" s="15" t="s">
        <v>2922</v>
      </c>
      <c r="D1" s="15" t="s">
        <v>2825</v>
      </c>
    </row>
    <row r="2" spans="1:4" ht="21" customHeight="1" x14ac:dyDescent="0.25">
      <c r="A2" s="259" t="s">
        <v>23</v>
      </c>
      <c r="B2" s="259" t="s">
        <v>34</v>
      </c>
      <c r="C2" s="12" t="s">
        <v>2923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2924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2925</v>
      </c>
      <c r="B2" s="12" t="s">
        <v>2901</v>
      </c>
      <c r="C2" s="14" t="s">
        <v>24</v>
      </c>
      <c r="D2" s="12" t="s">
        <v>2902</v>
      </c>
      <c r="E2" s="18" t="s">
        <v>2926</v>
      </c>
    </row>
    <row r="3" spans="1:5" ht="18" customHeight="1" x14ac:dyDescent="0.25">
      <c r="A3" s="12" t="s">
        <v>2925</v>
      </c>
      <c r="B3" s="12" t="s">
        <v>2901</v>
      </c>
      <c r="C3" s="12" t="s">
        <v>67</v>
      </c>
      <c r="D3" s="12" t="s">
        <v>2904</v>
      </c>
      <c r="E3" s="12" t="s">
        <v>2927</v>
      </c>
    </row>
    <row r="4" spans="1:5" ht="18" customHeight="1" x14ac:dyDescent="0.25">
      <c r="A4" s="12" t="s">
        <v>2925</v>
      </c>
      <c r="B4" s="12" t="s">
        <v>2901</v>
      </c>
      <c r="C4" s="12" t="s">
        <v>71</v>
      </c>
      <c r="D4" s="12" t="s">
        <v>2907</v>
      </c>
      <c r="E4" s="12" t="s">
        <v>2928</v>
      </c>
    </row>
    <row r="5" spans="1:5" ht="27.75" customHeight="1" x14ac:dyDescent="0.25">
      <c r="A5" s="12" t="s">
        <v>2925</v>
      </c>
      <c r="B5" s="12" t="s">
        <v>2901</v>
      </c>
      <c r="C5" s="12" t="s">
        <v>2688</v>
      </c>
      <c r="D5" s="18" t="s">
        <v>2929</v>
      </c>
      <c r="E5" s="12" t="s">
        <v>2930</v>
      </c>
    </row>
    <row r="6" spans="1:5" ht="18" customHeight="1" x14ac:dyDescent="0.25">
      <c r="A6" s="12" t="s">
        <v>2925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2925</v>
      </c>
      <c r="B7" s="12" t="s">
        <v>2911</v>
      </c>
      <c r="C7" s="12" t="s">
        <v>2709</v>
      </c>
      <c r="D7" s="12" t="s">
        <v>2931</v>
      </c>
      <c r="E7" s="12" t="s">
        <v>2932</v>
      </c>
    </row>
    <row r="8" spans="1:5" ht="18" customHeight="1" x14ac:dyDescent="0.25">
      <c r="A8" s="12" t="s">
        <v>2925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2925</v>
      </c>
      <c r="B9" s="12" t="s">
        <v>2911</v>
      </c>
      <c r="C9" s="12" t="s">
        <v>2693</v>
      </c>
      <c r="D9" s="12" t="s">
        <v>2933</v>
      </c>
      <c r="E9" s="18" t="s">
        <v>2934</v>
      </c>
    </row>
    <row r="10" spans="1:5" ht="18" customHeight="1" x14ac:dyDescent="0.25">
      <c r="A10" s="12" t="s">
        <v>2925</v>
      </c>
      <c r="B10" s="12" t="s">
        <v>2935</v>
      </c>
      <c r="C10" s="12" t="s">
        <v>2893</v>
      </c>
      <c r="D10" s="12" t="s">
        <v>2936</v>
      </c>
      <c r="E10" s="18" t="s">
        <v>2937</v>
      </c>
    </row>
    <row r="11" spans="1:5" ht="18" customHeight="1" x14ac:dyDescent="0.25">
      <c r="A11" s="12" t="s">
        <v>2925</v>
      </c>
      <c r="B11" s="12" t="s">
        <v>2935</v>
      </c>
      <c r="C11" s="12" t="s">
        <v>198</v>
      </c>
      <c r="D11" s="12" t="s">
        <v>23</v>
      </c>
      <c r="E11" s="12" t="s">
        <v>2919</v>
      </c>
    </row>
    <row r="12" spans="1:5" ht="18" customHeight="1" x14ac:dyDescent="0.25">
      <c r="A12" s="12" t="s">
        <v>2925</v>
      </c>
      <c r="B12" s="12" t="s">
        <v>2935</v>
      </c>
      <c r="C12" s="12" t="s">
        <v>363</v>
      </c>
      <c r="D12" s="12" t="s">
        <v>23</v>
      </c>
      <c r="E12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E19" sqref="E19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2938</v>
      </c>
      <c r="B1" s="285"/>
      <c r="C1" s="285"/>
      <c r="D1" s="285"/>
      <c r="E1" s="285"/>
      <c r="F1" s="285"/>
    </row>
    <row r="2" spans="1:7" x14ac:dyDescent="0.25">
      <c r="A2" s="286" t="s">
        <v>2939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2828</v>
      </c>
      <c r="C4" s="102" t="s">
        <v>2829</v>
      </c>
      <c r="D4" s="102" t="s">
        <v>2940</v>
      </c>
      <c r="E4" s="102" t="s">
        <v>2830</v>
      </c>
      <c r="F4" s="102" t="s">
        <v>2941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33</v>
      </c>
      <c r="C8" s="103">
        <f>IF($A8="","",SUMIFS('GECC 2026'!I$2:I$200,'GECC 2026'!F$2:F$200,$A8))</f>
        <v>10.199999999999999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43.2</v>
      </c>
      <c r="F8" s="101">
        <f>IF($A8="","",COUNTIFS('GECC 2026'!F$2:F$200,$A8))</f>
        <v>5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25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25</v>
      </c>
      <c r="F19" s="101">
        <f>IF($A19="","",COUNTIFS('GECC 2026'!F$2:F$200,$A19))</f>
        <v>4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2887</v>
      </c>
      <c r="B105" s="243">
        <f>SUM(B5:B100)</f>
        <v>552</v>
      </c>
      <c r="C105" s="243">
        <f>SUM(C5:C100)</f>
        <v>377.7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70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2943</v>
      </c>
    </row>
    <row r="4" spans="1:8" ht="21.95" customHeight="1" x14ac:dyDescent="0.25">
      <c r="A4" s="288" t="s">
        <v>2944</v>
      </c>
      <c r="B4" s="289"/>
      <c r="D4" s="288" t="s">
        <v>2945</v>
      </c>
      <c r="E4" s="289"/>
      <c r="G4" s="288" t="s">
        <v>2946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2947</v>
      </c>
      <c r="B7" s="143" t="s">
        <v>2948</v>
      </c>
      <c r="C7" s="143" t="s">
        <v>1</v>
      </c>
      <c r="D7" s="143" t="s">
        <v>2949</v>
      </c>
      <c r="E7" s="143" t="s">
        <v>2950</v>
      </c>
      <c r="F7" s="143" t="s">
        <v>2825</v>
      </c>
      <c r="G7" s="143" t="s">
        <v>5</v>
      </c>
      <c r="H7" s="143" t="s">
        <v>2951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2026-06-18T20:33:30Z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