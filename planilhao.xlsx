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88" documentId="13_ncr:1_{C887EC22-7CD1-4717-84BE-7303F42C5C0A}" xr6:coauthVersionLast="47" xr6:coauthVersionMax="47" xr10:uidLastSave="{2CCD04EB-8D38-4273-9309-5E612FAD1C7D}"/>
  <bookViews>
    <workbookView xWindow="3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A5" i="23" l="1" a="1"/>
  <c r="E105" i="23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B105" i="23" l="1"/>
  <c r="C105" i="23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<sst xmlns="http://schemas.openxmlformats.org/spreadsheetml/2006/main" count="6545" uniqueCount="2965">
  <si>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</si>
  <si>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</si>
  <si>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</si>
  <si>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</si>
  <si>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</si>
  <si>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</si>
  <si>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</si>
  <si>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</si>
  <si>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</si>
  <si>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</si>
  <si>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</si>
  <si>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</si>
  <si>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</si>
  <si>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</si>
  <si>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</si>
  <si>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</si>
  <si>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</si>
  <si>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</si>
  <si>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</si>
  <si>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</si>
  <si>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</si>
  <si>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</si>
  <si>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</si>
  <si>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</si>
  <si>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</si>
  <si>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</si>
  <si>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</si>
  <si>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</si>
  <si>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</si>
  <si>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</si>
  <si>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</si>
  <si>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</si>
  <si>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</si>
  <si>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</si>
  <si>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</si>
  <si>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</si>
  <si>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</si>
  <si>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</si>
  <si>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</si>
  <si>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</si>
  <si>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</si>
  <si>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</si>
  <si>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</si>
  <si>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</si>
  <si>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</si>
  <si>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</si>
  <si>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</si>
  <si>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</si>
  <si>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</si>
  <si>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</si>
  <si>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</si>
  <si>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</si>
  <si>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</si>
  <si>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</si>
  <si>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</si>
  <si>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</si>
  <si>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</si>
  <si>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</si>
  <si>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</si>
  <si>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</si>
  <si>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</si>
  <si>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</si>
  <si>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</si>
  <si>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</si>
  <si>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</si>
  <si>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</si>
  <si>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</si>
  <si>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</si>
  <si>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</si>
  <si>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</si>
  <si>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</si>
  <si>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</si>
  <si>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</si>
  <si>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</si>
  <si>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</si>
  <si>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</si>
  <si>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</si>
  <si>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</si>
  <si>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</si>
  <si>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</si>
  <si>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</si>
  <si>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</si>
  <si>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</si>
  <si>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</si>
  <si>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</si>
  <si>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</si>
  <si>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</si>
  <si>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</si>
  <si>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</si>
  <si>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</si>
  <si>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</si>
  <si>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</si>
  <si>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</si>
  <si>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</si>
  <si>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</si>
  <si>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</si>
  <si>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</si>
  <si>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</si>
  <si>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</si>
  <si>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</si>
  <si>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</si>
  <si>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</si>
  <si>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</si>
  <si>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</si>
  <si>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</si>
  <si>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</si>
  <si>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</si>
  <si>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</si>
  <si>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</si>
  <si>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</si>
  <si>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</si>
  <si>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</si>
  <si>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</si>
  <si>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</si>
  <si>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</si>
  <si>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</si>
  <si>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</si>
  <si>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</si>
  <si>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</si>
  <si>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</si>
  <si>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</si>
  <si>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</si>
  <si>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</si>
  <si>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</si>
  <si>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</si>
  <si>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</si>
  <si>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</si>
  <si>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</si>
  <si>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</si>
  <si>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</si>
  <si>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</si>
  <si>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</si>
  <si>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</si>
  <si>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</si>
  <si>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</si>
  <si>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</si>
  <si>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</si>
  <si>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</si>
  <si>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</si>
  <si>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</si>
  <si>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</si>
  <si>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</si>
  <si>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</si>
  <si>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</si>
  <si>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</si>
  <si>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</si>
  <si>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</si>
  <si>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</si>
  <si>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</si>
  <si>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</si>
  <si>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</si>
  <si>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</si>
  <si>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</si>
  <si>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</si>
  <si>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</si>
  <si>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</si>
  <si>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</si>
  <si>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</si>
  <si>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</si>
  <si>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</si>
  <si>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</si>
  <si>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</si>
  <si>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</si>
  <si>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</si>
  <si>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</si>
  <si>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</si>
  <si>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</si>
  <si>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</si>
  <si>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</si>
  <si>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</si>
  <si>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</si>
  <si>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</si>
  <si>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</si>
  <si>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</si>
  <si>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</si>
  <si>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</si>
  <si>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</si>
  <si>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</si>
  <si>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</si>
  <si>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</si>
  <si>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</si>
  <si>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</si>
  <si>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</si>
  <si>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</si>
  <si>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</si>
  <si>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</si>
  <si>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</si>
  <si>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</si>
  <si>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</si>
  <si>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</si>
  <si>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</si>
  <si>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</si>
  <si>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</si>
  <si>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</si>
  <si>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</si>
  <si>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</si>
  <si>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</si>
  <si>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</si>
  <si>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</si>
  <si>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</si>
  <si>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</si>
  <si>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</si>
  <si>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</si>
  <si>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</si>
  <si>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</si>
  <si>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</si>
  <si>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</si>
  <si>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</si>
  <si>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</si>
  <si>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</si>
  <si>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</si>
  <si>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</si>
  <si>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</si>
  <si>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</si>
  <si>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</si>
  <si>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</si>
  <si>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</si>
  <si>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</si>
  <si>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</si>
  <si>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</si>
  <si>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</si>
  <si>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</si>
  <si>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</si>
  <si>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</si>
  <si>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</si>
  <si>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</si>
  <si>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</si>
  <si>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</si>
  <si>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</si>
  <si>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</si>
  <si>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</si>
  <si>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</si>
  <si>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</si>
  <si>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</si>
  <si>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</si>
  <si>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</si>
  <si>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</si>
  <si>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</si>
  <si>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</si>
  <si>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</si>
  <si>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</si>
  <si>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</si>
  <si>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</si>
  <si>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</si>
  <si>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</si>
  <si>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</si>
  <si>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</si>
  <si>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</si>
  <si>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</si>
  <si>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</si>
  <si>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</si>
  <si>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</si>
  <si>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</si>
  <si>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</si>
  <si>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</si>
  <si>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</si>
  <si>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</si>
  <si>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</si>
  <si>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</si>
  <si>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</si>
  <si>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</si>
  <si>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</si>
  <si>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</si>
  <si>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</si>
  <si>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</si>
  <si>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</si>
  <si>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</si>
  <si>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</si>
  <si>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</si>
  <si>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</si>
  <si>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</si>
  <si>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</si>
  <si>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</si>
  <si>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</si>
  <si>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</si>
  <si>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</si>
  <si>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</si>
  <si>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</si>
  <si>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</si>
  <si>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</si>
  <si>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</si>
  <si>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</si>
  <si>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</si>
  <si>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</si>
  <si>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</si>
  <si>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</si>
  <si>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</si>
  <si>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</si>
  <si>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</si>
  <si>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</si>
  <si>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</si>
  <si>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</si>
  <si>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</si>
  <si>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</si>
  <si>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</si>
  <si>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</si>
  <si>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</si>
  <si>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</si>
  <si>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</si>
  <si>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</si>
  <si>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</si>
  <si>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</si>
  <si>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</si>
  <si>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</si>
  <si>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</si>
  <si>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</si>
  <si>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</si>
  <si>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</si>
  <si>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</si>
  <si>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</si>
  <si>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</si>
  <si>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</si>
  <si>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</si>
  <si>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</si>
  <si>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</si>
  <si>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</si>
  <si>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</si>
  <si>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</si>
  <si>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</si>
  <si>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</si>
  <si>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</si>
  <si>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</si>
  <si>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</si>
  <si>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</si>
  <si>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</si>
  <si>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</si>
  <si>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</si>
  <si>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</si>
  <si>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</si>
  <si>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</si>
  <si>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</si>
  <si>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</si>
  <si>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</si>
  <si>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</si>
  <si>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</si>
  <si>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</si>
  <si>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</si>
  <si>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</si>
  <si>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</si>
  <si>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</si>
  <si>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</si>
  <si>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</si>
  <si>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</si>
  <si>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</si>
  <si>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</si>
  <si>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</si>
  <si>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</si>
  <si>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</si>
  <si>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</si>
  <si>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</si>
  <si>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</si>
  <si>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</si>
  <si>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</si>
  <si>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</si>
  <si>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</si>
  <si>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</si>
  <si>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</si>
  <si>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</si>
  <si>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</si>
  <si>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</si>
  <si>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</si>
  <si>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</si>
  <si>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</si>
  <si>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</si>
  <si>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</si>
  <si>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</si>
  <si>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</si>
  <si>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</si>
  <si>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</si>
  <si>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</si>
  <si>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</si>
  <si>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</si>
  <si>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</si>
  <si>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</si>
  <si>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</si>
  <si>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</si>
  <si>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</si>
  <si>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</si>
  <si>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</si>
  <si>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</si>
  <si>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</si>
  <si>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</si>
  <si>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</si>
  <si>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</si>
  <si>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</si>
  <si>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</si>
  <si>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</si>
  <si>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</si>
  <si>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</si>
  <si>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</si>
  <si>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</si>
  <si>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</si>
  <si>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</si>
  <si>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</si>
  <si>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</si>
  <si>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</si>
  <si>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</si>
  <si>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</si>
  <si>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</si>
  <si>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</si>
  <si>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</si>
  <si>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</si>
  <si>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</si>
  <si>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</si>
  <si>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</si>
  <si>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</si>
  <si>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</si>
  <si>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</si>
  <si>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</si>
  <si>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</si>
  <si>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</si>
  <si>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</si>
  <si>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</si>
  <si>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</si>
  <si>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</si>
  <si>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</si>
  <si>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</si>
  <si>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</si>
  <si>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</si>
  <si>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</si>
  <si>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</si>
  <si>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</si>
  <si>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</si>
  <si>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</si>
  <si>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</si>
  <si>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</si>
  <si>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</si>
  <si>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</si>
  <si>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</si>
  <si>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</si>
  <si>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</si>
  <si>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</si>
  <si>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</si>
  <si>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</si>
  <si>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</si>
  <si>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</si>
  <si>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</si>
  <si>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</si>
  <si>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</si>
  <si>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</si>
  <si>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</si>
  <si>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</si>
  <si>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</si>
  <si>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</si>
  <si>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</si>
  <si>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</si>
  <si>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</si>
  <si>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</si>
  <si>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</si>
  <si>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</si>
  <si>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</si>
  <si>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</si>
  <si>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</si>
  <si>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</si>
  <si>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</si>
  <si>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</si>
  <si>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</si>
  <si>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</si>
  <si>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</si>
  <si>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</si>
  <si>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</si>
  <si>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</si>
  <si>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</si>
  <si>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</si>
  <si>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</si>
  <si>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</si>
  <si>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</si>
  <si>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</si>
  <si>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</si>
  <si>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</si>
  <si>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</si>
  <si>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</si>
  <si>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</si>
  <si>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</si>
  <si>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</si>
  <si>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</si>
  <si>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</si>
  <si>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</si>
  <si>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</si>
  <si>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</si>
  <si>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</si>
  <si>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</si>
  <si>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</si>
  <si>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</si>
  <si>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</si>
  <si>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</si>
  <si>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</si>
  <si>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</si>
  <si>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</si>
  <si>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</si>
  <si>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</si>
  <si>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</si>
  <si>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</si>
  <si>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</si>
  <si>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</si>
  <si>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</si>
  <si>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</si>
  <si>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</si>
  <si>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</si>
  <si>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</si>
  <si>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</si>
  <si>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</si>
  <si>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</si>
  <si>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</si>
  <si>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</si>
  <si>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</si>
  <si>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</si>
  <si>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</si>
  <si>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</si>
  <si>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</si>
  <si>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</si>
  <si>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</si>
  <si>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</si>
  <si>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</si>
  <si>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</si>
  <si>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</si>
  <si>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</si>
  <si>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</si>
  <si>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</si>
  <si>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</si>
  <si>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</si>
  <si>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</si>
  <si>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</si>
  <si>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</si>
  <si>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</si>
  <si>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</si>
  <si>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</si>
  <si>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</si>
  <si>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</si>
  <si>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</si>
  <si>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</si>
  <si>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</si>
  <si>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</si>
  <si>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</si>
  <si>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</si>
  <si>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</si>
  <si>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</si>
  <si>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</si>
  <si>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</si>
  <si>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</si>
  <si>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</si>
  <si>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</si>
  <si>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</si>
  <si>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</si>
  <si>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</si>
  <si>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</si>
  <si>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</si>
  <si>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</si>
  <si>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</si>
  <si>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</si>
  <si>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</si>
  <si>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</si>
  <si>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</si>
  <si>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</si>
  <si>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</si>
  <si>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</si>
  <si>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</si>
  <si>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</si>
  <si>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</si>
  <si>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</si>
  <si>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</si>
  <si>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</si>
  <si>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</si>
  <si>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</si>
  <si>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</si>
  <si>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</si>
  <si>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</si>
  <si>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</si>
  <si>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</si>
  <si>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</si>
  <si>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</si>
  <si>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</si>
  <si>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</si>
  <si>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</si>
  <si>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</si>
  <si>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</si>
  <si>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</si>
  <si>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</si>
  <si>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</si>
  <si>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</si>
  <si>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</si>
  <si>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</si>
  <si>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</si>
  <si>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</si>
  <si>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</si>
  <si>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</si>
  <si>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</si>
  <si>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</si>
  <si>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</si>
  <si>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</si>
  <si>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</si>
  <si>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</si>
  <si>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</si>
  <si>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</si>
  <si>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</si>
  <si>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</si>
  <si>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</si>
  <si>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</si>
  <si>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</si>
  <si>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</si>
  <si>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</si>
  <si>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</si>
  <si>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</si>
  <si>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</si>
  <si>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</si>
  <si>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</si>
  <si>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</si>
  <si>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</si>
  <si>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</si>
  <si>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</si>
  <si>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</si>
  <si>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</si>
  <si>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</si>
  <si>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</si>
  <si>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</si>
  <si>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</si>
  <si>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</si>
  <si>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</si>
  <si>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</si>
  <si>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</si>
  <si>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</si>
  <si>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</si>
  <si>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</si>
  <si>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</si>
  <si>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</si>
  <si>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</si>
  <si>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</si>
  <si>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</si>
  <si>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</si>
  <si>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</si>
  <si>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</si>
  <si>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</si>
  <si>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</si>
  <si>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</si>
  <si>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</si>
  <si>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</si>
  <si>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</si>
  <si>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</si>
  <si>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</si>
  <si>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</si>
  <si>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</si>
  <si>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</si>
  <si>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</si>
  <si>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</si>
  <si>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</si>
  <si>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</si>
  <si>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</si>
  <si>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</si>
  <si>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</si>
  <si>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</si>
  <si>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</si>
  <si>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</si>
  <si>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</si>
  <si>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</si>
  <si>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</si>
  <si>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</si>
  <si>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</si>
  <si>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</si>
  <si>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</si>
  <si>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</si>
  <si>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</si>
  <si>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</si>
  <si>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</si>
  <si>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</si>
  <si>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</si>
  <si>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</si>
  <si>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</si>
  <si>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</si>
  <si>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</si>
  <si>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</si>
  <si>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</si>
  <si>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</si>
  <si>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</si>
  <si>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</si>
  <si>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</si>
  <si>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</si>
  <si>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</si>
  <si>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</si>
  <si>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</si>
  <si>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</si>
  <si>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</si>
  <si>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</si>
  <si>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</si>
  <si>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</si>
  <si>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</si>
  <si>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</si>
  <si>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</si>
  <si>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</si>
  <si>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</si>
  <si>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</si>
  <si>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</si>
  <si>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</si>
  <si>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</si>
  <si>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</si>
  <si>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</si>
  <si>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</si>
  <si>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</si>
  <si>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</si>
  <si>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</si>
  <si>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</si>
  <si>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</si>
  <si>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</si>
  <si>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</si>
  <si>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</si>
  <si>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</si>
  <si>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</si>
  <si>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</si>
  <si>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</si>
  <si>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</si>
  <si>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</si>
  <si>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</si>
  <si>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</si>
  <si>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</si>
  <si>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</si>
  <si>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</si>
  <si>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</si>
  <si>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</si>
  <si>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</si>
  <si>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</si>
  <si>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</si>
  <si>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</si>
  <si>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</si>
  <si>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</si>
  <si>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</si>
  <si>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</si>
  <si>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</si>
  <si>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</si>
  <si>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</si>
  <si>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</si>
  <si>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</si>
  <si>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</si>
  <si>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</si>
  <si>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</si>
  <si>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</si>
  <si>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</si>
  <si>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</si>
  <si>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</si>
  <si>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</si>
  <si>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</si>
  <si>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</si>
  <si>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</si>
  <si>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</si>
  <si>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</si>
  <si>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</si>
  <si>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</si>
  <si>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</si>
  <si>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</si>
  <si>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</si>
  <si>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</si>
  <si>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</si>
  <si>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</si>
  <si>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</si>
  <si>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</si>
  <si>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</si>
  <si>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</si>
  <si>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</si>
  <si>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</si>
  <si>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</si>
  <si>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</si>
  <si>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</si>
  <si>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</si>
  <si>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</si>
  <si>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</si>
  <si>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</si>
  <si>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</si>
  <si>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</si>
  <si>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</si>
  <si>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</si>
  <si>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</si>
  <si>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</si>
  <si>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</si>
  <si>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</si>
  <si>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</si>
  <si>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</si>
  <si>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</si>
  <si>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</si>
  <si>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</si>
  <si>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</si>
  <si>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</si>
  <si>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</si>
  <si>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</si>
  <si>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</si>
  <si>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</si>
  <si>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</si>
  <si>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</si>
  <si>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</si>
  <si>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</si>
  <si>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</si>
  <si>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</si>
  <si>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</si>
  <si>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</si>
  <si>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</si>
  <si>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</si>
  <si>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</si>
  <si>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</si>
  <si>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</si>
  <si>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</si>
  <si>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</si>
  <si>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</si>
  <si>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</si>
  <si>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</si>
  <si>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</si>
  <si>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</si>
  <si>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</si>
  <si>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</si>
  <si>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</si>
  <si>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</si>
  <si>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</si>
  <si>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</si>
  <si>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</si>
  <si>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</si>
  <si>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</si>
  <si>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</si>
  <si>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</si>
  <si>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</si>
  <si>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</si>
  <si>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</si>
  <si>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</si>
  <si>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</si>
  <si>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</si>
  <si>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</si>
  <si>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</si>
  <si>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</si>
  <si>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</si>
  <si>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</si>
  <si>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</si>
  <si>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</si>
  <si>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</si>
  <si>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</si>
  <si>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</si>
  <si>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</si>
  <si>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</si>
  <si>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</si>
  <si>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</si>
  <si>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</si>
  <si>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</si>
  <si>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</si>
  <si>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</si>
  <si>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</si>
  <si>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</si>
  <si>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</si>
  <si>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</si>
  <si>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</si>
  <si>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</si>
  <si>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</si>
  <si>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</si>
  <si>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</si>
  <si>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</si>
  <si>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</si>
  <si>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</si>
  <si>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</si>
  <si>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</si>
  <si>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</si>
  <si>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</si>
  <si>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</si>
  <si>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</si>
  <si>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</si>
  <si>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</si>
  <si>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</si>
  <si>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</si>
  <si>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</si>
  <si>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</si>
  <si>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</si>
  <si>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</si>
  <si>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</si>
  <si>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</si>
  <si>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</si>
  <si>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</si>
  <si>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</si>
  <si>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</si>
  <si>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</si>
  <si>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</si>
  <si>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</si>
  <si>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</si>
  <si>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</si>
  <si>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</si>
  <si>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</si>
  <si>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</si>
  <si>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</si>
  <si>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</si>
  <si>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</si>
  <si>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</si>
  <si>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</si>
  <si>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</si>
  <si>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</si>
  <si>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</si>
  <si>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</si>
  <si>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</si>
  <si>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</si>
  <si>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</si>
  <si>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</si>
  <si>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</si>
  <si>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</si>
  <si>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</si>
  <si>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</si>
  <si>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</si>
  <si>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</si>
  <si>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</si>
  <si>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</si>
  <si>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</si>
  <si>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</si>
  <si>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</si>
  <si>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</si>
  <si>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</si>
  <si>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</si>
  <si>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</si>
  <si>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</si>
  <si>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</si>
  <si>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</si>
  <si>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</si>
  <si>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</si>
  <si>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</si>
  <si>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</si>
  <si>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</si>
  <si>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</si>
  <si>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</si>
  <si>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</si>
  <si>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</si>
  <si>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</si>
  <si>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</si>
  <si>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</si>
  <si>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</si>
  <si>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</si>
  <si>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</si>
  <si>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</si>
  <si>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</si>
  <si>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</si>
  <si>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</si>
  <si>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</si>
  <si>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</si>
  <si>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</si>
  <si>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</si>
  <si>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</si>
  <si>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</si>
  <si>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</si>
  <si>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</si>
  <si>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</si>
  <si>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</si>
  <si>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</si>
  <si>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</si>
  <si>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</si>
  <si>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</si>
  <si>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</si>
  <si>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</si>
  <si>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</si>
  <si>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</si>
  <si>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</si>
  <si>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</si>
  <si>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</si>
  <si>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</si>
  <si>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</si>
  <si>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</si>
  <si>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</si>
  <si>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</si>
  <si>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</si>
  <si>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</si>
  <si>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</si>
  <si>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</si>
  <si>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</si>
  <si>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</si>
  <si>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</si>
  <si>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</si>
  <si>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</si>
  <si>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</si>
  <si>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</si>
  <si>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</si>
  <si>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</si>
  <si>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</si>
  <si>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</si>
  <si>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</si>
  <si>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</si>
  <si>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</si>
  <si>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</si>
  <si>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</si>
  <si>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</si>
  <si>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</si>
  <si>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</si>
  <si>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</si>
  <si>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</si>
  <si>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</si>
  <si>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</si>
  <si>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</si>
  <si>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</si>
  <si>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</si>
  <si>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</si>
  <si>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</si>
  <si>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</si>
  <si>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</si>
  <si>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</si>
  <si>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</si>
  <si>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</si>
  <si>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</si>
  <si>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</si>
  <si>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</si>
  <si>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</si>
  <si>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</si>
  <si>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</si>
  <si>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</si>
  <si>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</si>
  <si>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</si>
  <si>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</si>
  <si>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</si>
  <si>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</si>
  <si>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</si>
  <si>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</si>
  <si>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</si>
  <si>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</si>
  <si>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</si>
  <si>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</si>
  <si>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</si>
  <si>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</si>
  <si>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</si>
  <si>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</si>
  <si>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</si>
  <si>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</si>
  <si>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</si>
  <si>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</si>
  <si>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</si>
  <si>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</si>
  <si>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</si>
  <si>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</si>
  <si>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</si>
  <si>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</si>
  <si>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</si>
  <si>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</si>
  <si>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</si>
  <si>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</si>
  <si>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</si>
  <si>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</si>
  <si>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</si>
  <si>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</si>
  <si>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</si>
  <si>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</si>
  <si>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</si>
  <si>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</si>
  <si>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</si>
  <si>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</si>
  <si>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</si>
  <si>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</si>
  <si>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</si>
  <si>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</si>
  <si>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</si>
  <si>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</si>
  <si>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</si>
  <si>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</si>
  <si>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</si>
  <si>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</si>
  <si>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</si>
  <si>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</si>
  <si>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</si>
  <si>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</si>
  <si>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</si>
  <si>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</si>
  <si>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</si>
  <si>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</si>
  <si>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</si>
  <si>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</si>
  <si>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</si>
  <si>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</si>
  <si>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</si>
  <si>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</si>
  <si>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</si>
  <si>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</si>
  <si>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</si>
  <si>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</si>
  <si>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</si>
  <si>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</si>
  <si>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</si>
  <si>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</si>
  <si>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</si>
  <si>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</si>
  <si>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</si>
  <si>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</si>
  <si>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</si>
  <si>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</si>
  <si>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</si>
  <si>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</si>
  <si>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</si>
  <si>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</si>
  <si>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</si>
  <si>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</si>
  <si>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</si>
  <si>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</si>
  <si>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</si>
  <si>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</si>
  <si>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</si>
  <si>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</si>
  <si>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</si>
  <si>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</si>
  <si>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</si>
  <si>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</si>
  <si>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</si>
  <si>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</si>
  <si>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</si>
  <si>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</si>
  <si>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</si>
  <si>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</si>
  <si>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</si>
  <si>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</si>
  <si>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</si>
  <si>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</si>
  <si>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</si>
  <si>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</si>
  <si>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</si>
  <si>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</si>
  <si>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</si>
  <si>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</si>
  <si>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</si>
  <si>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</si>
  <si>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</si>
  <si>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</si>
  <si>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</si>
  <si>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</si>
  <si>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</si>
  <si>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</si>
  <si>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</si>
  <si>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</si>
  <si>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</si>
  <si>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</si>
  <si>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</si>
  <si>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</si>
  <si>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</si>
  <si>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</si>
  <si>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</si>
  <si>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</si>
  <si>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</si>
  <si>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</si>
  <si>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</si>
  <si>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</si>
  <si>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</si>
  <si>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</si>
  <si>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</si>
  <si>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</si>
  <si>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</si>
  <si>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</si>
  <si>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</si>
  <si>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</si>
  <si>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</si>
  <si>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</si>
  <si>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</si>
  <si>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</si>
  <si>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</si>
  <si>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</si>
  <si>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</si>
  <si>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</si>
  <si>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</si>
  <si>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</si>
  <si>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</si>
  <si>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</si>
  <si>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</si>
  <si>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</si>
  <si>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</si>
  <si>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</si>
  <si>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</si>
  <si>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</si>
  <si>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</si>
  <si>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</si>
  <si>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</si>
  <si>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</si>
  <si>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</si>
  <si>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</si>
  <si>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</si>
  <si>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</si>
  <si>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</si>
  <si>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</si>
  <si>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</si>
  <si>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</si>
  <si>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</si>
  <si>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</si>
  <si>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</si>
  <si>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</si>
  <si>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</si>
  <si>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</si>
  <si>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</si>
  <si>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</si>
  <si>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</si>
  <si>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</si>
  <si>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</si>
  <si>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</si>
  <si>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</si>
  <si>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</si>
  <si>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</si>
  <si>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</si>
  <si>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</si>
  <si>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</si>
  <si>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</si>
  <si>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</si>
  <si>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</si>
  <si>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</si>
  <si>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</si>
  <si>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</si>
  <si>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</si>
  <si>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</si>
  <si>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</si>
  <si>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</si>
  <si>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</si>
  <si>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</si>
  <si>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</si>
  <si>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</si>
  <si>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</si>
  <si>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</si>
  <si>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</si>
  <si>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</si>
  <si>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</si>
  <si>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</si>
  <si>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</si>
  <si>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</si>
  <si>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</si>
  <si>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</si>
  <si>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</si>
  <si>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</si>
  <si>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</si>
  <si>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</si>
  <si>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</si>
  <si>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</si>
  <si>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</si>
  <si>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</si>
  <si>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</si>
  <si>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</si>
  <si>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</si>
  <si>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</si>
  <si>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</si>
  <si>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</si>
  <si>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</si>
  <si>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</si>
  <si>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</si>
  <si>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</si>
  <si>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</si>
  <si>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</si>
  <si>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</si>
  <si>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</si>
  <si>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</si>
  <si>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</si>
  <si>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</si>
  <si>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</si>
  <si>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</si>
  <si>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</si>
  <si>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</si>
  <si>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</si>
  <si>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</si>
  <si>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</si>
  <si>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</si>
  <si>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</si>
  <si>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</si>
  <si>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</si>
  <si>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</si>
  <si>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</si>
  <si>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</si>
  <si>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</si>
  <si>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</si>
  <si>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</si>
  <si>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</si>
  <si>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</si>
  <si>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</si>
  <si>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</si>
  <si>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</si>
  <si>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</si>
  <si>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</si>
  <si>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</si>
  <si>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</si>
  <si>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</si>
  <si>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</si>
  <si>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</si>
  <si>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</si>
  <si>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</si>
  <si>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</si>
  <si>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</si>
  <si>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</si>
  <si>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</si>
  <si>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</si>
  <si>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</si>
  <si>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</si>
  <si>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</si>
  <si>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</si>
  <si>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</si>
  <si>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</si>
  <si>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</si>
  <si>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</si>
  <si>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</si>
  <si>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</si>
  <si>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</si>
  <si>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</si>
  <si>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</si>
  <si>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</si>
  <si>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</si>
  <si>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</si>
  <si>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</si>
  <si>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</si>
  <si>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</si>
  <si>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</si>
  <si>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</si>
  <si>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</si>
  <si>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</si>
  <si>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</si>
  <si>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</si>
  <si>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</si>
  <si>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</si>
  <si>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</si>
  <si>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</si>
  <si>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</si>
  <si>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</si>
  <si>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</si>
  <si>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</si>
  <si>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</si>
  <si>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</si>
  <si>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</si>
  <si>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</si>
  <si>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</si>
  <si>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</si>
  <si>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</si>
  <si>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</si>
  <si>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</si>
  <si>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</si>
  <si>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</si>
  <si>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</si>
  <si>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</si>
  <si>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</si>
  <si>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</si>
  <si>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</si>
  <si>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</si>
  <si>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</si>
  <si>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</si>
  <si>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</si>
  <si>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</si>
  <si>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</si>
  <si>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</si>
  <si>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</si>
  <si>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</si>
  <si>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</si>
  <si>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</si>
  <si>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</si>
  <si>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</si>
  <si>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</si>
  <si>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</si>
  <si>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</si>
  <si>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</si>
  <si>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</si>
  <si>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</si>
  <si>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</si>
  <si>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</si>
  <si>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</si>
  <si>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</si>
  <si>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</si>
  <si>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</si>
  <si>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</si>
  <si>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</si>
  <si>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</si>
  <si>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</si>
  <si>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</si>
  <si>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</si>
  <si>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</si>
  <si>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</si>
  <si>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</si>
  <si>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</si>
  <si>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</si>
  <si>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</si>
  <si>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</si>
  <si>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</si>
  <si>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</si>
  <si>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</si>
  <si>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</si>
  <si>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</si>
  <si>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</si>
  <si>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</si>
  <si>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</si>
  <si>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</si>
  <si>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</si>
  <si>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</si>
  <si>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</si>
  <si>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</si>
  <si>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</si>
  <si>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</si>
  <si>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</si>
  <si>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</si>
  <si>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</si>
  <si>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</si>
  <si>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</si>
  <si>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</si>
  <si>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</si>
  <si>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</si>
  <si>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</si>
  <si>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</si>
  <si>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</si>
  <si>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</si>
  <si>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</si>
  <si>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</si>
  <si>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</si>
  <si>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</si>
  <si>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</si>
  <si>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</si>
  <si>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</si>
  <si>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</si>
  <si>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</si>
  <si>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</si>
  <si>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</si>
  <si>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</si>
  <si>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</si>
  <si>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</si>
  <si>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</si>
  <si>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</si>
  <si>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</si>
  <si>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</si>
  <si>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</si>
  <si>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</si>
  <si>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</si>
  <si>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</si>
  <si>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</si>
  <si>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</si>
  <si>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</si>
  <si>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</si>
  <si>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</si>
  <si>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</si>
  <si>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</si>
  <si>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</si>
  <si>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</si>
  <si>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</si>
  <si>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</si>
  <si>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</si>
  <si>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</si>
  <si>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</si>
  <si>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</si>
  <si>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</si>
  <si>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</si>
  <si>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</si>
  <si>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</si>
  <si>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</si>
  <si>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</si>
  <si>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</si>
  <si>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</si>
  <si>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</si>
  <si>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</si>
  <si>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</si>
  <si>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</si>
  <si>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</si>
  <si>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</si>
  <si>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</si>
  <si>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</si>
  <si>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</si>
  <si>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</si>
  <si>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</si>
  <si>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</si>
  <si>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</si>
  <si>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</si>
  <si>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</si>
  <si>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</si>
  <si>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</si>
  <si>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</si>
  <si>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</si>
  <si>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</si>
  <si>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</si>
  <si>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</si>
  <si>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</si>
  <si>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</si>
  <si>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</si>
  <si>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</si>
  <si>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</si>
  <si>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</si>
  <si>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</si>
  <si>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</si>
  <si>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</si>
  <si>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</si>
  <si>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</si>
  <si>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</si>
  <si>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</si>
  <si>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</si>
  <si>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</si>
  <si>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</si>
  <si>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</si>
  <si>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</si>
  <si>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</si>
  <si>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</si>
  <si>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</si>
  <si>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</si>
  <si>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</si>
  <si>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</si>
  <si>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</si>
  <si>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</si>
  <si>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</si>
  <si>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</si>
  <si>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</si>
  <si>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</si>
  <si>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</si>
  <si>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</si>
  <si>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</si>
  <si>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</si>
  <si>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</si>
  <si>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</si>
  <si>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</si>
  <si>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</si>
  <si>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</si>
  <si>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</si>
  <si>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</si>
  <si>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</si>
  <si>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</si>
  <si>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</si>
  <si>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</si>
  <si>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</si>
  <si>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</si>
  <si>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</si>
  <si>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</si>
  <si>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</si>
  <si>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</si>
  <si>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</si>
  <si>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</si>
  <si>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</si>
  <si>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</si>
  <si>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</si>
  <si>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</si>
  <si>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</si>
  <si>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</si>
  <si>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</si>
  <si>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</si>
  <si>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</si>
  <si>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</si>
  <si>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</si>
  <si>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</si>
  <si>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</si>
  <si>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</si>
  <si>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</si>
  <si>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</si>
  <si>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</si>
  <si>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</si>
  <si>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</si>
  <si>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</si>
  <si>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</si>
  <si>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</si>
  <si>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</si>
  <si>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</si>
  <si>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</si>
  <si>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</si>
  <si>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</si>
  <si>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</si>
  <si>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</si>
  <si>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</si>
  <si>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</si>
  <si>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</si>
  <si>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</si>
  <si>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</si>
  <si>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</si>
  <si>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</si>
  <si>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</si>
  <si>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</si>
  <si>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</si>
  <si>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</si>
  <si>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</si>
  <si>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</si>
  <si>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</si>
  <si>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</si>
  <si>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</si>
  <si>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</si>
  <si>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</si>
  <si>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</si>
  <si>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</si>
  <si>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</si>
  <si>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</si>
  <si>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</si>
  <si>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</si>
  <si>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</si>
  <si>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</si>
  <si>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</si>
  <si>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</si>
  <si>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</si>
  <si>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</si>
  <si>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</si>
  <si>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</si>
  <si>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</si>
  <si>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</si>
  <si>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</si>
  <si>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</si>
  <si>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</si>
  <si>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</si>
  <si>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</si>
  <si>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</si>
  <si>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</si>
  <si>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</si>
  <si>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</si>
  <si>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</si>
  <si>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</si>
  <si>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</si>
  <si>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</si>
  <si>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</si>
  <si>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</si>
  <si>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</si>
  <si>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</si>
  <si>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</si>
  <si>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</si>
  <si>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</si>
  <si>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</si>
  <si>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</si>
  <si>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</si>
  <si>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</si>
  <si>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</si>
  <si>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</si>
  <si>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</si>
  <si>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</si>
  <si>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</si>
  <si>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</si>
  <si>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</si>
  <si>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</si>
  <si>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</si>
  <si>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</si>
  <si>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</si>
  <si>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</si>
  <si>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</si>
  <si>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</si>
  <si>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</si>
  <si>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</si>
  <si>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</si>
  <si>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</si>
  <si>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</si>
  <si>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</si>
  <si>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</si>
  <si>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</si>
  <si>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</si>
  <si>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</si>
  <si>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</si>
  <si>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</si>
  <si>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</si>
  <si>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</si>
  <si>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</si>
  <si>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</si>
  <si>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</si>
  <si>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</si>
  <si>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</si>
  <si>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</si>
  <si>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</si>
  <si>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</si>
  <si>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</si>
  <si>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</si>
  <si>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</si>
  <si>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</si>
  <si>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</si>
  <si>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</si>
  <si>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</si>
  <si>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</si>
  <si>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</si>
  <si>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</si>
  <si>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</si>
  <si>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</si>
  <si>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</si>
  <si>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</si>
  <si>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</si>
  <si>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</si>
  <si>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</si>
  <si>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</si>
  <si>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</si>
  <si>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</si>
  <si>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</si>
  <si>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</si>
  <si>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</si>
  <si>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</si>
  <si>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</si>
  <si>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</si>
  <si>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</si>
  <si>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</si>
  <si>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</si>
  <si>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</si>
  <si>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</si>
  <si>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</si>
  <si>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</si>
  <si>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</si>
  <si>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</si>
  <si>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</si>
  <si>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</si>
  <si>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</si>
  <si>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</si>
  <si>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</si>
  <si>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</si>
  <si>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</si>
  <si>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</si>
  <si>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</si>
  <si>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</si>
  <si>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</si>
  <si>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</si>
  <si>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</si>
  <si>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</si>
  <si>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</si>
  <si>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</si>
  <si>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</si>
  <si>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</si>
  <si>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</si>
  <si>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</si>
  <si>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</si>
  <si>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</si>
  <si>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</si>
  <si>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</si>
  <si>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</si>
  <si>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</si>
  <si>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</si>
  <si>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</si>
  <si>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</si>
  <si>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</si>
  <si>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</si>
  <si>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</si>
  <si>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</si>
  <si>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</si>
  <si>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</si>
  <si>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</si>
  <si>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</si>
  <si>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</si>
  <si>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</si>
  <si>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</si>
  <si>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</si>
  <si>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</si>
  <si>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</si>
  <si>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</si>
  <si>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</si>
  <si>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</si>
  <si>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</si>
  <si>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</si>
  <si>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</si>
  <si>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</si>
  <si>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</si>
  <si>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</si>
  <si>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</si>
  <si>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</si>
  <si>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</si>
  <si>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</si>
  <si>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</si>
  <si>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</si>
  <si>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</si>
  <si>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</si>
  <si>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</si>
  <si>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</si>
  <si>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</si>
  <si>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</si>
  <si>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</si>
  <si>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</si>
  <si>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</si>
  <si>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</si>
  <si>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</si>
  <si>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</si>
  <si>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</si>
  <si>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</si>
  <si>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</si>
  <si>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</si>
  <si>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</si>
  <si>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</si>
  <si>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</si>
  <si>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</si>
  <si>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</si>
  <si>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</si>
  <si>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</si>
  <si>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</si>
  <si>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</si>
  <si>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</si>
  <si>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</si>
  <si>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</si>
  <si>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</si>
  <si>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</si>
  <si>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</si>
  <si>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</si>
  <si>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</si>
  <si>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</si>
  <si>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</si>
  <si>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</si>
  <si>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</si>
  <si>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</si>
  <si>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</si>
  <si>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</si>
  <si>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</si>
  <si>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</si>
  <si>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</si>
  <si>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</si>
  <si>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</si>
  <si>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</si>
  <si>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</si>
  <si>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</si>
  <si>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</si>
  <si>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</si>
  <si>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</si>
  <si>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</si>
  <si>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</si>
  <si>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</si>
  <si>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</si>
  <si>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</si>
  <si>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</si>
  <si>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</si>
  <si>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</si>
  <si>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</si>
  <si>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</si>
  <si>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</si>
  <si>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</si>
  <si>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</si>
  <si>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</si>
  <si>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</si>
  <si>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</si>
  <si>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</si>
  <si>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</si>
  <si>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</si>
  <si>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</si>
  <si>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</si>
  <si>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</si>
  <si>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</si>
  <si>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</si>
  <si>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</si>
  <si>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</si>
  <si>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</si>
  <si>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</si>
  <si>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</si>
  <si>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</si>
  <si>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</si>
  <si>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</si>
  <si>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</si>
  <si>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</si>
  <si>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</si>
  <si>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</si>
  <si>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</si>
  <si>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</si>
  <si>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</si>
  <si>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</si>
  <si>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</si>
  <si>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</si>
  <si>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</si>
  <si>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</si>
  <si>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</si>
  <si>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</si>
  <si>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</si>
  <si>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</si>
  <si>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</si>
  <si>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</si>
  <si>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</si>
  <si>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</si>
  <si>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</si>
  <si>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</si>
  <si>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</si>
  <si>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</si>
  <si>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</si>
  <si>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</si>
  <si>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</si>
  <si>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</si>
  <si>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</si>
  <si>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</si>
  <si>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</si>
  <si>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</si>
  <si>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</si>
  <si>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</si>
  <si>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</si>
  <si>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</si>
  <si>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</si>
  <si>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</si>
  <si>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</si>
  <si>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</si>
  <si>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</si>
  <si>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</si>
  <si>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</si>
  <si>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</si>
  <si>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</si>
  <si>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</si>
  <si>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</si>
  <si>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</si>
  <si>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</si>
  <si>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</si>
  <si>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</si>
  <si>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</si>
  <si>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</si>
  <si>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</si>
  <si>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</si>
  <si>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</si>
  <si>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</si>
  <si>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</si>
  <si>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</si>
  <si>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</si>
  <si>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</si>
  <si>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</si>
  <si>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</si>
  <si>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</si>
  <si>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</si>
  <si>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</si>
  <si>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</si>
  <si>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</si>
  <si>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</si>
  <si>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</si>
  <si>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</si>
  <si>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</si>
  <si>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</si>
  <si>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</si>
  <si>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</si>
  <si>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</si>
  <si>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</si>
  <si>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</si>
  <si>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</si>
  <si>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</si>
  <si>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</si>
  <si>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</si>
  <si>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</si>
  <si>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</si>
  <si>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</si>
  <si>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</si>
  <si>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</si>
  <si>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</si>
  <si>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</si>
  <si>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</si>
  <si>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</si>
  <si>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</si>
  <si>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</si>
  <si>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</si>
  <si>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</si>
  <si>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</si>
  <si>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</si>
  <si>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</si>
  <si>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</si>
  <si>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</si>
  <si>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</si>
  <si>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</si>
  <si>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</si>
  <si>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</si>
  <si>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</si>
  <si>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</si>
  <si>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</si>
  <si>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</si>
  <si>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</si>
  <si>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</si>
  <si>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</si>
  <si>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</si>
  <si>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</si>
  <si>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</si>
  <si>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</si>
  <si>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</si>
  <si>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</si>
  <si>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</si>
  <si>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</si>
  <si>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</si>
  <si>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</si>
  <si>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</si>
  <si>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</si>
  <si>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</si>
  <si>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</si>
  <si>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</si>
  <si>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</si>
  <si>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</si>
  <si>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</si>
  <si>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</si>
  <si>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</si>
  <si>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</si>
  <si>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</si>
  <si>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</si>
  <si>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</si>
  <si>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</si>
  <si>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</si>
  <si>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</si>
  <si>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</si>
  <si>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</si>
  <si>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</si>
  <si>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</si>
  <si>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</si>
  <si>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</si>
  <si>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</si>
  <si>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</si>
  <si>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</si>
  <si>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</si>
  <si>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</si>
  <si>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</si>
  <si>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</si>
  <si>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</si>
  <si>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</si>
  <si>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</si>
  <si>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</si>
  <si>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</si>
  <si>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</si>
  <si>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</si>
  <si>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</si>
  <si>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</si>
  <si>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</si>
  <si>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</si>
  <si>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</si>
  <si>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</si>
  <si>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</si>
  <si>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</si>
  <si>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</si>
  <si>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</si>
  <si>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</si>
  <si>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</si>
  <si>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</si>
  <si>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</si>
  <si>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</si>
  <si>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</si>
  <si>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</si>
  <si>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</si>
  <si>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</si>
  <si>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</si>
  <si>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</si>
  <si>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</si>
  <si>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</si>
  <si>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</si>
  <si>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</si>
  <si>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</si>
  <si>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</si>
  <si>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</si>
  <si>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</si>
  <si>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</si>
  <si>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</si>
  <si>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</si>
  <si>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</si>
  <si>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</si>
  <si>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</si>
  <si>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</si>
  <si>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</si>
  <si>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</si>
  <si>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</si>
  <si>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</si>
  <si>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</si>
  <si>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</si>
  <si>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</si>
  <si>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</si>
  <si>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</si>
  <si>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</si>
  <si>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</si>
  <si>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</si>
  <si>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</si>
  <si>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</si>
  <si>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</si>
  <si>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</si>
  <si>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</si>
  <si>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</si>
  <si>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</si>
  <si>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</si>
  <si>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</si>
  <si>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</si>
  <si>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</si>
  <si>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</si>
  <si>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</si>
  <si>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</si>
  <si>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</si>
  <si>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</si>
  <si>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</si>
  <si>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</si>
  <si>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</si>
  <si>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</si>
  <si>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</si>
  <si>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</si>
  <si>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</si>
  <si>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</si>
  <si>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</si>
  <si>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</si>
  <si>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</si>
  <si>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</si>
  <si>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</si>
  <si>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</si>
  <si>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</si>
  <si>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</si>
  <si>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</si>
  <si>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</si>
  <si>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</si>
  <si>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</si>
  <si>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</si>
  <si>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</si>
  <si>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</si>
  <si>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</si>
  <si>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</si>
  <si>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</si>
  <si>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</si>
  <si>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</si>
  <si>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</si>
  <si>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</si>
  <si>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</si>
  <si>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</si>
  <si>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</si>
  <si>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</si>
  <si>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</si>
  <si>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</si>
  <si>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</si>
  <si>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</si>
  <si>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</si>
  <si>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</si>
  <si>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</si>
  <si>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</si>
  <si>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</si>
  <si>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</si>
  <si>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</si>
  <si>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</si>
  <si>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</si>
  <si>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</si>
  <si>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</si>
  <si>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</si>
  <si>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</si>
  <si>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</si>
  <si>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</si>
  <si>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</si>
  <si>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</si>
  <si>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</si>
  <si>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</si>
  <si>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</si>
  <si>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</si>
  <si>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</si>
  <si>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</si>
  <si>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</si>
  <si>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</si>
  <si>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</si>
  <si>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</si>
  <si>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</si>
  <si>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</si>
  <si>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</si>
  <si>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</si>
  <si>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</si>
  <si>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</si>
  <si>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</si>
  <si>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</si>
  <si>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</si>
  <si>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</si>
  <si>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</si>
  <si>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</si>
  <si>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</si>
  <si>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</si>
  <si>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</si>
  <si>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</si>
  <si>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</si>
  <si>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</si>
  <si>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</si>
  <si>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</si>
  <si>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</si>
  <si>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</si>
  <si>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</si>
  <si>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</si>
  <si>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</si>
  <si>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</si>
  <si>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</si>
  <si>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</si>
  <si>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</si>
  <si>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</si>
  <si>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</si>
  <si>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</si>
  <si>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</si>
  <si>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</si>
  <si>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</si>
  <si>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</si>
  <si>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</si>
  <si>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</si>
  <si>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</si>
  <si>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</si>
  <si>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</si>
  <si>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</si>
  <si>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</si>
  <si>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</si>
  <si>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</si>
  <si>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</si>
  <si>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</si>
  <si>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</si>
  <si>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</si>
  <si>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</si>
  <si>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</si>
  <si>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</si>
  <si>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</si>
  <si>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</si>
  <si>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</si>
  <si>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</si>
  <si>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</si>
  <si>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</si>
  <si>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</si>
  <si>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</si>
  <si>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</si>
  <si>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</si>
  <si>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</si>
  <si>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</si>
  <si>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</si>
  <si>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</si>
  <si>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</si>
  <si>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</si>
  <si>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</si>
  <si>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</si>
  <si>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</si>
  <si>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</si>
  <si>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</si>
  <si>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</si>
  <si>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</si>
  <si>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</si>
  <si>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</si>
  <si>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</si>
  <si>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</si>
  <si>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</si>
  <si>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</si>
  <si>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</si>
  <si>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</si>
  <si>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</si>
  <si>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</si>
  <si>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</si>
  <si>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</si>
  <si>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</si>
  <si>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</si>
  <si>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</si>
  <si>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</si>
  <si>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</si>
  <si>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</si>
  <si>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</si>
  <si>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</si>
  <si>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</si>
  <si>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</si>
  <si>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</si>
  <si>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</si>
  <si>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</si>
  <si>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</si>
  <si>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</si>
  <si>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</si>
  <si>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</si>
  <si>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</si>
  <si>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</si>
  <si>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</si>
  <si>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</si>
  <si>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</si>
  <si>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</si>
  <si>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</si>
  <si>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</si>
  <si>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</si>
  <si>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</si>
  <si>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</si>
  <si>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</si>
  <si>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</si>
  <si>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</si>
  <si>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</si>
  <si>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</si>
  <si>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</si>
  <si>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</si>
  <si>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</si>
  <si>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</si>
  <si>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</si>
  <si>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</si>
  <si>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</si>
  <si>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</si>
  <si>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</si>
  <si>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</si>
  <si>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</si>
  <si>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</si>
  <si>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</si>
  <si>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</si>
  <si>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</si>
  <si>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</si>
  <si>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</si>
  <si>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</si>
  <si>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</si>
  <si>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</si>
  <si>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</si>
  <si>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</si>
  <si>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</si>
  <si>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</si>
  <si>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</si>
  <si>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</si>
  <si>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</si>
  <si>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</si>
  <si>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</si>
  <si>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</si>
  <si>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</si>
  <si>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</si>
  <si>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</si>
  <si>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</si>
  <si>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</si>
  <si>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</si>
  <si>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</si>
  <si>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</si>
  <si>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</si>
  <si>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</si>
  <si>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</si>
  <si>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</si>
  <si>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</si>
  <si>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</si>
  <si>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</si>
  <si>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</si>
  <si>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</si>
  <si>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</si>
  <si>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</si>
  <si>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</si>
  <si>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</si>
  <si>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</si>
  <si>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</si>
  <si>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</si>
  <si>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</si>
  <si>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</si>
  <si>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</si>
  <si>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</si>
  <si>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</si>
  <si>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</si>
  <si>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</si>
  <si>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</si>
  <si>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</si>
  <si>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</si>
  <si>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</si>
  <si>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</si>
  <si>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</si>
  <si>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</si>
  <si>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</si>
  <si>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</si>
  <si>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</si>
  <si>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</si>
  <si>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</si>
  <si>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</si>
  <si>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</si>
  <si>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</si>
  <si>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</si>
  <si>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</si>
  <si>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</si>
  <si>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</si>
  <si>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</si>
  <si>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</si>
  <si>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</si>
  <si>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</si>
  <si>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</si>
  <si>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</si>
  <si>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</si>
  <si>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</si>
  <si>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</si>
  <si>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</si>
  <si>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</si>
  <si>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</si>
  <si>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</si>
  <si>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</si>
  <si>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</si>
  <si>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</si>
  <si>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</si>
  <si>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</si>
  <si>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</si>
  <si>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</si>
  <si>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</si>
  <si>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</si>
  <si>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</si>
  <si>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</si>
  <si>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</si>
  <si>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</si>
  <si>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</si>
  <si>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</si>
  <si>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</si>
  <si>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</si>
  <si>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</si>
  <si>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</si>
  <si>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</si>
  <si>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</si>
  <si>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</si>
  <si>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</si>
  <si>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</si>
  <si>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</si>
  <si>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</si>
  <si>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</si>
  <si>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</si>
  <si>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</si>
  <si>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</si>
  <si>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</si>
  <si>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</si>
  <si>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</si>
  <si>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</si>
  <si>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</si>
  <si>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</si>
  <si>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</si>
  <si>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</si>
  <si>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</si>
  <si>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</si>
  <si>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</si>
  <si>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</si>
  <si>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</si>
  <si>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</si>
  <si>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</si>
  <si>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</si>
  <si>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</si>
  <si>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</si>
  <si>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</si>
  <si>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</si>
  <si>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</si>
  <si>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</si>
  <si>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</si>
  <si>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</si>
  <si>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</si>
  <si>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</si>
  <si>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</si>
  <si>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</si>
  <si>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</si>
  <si>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</si>
  <si>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</si>
  <si>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</si>
  <si>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</si>
  <si>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</si>
  <si>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</si>
  <si>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</si>
  <si>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</si>
  <si>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</si>
  <si>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</si>
  <si>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</si>
  <si>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</si>
  <si>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</si>
  <si>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</si>
  <si>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</si>
  <si>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</si>
  <si>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</si>
  <si>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</si>
  <si>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</si>
  <si>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</si>
  <si>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</si>
  <si>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</si>
  <si>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</si>
  <si>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</si>
  <si>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</si>
  <si>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</si>
  <si>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</si>
  <si>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</si>
  <si>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</si>
  <si>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</si>
  <si>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</si>
  <si>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</si>
  <si>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</si>
  <si>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</si>
  <si>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</si>
  <si>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</si>
  <si>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</si>
  <si>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</si>
  <si>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</si>
  <si>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</si>
  <si>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</si>
  <si>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</si>
  <si>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</si>
  <si>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</si>
  <si>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</si>
  <si>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</si>
  <si>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</si>
  <si>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</si>
  <si>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</si>
  <si>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</si>
  <si>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</si>
  <si>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</si>
  <si>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</si>
  <si>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</si>
  <si>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</si>
  <si>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</si>
  <si>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</si>
  <si>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</si>
  <si>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</si>
  <si>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</si>
  <si>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</si>
  <si>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</si>
  <si>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</si>
  <si>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</si>
  <si>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</si>
  <si>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</si>
  <si>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</si>
  <si>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</si>
  <si>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</si>
  <si>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</si>
  <si>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</si>
  <si>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</si>
  <si>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</si>
  <si>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</si>
  <si>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</si>
  <si>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</si>
  <si>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</si>
  <si>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</si>
  <si>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</si>
  <si>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</si>
  <si>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</si>
  <si>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</si>
  <si>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</si>
  <si>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</si>
  <si>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</si>
  <si>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</si>
  <si>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</si>
  <si>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</si>
  <si>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</si>
  <si>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</si>
  <si>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</si>
  <si>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</si>
  <si>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</si>
  <si>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</si>
  <si>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</si>
  <si>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</si>
  <si>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</si>
  <si>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</si>
  <si>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</si>
  <si>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</si>
  <si>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</si>
  <si>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</si>
  <si>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</si>
  <si>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</si>
  <si>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</si>
  <si>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</si>
  <si>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</si>
  <si>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</si>
  <si>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</si>
  <si>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</si>
  <si>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</si>
  <si>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</si>
  <si>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</si>
  <si>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</si>
  <si>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</si>
  <si>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</si>
  <si>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</si>
  <si>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</si>
  <si>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</si>
  <si>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</si>
  <si>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</si>
  <si>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</si>
  <si>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</si>
  <si>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</si>
  <si>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</si>
  <si>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</si>
  <si>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</si>
  <si>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</si>
  <si>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</si>
  <si>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</si>
  <si>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</si>
  <si>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</si>
  <si>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</si>
  <si>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</si>
  <si>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</si>
  <si>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</si>
  <si>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</si>
  <si>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</si>
  <si>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</si>
  <si>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</si>
  <si>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</si>
  <si>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</si>
  <si>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</si>
  <si>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</si>
  <si>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</si>
  <si>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</si>
  <si>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</si>
  <si>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</si>
  <si>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</si>
  <si>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</si>
  <si>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</si>
  <si>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</si>
  <si>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</si>
  <si>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</si>
  <si>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</si>
  <si>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</si>
  <si>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</si>
  <si>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</si>
  <si>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</si>
  <si>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</si>
  <si>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</si>
  <si>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</si>
  <si>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</si>
  <si>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</si>
  <si>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</si>
  <si>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</si>
  <si>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</si>
  <si>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</si>
  <si>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</si>
  <si>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</si>
  <si>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</si>
  <si>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</si>
  <si>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</si>
  <si>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</si>
  <si>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</si>
  <si>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</si>
  <si>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</si>
  <si>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</si>
  <si>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</si>
  <si>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</si>
  <si>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</si>
  <si>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</si>
  <si>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</si>
  <si>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</si>
  <si>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</si>
  <si>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</si>
  <si>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</si>
  <si>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</si>
  <si>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</si>
  <si>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</si>
  <si>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</si>
  <si>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</si>
  <si>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</si>
  <si>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</si>
  <si>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</si>
  <si>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</si>
  <si>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</si>
  <si>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</si>
  <si>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</si>
  <si>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</si>
  <si>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</si>
  <si>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</si>
  <si>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</si>
  <si>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</si>
  <si>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</si>
  <si>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</si>
  <si>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</si>
  <si>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</si>
  <si>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</si>
  <si>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</si>
  <si>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</si>
  <si>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</si>
  <si>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</si>
  <si>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</si>
  <si>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</si>
  <si>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</si>
  <si>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</si>
  <si>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</si>
  <si>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</si>
  <si>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</si>
  <si>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</si>
  <si>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</si>
  <si>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</si>
  <si>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</si>
  <si>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</si>
  <si>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</si>
  <si>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</si>
  <si>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</si>
  <si>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</si>
  <si>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</si>
  <si>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</si>
  <si>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</si>
  <si>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</si>
  <si>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</si>
  <si>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</si>
  <si>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</si>
  <si>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</si>
  <si>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</si>
  <si>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</si>
  <si>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</si>
  <si>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</si>
  <si>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</si>
  <si>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</si>
  <si>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</si>
  <si>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</si>
  <si>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</si>
  <si>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</si>
  <si>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</si>
  <si>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</si>
  <si>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</si>
  <si>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</si>
  <si>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</si>
  <si>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</si>
  <si>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</si>
  <si>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</si>
  <si>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</si>
  <si>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</si>
  <si>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</si>
  <si>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</si>
  <si>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</si>
  <si>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</si>
  <si>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</si>
  <si>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</si>
  <si>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</si>
  <si>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</si>
  <si>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</si>
  <si>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</si>
  <si>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</si>
  <si>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</si>
  <si>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</si>
  <si>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</si>
  <si>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</si>
  <si>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</si>
  <si>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</si>
  <si>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</si>
  <si>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</si>
  <si>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</si>
  <si>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</si>
  <si>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</si>
  <si>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</si>
  <si>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</si>
  <si>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</si>
  <si>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</si>
  <si>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</si>
  <si>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</si>
  <si>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</si>
  <si>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</si>
  <si>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</si>
  <si>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</si>
  <si>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</si>
  <si>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</si>
  <si>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</si>
  <si>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</si>
  <si>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</si>
  <si>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</si>
  <si>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</si>
  <si>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</si>
  <si>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</si>
  <si>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</si>
  <si>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</si>
  <si>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</si>
  <si>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</si>
  <si>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</si>
  <si>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</si>
  <si>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</si>
  <si>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</si>
  <si>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</si>
  <si>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</si>
  <si>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</si>
  <si>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</si>
  <si>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</si>
  <si>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</si>
  <si>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</si>
  <si>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</si>
  <si>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</si>
  <si>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</si>
  <si>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</si>
  <si>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</si>
  <si>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</si>
  <si>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</si>
  <si>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</si>
  <si>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</si>
  <si>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</si>
  <si>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</si>
  <si>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</si>
  <si>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</si>
  <si>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</si>
  <si>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</si>
  <si>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</si>
  <si>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</si>
  <si>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</si>
  <si>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</si>
  <si>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</si>
  <si>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</si>
  <si>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</si>
  <si>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</si>
  <si>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</si>
  <si>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</si>
  <si>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</si>
  <si>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</si>
  <si>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</si>
  <si>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</si>
  <si>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</si>
  <si>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</si>
  <si>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</si>
  <si>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</si>
  <si>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</si>
  <si>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</si>
  <si>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</si>
  <si>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</si>
  <si>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</si>
  <si>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</si>
  <si>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</si>
  <si>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</si>
  <si>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</si>
  <si>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</si>
  <si>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</si>
  <si>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</si>
  <si>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</si>
  <si>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</si>
  <si>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</si>
  <si>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</si>
  <si>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</si>
  <si>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</si>
  <si>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</si>
  <si>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</si>
  <si>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</si>
  <si>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</si>
  <si>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</si>
  <si>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</si>
  <si>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</si>
  <si>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</si>
  <si>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</si>
  <si>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</si>
  <si>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</si>
  <si>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</si>
  <si>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</si>
  <si>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</si>
  <si>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</si>
  <si>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</si>
  <si>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</si>
  <si>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</si>
  <si>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</si>
  <si>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</si>
  <si>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</si>
  <si>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</si>
  <si>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</si>
  <si>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</si>
  <si>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</si>
  <si>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</si>
  <si>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</si>
  <si>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</si>
  <si>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</si>
  <si>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</si>
  <si>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</si>
  <si>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</si>
  <si>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</si>
  <si>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</si>
  <si>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</si>
  <si>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</si>
  <si>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</si>
  <si>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</si>
  <si>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</si>
  <si>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</si>
  <si>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</si>
  <si>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</si>
  <si>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</si>
  <si>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</si>
  <si>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</si>
  <si>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</si>
  <si>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</si>
  <si>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</si>
  <si>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</si>
  <si>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</si>
  <si>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</si>
  <si>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</si>
  <si>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</si>
  <si>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</si>
  <si>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</si>
  <si>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</si>
  <si>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</si>
  <si>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</si>
  <si>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</si>
  <si>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</si>
  <si>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</si>
  <si>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</si>
  <si>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</si>
  <si>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</si>
  <si>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</si>
  <si>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</si>
  <si>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</si>
  <si>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</si>
  <si>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</si>
  <si>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</si>
  <si>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</si>
  <si>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</si>
  <si>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</si>
  <si>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</si>
  <si>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</si>
  <si>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</si>
  <si>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</si>
  <si>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</si>
  <si>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</si>
  <si>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</si>
  <si>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</si>
  <si>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</si>
  <si>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</si>
  <si>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</si>
  <si>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</si>
  <si>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</si>
  <si>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</si>
  <si>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</si>
  <si>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</si>
  <si>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</si>
  <si>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</si>
  <si>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</si>
  <si>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</si>
  <si>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</si>
  <si>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</si>
  <si>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</si>
  <si>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</si>
  <si>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</si>
  <si>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</si>
  <si>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</si>
  <si>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</si>
  <si>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</si>
  <si>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</si>
  <si>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</si>
  <si>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</si>
  <si>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</si>
  <si>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</si>
  <si>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</si>
  <si>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</si>
  <si>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</si>
  <si>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</si>
  <si>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</si>
  <si>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</si>
  <si>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</si>
  <si>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</si>
  <si>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</si>
  <si>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</si>
  <si>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</si>
  <si>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</si>
  <si>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</si>
  <si>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</si>
  <si>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</si>
  <si>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</si>
  <si>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</si>
  <si>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</si>
  <si>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</si>
  <si>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</si>
  <si>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</si>
  <si>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</si>
  <si>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</si>
  <si>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</si>
  <si>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</si>
  <si>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</si>
  <si>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</si>
  <si>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</si>
  <si>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</si>
  <si>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</si>
  <si>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</si>
  <si>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</si>
  <si>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</si>
  <si>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</si>
  <si>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</si>
  <si>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</si>
  <si>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</si>
  <si>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</si>
  <si>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</si>
  <si>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</si>
  <si>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</si>
  <si>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</si>
  <si>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</si>
  <si>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</si>
  <si>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</si>
  <si>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</si>
  <si>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</si>
  <si>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</si>
  <si>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</si>
  <si>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</si>
  <si>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</si>
  <si>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</si>
  <si>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</si>
  <si>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</si>
  <si>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</si>
  <si>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</si>
  <si>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</si>
  <si>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</si>
  <si>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</si>
  <si>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</si>
  <si>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</si>
  <si>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</si>
  <si>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</si>
  <si>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</si>
  <si>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</si>
  <si>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</si>
  <si>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</si>
  <si>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</si>
  <si>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</si>
  <si>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</si>
  <si>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</si>
  <si>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</si>
  <si>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</si>
  <si>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</si>
  <si>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</si>
  <si>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</si>
  <si>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</si>
  <si>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</si>
  <si>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</si>
  <si>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</si>
  <si>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</si>
  <si>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</si>
  <si>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</si>
  <si>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</si>
  <si>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</si>
  <si>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</si>
  <si>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</si>
  <si>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</si>
  <si>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</si>
  <si>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</si>
  <si>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</si>
  <si>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</si>
  <si>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</si>
  <si>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</si>
  <si>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</si>
  <si>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</si>
  <si>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</si>
  <si>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</si>
  <si>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</si>
  <si>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</si>
  <si>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</si>
  <si>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</si>
  <si>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</si>
  <si>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</si>
  <si>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</si>
  <si>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</si>
  <si>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</si>
  <si>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</si>
  <si>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</si>
  <si>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</si>
  <si>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</si>
  <si>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</si>
  <si>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</si>
  <si>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</si>
  <si>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</si>
  <si>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</si>
  <si>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</si>
  <si>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</si>
  <si>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</si>
  <si>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</si>
  <si>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</si>
  <si>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</si>
  <si>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</si>
  <si>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</si>
  <si>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</si>
  <si>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</si>
  <si>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</si>
  <si>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</si>
  <si>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</si>
  <si>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</si>
  <si>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</si>
  <si>
    <t>20, 21, 23, 27, 28 e 30/07/2026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</si>
</sst>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63" zoomScaleNormal="100" workbookViewId="0">
      <pane xSplit="3" topLeftCell="D1" activePane="topRight" state="frozen"/>
      <selection pane="topRight" activeCell="E685" sqref="E685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449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9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2748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2748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2959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2756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2964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2775</v>
      </c>
      <c r="E687" s="211" t="s">
        <v>2776</v>
      </c>
      <c r="F687" s="212" t="s">
        <v>23</v>
      </c>
      <c r="G687" s="209" t="s">
        <v>67</v>
      </c>
      <c r="H687" s="213" t="s">
        <v>2777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2778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2779</v>
      </c>
      <c r="E688" s="240" t="s">
        <v>2780</v>
      </c>
      <c r="F688" s="221" t="s">
        <v>80</v>
      </c>
      <c r="G688" s="218" t="s">
        <v>2725</v>
      </c>
      <c r="H688" s="222" t="s">
        <v>2781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2782</v>
      </c>
      <c r="E689" s="245" t="s">
        <v>2783</v>
      </c>
      <c r="F689" s="212" t="s">
        <v>23</v>
      </c>
      <c r="G689" s="209" t="s">
        <v>2709</v>
      </c>
      <c r="H689" s="247" t="s">
        <v>2784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2748</v>
      </c>
      <c r="D690" s="219" t="s">
        <v>2782</v>
      </c>
      <c r="E690" s="246" t="s">
        <v>2785</v>
      </c>
      <c r="F690" s="221" t="s">
        <v>23</v>
      </c>
      <c r="G690" s="218" t="s">
        <v>2709</v>
      </c>
      <c r="H690" s="248" t="s">
        <v>2786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2787</v>
      </c>
      <c r="E691" s="245" t="s">
        <v>2667</v>
      </c>
      <c r="F691" s="212" t="s">
        <v>23</v>
      </c>
      <c r="G691" s="209" t="s">
        <v>37</v>
      </c>
      <c r="H691" s="213" t="s">
        <v>2788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2789</v>
      </c>
      <c r="E692" s="246" t="s">
        <v>2790</v>
      </c>
      <c r="F692" s="221" t="s">
        <v>23</v>
      </c>
      <c r="G692" s="218" t="s">
        <v>363</v>
      </c>
      <c r="H692" s="222" t="s">
        <v>2791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2792</v>
      </c>
      <c r="E693" s="245" t="s">
        <v>2793</v>
      </c>
      <c r="F693" s="212" t="s">
        <v>23</v>
      </c>
      <c r="G693" s="209" t="s">
        <v>24</v>
      </c>
      <c r="H693" s="213" t="s">
        <v>2794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2795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2796</v>
      </c>
      <c r="E694" s="220" t="s">
        <v>2797</v>
      </c>
      <c r="F694" s="221" t="s">
        <v>61</v>
      </c>
      <c r="G694" s="218" t="s">
        <v>2688</v>
      </c>
      <c r="H694" s="222" t="s">
        <v>2798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2799</v>
      </c>
      <c r="E695" s="211" t="s">
        <v>2800</v>
      </c>
      <c r="F695" s="212" t="s">
        <v>80</v>
      </c>
      <c r="G695" s="261" t="s">
        <v>2725</v>
      </c>
      <c r="H695" s="213" t="s">
        <v>2801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2802</v>
      </c>
      <c r="E696" s="220" t="s">
        <v>2803</v>
      </c>
      <c r="F696" s="221" t="s">
        <v>80</v>
      </c>
      <c r="G696" s="270" t="s">
        <v>2725</v>
      </c>
      <c r="H696" s="222" t="s">
        <v>2804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2805</v>
      </c>
      <c r="E697" s="211" t="s">
        <v>2806</v>
      </c>
      <c r="F697" s="212" t="s">
        <v>80</v>
      </c>
      <c r="G697" s="261" t="s">
        <v>2725</v>
      </c>
      <c r="H697" s="213" t="s">
        <v>2807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2808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2809</v>
      </c>
      <c r="E698" s="220" t="s">
        <v>2810</v>
      </c>
      <c r="F698" s="221" t="s">
        <v>23</v>
      </c>
      <c r="G698" s="218" t="s">
        <v>24</v>
      </c>
      <c r="H698" s="222" t="s">
        <v>2798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2811</v>
      </c>
      <c r="E699" s="211" t="s">
        <v>2812</v>
      </c>
      <c r="F699" s="212" t="s">
        <v>23</v>
      </c>
      <c r="G699" s="209" t="s">
        <v>67</v>
      </c>
      <c r="H699" s="213" t="s">
        <v>2813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2814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2815</v>
      </c>
      <c r="E700" s="220" t="s">
        <v>2816</v>
      </c>
      <c r="F700" s="221" t="s">
        <v>61</v>
      </c>
      <c r="G700" s="218" t="s">
        <v>71</v>
      </c>
      <c r="H700" s="222" t="s">
        <v>2817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2818</v>
      </c>
      <c r="E701" s="211" t="s">
        <v>2819</v>
      </c>
      <c r="F701" s="212" t="s">
        <v>61</v>
      </c>
      <c r="G701" s="209" t="s">
        <v>71</v>
      </c>
      <c r="H701" s="213" t="s">
        <v>2951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2820</v>
      </c>
      <c r="E702" s="220" t="s">
        <v>2821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2822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2952</v>
      </c>
      <c r="E703" s="211" t="s">
        <v>2953</v>
      </c>
      <c r="F703" s="212" t="s">
        <v>61</v>
      </c>
      <c r="G703" s="209" t="s">
        <v>71</v>
      </c>
      <c r="H703" s="213" t="s">
        <v>2798</v>
      </c>
      <c r="I703" s="213" t="s">
        <v>2954</v>
      </c>
      <c r="J703" s="213" t="s">
        <v>2955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2956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2960</v>
      </c>
      <c r="E704" s="220" t="s">
        <v>2961</v>
      </c>
      <c r="F704" s="221" t="s">
        <v>61</v>
      </c>
      <c r="G704" s="218" t="s">
        <v>71</v>
      </c>
      <c r="H704" s="222" t="s">
        <v>2962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17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2823</v>
      </c>
      <c r="C1" s="96" t="s">
        <v>2824</v>
      </c>
      <c r="D1" s="96" t="s">
        <v>4</v>
      </c>
      <c r="E1" s="96" t="s">
        <v>2825</v>
      </c>
      <c r="F1" s="96" t="s">
        <v>19</v>
      </c>
      <c r="G1" s="96" t="s">
        <v>2826</v>
      </c>
      <c r="H1" s="96" t="s">
        <v>2827</v>
      </c>
      <c r="I1" s="96" t="s">
        <v>2828</v>
      </c>
      <c r="J1" s="96" t="s">
        <v>2829</v>
      </c>
      <c r="L1" s="129" t="s">
        <v>2830</v>
      </c>
      <c r="M1" s="100">
        <v>2026</v>
      </c>
      <c r="U1" s="162" t="s">
        <v>2831</v>
      </c>
      <c r="V1" s="161"/>
      <c r="X1" s="159" t="s">
        <v>2832</v>
      </c>
      <c r="Y1" s="107"/>
      <c r="Z1" s="107"/>
      <c r="AA1" s="107"/>
      <c r="AC1" s="254" t="s">
        <v>2833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2823</v>
      </c>
      <c r="Y2" s="160" t="s">
        <v>19</v>
      </c>
      <c r="Z2" s="160" t="s">
        <v>2834</v>
      </c>
      <c r="AA2" s="160" t="s">
        <v>2835</v>
      </c>
      <c r="AC2" s="255" t="s">
        <v>1</v>
      </c>
      <c r="AD2" s="255" t="s">
        <v>2836</v>
      </c>
      <c r="AE2" s="255" t="s">
        <v>2837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2838</v>
      </c>
      <c r="M3" s="19" t="s">
        <v>2839</v>
      </c>
      <c r="N3" s="19" t="s">
        <v>2840</v>
      </c>
      <c r="O3" s="19" t="s">
        <v>2841</v>
      </c>
      <c r="P3" s="19" t="s">
        <v>2842</v>
      </c>
      <c r="Q3" s="19" t="s">
        <v>2843</v>
      </c>
      <c r="R3" s="19" t="s">
        <v>2844</v>
      </c>
      <c r="S3" s="19" t="s">
        <v>2845</v>
      </c>
      <c r="T3" s="19" t="s">
        <v>2846</v>
      </c>
      <c r="X3" t="s">
        <v>2847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2848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2849</v>
      </c>
      <c r="Y5" t="s">
        <v>2711</v>
      </c>
      <c r="Z5">
        <v>1</v>
      </c>
      <c r="AA5">
        <v>0.6</v>
      </c>
      <c r="AC5" s="249">
        <v>2026</v>
      </c>
      <c r="AD5" s="95" t="s">
        <v>2850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2849</v>
      </c>
      <c r="Y6" t="s">
        <v>2851</v>
      </c>
      <c r="Z6">
        <v>1</v>
      </c>
      <c r="AA6">
        <v>0</v>
      </c>
      <c r="AC6" s="249">
        <v>2026</v>
      </c>
      <c r="AD6" s="95" t="s">
        <v>2852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2853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2854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2854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2854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2854</v>
      </c>
      <c r="Y11" s="95" t="s">
        <v>2855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2854</v>
      </c>
      <c r="Y12" s="95" t="s">
        <v>2856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2857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2857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2857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2857</v>
      </c>
      <c r="Y16" s="95" t="s">
        <v>2855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2857</v>
      </c>
      <c r="Y17" s="95" t="s">
        <v>2856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2858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2858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2858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2858</v>
      </c>
      <c r="Y21" s="95" t="s">
        <v>2855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2858</v>
      </c>
      <c r="Y22" s="95" t="s">
        <v>2856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2859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2859</v>
      </c>
      <c r="Y24" s="95" t="s">
        <v>2851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2860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2860</v>
      </c>
      <c r="Y26" s="95" t="s">
        <v>2861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Em andamento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2862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2862</v>
      </c>
      <c r="Y28" s="95" t="s">
        <v>2851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2863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2863</v>
      </c>
      <c r="Y30" s="95" t="s">
        <v>2851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2864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2865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2865</v>
      </c>
      <c r="Y33" t="s">
        <v>2866</v>
      </c>
      <c r="Z33">
        <v>4</v>
      </c>
      <c r="AA33">
        <v>0.6</v>
      </c>
      <c r="AC33" s="251"/>
      <c r="AD33" s="252" t="s">
        <v>2867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2865</v>
      </c>
      <c r="Y34" t="s">
        <v>2868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2865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2865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2869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2869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2870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2871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2957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2957</v>
      </c>
      <c r="Y42" t="s">
        <v>2958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2963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2963</v>
      </c>
      <c r="Y44" s="95" t="s">
        <v>2851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Em andamento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Em andamento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2872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2873</v>
      </c>
      <c r="B4" s="282"/>
      <c r="D4" s="283" t="s">
        <v>2874</v>
      </c>
      <c r="E4" s="284"/>
      <c r="G4" s="125" t="s">
        <v>2875</v>
      </c>
    </row>
    <row r="5" spans="1:7" ht="54.95" customHeight="1" thickBot="1" x14ac:dyDescent="0.75">
      <c r="A5" s="115">
        <f>COUNTIF('Ações InCompany'!B:B,2026)</f>
        <v>48</v>
      </c>
      <c r="B5" s="116" t="s">
        <v>2876</v>
      </c>
      <c r="D5" s="123">
        <f>COUNTIFS('Ações InCompany'!B:B,2026,'Ações InCompany'!C:C,"Realizado")</f>
        <v>30</v>
      </c>
      <c r="E5" s="124" t="s">
        <v>2876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2877</v>
      </c>
      <c r="B8" s="278"/>
      <c r="D8" s="278" t="s">
        <v>2878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2879</v>
      </c>
      <c r="D10" s="108" t="s">
        <v>2880</v>
      </c>
      <c r="E10" s="108" t="s">
        <v>2881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2882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10</v>
      </c>
      <c r="D12" s="111" t="s">
        <v>2883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2884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2885</v>
      </c>
      <c r="B14" s="114">
        <f>SUM(B11:B13)</f>
        <v>30</v>
      </c>
      <c r="D14" s="113" t="s">
        <v>2886</v>
      </c>
      <c r="E14" s="114">
        <f>SUM(E11:E13)</f>
        <v>1254</v>
      </c>
    </row>
    <row r="30" spans="1:5" ht="17.25" x14ac:dyDescent="0.3">
      <c r="A30" s="278" t="s">
        <v>2887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2888</v>
      </c>
      <c r="C32" s="108" t="s">
        <v>2889</v>
      </c>
      <c r="D32" s="108" t="s">
        <v>2890</v>
      </c>
      <c r="E32" s="108" t="s">
        <v>2891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0.26190476190476192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7.1428571428571425E-2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0</v>
      </c>
      <c r="D35" s="117">
        <f t="shared" si="0"/>
        <v>4</v>
      </c>
      <c r="E35" s="118">
        <f t="shared" si="1"/>
        <v>9.5238095238095233E-2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2.3809523809523808E-2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4.7619047619047616E-2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0.16666666666666666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9.5238095238095233E-2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4.7619047619047616E-2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5</v>
      </c>
      <c r="C41" s="152">
        <f>COUNTIFS('Ações InCompany'!B:B,2026,'Ações InCompany'!C:C,"A realizar",'Ações InCompany'!G:G,A41)</f>
        <v>1</v>
      </c>
      <c r="D41" s="151">
        <f>B41+C41</f>
        <v>6</v>
      </c>
      <c r="E41" s="157">
        <f>D41/$D$45</f>
        <v>0.14285714285714285</v>
      </c>
    </row>
    <row r="42" spans="1:5" ht="24" customHeight="1" x14ac:dyDescent="0.25">
      <c r="A42" s="156" t="s">
        <v>2892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4.7619047619047616E-2</v>
      </c>
    </row>
    <row r="44" spans="1:5" ht="24" customHeight="1" x14ac:dyDescent="0.25">
      <c r="A44" s="148" t="s">
        <v>2893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2885</v>
      </c>
      <c r="B45" s="121">
        <f>SUM(B33:B44)</f>
        <v>30</v>
      </c>
      <c r="C45" s="121">
        <f>SUM(C33:C44)</f>
        <v>12</v>
      </c>
      <c r="D45" s="121">
        <f>SUM(D33:D44)</f>
        <v>42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2894</v>
      </c>
      <c r="B1" s="12" t="s">
        <v>2895</v>
      </c>
      <c r="C1" s="13" t="s">
        <v>2896</v>
      </c>
      <c r="D1" s="13" t="s">
        <v>2897</v>
      </c>
      <c r="E1" s="13" t="s">
        <v>2898</v>
      </c>
    </row>
    <row r="2" spans="1:5" ht="18" customHeight="1" x14ac:dyDescent="0.25">
      <c r="A2" s="12" t="s">
        <v>2899</v>
      </c>
      <c r="B2" s="12" t="s">
        <v>2900</v>
      </c>
      <c r="C2" s="12" t="s">
        <v>1728</v>
      </c>
      <c r="D2" s="12" t="s">
        <v>2901</v>
      </c>
      <c r="E2" s="12" t="s">
        <v>2902</v>
      </c>
    </row>
    <row r="3" spans="1:5" ht="18" customHeight="1" x14ac:dyDescent="0.25">
      <c r="A3" s="12" t="s">
        <v>2899</v>
      </c>
      <c r="B3" s="12" t="s">
        <v>2900</v>
      </c>
      <c r="C3" s="14" t="s">
        <v>24</v>
      </c>
      <c r="D3" s="12" t="s">
        <v>2903</v>
      </c>
      <c r="E3" s="12" t="s">
        <v>2904</v>
      </c>
    </row>
    <row r="4" spans="1:5" ht="18" customHeight="1" x14ac:dyDescent="0.25">
      <c r="A4" s="12" t="s">
        <v>2899</v>
      </c>
      <c r="B4" s="12" t="s">
        <v>2900</v>
      </c>
      <c r="C4" s="12" t="s">
        <v>67</v>
      </c>
      <c r="D4" s="12" t="s">
        <v>2901</v>
      </c>
      <c r="E4" s="12" t="s">
        <v>2905</v>
      </c>
    </row>
    <row r="5" spans="1:5" ht="18" customHeight="1" x14ac:dyDescent="0.25">
      <c r="A5" s="12" t="s">
        <v>2899</v>
      </c>
      <c r="B5" s="12" t="s">
        <v>2900</v>
      </c>
      <c r="C5" s="12" t="s">
        <v>71</v>
      </c>
      <c r="D5" s="12" t="s">
        <v>2906</v>
      </c>
      <c r="E5" s="12" t="s">
        <v>2907</v>
      </c>
    </row>
    <row r="6" spans="1:5" ht="18" customHeight="1" x14ac:dyDescent="0.25">
      <c r="A6" s="12" t="s">
        <v>2899</v>
      </c>
      <c r="B6" s="12" t="s">
        <v>2900</v>
      </c>
      <c r="C6" s="12" t="s">
        <v>2725</v>
      </c>
      <c r="D6" s="12" t="s">
        <v>2908</v>
      </c>
      <c r="E6" s="12" t="s">
        <v>2909</v>
      </c>
    </row>
    <row r="7" spans="1:5" ht="18" customHeight="1" x14ac:dyDescent="0.25">
      <c r="A7" s="12" t="s">
        <v>2899</v>
      </c>
      <c r="B7" s="12" t="s">
        <v>2910</v>
      </c>
      <c r="C7" s="12" t="s">
        <v>32</v>
      </c>
      <c r="D7" s="12" t="s">
        <v>2911</v>
      </c>
      <c r="E7" s="12" t="s">
        <v>2912</v>
      </c>
    </row>
    <row r="8" spans="1:5" ht="18" customHeight="1" x14ac:dyDescent="0.25">
      <c r="A8" s="12" t="s">
        <v>2899</v>
      </c>
      <c r="B8" s="12" t="s">
        <v>2910</v>
      </c>
      <c r="C8" s="12" t="s">
        <v>37</v>
      </c>
      <c r="D8" s="12" t="s">
        <v>2913</v>
      </c>
      <c r="E8" s="12" t="s">
        <v>2914</v>
      </c>
    </row>
    <row r="9" spans="1:5" ht="18" customHeight="1" x14ac:dyDescent="0.25">
      <c r="A9" s="12" t="s">
        <v>2899</v>
      </c>
      <c r="B9" s="12" t="s">
        <v>2915</v>
      </c>
      <c r="C9" s="12" t="s">
        <v>456</v>
      </c>
      <c r="D9" s="12" t="s">
        <v>2916</v>
      </c>
      <c r="E9" s="12" t="s">
        <v>2917</v>
      </c>
    </row>
    <row r="10" spans="1:5" ht="18" customHeight="1" x14ac:dyDescent="0.25">
      <c r="A10" s="12" t="s">
        <v>2899</v>
      </c>
      <c r="B10" s="12" t="s">
        <v>2915</v>
      </c>
      <c r="C10" s="12" t="s">
        <v>198</v>
      </c>
      <c r="D10" s="12" t="s">
        <v>23</v>
      </c>
      <c r="E10" s="12" t="s">
        <v>2918</v>
      </c>
    </row>
    <row r="11" spans="1:5" ht="18" customHeight="1" x14ac:dyDescent="0.25">
      <c r="A11" s="12" t="s">
        <v>2899</v>
      </c>
      <c r="B11" s="12" t="s">
        <v>2915</v>
      </c>
      <c r="C11" s="12" t="s">
        <v>363</v>
      </c>
      <c r="D11" s="12" t="s">
        <v>23</v>
      </c>
      <c r="E11" s="12" t="s">
        <v>2919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2920</v>
      </c>
      <c r="B1" s="5" t="s">
        <v>10</v>
      </c>
      <c r="C1" s="15" t="s">
        <v>2921</v>
      </c>
      <c r="D1" s="15" t="s">
        <v>2824</v>
      </c>
    </row>
    <row r="2" spans="1:4" ht="21" customHeight="1" x14ac:dyDescent="0.25">
      <c r="A2" s="259" t="s">
        <v>23</v>
      </c>
      <c r="B2" s="259" t="s">
        <v>34</v>
      </c>
      <c r="C2" s="12" t="s">
        <v>2922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2923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2894</v>
      </c>
      <c r="B1" s="12" t="s">
        <v>2895</v>
      </c>
      <c r="C1" s="13" t="s">
        <v>2896</v>
      </c>
      <c r="D1" s="13" t="s">
        <v>2897</v>
      </c>
      <c r="E1" s="13" t="s">
        <v>2898</v>
      </c>
    </row>
    <row r="2" spans="1:5" ht="18" customHeight="1" x14ac:dyDescent="0.25">
      <c r="A2" s="12" t="s">
        <v>2924</v>
      </c>
      <c r="B2" s="12" t="s">
        <v>2900</v>
      </c>
      <c r="C2" s="14" t="s">
        <v>24</v>
      </c>
      <c r="D2" s="12" t="s">
        <v>2901</v>
      </c>
      <c r="E2" s="18" t="s">
        <v>2925</v>
      </c>
    </row>
    <row r="3" spans="1:5" ht="18" customHeight="1" x14ac:dyDescent="0.25">
      <c r="A3" s="12" t="s">
        <v>2924</v>
      </c>
      <c r="B3" s="12" t="s">
        <v>2900</v>
      </c>
      <c r="C3" s="12" t="s">
        <v>67</v>
      </c>
      <c r="D3" s="12" t="s">
        <v>2903</v>
      </c>
      <c r="E3" s="12" t="s">
        <v>2926</v>
      </c>
    </row>
    <row r="4" spans="1:5" ht="18" customHeight="1" x14ac:dyDescent="0.25">
      <c r="A4" s="12" t="s">
        <v>2924</v>
      </c>
      <c r="B4" s="12" t="s">
        <v>2900</v>
      </c>
      <c r="C4" s="12" t="s">
        <v>71</v>
      </c>
      <c r="D4" s="12" t="s">
        <v>2906</v>
      </c>
      <c r="E4" s="12" t="s">
        <v>2927</v>
      </c>
    </row>
    <row r="5" spans="1:5" ht="27.75" customHeight="1" x14ac:dyDescent="0.25">
      <c r="A5" s="12" t="s">
        <v>2924</v>
      </c>
      <c r="B5" s="12" t="s">
        <v>2900</v>
      </c>
      <c r="C5" s="12" t="s">
        <v>2688</v>
      </c>
      <c r="D5" s="18" t="s">
        <v>2928</v>
      </c>
      <c r="E5" s="12" t="s">
        <v>2929</v>
      </c>
    </row>
    <row r="6" spans="1:5" ht="18" customHeight="1" x14ac:dyDescent="0.25">
      <c r="A6" s="12" t="s">
        <v>2924</v>
      </c>
      <c r="B6" s="12" t="s">
        <v>2900</v>
      </c>
      <c r="C6" s="12" t="s">
        <v>2725</v>
      </c>
      <c r="D6" s="12" t="s">
        <v>2908</v>
      </c>
      <c r="E6" s="12" t="s">
        <v>2909</v>
      </c>
    </row>
    <row r="7" spans="1:5" ht="18" customHeight="1" x14ac:dyDescent="0.25">
      <c r="A7" s="12" t="s">
        <v>2924</v>
      </c>
      <c r="B7" s="12" t="s">
        <v>2910</v>
      </c>
      <c r="C7" s="12" t="s">
        <v>2709</v>
      </c>
      <c r="D7" s="12" t="s">
        <v>2930</v>
      </c>
      <c r="E7" s="12" t="s">
        <v>2931</v>
      </c>
    </row>
    <row r="8" spans="1:5" ht="18" customHeight="1" x14ac:dyDescent="0.25">
      <c r="A8" s="12" t="s">
        <v>2924</v>
      </c>
      <c r="B8" s="12" t="s">
        <v>2910</v>
      </c>
      <c r="C8" s="12" t="s">
        <v>37</v>
      </c>
      <c r="D8" s="12" t="s">
        <v>2913</v>
      </c>
      <c r="E8" s="12" t="s">
        <v>2914</v>
      </c>
    </row>
    <row r="9" spans="1:5" ht="18" customHeight="1" x14ac:dyDescent="0.25">
      <c r="A9" s="12" t="s">
        <v>2924</v>
      </c>
      <c r="B9" s="12" t="s">
        <v>2910</v>
      </c>
      <c r="C9" s="12" t="s">
        <v>2693</v>
      </c>
      <c r="D9" s="12" t="s">
        <v>2932</v>
      </c>
      <c r="E9" s="18" t="s">
        <v>2933</v>
      </c>
    </row>
    <row r="10" spans="1:5" ht="18" customHeight="1" x14ac:dyDescent="0.25">
      <c r="A10" s="12" t="s">
        <v>2924</v>
      </c>
      <c r="B10" s="12" t="s">
        <v>2934</v>
      </c>
      <c r="C10" s="12" t="s">
        <v>2892</v>
      </c>
      <c r="D10" s="12" t="s">
        <v>2935</v>
      </c>
      <c r="E10" s="18" t="s">
        <v>2936</v>
      </c>
    </row>
    <row r="11" spans="1:5" ht="18" customHeight="1" x14ac:dyDescent="0.25">
      <c r="A11" s="12" t="s">
        <v>2924</v>
      </c>
      <c r="B11" s="12" t="s">
        <v>2934</v>
      </c>
      <c r="C11" s="12" t="s">
        <v>198</v>
      </c>
      <c r="D11" s="12" t="s">
        <v>23</v>
      </c>
      <c r="E11" s="12" t="s">
        <v>2918</v>
      </c>
    </row>
    <row r="12" spans="1:5" ht="18" customHeight="1" x14ac:dyDescent="0.25">
      <c r="A12" s="12" t="s">
        <v>2924</v>
      </c>
      <c r="B12" s="12" t="s">
        <v>2934</v>
      </c>
      <c r="C12" s="12" t="s">
        <v>363</v>
      </c>
      <c r="D12" s="12" t="s">
        <v>23</v>
      </c>
      <c r="E12" s="12" t="s">
        <v>2919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5" sqref="A1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2937</v>
      </c>
      <c r="B1" s="285"/>
      <c r="C1" s="285"/>
      <c r="D1" s="285"/>
      <c r="E1" s="285"/>
      <c r="F1" s="285"/>
    </row>
    <row r="2" spans="1:7" x14ac:dyDescent="0.25">
      <c r="A2" s="286" t="s">
        <v>2938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2827</v>
      </c>
      <c r="C4" s="102" t="s">
        <v>2828</v>
      </c>
      <c r="D4" s="102" t="s">
        <v>2939</v>
      </c>
      <c r="E4" s="102" t="s">
        <v>2829</v>
      </c>
      <c r="F4" s="102" t="s">
        <v>2940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2886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2941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2942</v>
      </c>
    </row>
    <row r="4" spans="1:8" ht="21.95" customHeight="1" x14ac:dyDescent="0.25">
      <c r="A4" s="288" t="s">
        <v>2943</v>
      </c>
      <c r="B4" s="289"/>
      <c r="D4" s="288" t="s">
        <v>2944</v>
      </c>
      <c r="E4" s="289"/>
      <c r="G4" s="288" t="s">
        <v>2945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2946</v>
      </c>
      <c r="B7" s="143" t="s">
        <v>2947</v>
      </c>
      <c r="C7" s="143" t="s">
        <v>1</v>
      </c>
      <c r="D7" s="143" t="s">
        <v>2948</v>
      </c>
      <c r="E7" s="143" t="s">
        <v>2949</v>
      </c>
      <c r="F7" s="143" t="s">
        <v>2824</v>
      </c>
      <c r="G7" s="143" t="s">
        <v>5</v>
      </c>
      <c r="H7" s="143" t="s">
        <v>2950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Em andamento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2026-06-23T20:00:34Z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