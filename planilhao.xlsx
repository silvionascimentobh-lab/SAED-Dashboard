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33" documentId="13_ncr:1_{C887EC22-7CD1-4717-84BE-7303F42C5C0A}" xr6:coauthVersionLast="47" xr6:coauthVersionMax="47" xr10:uidLastSave="{AB92450F-28A6-46E8-9B93-558AF1098EAA}"/>
  <bookViews>
    <workbookView xWindow="-289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s="1" a="1"/>
  <c r="A5" i="23" l="1" a="1"/>
  <c r="E105" i="23"/>
  <c r="D35" i="23" l="1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D20" i="23"/>
  <c r="F10" i="23"/>
  <c r="C30" i="23"/>
  <c r="E17" i="23"/>
  <c r="E11" i="23"/>
  <c r="F26" i="23"/>
  <c r="B23" i="23"/>
  <c r="C9" i="23"/>
  <c r="D11" i="23"/>
  <c r="F11" i="23"/>
  <c r="C18" i="23"/>
  <c r="B19" i="23"/>
  <c r="D32" i="23"/>
  <c r="E29" i="23"/>
  <c r="D16" i="23"/>
  <c r="E7" i="23"/>
  <c r="C33" i="23"/>
  <c r="B20" i="23"/>
  <c r="F23" i="23"/>
  <c r="B34" i="23"/>
  <c r="F9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E8" i="23"/>
  <c r="D29" i="23"/>
  <c r="D23" i="23"/>
  <c r="B22" i="23"/>
  <c r="C25" i="23"/>
  <c r="B30" i="23"/>
  <c r="D26" i="23"/>
  <c r="E10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<sst xmlns="http://schemas.openxmlformats.org/spreadsheetml/2006/main" count="6533" uniqueCount="2961">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</sst>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302" zoomScaleNormal="100" workbookViewId="0">
      <pane xSplit="3" topLeftCell="D1" activePane="topRight" state="frozen"/>
      <selection pane="topRight" activeCell="T312" sqref="T312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>SUM(O681:Q681)</f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>
        <v>20</v>
      </c>
      <c r="O702" s="225"/>
      <c r="P702" s="225"/>
      <c r="Q702" s="225"/>
      <c r="R702" s="225">
        <f t="shared" si="0"/>
        <v>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/>
      </c>
      <c r="B704" s="219"/>
      <c r="C704" s="219"/>
      <c r="D704" s="219"/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 t="str">
        <f t="shared" si="0"/>
        <v/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1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9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0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R72" t="str">
        <v/>
      </c>
      <c r="S72" t="str">
        <v/>
      </c>
    </row>
    <row r="73" spans="1:19" x14ac:dyDescent="0.25"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47</v>
      </c>
      <c r="B5" s="116" t="s">
        <v>2877</v>
      </c>
      <c r="D5" s="123">
        <f>COUNTIFS('Ações InCompany'!B:B,2026,'Ações InCompany'!C:C,"Realizado")</f>
        <v>28</v>
      </c>
      <c r="E5" s="124" t="s">
        <v>2877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2883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2884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28</v>
      </c>
      <c r="D14" s="113" t="s">
        <v>2887</v>
      </c>
      <c r="E14" s="114">
        <f>SUM(E11:E13)</f>
        <v>1190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0.25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7.4999999999999997E-2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0.125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2.5000000000000001E-2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0.05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0.17499999999999999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1</v>
      </c>
      <c r="D39" s="145">
        <f t="shared" si="0"/>
        <v>3</v>
      </c>
      <c r="E39" s="147">
        <f t="shared" si="1"/>
        <v>7.4999999999999997E-2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2.5000000000000001E-2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0.15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0.05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28</v>
      </c>
      <c r="C45" s="121">
        <f>SUM(C33:C44)</f>
        <v>12</v>
      </c>
      <c r="D45" s="121">
        <f>SUM(D33:D44)</f>
        <v>40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10" activePane="bottomLeft" state="frozen"/>
      <selection pane="bottomLeft" activeCell="A17" sqref="A17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33</v>
      </c>
      <c r="C8" s="103">
        <f>IF($A8="","",SUMIFS('GECC 2026'!I$2:I$200,'GECC 2026'!F$2:F$200,$A8))</f>
        <v>10.199999999999999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43.2</v>
      </c>
      <c r="F8" s="101">
        <f>IF($A8="","",COUNTIFS('GECC 2026'!F$2:F$200,$A8))</f>
        <v>5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25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25</v>
      </c>
      <c r="F19" s="101">
        <f>IF($A19="","",COUNTIFS('GECC 2026'!F$2:F$200,$A19))</f>
        <v>4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552</v>
      </c>
      <c r="C105" s="243">
        <f>SUM(C5:C100)</f>
        <v>377.7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70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2026-06-18T17:55:30Z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