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045" documentId="13_ncr:1_{C887EC22-7CD1-4717-84BE-7303F42C5C0A}" xr6:coauthVersionLast="47" xr6:coauthVersionMax="47" xr10:uidLastSave="{59852861-B114-4FBD-8065-501AC41E53AD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44" i="23" l="1"/>
  <c r="E44" i="23"/>
  <c r="F44" i="23"/>
  <c r="C44" i="23"/>
  <c r="D44" i="23"/>
  <c r="R4" i="20" s="1" a="1"/>
  <c r="S4" i="20" s="1" a="1"/>
  <c r="T4" i="20" l="1" a="1"/>
  <c r="A2" i="20" a="1"/>
  <c r="E105" i="23" l="1"/>
  <c r="A5" i="23" a="1"/>
  <c r="E43" i="23" l="1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<sst xmlns="http://schemas.openxmlformats.org/spreadsheetml/2006/main" count="6566" uniqueCount="2975">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</sst>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91" zoomScaleNormal="100" workbookViewId="0">
      <pane xSplit="3" topLeftCell="D1" activePane="topRight" state="frozen"/>
      <selection pane="topRight" activeCell="E701" sqref="E701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2663</v>
      </c>
      <c r="D653" s="24" t="s">
        <v>2664</v>
      </c>
      <c r="E653" s="30" t="s">
        <v>2192</v>
      </c>
      <c r="F653" s="31" t="s">
        <v>23</v>
      </c>
      <c r="G653" s="21" t="s">
        <v>32</v>
      </c>
      <c r="H653" s="38" t="s">
        <v>2665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2666</v>
      </c>
      <c r="B654" s="22">
        <v>2025</v>
      </c>
      <c r="C654" s="90" t="s">
        <v>21</v>
      </c>
      <c r="D654" s="22" t="s">
        <v>2667</v>
      </c>
      <c r="E654" s="27" t="s">
        <v>2668</v>
      </c>
      <c r="F654" s="29" t="s">
        <v>23</v>
      </c>
      <c r="G654" s="20" t="s">
        <v>37</v>
      </c>
      <c r="H654" s="77" t="s">
        <v>2669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2670</v>
      </c>
      <c r="B655" s="24">
        <v>2025</v>
      </c>
      <c r="C655" s="90" t="s">
        <v>21</v>
      </c>
      <c r="D655" s="24" t="s">
        <v>2671</v>
      </c>
      <c r="E655" s="30" t="s">
        <v>2672</v>
      </c>
      <c r="F655" s="31" t="s">
        <v>23</v>
      </c>
      <c r="G655" s="21" t="s">
        <v>198</v>
      </c>
      <c r="H655" s="38" t="s">
        <v>2673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2674</v>
      </c>
      <c r="B656" s="22">
        <v>2025</v>
      </c>
      <c r="C656" s="90" t="s">
        <v>21</v>
      </c>
      <c r="D656" s="22" t="s">
        <v>2675</v>
      </c>
      <c r="E656" s="27" t="s">
        <v>2676</v>
      </c>
      <c r="F656" s="29" t="s">
        <v>80</v>
      </c>
      <c r="G656" s="20" t="s">
        <v>71</v>
      </c>
      <c r="H656" s="50" t="s">
        <v>2677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2678</v>
      </c>
      <c r="E657" s="30" t="s">
        <v>2130</v>
      </c>
      <c r="F657" s="31" t="s">
        <v>61</v>
      </c>
      <c r="G657" s="21" t="s">
        <v>71</v>
      </c>
      <c r="H657" s="38" t="s">
        <v>2679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2680</v>
      </c>
      <c r="E658" s="27" t="s">
        <v>2681</v>
      </c>
      <c r="F658" s="29" t="s">
        <v>23</v>
      </c>
      <c r="G658" s="20" t="s">
        <v>198</v>
      </c>
      <c r="H658" s="36" t="s">
        <v>2682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2683</v>
      </c>
      <c r="E659" s="30" t="s">
        <v>2684</v>
      </c>
      <c r="F659" s="31" t="s">
        <v>23</v>
      </c>
      <c r="G659" s="21" t="s">
        <v>37</v>
      </c>
      <c r="H659" s="76" t="s">
        <v>2685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2686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2687</v>
      </c>
      <c r="E660" s="27" t="s">
        <v>2688</v>
      </c>
      <c r="F660" s="29" t="s">
        <v>61</v>
      </c>
      <c r="G660" s="20" t="s">
        <v>2689</v>
      </c>
      <c r="H660" s="36" t="s">
        <v>2690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2691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2692</v>
      </c>
      <c r="E661" s="30" t="s">
        <v>2693</v>
      </c>
      <c r="F661" s="31" t="s">
        <v>23</v>
      </c>
      <c r="G661" s="46" t="s">
        <v>2694</v>
      </c>
      <c r="H661" s="38" t="s">
        <v>2695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2696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2697</v>
      </c>
      <c r="E662" s="27" t="s">
        <v>2698</v>
      </c>
      <c r="F662" s="29" t="s">
        <v>61</v>
      </c>
      <c r="G662" s="20" t="s">
        <v>2689</v>
      </c>
      <c r="H662" s="165" t="s">
        <v>2699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2700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2701</v>
      </c>
      <c r="E663" s="30" t="s">
        <v>2702</v>
      </c>
      <c r="F663" s="31" t="s">
        <v>61</v>
      </c>
      <c r="G663" s="21" t="s">
        <v>71</v>
      </c>
      <c r="H663" s="38" t="s">
        <v>2703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2704</v>
      </c>
      <c r="E664" s="27" t="s">
        <v>2705</v>
      </c>
      <c r="F664" s="29" t="s">
        <v>23</v>
      </c>
      <c r="G664" s="54" t="s">
        <v>363</v>
      </c>
      <c r="H664" s="36" t="s">
        <v>2706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2707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2708</v>
      </c>
      <c r="E665" s="30" t="s">
        <v>2709</v>
      </c>
      <c r="F665" s="31" t="s">
        <v>23</v>
      </c>
      <c r="G665" s="46" t="s">
        <v>2710</v>
      </c>
      <c r="H665" s="38" t="s">
        <v>2711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2712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2701</v>
      </c>
      <c r="E666" s="27" t="s">
        <v>2713</v>
      </c>
      <c r="F666" s="29" t="s">
        <v>61</v>
      </c>
      <c r="G666" s="20" t="s">
        <v>71</v>
      </c>
      <c r="H666" s="36" t="s">
        <v>2714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2715</v>
      </c>
      <c r="E667" s="30" t="s">
        <v>2716</v>
      </c>
      <c r="F667" s="31" t="s">
        <v>61</v>
      </c>
      <c r="G667" s="21" t="s">
        <v>71</v>
      </c>
      <c r="H667" s="24" t="s">
        <v>2717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2718</v>
      </c>
      <c r="E668" s="27" t="s">
        <v>2719</v>
      </c>
      <c r="F668" s="29" t="s">
        <v>61</v>
      </c>
      <c r="G668" s="20" t="s">
        <v>71</v>
      </c>
      <c r="H668" s="36" t="s">
        <v>2720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2721</v>
      </c>
      <c r="E669" s="30" t="s">
        <v>2722</v>
      </c>
      <c r="F669" s="31" t="s">
        <v>61</v>
      </c>
      <c r="G669" s="167" t="s">
        <v>2689</v>
      </c>
      <c r="H669" s="168" t="s">
        <v>2723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2700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2724</v>
      </c>
      <c r="E670" s="173" t="s">
        <v>2725</v>
      </c>
      <c r="F670" s="29" t="s">
        <v>80</v>
      </c>
      <c r="G670" s="20" t="s">
        <v>2726</v>
      </c>
      <c r="H670" s="174" t="s">
        <v>2727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2708</v>
      </c>
      <c r="E671" s="30" t="s">
        <v>2728</v>
      </c>
      <c r="F671" s="31" t="s">
        <v>23</v>
      </c>
      <c r="G671" s="46" t="s">
        <v>2710</v>
      </c>
      <c r="H671" s="38" t="s">
        <v>2729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2730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2731</v>
      </c>
      <c r="E672" s="173" t="s">
        <v>2732</v>
      </c>
      <c r="F672" s="29" t="s">
        <v>23</v>
      </c>
      <c r="G672" s="54" t="s">
        <v>2710</v>
      </c>
      <c r="H672" s="174" t="s">
        <v>2733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2730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2734</v>
      </c>
      <c r="E673" s="30" t="s">
        <v>2735</v>
      </c>
      <c r="F673" s="31" t="s">
        <v>23</v>
      </c>
      <c r="G673" s="21" t="s">
        <v>198</v>
      </c>
      <c r="H673" s="59" t="s">
        <v>2736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2737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2738</v>
      </c>
      <c r="E674" s="27" t="s">
        <v>2625</v>
      </c>
      <c r="F674" s="29" t="s">
        <v>80</v>
      </c>
      <c r="G674" s="48" t="s">
        <v>2726</v>
      </c>
      <c r="H674" s="36" t="s">
        <v>2739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2740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2738</v>
      </c>
      <c r="E675" s="27" t="s">
        <v>2625</v>
      </c>
      <c r="F675" s="29" t="s">
        <v>80</v>
      </c>
      <c r="G675" s="48" t="s">
        <v>2726</v>
      </c>
      <c r="H675" s="263" t="s">
        <v>2741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2740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2742</v>
      </c>
      <c r="D676" s="24" t="s">
        <v>2743</v>
      </c>
      <c r="E676" s="30" t="s">
        <v>2744</v>
      </c>
      <c r="F676" s="31" t="s">
        <v>23</v>
      </c>
      <c r="G676" s="21" t="s">
        <v>2694</v>
      </c>
      <c r="H676" s="38" t="s">
        <v>2745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2696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2746</v>
      </c>
      <c r="E677" s="275" t="s">
        <v>2747</v>
      </c>
      <c r="F677" s="188" t="s">
        <v>23</v>
      </c>
      <c r="G677" s="194" t="s">
        <v>37</v>
      </c>
      <c r="H677" s="189" t="s">
        <v>2748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2689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2691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2743</v>
      </c>
      <c r="E680" s="65" t="s">
        <v>2757</v>
      </c>
      <c r="F680" s="29" t="s">
        <v>23</v>
      </c>
      <c r="G680" s="20" t="s">
        <v>2694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2696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3" t="s">
        <v>2759</v>
      </c>
      <c r="F681" s="31" t="s">
        <v>61</v>
      </c>
      <c r="G681" s="194" t="s">
        <v>2689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 t="shared" si="13"/>
        <v>44</v>
      </c>
      <c r="S681" s="186">
        <v>12</v>
      </c>
      <c r="T681" s="21" t="s">
        <v>2691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2761</v>
      </c>
      <c r="E682" s="164" t="s">
        <v>2762</v>
      </c>
      <c r="F682" s="29" t="s">
        <v>61</v>
      </c>
      <c r="G682" s="181" t="s">
        <v>2689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2764</v>
      </c>
      <c r="D683" s="186" t="s">
        <v>2765</v>
      </c>
      <c r="E683" s="187" t="s">
        <v>2766</v>
      </c>
      <c r="F683" s="31" t="s">
        <v>61</v>
      </c>
      <c r="G683" s="21" t="s">
        <v>71</v>
      </c>
      <c r="H683" s="189" t="s">
        <v>2767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2756</v>
      </c>
      <c r="D684" s="70" t="s">
        <v>2768</v>
      </c>
      <c r="E684" s="164" t="s">
        <v>2769</v>
      </c>
      <c r="F684" s="66" t="s">
        <v>80</v>
      </c>
      <c r="G684" s="67" t="s">
        <v>2726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2764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2773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2764</v>
      </c>
      <c r="D686" s="219" t="s">
        <v>2774</v>
      </c>
      <c r="E686" s="240" t="s">
        <v>2775</v>
      </c>
      <c r="F686" s="221" t="s">
        <v>23</v>
      </c>
      <c r="G686" s="218" t="s">
        <v>67</v>
      </c>
      <c r="H686" s="222" t="s">
        <v>2776</v>
      </c>
      <c r="I686" s="223">
        <v>46223</v>
      </c>
      <c r="J686" s="223">
        <v>46233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2742</v>
      </c>
      <c r="D687" s="210" t="s">
        <v>2777</v>
      </c>
      <c r="E687" s="211" t="s">
        <v>2778</v>
      </c>
      <c r="F687" s="212" t="s">
        <v>23</v>
      </c>
      <c r="G687" s="209" t="s">
        <v>67</v>
      </c>
      <c r="H687" s="213" t="s">
        <v>2779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2780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2764</v>
      </c>
      <c r="D688" s="219" t="s">
        <v>2781</v>
      </c>
      <c r="E688" s="240" t="s">
        <v>2782</v>
      </c>
      <c r="F688" s="221" t="s">
        <v>80</v>
      </c>
      <c r="G688" s="218" t="s">
        <v>2726</v>
      </c>
      <c r="H688" s="222" t="s">
        <v>2783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2784</v>
      </c>
      <c r="E689" s="245" t="s">
        <v>2785</v>
      </c>
      <c r="F689" s="212" t="s">
        <v>23</v>
      </c>
      <c r="G689" s="209" t="s">
        <v>2710</v>
      </c>
      <c r="H689" s="247" t="s">
        <v>2786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2730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21</v>
      </c>
      <c r="D690" s="219" t="s">
        <v>2784</v>
      </c>
      <c r="E690" s="246" t="s">
        <v>2787</v>
      </c>
      <c r="F690" s="221" t="s">
        <v>23</v>
      </c>
      <c r="G690" s="218" t="s">
        <v>2710</v>
      </c>
      <c r="H690" s="248" t="s">
        <v>2788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>
        <v>24</v>
      </c>
      <c r="P690" s="225">
        <v>0</v>
      </c>
      <c r="Q690" s="225">
        <v>0</v>
      </c>
      <c r="R690" s="225">
        <f t="shared" si="14"/>
        <v>24</v>
      </c>
      <c r="S690" s="219">
        <v>8</v>
      </c>
      <c r="T690" s="104" t="s">
        <v>2730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2789</v>
      </c>
      <c r="E691" s="245" t="s">
        <v>2668</v>
      </c>
      <c r="F691" s="212" t="s">
        <v>23</v>
      </c>
      <c r="G691" s="209" t="s">
        <v>37</v>
      </c>
      <c r="H691" s="213" t="s">
        <v>2790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2791</v>
      </c>
      <c r="E692" s="246" t="s">
        <v>2792</v>
      </c>
      <c r="F692" s="221" t="s">
        <v>23</v>
      </c>
      <c r="G692" s="218" t="s">
        <v>363</v>
      </c>
      <c r="H692" s="222" t="s">
        <v>2793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2794</v>
      </c>
      <c r="E693" s="245" t="s">
        <v>2795</v>
      </c>
      <c r="F693" s="212" t="s">
        <v>23</v>
      </c>
      <c r="G693" s="209" t="s">
        <v>24</v>
      </c>
      <c r="H693" s="213" t="s">
        <v>2796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2797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2764</v>
      </c>
      <c r="D694" s="219" t="s">
        <v>2798</v>
      </c>
      <c r="E694" s="220" t="s">
        <v>2799</v>
      </c>
      <c r="F694" s="221" t="s">
        <v>61</v>
      </c>
      <c r="G694" s="218" t="s">
        <v>2689</v>
      </c>
      <c r="H694" s="222" t="s">
        <v>2800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2691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2764</v>
      </c>
      <c r="D695" s="210" t="s">
        <v>2801</v>
      </c>
      <c r="E695" s="211" t="s">
        <v>2802</v>
      </c>
      <c r="F695" s="212" t="s">
        <v>80</v>
      </c>
      <c r="G695" s="261" t="s">
        <v>2726</v>
      </c>
      <c r="H695" s="213" t="s">
        <v>2803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2804</v>
      </c>
      <c r="E696" s="220" t="s">
        <v>2805</v>
      </c>
      <c r="F696" s="221" t="s">
        <v>80</v>
      </c>
      <c r="G696" s="270" t="s">
        <v>2726</v>
      </c>
      <c r="H696" s="222" t="s">
        <v>2806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2807</v>
      </c>
      <c r="E697" s="211" t="s">
        <v>2808</v>
      </c>
      <c r="F697" s="212" t="s">
        <v>80</v>
      </c>
      <c r="G697" s="261" t="s">
        <v>2726</v>
      </c>
      <c r="H697" s="213" t="s">
        <v>2809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2810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2764</v>
      </c>
      <c r="D698" s="219" t="s">
        <v>2811</v>
      </c>
      <c r="E698" s="220" t="s">
        <v>2812</v>
      </c>
      <c r="F698" s="221" t="s">
        <v>23</v>
      </c>
      <c r="G698" s="218" t="s">
        <v>24</v>
      </c>
      <c r="H698" s="222" t="s">
        <v>2800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2764</v>
      </c>
      <c r="D699" s="210" t="s">
        <v>2813</v>
      </c>
      <c r="E699" s="211" t="s">
        <v>2814</v>
      </c>
      <c r="F699" s="212" t="s">
        <v>23</v>
      </c>
      <c r="G699" s="209" t="s">
        <v>67</v>
      </c>
      <c r="H699" s="213" t="s">
        <v>2815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2816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2764</v>
      </c>
      <c r="D700" s="219" t="s">
        <v>2817</v>
      </c>
      <c r="E700" s="220" t="s">
        <v>2818</v>
      </c>
      <c r="F700" s="221" t="s">
        <v>61</v>
      </c>
      <c r="G700" s="218" t="s">
        <v>71</v>
      </c>
      <c r="H700" s="222" t="s">
        <v>2819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2764</v>
      </c>
      <c r="D701" s="210" t="s">
        <v>2820</v>
      </c>
      <c r="E701" s="211" t="s">
        <v>2821</v>
      </c>
      <c r="F701" s="212" t="s">
        <v>61</v>
      </c>
      <c r="G701" s="209" t="s">
        <v>71</v>
      </c>
      <c r="H701" s="213" t="s">
        <v>2822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 t="s">
        <v>2823</v>
      </c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2824</v>
      </c>
      <c r="E702" s="220" t="s">
        <v>2825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>
        <v>9746.07</v>
      </c>
      <c r="M702" s="215">
        <v>4.67</v>
      </c>
      <c r="N702" s="226">
        <v>20</v>
      </c>
      <c r="O702" s="225">
        <v>20</v>
      </c>
      <c r="P702" s="225">
        <v>0</v>
      </c>
      <c r="Q702" s="225">
        <v>0</v>
      </c>
      <c r="R702" s="225">
        <f t="shared" si="14"/>
        <v>20</v>
      </c>
      <c r="S702" s="219">
        <v>12</v>
      </c>
      <c r="T702" s="218" t="s">
        <v>2826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2764</v>
      </c>
      <c r="D703" s="210" t="s">
        <v>2827</v>
      </c>
      <c r="E703" s="211" t="s">
        <v>2828</v>
      </c>
      <c r="F703" s="212" t="s">
        <v>61</v>
      </c>
      <c r="G703" s="209" t="s">
        <v>71</v>
      </c>
      <c r="H703" s="213" t="s">
        <v>2800</v>
      </c>
      <c r="I703" s="213" t="s">
        <v>2829</v>
      </c>
      <c r="J703" s="213" t="s">
        <v>2830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14"/>
        <v>0</v>
      </c>
      <c r="S703" s="210">
        <v>17.45</v>
      </c>
      <c r="T703" s="209" t="s">
        <v>2831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2663</v>
      </c>
      <c r="D704" s="219" t="s">
        <v>2832</v>
      </c>
      <c r="E704" s="220" t="s">
        <v>2833</v>
      </c>
      <c r="F704" s="221" t="s">
        <v>61</v>
      </c>
      <c r="G704" s="218" t="s">
        <v>71</v>
      </c>
      <c r="H704" s="222" t="s">
        <v>2834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14"/>
        <v>0</v>
      </c>
      <c r="S704" s="219">
        <v>8</v>
      </c>
      <c r="T704" s="104" t="s">
        <v>2730</v>
      </c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2835</v>
      </c>
      <c r="C1" s="96" t="s">
        <v>2836</v>
      </c>
      <c r="D1" s="96" t="s">
        <v>4</v>
      </c>
      <c r="E1" s="96" t="s">
        <v>2837</v>
      </c>
      <c r="F1" s="96" t="s">
        <v>19</v>
      </c>
      <c r="G1" s="96" t="s">
        <v>2838</v>
      </c>
      <c r="H1" s="96" t="s">
        <v>2839</v>
      </c>
      <c r="I1" s="96" t="s">
        <v>2840</v>
      </c>
      <c r="J1" s="96" t="s">
        <v>2841</v>
      </c>
      <c r="L1" s="129" t="s">
        <v>2842</v>
      </c>
      <c r="M1" s="100">
        <v>2026</v>
      </c>
      <c r="U1" s="162" t="s">
        <v>2843</v>
      </c>
      <c r="V1" s="161"/>
      <c r="X1" s="159" t="s">
        <v>2844</v>
      </c>
      <c r="Y1" s="107"/>
      <c r="Z1" s="107"/>
      <c r="AA1" s="107"/>
      <c r="AC1" s="254" t="s">
        <v>2845</v>
      </c>
    </row>
    <row r="2" spans="1:31" x14ac:dyDescent="0.25">
      <c r="A2" s="98" cm="1">
        <f t="array" ref="A2:J8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2835</v>
      </c>
      <c r="Y2" s="160" t="s">
        <v>19</v>
      </c>
      <c r="Z2" s="160" t="s">
        <v>2846</v>
      </c>
      <c r="AA2" s="160" t="s">
        <v>2847</v>
      </c>
      <c r="AC2" s="255" t="s">
        <v>1</v>
      </c>
      <c r="AD2" s="255" t="s">
        <v>2848</v>
      </c>
      <c r="AE2" s="255" t="s">
        <v>2849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2850</v>
      </c>
      <c r="M3" s="19" t="s">
        <v>2851</v>
      </c>
      <c r="N3" s="19" t="s">
        <v>2852</v>
      </c>
      <c r="O3" s="19" t="s">
        <v>2853</v>
      </c>
      <c r="P3" s="19" t="s">
        <v>2854</v>
      </c>
      <c r="Q3" s="19" t="s">
        <v>2855</v>
      </c>
      <c r="R3" s="19" t="s">
        <v>2856</v>
      </c>
      <c r="S3" s="19" t="s">
        <v>2857</v>
      </c>
      <c r="T3" s="19" t="s">
        <v>2858</v>
      </c>
      <c r="X3" t="s">
        <v>2859</v>
      </c>
      <c r="Y3" t="s">
        <v>2696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2860</v>
      </c>
      <c r="Y4" t="s">
        <v>2696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2861</v>
      </c>
      <c r="Y5" t="s">
        <v>2712</v>
      </c>
      <c r="Z5">
        <v>1</v>
      </c>
      <c r="AA5">
        <v>0.6</v>
      </c>
      <c r="AC5" s="249">
        <v>2026</v>
      </c>
      <c r="AD5" s="95" t="s">
        <v>2862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2861</v>
      </c>
      <c r="Y6" t="s">
        <v>2863</v>
      </c>
      <c r="Z6">
        <v>1</v>
      </c>
      <c r="AA6">
        <v>0</v>
      </c>
      <c r="AC6" s="249">
        <v>2026</v>
      </c>
      <c r="AD6" s="95" t="s">
        <v>2864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2865</v>
      </c>
      <c r="Y7" t="s">
        <v>2696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2866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2866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2866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2866</v>
      </c>
      <c r="Y11" s="95" t="s">
        <v>2867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2866</v>
      </c>
      <c r="Y12" s="95" t="s">
        <v>2868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2869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2869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2869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2869</v>
      </c>
      <c r="Y16" s="95" t="s">
        <v>2867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2869</v>
      </c>
      <c r="Y17" s="95" t="s">
        <v>2868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2870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2870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2870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2870</v>
      </c>
      <c r="Y21" s="95" t="s">
        <v>2867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2870</v>
      </c>
      <c r="Y22" s="95" t="s">
        <v>2868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2871</v>
      </c>
      <c r="Y23" s="95" t="s">
        <v>2712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2871</v>
      </c>
      <c r="Y24" s="95" t="s">
        <v>2863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2872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2872</v>
      </c>
      <c r="Y26" s="95" t="s">
        <v>2873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2874</v>
      </c>
      <c r="Y27" s="95" t="s">
        <v>2712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2874</v>
      </c>
      <c r="Y28" s="95" t="s">
        <v>2863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2875</v>
      </c>
      <c r="Y29" s="95" t="s">
        <v>2712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2875</v>
      </c>
      <c r="Y30" s="95" t="s">
        <v>2863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2876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2877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2877</v>
      </c>
      <c r="Y33" t="s">
        <v>2878</v>
      </c>
      <c r="Z33">
        <v>4</v>
      </c>
      <c r="AA33">
        <v>0.6</v>
      </c>
      <c r="AC33" s="251"/>
      <c r="AD33" s="252" t="s">
        <v>2879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2877</v>
      </c>
      <c r="Y34" t="s">
        <v>2880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2877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2877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2881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2881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2882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2883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81</v>
      </c>
      <c r="X41" t="s">
        <v>2884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2884</v>
      </c>
      <c r="Y42" t="s">
        <v>2885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2886</v>
      </c>
      <c r="Y43" s="95" t="s">
        <v>2712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2886</v>
      </c>
      <c r="Y44" s="95" t="s">
        <v>2863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X45" t="s">
        <v>2887</v>
      </c>
      <c r="Y45" t="s">
        <v>2888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2887</v>
      </c>
      <c r="Y46" t="s">
        <v>2889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2887</v>
      </c>
      <c r="Y47" t="s">
        <v>2890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2887</v>
      </c>
      <c r="Y48" t="s">
        <v>2891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2887</v>
      </c>
      <c r="Y49" t="s">
        <v>2892</v>
      </c>
      <c r="Z49">
        <v>0</v>
      </c>
      <c r="AA49">
        <v>0</v>
      </c>
    </row>
    <row r="50" spans="1:27" x14ac:dyDescent="0.25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2887</v>
      </c>
      <c r="Y50" t="s">
        <v>934</v>
      </c>
      <c r="Z50">
        <v>1</v>
      </c>
      <c r="AA50">
        <v>0.3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2887</v>
      </c>
      <c r="Y51" t="s">
        <v>2893</v>
      </c>
      <c r="Z51">
        <v>1</v>
      </c>
      <c r="AA51">
        <v>0.3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2887</v>
      </c>
      <c r="Y52" t="s">
        <v>1342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2887</v>
      </c>
      <c r="Y53" t="s">
        <v>2894</v>
      </c>
      <c r="Z53">
        <v>1</v>
      </c>
      <c r="AA53">
        <v>0.3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2887</v>
      </c>
      <c r="Y54" t="s">
        <v>2895</v>
      </c>
      <c r="Z54">
        <v>0</v>
      </c>
      <c r="AA54">
        <v>0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R83" t="str">
        <v/>
      </c>
      <c r="S83" t="str">
        <v/>
      </c>
    </row>
    <row r="84" spans="1:19" x14ac:dyDescent="0.25">
      <c r="R84" t="str">
        <v/>
      </c>
      <c r="S84" t="str">
        <v/>
      </c>
    </row>
    <row r="85" spans="1:19" x14ac:dyDescent="0.25">
      <c r="R85" t="str">
        <v/>
      </c>
      <c r="S85" t="str">
        <v/>
      </c>
    </row>
    <row r="86" spans="1:19" x14ac:dyDescent="0.25">
      <c r="R86" t="str">
        <v/>
      </c>
      <c r="S86" t="str">
        <v/>
      </c>
    </row>
    <row r="87" spans="1:19" x14ac:dyDescent="0.25">
      <c r="R87" t="str">
        <v/>
      </c>
      <c r="S87" t="str">
        <v/>
      </c>
    </row>
    <row r="88" spans="1:19" x14ac:dyDescent="0.25">
      <c r="R88" t="str">
        <v/>
      </c>
      <c r="S88" t="str">
        <v/>
      </c>
    </row>
    <row r="89" spans="1:19" x14ac:dyDescent="0.25">
      <c r="R89" t="str">
        <v/>
      </c>
      <c r="S89" t="str">
        <v/>
      </c>
    </row>
    <row r="90" spans="1:19" x14ac:dyDescent="0.25">
      <c r="R90" t="str">
        <v/>
      </c>
      <c r="S90" t="str">
        <v/>
      </c>
    </row>
    <row r="91" spans="1:19" x14ac:dyDescent="0.25">
      <c r="R91" t="str">
        <v/>
      </c>
      <c r="S91" t="str">
        <v/>
      </c>
    </row>
    <row r="92" spans="1:19" x14ac:dyDescent="0.25">
      <c r="R92" t="str">
        <v/>
      </c>
      <c r="S92" t="str">
        <v/>
      </c>
    </row>
    <row r="93" spans="1:19" x14ac:dyDescent="0.25">
      <c r="R93" t="str">
        <v/>
      </c>
      <c r="S93" t="str">
        <v/>
      </c>
    </row>
    <row r="94" spans="1:19" x14ac:dyDescent="0.25">
      <c r="R94" t="str">
        <v/>
      </c>
      <c r="S94" t="str">
        <v/>
      </c>
    </row>
    <row r="95" spans="1:19" x14ac:dyDescent="0.25">
      <c r="R95" t="str">
        <v/>
      </c>
      <c r="S95" t="str">
        <v/>
      </c>
    </row>
    <row r="96" spans="1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2896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2897</v>
      </c>
      <c r="B4" s="282"/>
      <c r="D4" s="283" t="s">
        <v>2898</v>
      </c>
      <c r="E4" s="284"/>
      <c r="G4" s="125" t="s">
        <v>2899</v>
      </c>
    </row>
    <row r="5" spans="1:7" ht="54.95" customHeight="1" thickBot="1" x14ac:dyDescent="0.75">
      <c r="A5" s="115">
        <f>COUNTIF('Ações InCompany'!B:B,2026)</f>
        <v>48</v>
      </c>
      <c r="B5" s="116" t="s">
        <v>2900</v>
      </c>
      <c r="D5" s="123">
        <f>COUNTIFS('Ações InCompany'!B:B,2026,'Ações InCompany'!C:C,"Realizado")</f>
        <v>32</v>
      </c>
      <c r="E5" s="124" t="s">
        <v>2900</v>
      </c>
      <c r="G5" s="126">
        <f>COUNTIFS('Ações InCompany'!B:B,2026,'Ações InCompany'!C:C,"A realizar")</f>
        <v>11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2901</v>
      </c>
      <c r="B8" s="278"/>
      <c r="D8" s="278" t="s">
        <v>2902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2903</v>
      </c>
      <c r="D10" s="108" t="s">
        <v>2904</v>
      </c>
      <c r="E10" s="108" t="s">
        <v>2905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2906</v>
      </c>
      <c r="E11" s="110">
        <f>SUMIFS('Ações InCompany'!O:O,'Ações InCompany'!B:B,2026,'Ações InCompany'!C:C,"Realizado")</f>
        <v>461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11</v>
      </c>
      <c r="D12" s="111" t="s">
        <v>2907</v>
      </c>
      <c r="E12" s="112">
        <f>SUMIFS('Ações InCompany'!P:P,'Ações InCompany'!B:B,2026,'Ações InCompany'!C:C,"Realizado")</f>
        <v>447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2908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2909</v>
      </c>
      <c r="B14" s="114">
        <f>SUM(B11:B13)</f>
        <v>32</v>
      </c>
      <c r="D14" s="113" t="s">
        <v>2910</v>
      </c>
      <c r="E14" s="114">
        <f>SUM(E11:E13)</f>
        <v>1278</v>
      </c>
    </row>
    <row r="30" spans="1:5" ht="17.25" x14ac:dyDescent="0.3">
      <c r="A30" s="278" t="s">
        <v>2911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2912</v>
      </c>
      <c r="C32" s="108" t="s">
        <v>2913</v>
      </c>
      <c r="D32" s="108" t="s">
        <v>2914</v>
      </c>
      <c r="E32" s="108" t="s">
        <v>2915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0.23255813953488372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6.9767441860465115E-2</v>
      </c>
    </row>
    <row r="35" spans="1:5" ht="24" customHeight="1" x14ac:dyDescent="0.25">
      <c r="A35" s="109" t="s">
        <v>2710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0</v>
      </c>
      <c r="D35" s="117">
        <f t="shared" si="0"/>
        <v>5</v>
      </c>
      <c r="E35" s="118">
        <f t="shared" si="1"/>
        <v>0.11627906976744186</v>
      </c>
    </row>
    <row r="36" spans="1:5" ht="24" customHeight="1" x14ac:dyDescent="0.25">
      <c r="A36" s="111" t="s">
        <v>2694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2.3255813953488372E-2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4.6511627906976744E-2</v>
      </c>
    </row>
    <row r="38" spans="1:5" ht="24" customHeight="1" x14ac:dyDescent="0.25">
      <c r="A38" s="111" t="s">
        <v>2726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0.16279069767441862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9.3023255813953487E-2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4.6511627906976744E-2</v>
      </c>
    </row>
    <row r="41" spans="1:5" ht="24" customHeight="1" x14ac:dyDescent="0.25">
      <c r="A41" s="155" t="s">
        <v>2689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0.16279069767441862</v>
      </c>
    </row>
    <row r="42" spans="1:5" ht="24" customHeight="1" x14ac:dyDescent="0.25">
      <c r="A42" s="156" t="s">
        <v>2916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4.6511627906976744E-2</v>
      </c>
    </row>
    <row r="44" spans="1:5" ht="24" customHeight="1" x14ac:dyDescent="0.25">
      <c r="A44" s="148" t="s">
        <v>2917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2909</v>
      </c>
      <c r="B45" s="121">
        <f>SUM(B33:B44)</f>
        <v>32</v>
      </c>
      <c r="C45" s="121">
        <f>SUM(C33:C44)</f>
        <v>11</v>
      </c>
      <c r="D45" s="121">
        <f>SUM(D33:D44)</f>
        <v>43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2918</v>
      </c>
      <c r="B1" s="12" t="s">
        <v>2919</v>
      </c>
      <c r="C1" s="13" t="s">
        <v>2920</v>
      </c>
      <c r="D1" s="13" t="s">
        <v>2921</v>
      </c>
      <c r="E1" s="13" t="s">
        <v>2922</v>
      </c>
    </row>
    <row r="2" spans="1:5" ht="18" customHeight="1" x14ac:dyDescent="0.25">
      <c r="A2" s="12" t="s">
        <v>2923</v>
      </c>
      <c r="B2" s="12" t="s">
        <v>2924</v>
      </c>
      <c r="C2" s="12" t="s">
        <v>1728</v>
      </c>
      <c r="D2" s="12" t="s">
        <v>2925</v>
      </c>
      <c r="E2" s="12" t="s">
        <v>2926</v>
      </c>
    </row>
    <row r="3" spans="1:5" ht="18" customHeight="1" x14ac:dyDescent="0.25">
      <c r="A3" s="12" t="s">
        <v>2923</v>
      </c>
      <c r="B3" s="12" t="s">
        <v>2924</v>
      </c>
      <c r="C3" s="14" t="s">
        <v>24</v>
      </c>
      <c r="D3" s="12" t="s">
        <v>2927</v>
      </c>
      <c r="E3" s="12" t="s">
        <v>2928</v>
      </c>
    </row>
    <row r="4" spans="1:5" ht="18" customHeight="1" x14ac:dyDescent="0.25">
      <c r="A4" s="12" t="s">
        <v>2923</v>
      </c>
      <c r="B4" s="12" t="s">
        <v>2924</v>
      </c>
      <c r="C4" s="12" t="s">
        <v>67</v>
      </c>
      <c r="D4" s="12" t="s">
        <v>2925</v>
      </c>
      <c r="E4" s="12" t="s">
        <v>2929</v>
      </c>
    </row>
    <row r="5" spans="1:5" ht="18" customHeight="1" x14ac:dyDescent="0.25">
      <c r="A5" s="12" t="s">
        <v>2923</v>
      </c>
      <c r="B5" s="12" t="s">
        <v>2924</v>
      </c>
      <c r="C5" s="12" t="s">
        <v>71</v>
      </c>
      <c r="D5" s="12" t="s">
        <v>2930</v>
      </c>
      <c r="E5" s="12" t="s">
        <v>2931</v>
      </c>
    </row>
    <row r="6" spans="1:5" ht="18" customHeight="1" x14ac:dyDescent="0.25">
      <c r="A6" s="12" t="s">
        <v>2923</v>
      </c>
      <c r="B6" s="12" t="s">
        <v>2924</v>
      </c>
      <c r="C6" s="12" t="s">
        <v>2726</v>
      </c>
      <c r="D6" s="12" t="s">
        <v>2932</v>
      </c>
      <c r="E6" s="12" t="s">
        <v>2933</v>
      </c>
    </row>
    <row r="7" spans="1:5" ht="18" customHeight="1" x14ac:dyDescent="0.25">
      <c r="A7" s="12" t="s">
        <v>2923</v>
      </c>
      <c r="B7" s="12" t="s">
        <v>2934</v>
      </c>
      <c r="C7" s="12" t="s">
        <v>32</v>
      </c>
      <c r="D7" s="12" t="s">
        <v>2935</v>
      </c>
      <c r="E7" s="12" t="s">
        <v>2936</v>
      </c>
    </row>
    <row r="8" spans="1:5" ht="18" customHeight="1" x14ac:dyDescent="0.25">
      <c r="A8" s="12" t="s">
        <v>2923</v>
      </c>
      <c r="B8" s="12" t="s">
        <v>2934</v>
      </c>
      <c r="C8" s="12" t="s">
        <v>37</v>
      </c>
      <c r="D8" s="12" t="s">
        <v>2937</v>
      </c>
      <c r="E8" s="12" t="s">
        <v>2938</v>
      </c>
    </row>
    <row r="9" spans="1:5" ht="18" customHeight="1" x14ac:dyDescent="0.25">
      <c r="A9" s="12" t="s">
        <v>2923</v>
      </c>
      <c r="B9" s="12" t="s">
        <v>2939</v>
      </c>
      <c r="C9" s="12" t="s">
        <v>456</v>
      </c>
      <c r="D9" s="12" t="s">
        <v>2940</v>
      </c>
      <c r="E9" s="12" t="s">
        <v>2941</v>
      </c>
    </row>
    <row r="10" spans="1:5" ht="18" customHeight="1" x14ac:dyDescent="0.25">
      <c r="A10" s="12" t="s">
        <v>2923</v>
      </c>
      <c r="B10" s="12" t="s">
        <v>2939</v>
      </c>
      <c r="C10" s="12" t="s">
        <v>198</v>
      </c>
      <c r="D10" s="12" t="s">
        <v>23</v>
      </c>
      <c r="E10" s="12" t="s">
        <v>2942</v>
      </c>
    </row>
    <row r="11" spans="1:5" ht="18" customHeight="1" x14ac:dyDescent="0.25">
      <c r="A11" s="12" t="s">
        <v>2923</v>
      </c>
      <c r="B11" s="12" t="s">
        <v>2939</v>
      </c>
      <c r="C11" s="12" t="s">
        <v>363</v>
      </c>
      <c r="D11" s="12" t="s">
        <v>23</v>
      </c>
      <c r="E11" s="12" t="s">
        <v>2943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2944</v>
      </c>
      <c r="B1" s="5" t="s">
        <v>10</v>
      </c>
      <c r="C1" s="15" t="s">
        <v>2945</v>
      </c>
      <c r="D1" s="15" t="s">
        <v>2836</v>
      </c>
    </row>
    <row r="2" spans="1:4" ht="21" customHeight="1" x14ac:dyDescent="0.25">
      <c r="A2" s="259" t="s">
        <v>23</v>
      </c>
      <c r="B2" s="259" t="s">
        <v>34</v>
      </c>
      <c r="C2" s="12" t="s">
        <v>2946</v>
      </c>
      <c r="D2" s="12" t="s">
        <v>2764</v>
      </c>
    </row>
    <row r="3" spans="1:4" ht="21" customHeight="1" x14ac:dyDescent="0.25">
      <c r="A3" s="12" t="s">
        <v>61</v>
      </c>
      <c r="B3" s="259" t="s">
        <v>26</v>
      </c>
      <c r="C3" s="12" t="s">
        <v>2947</v>
      </c>
      <c r="D3" s="12" t="s">
        <v>2663</v>
      </c>
    </row>
    <row r="4" spans="1:4" ht="21" customHeight="1" x14ac:dyDescent="0.25">
      <c r="A4" s="14" t="s">
        <v>80</v>
      </c>
      <c r="B4" s="259" t="s">
        <v>219</v>
      </c>
      <c r="D4" s="12" t="s">
        <v>2742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2756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2918</v>
      </c>
      <c r="B1" s="12" t="s">
        <v>2919</v>
      </c>
      <c r="C1" s="13" t="s">
        <v>2920</v>
      </c>
      <c r="D1" s="13" t="s">
        <v>2921</v>
      </c>
      <c r="E1" s="13" t="s">
        <v>2922</v>
      </c>
    </row>
    <row r="2" spans="1:5" ht="18" customHeight="1" x14ac:dyDescent="0.25">
      <c r="A2" s="12" t="s">
        <v>2948</v>
      </c>
      <c r="B2" s="12" t="s">
        <v>2924</v>
      </c>
      <c r="C2" s="14" t="s">
        <v>24</v>
      </c>
      <c r="D2" s="12" t="s">
        <v>2925</v>
      </c>
      <c r="E2" s="18" t="s">
        <v>2949</v>
      </c>
    </row>
    <row r="3" spans="1:5" ht="18" customHeight="1" x14ac:dyDescent="0.25">
      <c r="A3" s="12" t="s">
        <v>2948</v>
      </c>
      <c r="B3" s="12" t="s">
        <v>2924</v>
      </c>
      <c r="C3" s="12" t="s">
        <v>67</v>
      </c>
      <c r="D3" s="12" t="s">
        <v>2927</v>
      </c>
      <c r="E3" s="12" t="s">
        <v>2950</v>
      </c>
    </row>
    <row r="4" spans="1:5" ht="18" customHeight="1" x14ac:dyDescent="0.25">
      <c r="A4" s="12" t="s">
        <v>2948</v>
      </c>
      <c r="B4" s="12" t="s">
        <v>2924</v>
      </c>
      <c r="C4" s="12" t="s">
        <v>71</v>
      </c>
      <c r="D4" s="12" t="s">
        <v>2930</v>
      </c>
      <c r="E4" s="12" t="s">
        <v>2951</v>
      </c>
    </row>
    <row r="5" spans="1:5" ht="27.75" customHeight="1" x14ac:dyDescent="0.25">
      <c r="A5" s="12" t="s">
        <v>2948</v>
      </c>
      <c r="B5" s="12" t="s">
        <v>2924</v>
      </c>
      <c r="C5" s="12" t="s">
        <v>2689</v>
      </c>
      <c r="D5" s="18" t="s">
        <v>2952</v>
      </c>
      <c r="E5" s="12" t="s">
        <v>2953</v>
      </c>
    </row>
    <row r="6" spans="1:5" ht="18" customHeight="1" x14ac:dyDescent="0.25">
      <c r="A6" s="12" t="s">
        <v>2948</v>
      </c>
      <c r="B6" s="12" t="s">
        <v>2924</v>
      </c>
      <c r="C6" s="12" t="s">
        <v>2726</v>
      </c>
      <c r="D6" s="12" t="s">
        <v>2932</v>
      </c>
      <c r="E6" s="12" t="s">
        <v>2933</v>
      </c>
    </row>
    <row r="7" spans="1:5" ht="18" customHeight="1" x14ac:dyDescent="0.25">
      <c r="A7" s="12" t="s">
        <v>2948</v>
      </c>
      <c r="B7" s="12" t="s">
        <v>2934</v>
      </c>
      <c r="C7" s="12" t="s">
        <v>2710</v>
      </c>
      <c r="D7" s="12" t="s">
        <v>2954</v>
      </c>
      <c r="E7" s="12" t="s">
        <v>2955</v>
      </c>
    </row>
    <row r="8" spans="1:5" ht="18" customHeight="1" x14ac:dyDescent="0.25">
      <c r="A8" s="12" t="s">
        <v>2948</v>
      </c>
      <c r="B8" s="12" t="s">
        <v>2934</v>
      </c>
      <c r="C8" s="12" t="s">
        <v>37</v>
      </c>
      <c r="D8" s="12" t="s">
        <v>2937</v>
      </c>
      <c r="E8" s="12" t="s">
        <v>2938</v>
      </c>
    </row>
    <row r="9" spans="1:5" ht="18" customHeight="1" x14ac:dyDescent="0.25">
      <c r="A9" s="12" t="s">
        <v>2948</v>
      </c>
      <c r="B9" s="12" t="s">
        <v>2934</v>
      </c>
      <c r="C9" s="12" t="s">
        <v>2694</v>
      </c>
      <c r="D9" s="12" t="s">
        <v>2956</v>
      </c>
      <c r="E9" s="18" t="s">
        <v>2957</v>
      </c>
    </row>
    <row r="10" spans="1:5" ht="18" customHeight="1" x14ac:dyDescent="0.25">
      <c r="A10" s="12" t="s">
        <v>2948</v>
      </c>
      <c r="B10" s="12" t="s">
        <v>2958</v>
      </c>
      <c r="C10" s="12" t="s">
        <v>2916</v>
      </c>
      <c r="D10" s="12" t="s">
        <v>2959</v>
      </c>
      <c r="E10" s="18" t="s">
        <v>2960</v>
      </c>
    </row>
    <row r="11" spans="1:5" ht="18" customHeight="1" x14ac:dyDescent="0.25">
      <c r="A11" s="12" t="s">
        <v>2948</v>
      </c>
      <c r="B11" s="12" t="s">
        <v>2958</v>
      </c>
      <c r="C11" s="12" t="s">
        <v>198</v>
      </c>
      <c r="D11" s="12" t="s">
        <v>23</v>
      </c>
      <c r="E11" s="12" t="s">
        <v>2942</v>
      </c>
    </row>
    <row r="12" spans="1:5" ht="18" customHeight="1" x14ac:dyDescent="0.25">
      <c r="A12" s="12" t="s">
        <v>2948</v>
      </c>
      <c r="B12" s="12" t="s">
        <v>2958</v>
      </c>
      <c r="C12" s="12" t="s">
        <v>363</v>
      </c>
      <c r="D12" s="12" t="s">
        <v>23</v>
      </c>
      <c r="E12" s="12" t="s">
        <v>2943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2961</v>
      </c>
      <c r="B1" s="285"/>
      <c r="C1" s="285"/>
      <c r="D1" s="285"/>
      <c r="E1" s="285"/>
      <c r="F1" s="285"/>
    </row>
    <row r="2" spans="1:7" x14ac:dyDescent="0.25">
      <c r="A2" s="286" t="s">
        <v>2962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2839</v>
      </c>
      <c r="C4" s="102" t="s">
        <v>2840</v>
      </c>
      <c r="D4" s="102" t="s">
        <v>2963</v>
      </c>
      <c r="E4" s="102" t="s">
        <v>2841</v>
      </c>
      <c r="F4" s="102" t="s">
        <v>2964</v>
      </c>
    </row>
    <row r="5" spans="1:7" x14ac:dyDescent="0.25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4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6">
        <f>IF($A9="","",SUMIFS('GECC 2026'!$AE$3:$AE$32,'GECC 2026'!$AD$3:$AD$32,$A9))</f>
        <v>0</v>
      </c>
      <c r="E9" s="241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6">
        <f>IF($A10="","",SUMIFS('GECC 2026'!$AE$3:$AE$32,'GECC 2026'!$AD$3:$AD$32,$A10))</f>
        <v>16</v>
      </c>
      <c r="E10" s="241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6</v>
      </c>
    </row>
    <row r="12" spans="1:7" x14ac:dyDescent="0.25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 x14ac:dyDescent="0.25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 x14ac:dyDescent="0.25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 x14ac:dyDescent="0.25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 x14ac:dyDescent="0.25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 x14ac:dyDescent="0.25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4</v>
      </c>
    </row>
    <row r="20" spans="1:6" x14ac:dyDescent="0.25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 x14ac:dyDescent="0.25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 x14ac:dyDescent="0.25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 x14ac:dyDescent="0.25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 x14ac:dyDescent="0.25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6">
        <f>IF($A25="","",SUMIFS('GECC 2026'!$AE$3:$AE$32,'GECC 2026'!$AD$3:$AD$32,$A25))</f>
        <v>0</v>
      </c>
      <c r="E25" s="241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 x14ac:dyDescent="0.25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6">
        <f>IF($A26="","",SUMIFS('GECC 2026'!$AE$3:$AE$32,'GECC 2026'!$AD$3:$AD$32,$A26))</f>
        <v>0</v>
      </c>
      <c r="E26" s="241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 x14ac:dyDescent="0.25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6">
        <f>IF($A27="","",SUMIFS('GECC 2026'!$AE$3:$AE$32,'GECC 2026'!$AD$3:$AD$32,$A27))</f>
        <v>0</v>
      </c>
      <c r="E27" s="241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 x14ac:dyDescent="0.25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 x14ac:dyDescent="0.25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 x14ac:dyDescent="0.25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6">
        <f>IF($A31="","",SUMIFS('GECC 2026'!$AE$3:$AE$32,'GECC 2026'!$AD$3:$AD$32,$A31))</f>
        <v>16</v>
      </c>
      <c r="E31" s="241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 x14ac:dyDescent="0.25">
      <c r="A32" t="str">
        <v>Marcelo Santana</v>
      </c>
      <c r="B32" s="103">
        <f>IF($A32="","",SUMIFS('GECC 2026'!H$2:H$200,'GECC 2026'!F$2:F$200,$A32))</f>
        <v>1</v>
      </c>
      <c r="C32" s="103">
        <f>IF($A32="","",SUMIFS('GECC 2026'!I$2:I$200,'GECC 2026'!F$2:F$200,$A32))</f>
        <v>0.3</v>
      </c>
      <c r="D32" s="256">
        <f>IF($A32="","",SUMIFS('GECC 2026'!$AE$3:$AE$32,'GECC 2026'!$AD$3:$AD$32,$A32))</f>
        <v>0</v>
      </c>
      <c r="E32" s="241">
        <f>IF($A32="","",SUMIFS('GECC 2026'!J$2:J$200,'GECC 2026'!F$2:F$200,$A32)+SUMIFS('GECC 2026'!$AE$3:$AE$32,'GECC 2026'!$AD$3:$AD$32,$A32))</f>
        <v>1.3</v>
      </c>
      <c r="F32" s="101">
        <f>IF($A32="","",COUNTIFS('GECC 2026'!F$2:F$200,$A32))</f>
        <v>1</v>
      </c>
    </row>
    <row r="33" spans="1:6" x14ac:dyDescent="0.25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16</v>
      </c>
      <c r="E33" s="241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 x14ac:dyDescent="0.25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6">
        <f>IF($A34="","",SUMIFS('GECC 2026'!$AE$3:$AE$32,'GECC 2026'!$AD$3:$AD$32,$A34))</f>
        <v>16</v>
      </c>
      <c r="E34" s="241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 x14ac:dyDescent="0.25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6">
        <f>IF($A36="","",SUMIFS('GECC 2026'!$AE$3:$AE$32,'GECC 2026'!$AD$3:$AD$32,$A36))</f>
        <v>0</v>
      </c>
      <c r="E36" s="241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3</v>
      </c>
    </row>
    <row r="37" spans="1:6" x14ac:dyDescent="0.25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6">
        <f>IF($A37="","",SUMIFS('GECC 2026'!$AE$3:$AE$32,'GECC 2026'!$AD$3:$AD$32,$A37))</f>
        <v>0</v>
      </c>
      <c r="E37" s="241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 x14ac:dyDescent="0.25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6">
        <f>IF($A38="","",SUMIFS('GECC 2026'!$AE$3:$AE$32,'GECC 2026'!$AD$3:$AD$32,$A38))</f>
        <v>0</v>
      </c>
      <c r="E38" s="241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 x14ac:dyDescent="0.25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6">
        <f>IF($A39="","",SUMIFS('GECC 2026'!$AE$3:$AE$32,'GECC 2026'!$AD$3:$AD$32,$A39))</f>
        <v>16</v>
      </c>
      <c r="E39" s="241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 x14ac:dyDescent="0.25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6">
        <f>IF($A40="","",SUMIFS('GECC 2026'!$AE$3:$AE$32,'GECC 2026'!$AD$3:$AD$32,$A40))</f>
        <v>0</v>
      </c>
      <c r="E40" s="241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 x14ac:dyDescent="0.25">
      <c r="A41" t="str">
        <v>Silvia Lima Damasceno Carvalho</v>
      </c>
      <c r="B41" s="103">
        <f>IF($A41="","",SUMIFS('GECC 2026'!H$2:H$200,'GECC 2026'!F$2:F$200,$A41))</f>
        <v>1</v>
      </c>
      <c r="C41" s="103">
        <f>IF($A41="","",SUMIFS('GECC 2026'!I$2:I$200,'GECC 2026'!F$2:F$200,$A41))</f>
        <v>0.3</v>
      </c>
      <c r="D41" s="256">
        <f>IF($A41="","",SUMIFS('GECC 2026'!$AE$3:$AE$32,'GECC 2026'!$AD$3:$AD$32,$A41))</f>
        <v>0</v>
      </c>
      <c r="E41" s="241">
        <f>IF($A41="","",SUMIFS('GECC 2026'!J$2:J$200,'GECC 2026'!F$2:F$200,$A41)+SUMIFS('GECC 2026'!$AE$3:$AE$32,'GECC 2026'!$AD$3:$AD$32,$A41))</f>
        <v>1.3</v>
      </c>
      <c r="F41" s="101">
        <f>IF($A41="","",COUNTIFS('GECC 2026'!F$2:F$200,$A41))</f>
        <v>1</v>
      </c>
    </row>
    <row r="42" spans="1:6" x14ac:dyDescent="0.25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6">
        <f>IF($A42="","",SUMIFS('GECC 2026'!$AE$3:$AE$32,'GECC 2026'!$AD$3:$AD$32,$A42))</f>
        <v>0</v>
      </c>
      <c r="E42" s="241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 x14ac:dyDescent="0.25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6">
        <f>IF($A43="","",SUMIFS('GECC 2026'!$AE$3:$AE$32,'GECC 2026'!$AD$3:$AD$32,$A43))</f>
        <v>0</v>
      </c>
      <c r="E43" s="241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2910</v>
      </c>
      <c r="B105" s="243">
        <f>SUM(B5:B100)</f>
        <v>568</v>
      </c>
      <c r="C105" s="243">
        <f>SUM(C5:C100)</f>
        <v>380.10000000000008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81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2965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2966</v>
      </c>
    </row>
    <row r="4" spans="1:8" ht="21.95" customHeight="1" x14ac:dyDescent="0.25">
      <c r="A4" s="288" t="s">
        <v>2967</v>
      </c>
      <c r="B4" s="289"/>
      <c r="D4" s="288" t="s">
        <v>2968</v>
      </c>
      <c r="E4" s="289"/>
      <c r="G4" s="288" t="s">
        <v>2969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2970</v>
      </c>
      <c r="B7" s="143" t="s">
        <v>2971</v>
      </c>
      <c r="C7" s="143" t="s">
        <v>1</v>
      </c>
      <c r="D7" s="143" t="s">
        <v>2972</v>
      </c>
      <c r="E7" s="143" t="s">
        <v>2973</v>
      </c>
      <c r="F7" s="143" t="s">
        <v>2836</v>
      </c>
      <c r="G7" s="143" t="s">
        <v>5</v>
      </c>
      <c r="H7" s="143" t="s">
        <v>2974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2026-06-30T17:43:24Z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