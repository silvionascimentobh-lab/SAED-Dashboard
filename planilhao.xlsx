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90" documentId="13_ncr:1_{C887EC22-7CD1-4717-84BE-7303F42C5C0A}" xr6:coauthVersionLast="47" xr6:coauthVersionMax="47" xr10:uidLastSave="{B97BF320-871C-4240-8B7B-0CEE61BE455C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A5" i="23" l="1" a="1"/>
  <c r="E105" i="23"/>
  <c r="A2" i="20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<sst xmlns="http://schemas.openxmlformats.org/spreadsheetml/2006/main" count="6546" uniqueCount="2966">
  <si>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</si>
  <si>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</si>
  <si>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</si>
  <si>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</si>
  <si>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</si>
  <si>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</si>
  <si>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</si>
  <si>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</si>
  <si>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</si>
  <si>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</si>
  <si>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</si>
  <si>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</si>
  <si>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</si>
  <si>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</si>
  <si>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</si>
  <si>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</si>
  <si>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</si>
  <si>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</si>
  <si>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</si>
  <si>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</si>
  <si>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</si>
  <si>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</si>
  <si>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</si>
  <si>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</si>
  <si>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</si>
  <si>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</si>
  <si>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</si>
  <si>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</si>
  <si>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</si>
  <si>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</si>
  <si>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</si>
  <si>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</si>
  <si>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</si>
  <si>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</si>
  <si>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</si>
  <si>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</si>
  <si>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</si>
  <si>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</si>
  <si>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</si>
  <si>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</si>
  <si>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</si>
  <si>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</si>
  <si>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</si>
  <si>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</si>
  <si>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</si>
  <si>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</si>
  <si>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</si>
  <si>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</si>
  <si>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</si>
  <si>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</si>
  <si>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</si>
  <si>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</si>
  <si>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</si>
  <si>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</si>
  <si>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</si>
  <si>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</si>
  <si>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</si>
  <si>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</si>
  <si>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</si>
  <si>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</si>
  <si>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</si>
  <si>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</si>
  <si>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</si>
  <si>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</si>
  <si>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</si>
  <si>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</si>
  <si>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</si>
  <si>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</si>
  <si>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</si>
  <si>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</si>
  <si>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</si>
  <si>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</si>
  <si>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</si>
  <si>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</si>
  <si>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</si>
  <si>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</si>
  <si>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</si>
  <si>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</si>
  <si>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</si>
  <si>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</si>
  <si>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</si>
  <si>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</si>
  <si>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</si>
  <si>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</si>
  <si>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</si>
  <si>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</si>
  <si>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</si>
  <si>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</si>
  <si>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</si>
  <si>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</si>
  <si>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</si>
  <si>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</si>
  <si>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</si>
  <si>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</si>
  <si>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</si>
  <si>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</si>
  <si>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</si>
  <si>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</si>
  <si>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</si>
  <si>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</si>
  <si>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</si>
  <si>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</si>
  <si>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</si>
  <si>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</si>
  <si>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</si>
  <si>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</si>
  <si>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</si>
  <si>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</si>
  <si>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</si>
  <si>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</si>
  <si>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</si>
  <si>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</si>
  <si>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</si>
  <si>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</si>
  <si>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</si>
  <si>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</si>
  <si>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</si>
  <si>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</si>
  <si>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</si>
  <si>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</si>
  <si>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</si>
  <si>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</si>
  <si>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</si>
  <si>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</si>
  <si>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</si>
  <si>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</si>
  <si>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</si>
  <si>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</si>
  <si>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</si>
  <si>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</si>
  <si>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</si>
  <si>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</si>
  <si>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</si>
  <si>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</si>
  <si>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</si>
  <si>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</si>
  <si>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</si>
  <si>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</si>
  <si>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</si>
  <si>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</si>
  <si>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</si>
  <si>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</si>
  <si>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</si>
  <si>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</si>
  <si>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</si>
  <si>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</si>
  <si>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</si>
  <si>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</si>
  <si>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</si>
  <si>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</si>
  <si>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</si>
  <si>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</si>
  <si>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</si>
  <si>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</si>
  <si>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</si>
  <si>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</si>
  <si>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</si>
  <si>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</si>
  <si>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</si>
  <si>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</si>
  <si>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</si>
  <si>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</si>
  <si>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</si>
  <si>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</si>
  <si>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</si>
  <si>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</si>
  <si>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</si>
  <si>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</si>
  <si>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</si>
  <si>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</si>
  <si>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</si>
  <si>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</si>
  <si>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</si>
  <si>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</si>
  <si>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</si>
  <si>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</si>
  <si>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</si>
  <si>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</si>
  <si>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</si>
  <si>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</si>
  <si>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</si>
  <si>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</si>
  <si>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</si>
  <si>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</si>
  <si>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</si>
  <si>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</si>
  <si>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</si>
  <si>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</si>
  <si>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</si>
  <si>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</si>
  <si>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</si>
  <si>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</si>
  <si>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</si>
  <si>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</si>
  <si>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</si>
  <si>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</si>
  <si>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</si>
  <si>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</si>
  <si>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</si>
  <si>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</si>
  <si>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</si>
  <si>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</si>
  <si>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</si>
  <si>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</si>
  <si>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</si>
  <si>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</si>
  <si>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</si>
  <si>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</si>
  <si>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</si>
  <si>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</si>
  <si>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</si>
  <si>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</si>
  <si>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</si>
  <si>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</si>
  <si>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</si>
  <si>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</si>
  <si>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</si>
  <si>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</si>
  <si>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</si>
  <si>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</si>
  <si>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</si>
  <si>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</si>
  <si>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</si>
  <si>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</si>
  <si>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</si>
  <si>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</si>
  <si>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</si>
  <si>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</si>
  <si>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</si>
  <si>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</si>
  <si>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</si>
  <si>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</si>
  <si>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</si>
  <si>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</si>
  <si>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</si>
  <si>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</si>
  <si>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</si>
  <si>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</si>
  <si>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</si>
  <si>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</si>
  <si>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</si>
  <si>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</si>
  <si>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</si>
  <si>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</si>
  <si>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</si>
  <si>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</si>
  <si>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</si>
  <si>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</si>
  <si>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</si>
  <si>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</si>
  <si>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</si>
  <si>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</si>
  <si>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</si>
  <si>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</si>
  <si>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</si>
  <si>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</si>
  <si>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</si>
  <si>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</si>
  <si>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</si>
  <si>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</si>
  <si>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</si>
  <si>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</si>
  <si>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</si>
  <si>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</si>
  <si>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</si>
  <si>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</si>
  <si>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</si>
  <si>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</si>
  <si>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</si>
  <si>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</si>
  <si>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</si>
  <si>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</si>
  <si>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</si>
  <si>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</si>
  <si>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</si>
  <si>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</si>
  <si>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</si>
  <si>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</si>
  <si>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</si>
  <si>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</si>
  <si>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</si>
  <si>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</si>
  <si>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</si>
  <si>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</si>
  <si>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</si>
  <si>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</si>
  <si>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</si>
  <si>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</si>
  <si>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</si>
  <si>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</si>
  <si>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</si>
  <si>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</si>
  <si>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</si>
  <si>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</si>
  <si>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</si>
  <si>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</si>
  <si>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</si>
  <si>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</si>
  <si>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</si>
  <si>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</si>
  <si>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</si>
  <si>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</si>
  <si>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</si>
  <si>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</si>
  <si>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</si>
  <si>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</si>
  <si>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</si>
  <si>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</si>
  <si>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</si>
  <si>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</si>
  <si>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</si>
  <si>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</si>
  <si>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</si>
  <si>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</si>
  <si>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</si>
  <si>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</si>
  <si>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</si>
  <si>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</si>
  <si>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</si>
  <si>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</si>
  <si>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</si>
  <si>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</si>
  <si>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</si>
  <si>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</si>
  <si>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</si>
  <si>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</si>
  <si>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</si>
  <si>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</si>
  <si>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</si>
  <si>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</si>
  <si>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</si>
  <si>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</si>
  <si>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</si>
  <si>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</si>
  <si>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</si>
  <si>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</si>
  <si>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</si>
  <si>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</si>
  <si>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</si>
  <si>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</si>
  <si>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</si>
  <si>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</si>
  <si>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</si>
  <si>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</si>
  <si>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</si>
  <si>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</si>
  <si>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</si>
  <si>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</si>
  <si>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</si>
  <si>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</si>
  <si>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</si>
  <si>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</si>
  <si>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</si>
  <si>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</si>
  <si>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</si>
  <si>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</si>
  <si>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</si>
  <si>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</si>
  <si>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</si>
  <si>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</si>
  <si>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</si>
  <si>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</si>
  <si>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</si>
  <si>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</si>
  <si>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</si>
  <si>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</si>
  <si>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</si>
  <si>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</si>
  <si>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</si>
  <si>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</si>
  <si>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</si>
  <si>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</si>
  <si>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</si>
  <si>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</si>
  <si>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</si>
  <si>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</si>
  <si>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</si>
  <si>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</si>
  <si>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</si>
  <si>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</si>
  <si>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</si>
  <si>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</si>
  <si>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</si>
  <si>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</si>
  <si>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</si>
  <si>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</si>
  <si>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</si>
  <si>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</si>
  <si>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</si>
  <si>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</si>
  <si>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</si>
  <si>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</si>
  <si>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</si>
  <si>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</si>
  <si>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</si>
  <si>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</si>
  <si>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</si>
  <si>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</si>
  <si>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</si>
  <si>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</si>
  <si>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</si>
  <si>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</si>
  <si>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</si>
  <si>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</si>
  <si>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</si>
  <si>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</si>
  <si>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</si>
  <si>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</si>
  <si>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</si>
  <si>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</si>
  <si>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</si>
  <si>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</si>
  <si>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</si>
  <si>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</si>
  <si>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</si>
  <si>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</si>
  <si>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</si>
  <si>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</si>
  <si>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</si>
  <si>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</si>
  <si>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</si>
  <si>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</si>
  <si>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</si>
  <si>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</si>
  <si>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</si>
  <si>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</si>
  <si>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</si>
  <si>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</si>
  <si>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</si>
  <si>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</si>
  <si>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</si>
  <si>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</si>
  <si>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</si>
  <si>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</si>
  <si>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</si>
  <si>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</si>
  <si>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</si>
  <si>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</si>
  <si>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</si>
  <si>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</si>
  <si>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</si>
  <si>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</si>
  <si>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</si>
  <si>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</si>
  <si>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</si>
  <si>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</si>
  <si>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</si>
  <si>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</si>
  <si>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</si>
  <si>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</si>
  <si>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</si>
  <si>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</si>
  <si>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</si>
  <si>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</si>
  <si>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</si>
  <si>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</si>
  <si>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</si>
  <si>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</si>
  <si>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</si>
  <si>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</si>
  <si>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</si>
  <si>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</si>
  <si>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</si>
  <si>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</si>
  <si>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</si>
  <si>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</si>
  <si>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</si>
  <si>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</si>
  <si>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</si>
  <si>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</si>
  <si>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</si>
  <si>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</si>
  <si>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</si>
  <si>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</si>
  <si>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</si>
  <si>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</si>
  <si>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</si>
  <si>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</si>
  <si>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</si>
  <si>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</si>
  <si>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</si>
  <si>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</si>
  <si>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</si>
  <si>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</si>
  <si>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</si>
  <si>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</si>
  <si>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</si>
  <si>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</si>
  <si>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</si>
  <si>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</si>
  <si>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</si>
  <si>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</si>
  <si>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</si>
  <si>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</si>
  <si>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</si>
  <si>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</si>
  <si>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</si>
  <si>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</si>
  <si>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</si>
  <si>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</si>
  <si>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</si>
  <si>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</si>
  <si>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</si>
  <si>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</si>
  <si>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</si>
  <si>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</si>
  <si>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</si>
  <si>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</si>
  <si>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</si>
  <si>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</si>
  <si>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</si>
  <si>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</si>
  <si>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</si>
  <si>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</si>
  <si>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</si>
  <si>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</si>
  <si>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</si>
  <si>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</si>
  <si>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</si>
  <si>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</si>
  <si>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</si>
  <si>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</si>
  <si>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</si>
  <si>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</si>
  <si>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</si>
  <si>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</si>
  <si>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</si>
  <si>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</si>
  <si>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</si>
  <si>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</si>
  <si>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</si>
  <si>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</si>
  <si>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</si>
  <si>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</si>
  <si>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</si>
  <si>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</si>
  <si>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</si>
  <si>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</si>
  <si>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</si>
  <si>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</si>
  <si>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</si>
  <si>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</si>
  <si>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</si>
  <si>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</si>
  <si>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</si>
  <si>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</si>
  <si>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</si>
  <si>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</si>
  <si>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</si>
  <si>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</si>
  <si>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</si>
  <si>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</si>
  <si>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</si>
  <si>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</si>
  <si>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</si>
  <si>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</si>
  <si>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</si>
  <si>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</si>
  <si>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</si>
  <si>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</si>
  <si>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</si>
  <si>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</si>
  <si>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</si>
  <si>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</si>
  <si>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</si>
  <si>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</si>
  <si>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</si>
  <si>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</si>
  <si>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</si>
  <si>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</si>
  <si>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</si>
  <si>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</si>
  <si>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</si>
  <si>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</si>
  <si>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</si>
  <si>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</si>
  <si>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</si>
  <si>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</si>
  <si>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</si>
  <si>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</si>
  <si>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</si>
  <si>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</si>
  <si>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</si>
  <si>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</si>
  <si>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</si>
  <si>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</si>
  <si>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</si>
  <si>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</si>
  <si>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</si>
  <si>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</si>
  <si>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</si>
  <si>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</si>
  <si>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</si>
  <si>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</si>
  <si>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</si>
  <si>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</si>
  <si>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</si>
  <si>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</si>
  <si>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</si>
  <si>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</si>
  <si>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</si>
  <si>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</si>
  <si>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</si>
  <si>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</si>
  <si>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</si>
  <si>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</si>
  <si>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</si>
  <si>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</si>
  <si>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</si>
  <si>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</si>
  <si>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</si>
  <si>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</si>
  <si>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</si>
  <si>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</si>
  <si>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</si>
  <si>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</si>
  <si>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</si>
  <si>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</si>
  <si>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</si>
  <si>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</si>
  <si>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</si>
  <si>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</si>
  <si>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</si>
  <si>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</si>
  <si>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</si>
  <si>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</si>
  <si>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</si>
  <si>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</si>
  <si>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</si>
  <si>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</si>
  <si>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</si>
  <si>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</si>
  <si>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</si>
  <si>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</si>
  <si>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</si>
  <si>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</si>
  <si>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</si>
  <si>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</si>
  <si>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</si>
  <si>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</si>
  <si>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</si>
  <si>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</si>
  <si>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</si>
  <si>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</si>
  <si>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</si>
  <si>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</si>
  <si>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</si>
  <si>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</si>
  <si>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</si>
  <si>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</si>
  <si>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</si>
  <si>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</si>
  <si>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</si>
  <si>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</si>
  <si>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</si>
  <si>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</si>
  <si>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</si>
  <si>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</si>
  <si>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</si>
  <si>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</si>
  <si>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</si>
  <si>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</si>
  <si>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</si>
  <si>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</si>
  <si>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</si>
  <si>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</si>
  <si>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</si>
  <si>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</si>
  <si>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</si>
  <si>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</si>
  <si>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</si>
  <si>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</si>
  <si>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</si>
  <si>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</si>
  <si>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</si>
  <si>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</si>
  <si>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</si>
  <si>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</si>
  <si>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</si>
  <si>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</si>
  <si>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</si>
  <si>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</si>
  <si>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</si>
  <si>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</si>
  <si>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</si>
  <si>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</si>
  <si>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</si>
  <si>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</si>
  <si>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</si>
  <si>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</si>
  <si>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</si>
  <si>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</si>
  <si>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</si>
  <si>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</si>
  <si>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</si>
  <si>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</si>
  <si>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</si>
  <si>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</si>
  <si>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</si>
  <si>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</si>
  <si>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</si>
  <si>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</si>
  <si>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</si>
  <si>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</si>
  <si>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</si>
  <si>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</si>
  <si>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</si>
  <si>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</si>
  <si>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</si>
  <si>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</si>
  <si>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</si>
  <si>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</si>
  <si>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</si>
  <si>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</si>
  <si>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</si>
  <si>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</si>
  <si>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</si>
  <si>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</si>
  <si>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</si>
  <si>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</si>
  <si>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</si>
  <si>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</si>
  <si>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</si>
  <si>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</si>
  <si>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</si>
  <si>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</si>
  <si>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</si>
  <si>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</si>
  <si>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</si>
  <si>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</si>
  <si>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</si>
  <si>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</si>
  <si>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</si>
  <si>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</si>
  <si>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</si>
  <si>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</si>
  <si>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</si>
  <si>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</si>
  <si>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</si>
  <si>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</si>
  <si>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</si>
  <si>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</si>
  <si>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</si>
  <si>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</si>
  <si>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</si>
  <si>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</si>
  <si>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</si>
  <si>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</si>
  <si>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</si>
  <si>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</si>
  <si>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</si>
  <si>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</si>
  <si>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</si>
  <si>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</si>
  <si>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</si>
  <si>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</si>
  <si>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</si>
  <si>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</si>
  <si>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</si>
  <si>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</si>
  <si>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</si>
  <si>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</si>
  <si>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</si>
  <si>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</si>
  <si>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</si>
  <si>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</si>
  <si>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</si>
  <si>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</si>
  <si>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</si>
  <si>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</si>
  <si>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</si>
  <si>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</si>
  <si>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</si>
  <si>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</si>
  <si>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</si>
  <si>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</si>
  <si>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</si>
  <si>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</si>
  <si>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</si>
  <si>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</si>
  <si>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</si>
  <si>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</si>
  <si>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</si>
  <si>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</si>
  <si>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</si>
  <si>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</si>
  <si>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</si>
  <si>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</si>
  <si>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</si>
  <si>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</si>
  <si>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</si>
  <si>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</si>
  <si>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</si>
  <si>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</si>
  <si>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</si>
  <si>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</si>
  <si>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</si>
  <si>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</si>
  <si>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</si>
  <si>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</si>
  <si>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</si>
  <si>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</si>
  <si>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</si>
  <si>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</si>
  <si>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</si>
  <si>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</si>
  <si>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</si>
  <si>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</si>
  <si>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</si>
  <si>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</si>
  <si>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</si>
  <si>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</si>
  <si>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</si>
  <si>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</si>
  <si>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</si>
  <si>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</si>
  <si>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</si>
  <si>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</si>
  <si>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</si>
  <si>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</si>
  <si>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</si>
  <si>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</si>
  <si>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</si>
  <si>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</si>
  <si>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</si>
  <si>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</si>
  <si>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</si>
  <si>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</si>
  <si>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</si>
  <si>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</si>
  <si>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</si>
  <si>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</si>
  <si>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</si>
  <si>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</si>
  <si>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</si>
  <si>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</si>
  <si>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</si>
  <si>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</si>
  <si>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</si>
  <si>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</si>
  <si>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</si>
  <si>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</si>
  <si>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</si>
  <si>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</si>
  <si>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</si>
  <si>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</si>
  <si>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</si>
  <si>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</si>
  <si>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</si>
  <si>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</si>
  <si>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</si>
  <si>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</si>
  <si>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</si>
  <si>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</si>
  <si>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</si>
  <si>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</si>
  <si>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</si>
  <si>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</si>
  <si>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</si>
  <si>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</si>
  <si>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</si>
  <si>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</si>
  <si>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</si>
  <si>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</si>
  <si>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</si>
  <si>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</si>
  <si>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</si>
  <si>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</si>
  <si>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</si>
  <si>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</si>
  <si>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</si>
  <si>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</si>
  <si>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</si>
  <si>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</si>
  <si>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</si>
  <si>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</si>
  <si>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</si>
  <si>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</si>
  <si>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</si>
  <si>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</si>
  <si>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</si>
  <si>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</si>
  <si>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</si>
  <si>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</si>
  <si>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</si>
  <si>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</si>
  <si>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</si>
  <si>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</si>
  <si>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</si>
  <si>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</si>
  <si>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</si>
  <si>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</si>
  <si>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</si>
  <si>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</si>
  <si>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</si>
  <si>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</si>
  <si>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</si>
  <si>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</si>
  <si>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</si>
  <si>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</si>
  <si>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</si>
  <si>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</si>
  <si>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</si>
  <si>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</si>
  <si>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</si>
  <si>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</si>
  <si>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</si>
  <si>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</si>
  <si>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</si>
  <si>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</si>
  <si>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</si>
  <si>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</si>
  <si>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</si>
  <si>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</si>
  <si>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</si>
  <si>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</si>
  <si>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</si>
  <si>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</si>
  <si>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</si>
  <si>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</si>
  <si>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</si>
  <si>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</si>
  <si>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</si>
  <si>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</si>
  <si>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</si>
  <si>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</si>
  <si>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</si>
  <si>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</si>
  <si>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</si>
  <si>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</si>
  <si>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</si>
  <si>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</si>
  <si>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</si>
  <si>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</si>
  <si>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</si>
  <si>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</si>
  <si>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</si>
  <si>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</si>
  <si>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</si>
  <si>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</si>
  <si>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</si>
  <si>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</si>
  <si>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</si>
  <si>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</si>
  <si>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</si>
  <si>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</si>
  <si>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</si>
  <si>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</si>
  <si>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</si>
  <si>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</si>
  <si>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</si>
  <si>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</si>
  <si>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</si>
  <si>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</si>
  <si>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</si>
  <si>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</si>
  <si>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</si>
  <si>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</si>
  <si>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</si>
  <si>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</si>
  <si>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</si>
  <si>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</si>
  <si>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</si>
  <si>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</si>
  <si>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</si>
  <si>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</si>
  <si>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</si>
  <si>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</si>
  <si>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</si>
  <si>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</si>
  <si>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</si>
  <si>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</si>
  <si>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</si>
  <si>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</si>
  <si>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</si>
  <si>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</si>
  <si>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</si>
  <si>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</si>
  <si>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</si>
  <si>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</si>
  <si>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</si>
  <si>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</si>
  <si>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</si>
  <si>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</si>
  <si>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</si>
  <si>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</si>
  <si>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</si>
  <si>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</si>
  <si>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</si>
  <si>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</si>
  <si>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</si>
  <si>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</si>
  <si>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</si>
  <si>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</si>
  <si>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</si>
  <si>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</si>
  <si>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</si>
  <si>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</si>
  <si>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</si>
  <si>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</si>
  <si>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</si>
  <si>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</si>
  <si>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</si>
  <si>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</si>
  <si>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</si>
  <si>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</si>
  <si>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</si>
  <si>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</si>
  <si>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</si>
  <si>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</si>
  <si>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</si>
  <si>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</si>
  <si>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</si>
  <si>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</si>
  <si>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</si>
  <si>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</si>
  <si>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</si>
  <si>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</si>
  <si>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</si>
  <si>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</si>
  <si>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</si>
  <si>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</si>
  <si>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</si>
  <si>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</si>
  <si>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</si>
  <si>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</si>
  <si>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</si>
  <si>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</si>
  <si>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</si>
  <si>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</si>
  <si>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</si>
  <si>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</si>
  <si>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</si>
  <si>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</si>
  <si>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</si>
  <si>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</si>
  <si>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</si>
  <si>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</si>
  <si>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</si>
  <si>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</si>
  <si>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</si>
  <si>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</si>
  <si>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</si>
  <si>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</si>
  <si>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</si>
  <si>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</si>
  <si>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</si>
  <si>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</si>
  <si>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</si>
  <si>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</si>
  <si>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</si>
  <si>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</si>
  <si>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</si>
  <si>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</si>
  <si>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</si>
  <si>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</si>
  <si>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</si>
  <si>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</si>
  <si>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</si>
  <si>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</si>
  <si>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</si>
  <si>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</si>
  <si>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</si>
  <si>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</si>
  <si>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</si>
  <si>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</si>
  <si>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</si>
  <si>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</si>
  <si>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</si>
  <si>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</si>
  <si>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</si>
  <si>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</si>
  <si>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</si>
  <si>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</si>
  <si>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</si>
  <si>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</si>
  <si>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</si>
  <si>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</si>
  <si>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</si>
  <si>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</si>
  <si>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</si>
  <si>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</si>
  <si>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</si>
  <si>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</si>
  <si>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</si>
  <si>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</si>
  <si>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</si>
  <si>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</si>
  <si>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</si>
  <si>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</si>
  <si>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</si>
  <si>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</si>
  <si>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</si>
  <si>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</si>
  <si>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</si>
  <si>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</si>
  <si>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</si>
  <si>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</si>
  <si>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</si>
  <si>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</si>
  <si>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</si>
  <si>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</si>
  <si>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</si>
  <si>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</si>
  <si>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</si>
  <si>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</si>
  <si>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</si>
  <si>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</si>
  <si>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</si>
  <si>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</si>
  <si>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</si>
  <si>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</si>
  <si>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</si>
  <si>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</si>
  <si>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</si>
  <si>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</si>
  <si>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</si>
  <si>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</si>
  <si>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</si>
  <si>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</si>
  <si>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</si>
  <si>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</si>
  <si>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</si>
  <si>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</si>
  <si>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</si>
  <si>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</si>
  <si>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</si>
  <si>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</si>
  <si>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</si>
  <si>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</si>
  <si>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</si>
  <si>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</si>
  <si>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</si>
  <si>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</si>
  <si>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</si>
  <si>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</si>
  <si>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</si>
  <si>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</si>
  <si>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</si>
  <si>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</si>
  <si>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</si>
  <si>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</si>
  <si>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</si>
  <si>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</si>
  <si>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</si>
  <si>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</si>
  <si>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</si>
  <si>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</si>
  <si>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</si>
  <si>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</si>
  <si>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</si>
  <si>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</si>
  <si>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</si>
  <si>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</si>
  <si>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</si>
  <si>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</si>
  <si>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</si>
  <si>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</si>
  <si>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</si>
  <si>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</si>
  <si>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</si>
  <si>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</si>
  <si>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</si>
  <si>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</si>
  <si>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</si>
  <si>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</si>
  <si>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</si>
  <si>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</si>
  <si>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</si>
  <si>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</si>
  <si>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</si>
  <si>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</si>
  <si>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</si>
  <si>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</si>
  <si>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</si>
  <si>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</si>
  <si>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</si>
  <si>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</si>
  <si>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</si>
  <si>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</si>
  <si>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</si>
  <si>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</si>
  <si>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</si>
  <si>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</si>
  <si>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</si>
  <si>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</si>
  <si>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</si>
  <si>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</si>
  <si>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</si>
  <si>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</si>
  <si>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</si>
  <si>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</si>
  <si>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</si>
  <si>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</si>
  <si>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</si>
  <si>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</si>
  <si>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</si>
  <si>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</si>
  <si>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</si>
  <si>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</si>
  <si>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</si>
  <si>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</si>
  <si>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</si>
  <si>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</si>
  <si>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</si>
  <si>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</si>
  <si>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</si>
  <si>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</si>
  <si>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</si>
  <si>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</si>
  <si>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</si>
  <si>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</si>
  <si>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</si>
  <si>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</si>
  <si>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</si>
  <si>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</si>
  <si>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</si>
  <si>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</si>
  <si>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</si>
  <si>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</si>
  <si>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</si>
  <si>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</si>
  <si>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</si>
  <si>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</si>
  <si>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</si>
  <si>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</si>
  <si>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</si>
  <si>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</si>
  <si>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</si>
  <si>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</si>
  <si>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</si>
  <si>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</si>
  <si>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</si>
  <si>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</si>
  <si>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</si>
  <si>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</si>
  <si>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</si>
  <si>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</si>
  <si>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</si>
  <si>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</si>
  <si>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</si>
  <si>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</si>
  <si>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</si>
  <si>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</si>
  <si>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</si>
  <si>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</si>
  <si>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</si>
  <si>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</si>
  <si>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</si>
  <si>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</si>
  <si>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</si>
  <si>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</si>
  <si>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</si>
  <si>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</si>
  <si>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</si>
  <si>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</si>
  <si>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</si>
  <si>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</si>
  <si>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</si>
  <si>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</si>
  <si>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</si>
  <si>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</si>
  <si>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</si>
  <si>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</si>
  <si>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</si>
  <si>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</si>
  <si>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</si>
  <si>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</si>
  <si>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</si>
  <si>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</si>
  <si>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</si>
  <si>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</si>
  <si>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</si>
  <si>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</si>
  <si>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</si>
  <si>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</si>
  <si>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</si>
  <si>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</si>
  <si>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</si>
  <si>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</si>
  <si>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</si>
  <si>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</si>
  <si>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</si>
  <si>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</si>
  <si>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</si>
  <si>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</si>
  <si>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</si>
  <si>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</si>
  <si>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</si>
  <si>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</si>
  <si>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</si>
  <si>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</si>
  <si>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</si>
  <si>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</si>
  <si>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</si>
  <si>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</si>
  <si>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</si>
  <si>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</si>
  <si>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</si>
  <si>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</si>
  <si>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</si>
  <si>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</si>
  <si>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</si>
  <si>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</si>
  <si>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</si>
  <si>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</si>
  <si>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</si>
  <si>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</si>
  <si>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</si>
  <si>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</si>
  <si>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</si>
  <si>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</si>
  <si>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</si>
  <si>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</si>
  <si>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</si>
  <si>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</si>
  <si>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</si>
  <si>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</si>
  <si>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</si>
  <si>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</si>
  <si>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</si>
  <si>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</si>
  <si>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</si>
  <si>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</si>
  <si>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</si>
  <si>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</si>
  <si>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</si>
  <si>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</si>
  <si>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</si>
  <si>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</si>
  <si>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</si>
  <si>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</si>
  <si>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</si>
  <si>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</si>
  <si>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</si>
  <si>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</si>
  <si>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</si>
  <si>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</si>
  <si>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</si>
  <si>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</si>
  <si>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</si>
  <si>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</si>
  <si>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</si>
  <si>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</si>
  <si>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</si>
  <si>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</si>
  <si>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</si>
  <si>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</si>
  <si>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</si>
  <si>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</si>
  <si>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</si>
  <si>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</si>
  <si>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</si>
  <si>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</si>
  <si>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</si>
  <si>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</si>
  <si>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</si>
  <si>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</si>
  <si>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</si>
  <si>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</si>
  <si>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</si>
  <si>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</si>
  <si>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</si>
  <si>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</si>
  <si>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</si>
  <si>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</si>
  <si>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</si>
  <si>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</si>
  <si>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</si>
  <si>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</si>
  <si>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</si>
  <si>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</si>
  <si>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</si>
  <si>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</si>
  <si>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</si>
  <si>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</si>
  <si>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</si>
  <si>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</si>
  <si>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</si>
  <si>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</si>
  <si>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</si>
  <si>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</si>
  <si>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</si>
  <si>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</si>
  <si>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</si>
  <si>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</si>
  <si>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</si>
  <si>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</si>
  <si>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</si>
  <si>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</si>
  <si>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</si>
  <si>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</si>
  <si>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</si>
  <si>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</si>
  <si>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</si>
  <si>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</si>
  <si>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</si>
  <si>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</si>
  <si>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</si>
  <si>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</si>
  <si>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</si>
  <si>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</si>
  <si>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</si>
  <si>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</si>
  <si>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</si>
  <si>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</si>
  <si>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</si>
  <si>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</si>
  <si>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</si>
  <si>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</si>
  <si>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</si>
  <si>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</si>
  <si>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</si>
  <si>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</si>
  <si>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</si>
  <si>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</si>
  <si>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</si>
  <si>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</si>
  <si>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</si>
  <si>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</si>
  <si>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</si>
  <si>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</si>
  <si>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</si>
  <si>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</si>
  <si>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</si>
  <si>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</si>
  <si>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</si>
  <si>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</si>
  <si>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</si>
  <si>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</si>
  <si>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</si>
  <si>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</si>
  <si>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</si>
  <si>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</si>
  <si>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</si>
  <si>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</si>
  <si>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</si>
  <si>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</si>
  <si>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</si>
  <si>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</si>
  <si>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</si>
  <si>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</si>
  <si>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</si>
  <si>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</si>
  <si>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</si>
  <si>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</si>
  <si>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</si>
  <si>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</si>
  <si>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</si>
  <si>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</si>
  <si>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</si>
  <si>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</si>
  <si>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</si>
  <si>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</si>
  <si>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</si>
  <si>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</si>
  <si>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</si>
  <si>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</si>
  <si>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</si>
  <si>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</si>
  <si>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</si>
  <si>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</si>
  <si>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</si>
  <si>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</si>
  <si>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</si>
  <si>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</si>
  <si>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</si>
  <si>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</si>
  <si>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</si>
  <si>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</si>
  <si>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</si>
  <si>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</si>
  <si>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</si>
  <si>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</si>
  <si>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</si>
  <si>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</si>
  <si>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</si>
  <si>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</si>
  <si>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</si>
  <si>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</si>
  <si>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</si>
  <si>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</si>
  <si>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</si>
  <si>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</si>
  <si>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</si>
  <si>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</si>
  <si>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</si>
  <si>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</si>
  <si>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</si>
  <si>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</si>
  <si>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</si>
  <si>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</si>
  <si>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</si>
  <si>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</si>
  <si>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</si>
  <si>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</si>
  <si>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</si>
  <si>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</si>
  <si>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</si>
  <si>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</si>
  <si>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</si>
  <si>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</si>
  <si>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</si>
  <si>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</si>
  <si>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</si>
  <si>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</si>
  <si>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</si>
  <si>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</si>
  <si>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</si>
  <si>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</si>
  <si>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</si>
  <si>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</si>
  <si>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</si>
  <si>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</si>
  <si>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</si>
  <si>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</si>
  <si>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</si>
  <si>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</si>
  <si>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</si>
  <si>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</si>
  <si>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</si>
  <si>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</si>
  <si>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</si>
  <si>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</si>
  <si>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</si>
  <si>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</si>
  <si>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</si>
  <si>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</si>
  <si>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</si>
  <si>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</si>
  <si>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</si>
  <si>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</si>
  <si>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</si>
  <si>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</si>
  <si>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</si>
  <si>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</si>
  <si>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</si>
  <si>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</si>
  <si>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</si>
  <si>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</si>
  <si>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</si>
  <si>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</si>
  <si>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</si>
  <si>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</si>
  <si>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</si>
  <si>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</si>
  <si>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</si>
  <si>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</si>
  <si>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</si>
  <si>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</si>
  <si>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</si>
  <si>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</si>
  <si>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</si>
  <si>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</si>
  <si>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</si>
  <si>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</si>
  <si>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</si>
  <si>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</si>
  <si>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</si>
  <si>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</si>
  <si>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</si>
  <si>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</si>
  <si>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</si>
  <si>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</si>
  <si>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</si>
  <si>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</si>
  <si>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</si>
  <si>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</si>
  <si>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</si>
  <si>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</si>
  <si>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</si>
  <si>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</si>
  <si>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</si>
  <si>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</si>
  <si>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</si>
  <si>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</si>
  <si>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</si>
  <si>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</si>
  <si>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</si>
  <si>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</si>
  <si>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</si>
  <si>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</si>
  <si>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</si>
  <si>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</si>
  <si>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</si>
  <si>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</si>
  <si>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</si>
  <si>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</si>
  <si>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</si>
  <si>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</si>
  <si>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</si>
  <si>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</si>
  <si>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</si>
  <si>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</si>
  <si>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</si>
  <si>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</si>
  <si>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</si>
  <si>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</si>
  <si>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</si>
  <si>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</si>
  <si>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</si>
  <si>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</si>
  <si>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</si>
  <si>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</si>
  <si>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</si>
  <si>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</si>
  <si>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</si>
  <si>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</si>
  <si>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</si>
  <si>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</si>
  <si>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</si>
  <si>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</si>
  <si>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</si>
  <si>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</si>
  <si>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</si>
  <si>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</si>
  <si>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</si>
  <si>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</si>
  <si>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</si>
  <si>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</si>
  <si>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</si>
  <si>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</si>
  <si>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</si>
  <si>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</si>
  <si>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</si>
  <si>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</si>
  <si>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</si>
  <si>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</si>
  <si>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</si>
  <si>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</si>
  <si>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</si>
  <si>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</si>
  <si>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</si>
  <si>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</si>
  <si>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</si>
  <si>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</si>
  <si>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</si>
  <si>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</si>
  <si>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</si>
  <si>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</si>
  <si>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</si>
  <si>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</si>
  <si>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</si>
  <si>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</si>
  <si>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</si>
  <si>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</si>
  <si>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</si>
  <si>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</si>
  <si>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</si>
  <si>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</si>
  <si>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</si>
  <si>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</si>
  <si>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</si>
  <si>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</si>
  <si>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</si>
  <si>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</si>
  <si>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</si>
  <si>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</si>
  <si>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</si>
  <si>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</si>
  <si>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</si>
  <si>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</si>
  <si>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</si>
  <si>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</si>
  <si>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</si>
  <si>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</si>
  <si>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</si>
  <si>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</si>
  <si>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</si>
  <si>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</si>
  <si>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</si>
  <si>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</si>
  <si>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</si>
  <si>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</si>
  <si>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</si>
  <si>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</si>
  <si>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</si>
  <si>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</si>
  <si>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</si>
  <si>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</si>
  <si>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</si>
  <si>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</si>
  <si>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</si>
  <si>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</si>
  <si>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</si>
  <si>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</si>
  <si>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</si>
  <si>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</si>
  <si>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</si>
  <si>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</si>
  <si>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</si>
  <si>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</si>
  <si>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</si>
  <si>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</si>
  <si>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</si>
  <si>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</si>
  <si>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</si>
  <si>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</si>
  <si>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</si>
  <si>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</si>
  <si>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</si>
  <si>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</si>
  <si>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</si>
  <si>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</si>
  <si>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</si>
  <si>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</si>
  <si>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</si>
  <si>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</si>
  <si>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</si>
  <si>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</si>
  <si>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</si>
  <si>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</si>
  <si>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</si>
  <si>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</si>
  <si>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</si>
  <si>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</si>
  <si>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</si>
  <si>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</si>
  <si>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</si>
  <si>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</si>
  <si>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</si>
  <si>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</si>
  <si>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</si>
  <si>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</si>
  <si>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</si>
  <si>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</si>
  <si>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</si>
  <si>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</si>
  <si>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</si>
  <si>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</si>
  <si>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</si>
  <si>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</si>
  <si>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</si>
  <si>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</si>
  <si>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</si>
  <si>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</si>
  <si>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</si>
  <si>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</si>
  <si>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</si>
  <si>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</si>
  <si>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</si>
  <si>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</si>
  <si>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</si>
  <si>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</si>
  <si>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</si>
  <si>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</si>
  <si>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</si>
  <si>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</si>
  <si>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</si>
  <si>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</si>
  <si>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</si>
  <si>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</si>
  <si>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</si>
  <si>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</si>
  <si>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</si>
  <si>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</si>
  <si>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</si>
  <si>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</si>
  <si>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</si>
  <si>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</si>
  <si>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</si>
  <si>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</si>
  <si>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</si>
  <si>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</si>
  <si>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</si>
  <si>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</si>
  <si>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</si>
  <si>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</si>
  <si>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</si>
  <si>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</si>
  <si>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</si>
  <si>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</si>
  <si>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</si>
  <si>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</si>
  <si>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</si>
  <si>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</si>
  <si>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</si>
  <si>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</si>
  <si>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</si>
  <si>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</si>
  <si>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</si>
  <si>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</si>
  <si>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</si>
  <si>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</si>
  <si>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</si>
  <si>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</si>
  <si>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</si>
  <si>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</si>
  <si>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</si>
  <si>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</si>
  <si>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</si>
  <si>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</si>
  <si>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</si>
  <si>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</si>
  <si>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</si>
  <si>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</si>
  <si>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</si>
  <si>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</si>
  <si>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</si>
  <si>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</si>
  <si>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</si>
  <si>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</si>
  <si>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</si>
  <si>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</si>
  <si>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</si>
  <si>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</si>
  <si>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</si>
  <si>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</si>
  <si>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</si>
  <si>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</si>
  <si>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</si>
  <si>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</si>
  <si>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</si>
  <si>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</si>
  <si>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</si>
  <si>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</si>
  <si>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</si>
  <si>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</si>
  <si>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</si>
  <si>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</si>
  <si>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</si>
  <si>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</si>
  <si>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</si>
  <si>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</si>
  <si>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</si>
  <si>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</si>
  <si>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</si>
  <si>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</si>
  <si>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</si>
  <si>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</si>
  <si>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</si>
  <si>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</si>
  <si>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</si>
  <si>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</si>
  <si>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</si>
  <si>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</si>
  <si>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</si>
  <si>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</si>
  <si>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</si>
  <si>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</si>
  <si>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</si>
  <si>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</si>
  <si>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</si>
  <si>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</si>
  <si>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</si>
  <si>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</si>
  <si>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</si>
  <si>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</si>
  <si>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</si>
  <si>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</si>
  <si>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</si>
  <si>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</si>
  <si>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</si>
  <si>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</si>
  <si>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</si>
  <si>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</si>
  <si>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</si>
  <si>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</si>
  <si>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</si>
  <si>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</si>
  <si>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</si>
  <si>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</si>
  <si>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</si>
  <si>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</si>
  <si>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</si>
  <si>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</si>
  <si>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</si>
  <si>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</si>
  <si>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</si>
  <si>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</si>
  <si>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</si>
  <si>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</si>
  <si>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</si>
  <si>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</si>
  <si>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</si>
  <si>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</si>
  <si>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</si>
  <si>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</si>
  <si>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</si>
  <si>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</si>
  <si>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</si>
  <si>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</si>
  <si>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</si>
  <si>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</si>
  <si>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</si>
  <si>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</si>
  <si>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</si>
  <si>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</si>
  <si>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</si>
  <si>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</si>
  <si>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</si>
  <si>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</si>
  <si>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</si>
  <si>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</si>
  <si>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</si>
  <si>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</si>
  <si>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</si>
  <si>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</si>
  <si>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</si>
  <si>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</si>
  <si>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</si>
  <si>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</si>
  <si>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</si>
  <si>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</si>
  <si>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</si>
  <si>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</si>
  <si>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</si>
  <si>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</si>
  <si>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</si>
  <si>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</si>
  <si>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</si>
  <si>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</si>
  <si>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</si>
  <si>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</si>
  <si>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</si>
  <si>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</si>
  <si>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</si>
  <si>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</si>
  <si>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</si>
  <si>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</si>
  <si>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</si>
  <si>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</si>
  <si>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</si>
  <si>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</si>
  <si>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</si>
  <si>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</si>
  <si>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</si>
  <si>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</si>
  <si>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</si>
  <si>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</si>
  <si>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</si>
  <si>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</si>
  <si>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</si>
  <si>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</si>
  <si>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</si>
  <si>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</si>
  <si>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</si>
  <si>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</si>
  <si>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</si>
  <si>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</si>
  <si>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</si>
  <si>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</si>
  <si>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</si>
  <si>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</si>
  <si>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</si>
  <si>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</si>
  <si>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</si>
  <si>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</si>
  <si>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</si>
  <si>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</si>
  <si>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</si>
  <si>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</si>
  <si>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</si>
  <si>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</si>
  <si>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</si>
  <si>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</si>
  <si>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</si>
  <si>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</si>
  <si>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</si>
  <si>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</si>
  <si>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</si>
  <si>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</si>
  <si>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</si>
  <si>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</si>
  <si>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</si>
  <si>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</si>
  <si>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</si>
  <si>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</si>
  <si>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</si>
  <si>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</si>
  <si>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</si>
  <si>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</si>
  <si>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</si>
  <si>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</si>
  <si>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</si>
  <si>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</si>
  <si>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</si>
  <si>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</si>
  <si>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</si>
  <si>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</si>
  <si>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</si>
  <si>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</si>
  <si>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</si>
  <si>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</si>
  <si>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</si>
  <si>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</si>
  <si>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</si>
  <si>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</si>
  <si>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</si>
  <si>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</si>
  <si>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</si>
  <si>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</si>
  <si>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</si>
  <si>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</si>
  <si>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</si>
  <si>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</si>
  <si>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</si>
  <si>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</si>
  <si>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</si>
  <si>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</si>
  <si>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</si>
  <si>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</si>
  <si>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</si>
  <si>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</si>
  <si>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</si>
  <si>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</si>
  <si>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</si>
  <si>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</si>
  <si>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</si>
  <si>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</si>
  <si>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</si>
  <si>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</si>
  <si>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</si>
  <si>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</si>
  <si>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</si>
  <si>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</si>
  <si>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</si>
  <si>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</si>
  <si>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</si>
  <si>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</si>
  <si>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</si>
  <si>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</si>
  <si>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</si>
  <si>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</si>
  <si>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</si>
  <si>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</si>
  <si>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</si>
  <si>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</si>
  <si>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</si>
  <si>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</si>
  <si>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</si>
  <si>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</si>
  <si>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</si>
  <si>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</si>
  <si>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</si>
  <si>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</si>
  <si>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</si>
  <si>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</si>
  <si>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</si>
  <si>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</si>
  <si>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</si>
  <si>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</si>
  <si>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</si>
  <si>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</si>
  <si>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</si>
  <si>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</si>
  <si>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</si>
  <si>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</si>
  <si>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</si>
  <si>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</si>
  <si>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</si>
  <si>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</si>
  <si>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</si>
  <si>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</si>
  <si>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</si>
  <si>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</si>
  <si>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</si>
  <si>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</si>
  <si>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</si>
  <si>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</si>
  <si>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</si>
  <si>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</si>
  <si>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</si>
  <si>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</si>
  <si>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</si>
  <si>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</si>
  <si>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</si>
  <si>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</si>
  <si>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</si>
  <si>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</si>
  <si>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</si>
  <si>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</si>
  <si>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</si>
  <si>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</si>
  <si>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</si>
  <si>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</si>
  <si>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</si>
  <si>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</si>
  <si>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</si>
  <si>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</si>
  <si>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</si>
  <si>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</si>
  <si>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</si>
  <si>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</si>
  <si>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</si>
  <si>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</si>
  <si>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</si>
  <si>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</si>
  <si>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</si>
  <si>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</si>
  <si>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</si>
  <si>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</si>
  <si>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</si>
  <si>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</si>
  <si>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</si>
  <si>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</si>
  <si>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</si>
  <si>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</si>
  <si>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</si>
  <si>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</si>
  <si>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</si>
  <si>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</si>
  <si>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</si>
  <si>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</si>
  <si>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</si>
  <si>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</si>
  <si>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</si>
  <si>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</si>
  <si>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</si>
  <si>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</si>
  <si>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</si>
  <si>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</si>
  <si>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</si>
  <si>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</si>
  <si>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</si>
  <si>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</si>
  <si>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</si>
  <si>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</si>
  <si>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</si>
  <si>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</si>
  <si>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</si>
  <si>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</si>
  <si>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</si>
  <si>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</si>
  <si>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</si>
  <si>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</si>
  <si>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</si>
  <si>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</si>
  <si>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</si>
  <si>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</si>
  <si>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</si>
  <si>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</si>
  <si>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</si>
  <si>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</si>
  <si>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</si>
  <si>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</si>
  <si>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</si>
  <si>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</si>
  <si>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</si>
  <si>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</si>
  <si>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</si>
  <si>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</si>
  <si>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</si>
  <si>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</si>
  <si>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</si>
  <si>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</si>
  <si>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</si>
  <si>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</si>
  <si>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</si>
  <si>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</si>
  <si>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</si>
  <si>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</si>
  <si>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</si>
  <si>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</si>
  <si>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</si>
  <si>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</si>
  <si>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</si>
  <si>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</si>
  <si>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</si>
  <si>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</si>
  <si>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</si>
  <si>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</si>
  <si>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</si>
  <si>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</si>
  <si>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</si>
  <si>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</si>
  <si>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</si>
  <si>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</si>
  <si>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</si>
  <si>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</si>
  <si>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</si>
  <si>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</si>
  <si>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</si>
  <si>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</si>
  <si>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</si>
  <si>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</si>
  <si>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</si>
  <si>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</si>
  <si>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</si>
  <si>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</si>
  <si>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</si>
  <si>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</si>
  <si>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</si>
  <si>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</si>
  <si>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</si>
  <si>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</si>
  <si>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</si>
  <si>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</si>
  <si>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</si>
  <si>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</si>
  <si>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</si>
  <si>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</si>
  <si>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</si>
  <si>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</si>
  <si>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</si>
  <si>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</si>
  <si>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</si>
  <si>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</si>
  <si>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</si>
  <si>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</si>
  <si>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</si>
  <si>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</si>
  <si>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</si>
  <si>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</si>
  <si>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</si>
  <si>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</si>
  <si>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</si>
  <si>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</si>
  <si>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</si>
  <si>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</si>
  <si>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</si>
  <si>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</si>
  <si>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</si>
  <si>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</si>
  <si>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</si>
  <si>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</si>
  <si>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</si>
  <si>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</si>
  <si>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</si>
  <si>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</si>
  <si>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</si>
  <si>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</si>
  <si>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</si>
  <si>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</si>
  <si>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</si>
  <si>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</si>
  <si>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</si>
  <si>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</si>
  <si>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</si>
  <si>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</si>
  <si>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</si>
  <si>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</si>
  <si>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</si>
  <si>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</si>
  <si>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</si>
  <si>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</si>
  <si>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</si>
  <si>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</si>
  <si>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</si>
  <si>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</si>
  <si>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</si>
  <si>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</si>
  <si>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</si>
  <si>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</si>
  <si>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</si>
  <si>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</si>
  <si>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</si>
  <si>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</si>
  <si>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</si>
  <si>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</si>
  <si>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</si>
  <si>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</si>
  <si>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</si>
  <si>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</si>
  <si>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</si>
  <si>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</si>
  <si>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</si>
  <si>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</si>
  <si>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</si>
  <si>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</si>
  <si>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</si>
  <si>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</si>
  <si>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</si>
  <si>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</si>
  <si>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</si>
  <si>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</si>
  <si>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</si>
  <si>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</si>
  <si>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</si>
  <si>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</si>
  <si>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</si>
  <si>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</si>
  <si>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</si>
  <si>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</si>
  <si>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</si>
  <si>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</si>
  <si>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</si>
  <si>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</si>
  <si>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</si>
  <si>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</si>
  <si>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</si>
  <si>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</si>
  <si>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</si>
  <si>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</si>
  <si>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</si>
  <si>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</si>
  <si>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</si>
  <si>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</si>
  <si>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</si>
  <si>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</si>
  <si>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</si>
  <si>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</si>
  <si>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</si>
  <si>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</si>
  <si>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</si>
  <si>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</si>
  <si>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</si>
  <si>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</si>
  <si>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</si>
  <si>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</si>
  <si>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</si>
  <si>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</si>
  <si>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</si>
  <si>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</si>
  <si>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</si>
  <si>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</si>
  <si>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</si>
  <si>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</si>
  <si>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</si>
  <si>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</si>
  <si>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</si>
  <si>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</si>
  <si>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</si>
  <si>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</si>
  <si>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</si>
  <si>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</si>
  <si>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</si>
  <si>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</si>
  <si>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</si>
  <si>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</si>
  <si>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</si>
  <si>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</si>
  <si>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</si>
  <si>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</si>
  <si>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</si>
  <si>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</si>
  <si>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</si>
  <si>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</si>
  <si>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</si>
  <si>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</si>
  <si>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</si>
  <si>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</si>
  <si>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</si>
  <si>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</si>
  <si>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</si>
  <si>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</si>
  <si>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</si>
  <si>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</si>
  <si>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</si>
  <si>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</si>
  <si>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</si>
  <si>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</si>
  <si>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</si>
  <si>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</si>
  <si>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</si>
  <si>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</si>
  <si>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</si>
  <si>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</si>
  <si>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</si>
  <si>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</si>
  <si>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</si>
  <si>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</si>
  <si>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</si>
  <si>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</si>
  <si>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</si>
  <si>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</si>
  <si>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</si>
  <si>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</si>
  <si>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</si>
  <si>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</si>
  <si>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</si>
  <si>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</si>
  <si>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</si>
  <si>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</si>
  <si>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</si>
  <si>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</si>
  <si>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</si>
  <si>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</si>
  <si>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</si>
  <si>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</si>
  <si>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</si>
  <si>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</si>
  <si>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</si>
  <si>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</si>
  <si>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</si>
  <si>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</si>
  <si>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</si>
  <si>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</si>
  <si>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</si>
  <si>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</si>
  <si>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</si>
  <si>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</si>
  <si>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</si>
  <si>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</si>
  <si>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</si>
  <si>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</si>
  <si>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</si>
  <si>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</si>
  <si>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</si>
  <si>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</si>
  <si>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</si>
  <si>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</si>
  <si>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</si>
  <si>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</si>
  <si>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</si>
  <si>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</si>
  <si>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</si>
  <si>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</si>
  <si>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</si>
  <si>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</si>
  <si>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</si>
  <si>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</si>
  <si>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</si>
  <si>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</si>
  <si>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</si>
  <si>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</si>
  <si>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</si>
  <si>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</si>
  <si>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</si>
  <si>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</si>
  <si>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</si>
  <si>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</si>
  <si>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</si>
  <si>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</si>
  <si>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</si>
  <si>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</si>
  <si>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</si>
  <si>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</si>
  <si>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</si>
  <si>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</si>
  <si>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</si>
  <si>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</si>
  <si>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</si>
  <si>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</si>
  <si>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</si>
  <si>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</si>
  <si>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</si>
  <si>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</si>
  <si>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</si>
  <si>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</si>
  <si>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</si>
  <si>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</si>
  <si>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</si>
  <si>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</si>
  <si>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</si>
  <si>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</si>
  <si>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</si>
  <si>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</si>
  <si>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</si>
  <si>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</si>
  <si>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</si>
  <si>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</si>
  <si>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</si>
  <si>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</si>
  <si>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</si>
  <si>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</si>
  <si>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</si>
  <si>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</si>
  <si>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</si>
  <si>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</si>
  <si>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</si>
  <si>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</si>
  <si>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</si>
  <si>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</si>
  <si>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</si>
  <si>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</si>
  <si>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</si>
  <si>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</si>
  <si>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</si>
  <si>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</si>
  <si>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</si>
  <si>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</si>
  <si>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</si>
  <si>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</si>
  <si>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</si>
  <si>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</si>
  <si>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</si>
  <si>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</si>
  <si>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</si>
  <si>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</si>
  <si>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</si>
  <si>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</si>
  <si>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</si>
  <si>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</si>
  <si>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</si>
  <si>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</si>
  <si>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</si>
  <si>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</si>
  <si>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</si>
  <si>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</si>
  <si>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</si>
  <si>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</si>
  <si>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</si>
  <si>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</si>
  <si>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</si>
  <si>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</si>
  <si>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</si>
  <si>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</si>
  <si>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</si>
  <si>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</si>
  <si>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</si>
  <si>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</si>
  <si>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</si>
  <si>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</si>
  <si>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</si>
  <si>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</si>
  <si>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</si>
  <si>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</si>
  <si>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</si>
  <si>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</si>
  <si>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</si>
  <si>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</si>
  <si>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</si>
  <si>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</si>
  <si>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</si>
  <si>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</si>
  <si>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</si>
  <si>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</si>
  <si>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</si>
  <si>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</si>
  <si>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</si>
  <si>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</si>
  <si>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</si>
  <si>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</si>
  <si>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</si>
  <si>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</si>
  <si>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</si>
  <si>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</si>
  <si>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</si>
  <si>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</si>
  <si>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</si>
  <si>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</si>
  <si>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</si>
  <si>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</si>
  <si>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</si>
  <si>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</si>
  <si>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</si>
  <si>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</si>
  <si>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</si>
  <si>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</si>
  <si>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</si>
  <si>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</si>
  <si>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</si>
  <si>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</si>
  <si>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</si>
  <si>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</si>
  <si>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</si>
  <si>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</si>
  <si>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</si>
  <si>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</si>
  <si>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</si>
  <si>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</si>
  <si>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</si>
  <si>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</si>
  <si>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</si>
  <si>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</si>
  <si>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</si>
  <si>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</si>
  <si>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</si>
  <si>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</si>
  <si>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</si>
  <si>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</si>
  <si>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</si>
  <si>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</si>
  <si>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</si>
  <si>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</si>
  <si>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</si>
  <si>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</si>
  <si>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</si>
  <si>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</si>
  <si>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</si>
  <si>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</si>
  <si>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</si>
  <si>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</si>
  <si>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</si>
  <si>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</si>
  <si>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</si>
  <si>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</si>
  <si>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</si>
  <si>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</si>
  <si>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</si>
  <si>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</si>
  <si>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</si>
  <si>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</si>
  <si>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</si>
  <si>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</si>
  <si>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</si>
  <si>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</si>
  <si>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</si>
  <si>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</si>
  <si>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</si>
  <si>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</si>
  <si>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</si>
  <si>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</si>
  <si>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</si>
  <si>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</si>
  <si>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</si>
  <si>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</si>
  <si>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</si>
  <si>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</si>
  <si>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</si>
  <si>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</si>
  <si>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</si>
  <si>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</si>
  <si>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</si>
  <si>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</si>
  <si>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</si>
  <si>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</si>
  <si>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</si>
  <si>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</si>
  <si>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</si>
  <si>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</si>
  <si>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</si>
  <si>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</si>
  <si>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</si>
  <si>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</si>
  <si>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</si>
  <si>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</si>
  <si>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</si>
  <si>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</si>
  <si>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</si>
  <si>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</si>
  <si>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</si>
  <si>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</si>
  <si>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</si>
  <si>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</si>
  <si>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</si>
  <si>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</si>
  <si>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</si>
  <si>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</si>
  <si>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</si>
  <si>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</si>
  <si>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</si>
  <si>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</si>
  <si>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</si>
  <si>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</si>
  <si>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</si>
  <si>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</si>
  <si>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</si>
  <si>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</si>
  <si>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</si>
  <si>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</si>
  <si>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</si>
  <si>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</si>
  <si>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</si>
  <si>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</si>
  <si>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</si>
  <si>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</si>
  <si>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</si>
  <si>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</si>
  <si>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</si>
  <si>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</si>
  <si>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</si>
  <si>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</si>
  <si>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</si>
  <si>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</si>
  <si>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</si>
  <si>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</si>
  <si>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</si>
  <si>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</si>
  <si>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</si>
  <si>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</si>
  <si>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</si>
  <si>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</si>
  <si>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</si>
  <si>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</si>
  <si>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</si>
  <si>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</si>
  <si>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</si>
  <si>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</si>
  <si>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</si>
  <si>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</si>
  <si>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</si>
  <si>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</si>
  <si>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</si>
  <si>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</si>
  <si>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</si>
  <si>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</si>
  <si>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</si>
  <si>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</si>
  <si>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</si>
  <si>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</si>
  <si>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</si>
  <si>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</si>
  <si>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</si>
  <si>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</si>
  <si>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</si>
  <si>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</si>
  <si>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</si>
  <si>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</si>
  <si>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</si>
  <si>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</si>
  <si>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</si>
  <si>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</si>
  <si>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</si>
  <si>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</si>
  <si>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</si>
  <si>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</si>
  <si>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</si>
  <si>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</si>
  <si>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</si>
  <si>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</si>
  <si>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</si>
  <si>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</si>
  <si>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</si>
  <si>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</si>
  <si>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</si>
  <si>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</si>
  <si>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</si>
  <si>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</si>
  <si>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</si>
  <si>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</si>
  <si>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</si>
  <si>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</si>
  <si>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</si>
  <si>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</si>
  <si>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</si>
  <si>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</si>
  <si>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</si>
  <si>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</si>
  <si>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</si>
  <si>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</si>
  <si>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</si>
  <si>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</si>
  <si>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</si>
  <si>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</si>
  <si>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</si>
  <si>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</si>
  <si>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</si>
  <si>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</si>
  <si>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</si>
  <si>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</si>
  <si>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</si>
  <si>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</si>
  <si>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</si>
  <si>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</si>
  <si>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</si>
  <si>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</si>
  <si>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</si>
  <si>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</si>
  <si>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</si>
  <si>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</si>
  <si>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</si>
  <si>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</si>
  <si>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</si>
  <si>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</si>
  <si>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</si>
  <si>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</si>
  <si>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</si>
  <si>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</si>
  <si>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</si>
  <si>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</si>
  <si>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</si>
  <si>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</si>
  <si>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</si>
  <si>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</si>
  <si>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</si>
  <si>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</si>
  <si>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</si>
  <si>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</si>
  <si>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</si>
  <si>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</si>
  <si>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</si>
  <si>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</si>
  <si>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</si>
  <si>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</si>
  <si>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</si>
  <si>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</si>
  <si>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</si>
  <si>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</si>
  <si>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</si>
  <si>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</si>
  <si>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</si>
  <si>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</si>
  <si>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</si>
  <si>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</si>
  <si>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</si>
  <si>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</si>
  <si>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</si>
  <si>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</si>
  <si>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</si>
  <si>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</si>
  <si>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</si>
  <si>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</si>
  <si>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</si>
  <si>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</si>
  <si>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</si>
  <si>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</si>
  <si>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</si>
  <si>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</si>
  <si>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</si>
  <si>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</si>
  <si>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</si>
  <si>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</si>
  <si>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</si>
  <si>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</si>
  <si>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</si>
  <si>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</si>
  <si>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</si>
  <si>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</si>
  <si>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</si>
  <si>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</si>
  <si>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</si>
  <si>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</si>
  <si>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</si>
  <si>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</si>
  <si>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</si>
  <si>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</si>
  <si>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</si>
  <si>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</si>
  <si>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</si>
  <si>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</si>
  <si>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</si>
  <si>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</si>
  <si>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</si>
  <si>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</si>
  <si>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</si>
  <si>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</si>
  <si>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</si>
  <si>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</si>
  <si>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</si>
  <si>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</si>
  <si>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</si>
  <si>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</si>
  <si>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</si>
  <si>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</si>
  <si>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</si>
  <si>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</si>
  <si>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</si>
  <si>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</si>
  <si>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</si>
  <si>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</si>
  <si>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</si>
  <si>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</si>
  <si>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</si>
  <si>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</si>
  <si>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</si>
  <si>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</si>
  <si>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</si>
  <si>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</si>
  <si>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</si>
  <si>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</si>
  <si>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</si>
  <si>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</si>
  <si>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</si>
  <si>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</si>
  <si>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</si>
  <si>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</si>
  <si>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</si>
  <si>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</si>
  <si>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</si>
  <si>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</si>
  <si>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</si>
  <si>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</si>
  <si>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</si>
  <si>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</si>
  <si>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</si>
  <si>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</si>
  <si>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</si>
  <si>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</si>
  <si>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</si>
  <si>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</si>
  <si>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</si>
  <si>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</si>
  <si>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</si>
  <si>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</si>
  <si>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</si>
  <si>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</si>
  <si>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</si>
  <si>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</si>
  <si>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</si>
  <si>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</si>
  <si>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</si>
  <si>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</si>
  <si>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</si>
  <si>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</si>
  <si>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</si>
  <si>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</si>
  <si>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</si>
  <si>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</si>
  <si>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</si>
  <si>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</si>
  <si>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</si>
  <si>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</si>
  <si>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</si>
  <si>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</si>
  <si>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</si>
  <si>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</si>
  <si>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</si>
  <si>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</si>
  <si>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</si>
  <si>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</si>
  <si>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</si>
  <si>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</si>
  <si>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</si>
  <si>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</si>
  <si>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</si>
  <si>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</si>
  <si>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</si>
  <si>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</si>
  <si>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</si>
  <si>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</si>
  <si>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</si>
  <si>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</si>
  <si>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</si>
  <si>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</si>
  <si>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</si>
  <si>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</si>
  <si>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</si>
  <si>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</si>
  <si>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</si>
  <si>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</si>
  <si>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</si>
  <si>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</si>
  <si>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</si>
  <si>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</si>
  <si>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</si>
  <si>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</si>
  <si>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</si>
  <si>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</si>
  <si>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</si>
  <si>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</si>
  <si>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</si>
  <si>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</si>
  <si>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</si>
  <si>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</si>
  <si>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</si>
  <si>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</si>
  <si>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</si>
  <si>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</si>
  <si>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</si>
  <si>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</si>
  <si>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</si>
  <si>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</si>
  <si>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</si>
  <si>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</si>
  <si>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</si>
  <si>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</si>
  <si>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</si>
  <si>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</si>
  <si>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</si>
  <si>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</si>
  <si>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</si>
  <si>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</si>
  <si>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</si>
  <si>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</si>
  <si>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</si>
  <si>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</si>
  <si>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</si>
  <si>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</si>
  <si>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</si>
  <si>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</si>
  <si>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</si>
  <si>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</si>
  <si>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</si>
  <si>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</si>
  <si>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</si>
  <si>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</si>
  <si>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</si>
  <si>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</si>
  <si>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</si>
  <si>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</si>
  <si>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</si>
  <si>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</si>
  <si>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</si>
  <si>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</si>
  <si>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</si>
  <si>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</si>
  <si>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</si>
  <si>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</si>
  <si>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</si>
  <si>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</si>
  <si>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</si>
  <si>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</si>
  <si>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</si>
  <si>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Damasceno; Marcelo Santana; Cinthia Thomazi; Igor Queiroz; Guilherme Bride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</si>
</sst>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4" zoomScaleNormal="100" workbookViewId="0">
      <pane xSplit="3" topLeftCell="M1" activePane="topRight" state="frozen"/>
      <selection pane="topRight" activeCell="T701" sqref="T701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Damasceno; Marcelo Santana; Cinthia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8</v>
      </c>
      <c r="I66">
        <v>0.24</v>
      </c>
      <c r="J66">
        <v>8.24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8</v>
      </c>
      <c r="I67">
        <v>0.24</v>
      </c>
      <c r="J67">
        <v>8.24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8</v>
      </c>
      <c r="I68">
        <v>0.24</v>
      </c>
      <c r="J68">
        <v>8.24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8</v>
      </c>
      <c r="I69">
        <v>0.24</v>
      </c>
      <c r="J69">
        <v>8.24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8</v>
      </c>
      <c r="I70">
        <v>0.24</v>
      </c>
      <c r="J70">
        <v>8.24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</v>
      </c>
      <c r="G71">
        <v>10</v>
      </c>
      <c r="H71">
        <v>8</v>
      </c>
      <c r="I71">
        <v>0.24</v>
      </c>
      <c r="J71">
        <v>8.24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8</v>
      </c>
      <c r="I72">
        <v>0.24</v>
      </c>
      <c r="J72">
        <v>8.24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Thomazi</v>
      </c>
      <c r="G73">
        <v>10</v>
      </c>
      <c r="H73">
        <v>8</v>
      </c>
      <c r="I73">
        <v>0.24</v>
      </c>
      <c r="J73">
        <v>8.24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8</v>
      </c>
      <c r="I74">
        <v>0.24</v>
      </c>
      <c r="J74">
        <v>8.24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8</v>
      </c>
      <c r="I75">
        <v>0.24</v>
      </c>
      <c r="J75">
        <v>8.24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8</v>
      </c>
      <c r="C7" s="103">
        <f>IF($A7="","",SUMIFS('GECC 2026'!I$2:I$200,'GECC 2026'!F$2:F$200,$A7))</f>
        <v>0.24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8.24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8</v>
      </c>
      <c r="C9" s="103">
        <f>IF($A9="","",SUMIFS('GECC 2026'!I$2:I$200,'GECC 2026'!F$2:F$200,$A9))</f>
        <v>0.24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8.24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36</v>
      </c>
      <c r="C11" s="103">
        <f>IF($A11="","",SUMIFS('GECC 2026'!I$2:I$200,'GECC 2026'!F$2:F$200,$A11))</f>
        <v>6.24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42.24</v>
      </c>
      <c r="F11" s="101">
        <f>IF($A11="","",COUNTIFS('GECC 2026'!F$2:F$200,$A11))</f>
        <v>5</v>
      </c>
    </row>
    <row r="12" spans="1:7" x14ac:dyDescent="0.25">
      <c r="A12" t="str">
        <v>Cinthia Thomazi</v>
      </c>
      <c r="B12" s="103">
        <f>IF($A12="","",SUMIFS('GECC 2026'!H$2:H$200,'GECC 2026'!F$2:F$200,$A12))</f>
        <v>8</v>
      </c>
      <c r="C12" s="103">
        <f>IF($A12="","",SUMIFS('GECC 2026'!I$2:I$200,'GECC 2026'!F$2:F$200,$A12))</f>
        <v>0.24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8.24</v>
      </c>
      <c r="F12" s="101">
        <f>IF($A12="","",COUNTIFS('GECC 2026'!F$2:F$200,$A12))</f>
        <v>1</v>
      </c>
    </row>
    <row r="13" spans="1:7" x14ac:dyDescent="0.25">
      <c r="A13" t="str">
        <v>Davi Assunção Salvador Nery de Castro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David da Silva de Araújo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1.2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13.2</v>
      </c>
      <c r="F14" s="101">
        <f>IF($A14="","",COUNTIFS('GECC 2026'!F$2:F$200,$A14))</f>
        <v>1</v>
      </c>
    </row>
    <row r="15" spans="1:7" x14ac:dyDescent="0.25">
      <c r="A15" t="str">
        <v>Denise Duarte Guirra Kuhlmann</v>
      </c>
      <c r="B15" s="103">
        <f>IF($A15="","",SUMIFS('GECC 2026'!H$2:H$200,'GECC 2026'!F$2:F$200,$A15))</f>
        <v>12</v>
      </c>
      <c r="C15" s="103">
        <f>IF($A15="","",SUMIFS('GECC 2026'!I$2:I$200,'GECC 2026'!F$2:F$200,$A15))</f>
        <v>2.6399999999999997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14.64</v>
      </c>
      <c r="F15" s="101">
        <f>IF($A15="","",COUNTIFS('GECC 2026'!F$2:F$200,$A15))</f>
        <v>3</v>
      </c>
    </row>
    <row r="16" spans="1:7" x14ac:dyDescent="0.25">
      <c r="A16" t="str">
        <v>Diversos</v>
      </c>
      <c r="B16" s="103">
        <f>IF($A16="","",SUMIFS('GECC 2026'!H$2:H$200,'GECC 2026'!F$2:F$200,$A16))</f>
        <v>0</v>
      </c>
      <c r="C16" s="103">
        <f>IF($A16="","",SUMIFS('GECC 2026'!I$2:I$200,'GECC 2026'!F$2:F$200,$A16))</f>
        <v>0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0</v>
      </c>
      <c r="F16" s="101">
        <f>IF($A16="","",COUNTIFS('GECC 2026'!F$2:F$200,$A16))</f>
        <v>2</v>
      </c>
    </row>
    <row r="17" spans="1:6" x14ac:dyDescent="0.25">
      <c r="A17" t="str">
        <v>Eustáquio Rabelo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0.24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8.24</v>
      </c>
      <c r="F17" s="101">
        <f>IF($A17="","",COUNTIFS('GECC 2026'!F$2:F$200,$A17))</f>
        <v>1</v>
      </c>
    </row>
    <row r="18" spans="1:6" x14ac:dyDescent="0.25">
      <c r="A18" t="str">
        <v>Felipe da Costa Malaquias</v>
      </c>
      <c r="B18" s="103">
        <f>IF($A18="","",SUMIFS('GECC 2026'!H$2:H$200,'GECC 2026'!F$2:F$200,$A18))</f>
        <v>0</v>
      </c>
      <c r="C18" s="103">
        <f>IF($A18="","",SUMIFS('GECC 2026'!I$2:I$200,'GECC 2026'!F$2:F$200,$A18))</f>
        <v>34.9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34.9</v>
      </c>
      <c r="F18" s="101">
        <f>IF($A18="","",COUNTIFS('GECC 2026'!F$2:F$200,$A18))</f>
        <v>1</v>
      </c>
    </row>
    <row r="19" spans="1:6" x14ac:dyDescent="0.25">
      <c r="A19" t="str">
        <v>Felipe Ramos Barbosa</v>
      </c>
      <c r="B19" s="103">
        <f>IF($A19="","",SUMIFS('GECC 2026'!H$2:H$200,'GECC 2026'!F$2:F$200,$A19))</f>
        <v>8</v>
      </c>
      <c r="C19" s="103">
        <f>IF($A19="","",SUMIFS('GECC 2026'!I$2:I$200,'GECC 2026'!F$2:F$200,$A19))</f>
        <v>0.24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8.24</v>
      </c>
      <c r="F19" s="101">
        <f>IF($A19="","",COUNTIFS('GECC 2026'!F$2:F$200,$A19))</f>
        <v>1</v>
      </c>
    </row>
    <row r="20" spans="1:6" x14ac:dyDescent="0.25">
      <c r="A20" t="str">
        <v>Fernanda Viana de Souza</v>
      </c>
      <c r="B20" s="103">
        <f>IF($A20="","",SUMIFS('GECC 2026'!H$2:H$200,'GECC 2026'!F$2:F$200,$A20))</f>
        <v>15</v>
      </c>
      <c r="C20" s="103">
        <f>IF($A20="","",SUMIFS('GECC 2026'!I$2:I$200,'GECC 2026'!F$2:F$200,$A20))</f>
        <v>3.09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18.09</v>
      </c>
      <c r="F20" s="101">
        <f>IF($A20="","",COUNTIFS('GECC 2026'!F$2:F$200,$A20))</f>
        <v>4</v>
      </c>
    </row>
    <row r="21" spans="1:6" x14ac:dyDescent="0.25">
      <c r="A21" t="str">
        <v>Flávio José Fonseca de Souza</v>
      </c>
      <c r="B21" s="103">
        <f>IF($A21="","",SUMIFS('GECC 2026'!H$2:H$200,'GECC 2026'!F$2:F$200,$A21))</f>
        <v>8</v>
      </c>
      <c r="C21" s="103">
        <f>IF($A21="","",SUMIFS('GECC 2026'!I$2:I$200,'GECC 2026'!F$2:F$200,$A21))</f>
        <v>37.299999999999997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45.3</v>
      </c>
      <c r="F21" s="101">
        <f>IF($A21="","",COUNTIFS('GECC 2026'!F$2:F$200,$A21))</f>
        <v>2</v>
      </c>
    </row>
    <row r="22" spans="1:6" x14ac:dyDescent="0.25">
      <c r="A22" t="str">
        <v>Gabriel Heller</v>
      </c>
      <c r="B22" s="103">
        <f>IF($A22="","",SUMIFS('GECC 2026'!H$2:H$200,'GECC 2026'!F$2:F$200,$A22))</f>
        <v>4</v>
      </c>
      <c r="C22" s="103">
        <f>IF($A22="","",SUMIFS('GECC 2026'!I$2:I$200,'GECC 2026'!F$2:F$200,$A22))</f>
        <v>33.200000000000003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37.200000000000003</v>
      </c>
      <c r="F22" s="101">
        <f>IF($A22="","",COUNTIFS('GECC 2026'!F$2:F$200,$A22))</f>
        <v>2</v>
      </c>
    </row>
    <row r="23" spans="1:6" x14ac:dyDescent="0.25">
      <c r="A23" t="str">
        <v>Guilherme Bride Fernandes</v>
      </c>
      <c r="B23" s="103">
        <f>IF($A23="","",SUMIFS('GECC 2026'!H$2:H$200,'GECC 2026'!F$2:F$200,$A23))</f>
        <v>8</v>
      </c>
      <c r="C23" s="103">
        <f>IF($A23="","",SUMIFS('GECC 2026'!I$2:I$200,'GECC 2026'!F$2:F$200,$A23))</f>
        <v>0.24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8.24</v>
      </c>
      <c r="F23" s="101">
        <f>IF($A23="","",COUNTIFS('GECC 2026'!F$2:F$200,$A23))</f>
        <v>1</v>
      </c>
    </row>
    <row r="24" spans="1:6" x14ac:dyDescent="0.25">
      <c r="A24" t="str">
        <v>Gustavo Takahashi</v>
      </c>
      <c r="B24" s="103">
        <f>IF($A24="","",SUMIFS('GECC 2026'!H$2:H$200,'GECC 2026'!F$2:F$200,$A24))</f>
        <v>33</v>
      </c>
      <c r="C24" s="103">
        <f>IF($A24="","",SUMIFS('GECC 2026'!I$2:I$200,'GECC 2026'!F$2:F$200,$A24))</f>
        <v>0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33</v>
      </c>
      <c r="F24" s="101">
        <f>IF($A24="","",COUNTIFS('GECC 2026'!F$2:F$200,$A24))</f>
        <v>5</v>
      </c>
    </row>
    <row r="25" spans="1:6" x14ac:dyDescent="0.25">
      <c r="A25" t="str">
        <v>Hamilton de Jesus Lopes Neto</v>
      </c>
      <c r="B25" s="103">
        <f>IF($A25="","",SUMIFS('GECC 2026'!H$2:H$200,'GECC 2026'!F$2:F$200,$A25))</f>
        <v>12</v>
      </c>
      <c r="C25" s="103">
        <f>IF($A25="","",SUMIFS('GECC 2026'!I$2:I$200,'GECC 2026'!F$2:F$200,$A25))</f>
        <v>1.2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13.2</v>
      </c>
      <c r="F25" s="101">
        <f>IF($A25="","",COUNTIFS('GECC 2026'!F$2:F$200,$A25))</f>
        <v>1</v>
      </c>
    </row>
    <row r="26" spans="1:6" x14ac:dyDescent="0.25">
      <c r="A26" t="str">
        <v>Igor Queiroz</v>
      </c>
      <c r="B26" s="103">
        <f>IF($A26="","",SUMIFS('GECC 2026'!H$2:H$200,'GECC 2026'!F$2:F$200,$A26))</f>
        <v>8</v>
      </c>
      <c r="C26" s="103">
        <f>IF($A26="","",SUMIFS('GECC 2026'!I$2:I$200,'GECC 2026'!F$2:F$200,$A26))</f>
        <v>0.24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8.24</v>
      </c>
      <c r="F26" s="101">
        <f>IF($A26="","",COUNTIFS('GECC 2026'!F$2:F$200,$A26))</f>
        <v>1</v>
      </c>
    </row>
    <row r="27" spans="1:6" x14ac:dyDescent="0.25">
      <c r="A27" t="str">
        <v>Indio Artiaga do Brasil Rabelo</v>
      </c>
      <c r="B27" s="103">
        <f>IF($A27="","",SUMIFS('GECC 2026'!H$2:H$200,'GECC 2026'!F$2:F$200,$A27))</f>
        <v>12</v>
      </c>
      <c r="C27" s="103">
        <f>IF($A27="","",SUMIFS('GECC 2026'!I$2:I$200,'GECC 2026'!F$2:F$200,$A27))</f>
        <v>3.6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15.6</v>
      </c>
      <c r="F27" s="101">
        <f>IF($A27="","",COUNTIFS('GECC 2026'!F$2:F$200,$A27))</f>
        <v>1</v>
      </c>
    </row>
    <row r="28" spans="1:6" x14ac:dyDescent="0.25">
      <c r="A28" t="str">
        <v>José Roberto Alcuri Júnior</v>
      </c>
      <c r="B28" s="103">
        <f>IF($A28="","",SUMIFS('GECC 2026'!H$2:H$200,'GECC 2026'!F$2:F$200,$A28))</f>
        <v>8</v>
      </c>
      <c r="C28" s="103">
        <f>IF($A28="","",SUMIFS('GECC 2026'!I$2:I$200,'GECC 2026'!F$2:F$200,$A28))</f>
        <v>0.24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8.24</v>
      </c>
      <c r="F28" s="101">
        <f>IF($A28="","",COUNTIFS('GECC 2026'!F$2:F$200,$A28))</f>
        <v>1</v>
      </c>
    </row>
    <row r="29" spans="1:6" x14ac:dyDescent="0.25">
      <c r="A29" t="str">
        <v>Leonardo de Melo</v>
      </c>
      <c r="B29" s="103">
        <f>IF($A29="","",SUMIFS('GECC 2026'!H$2:H$200,'GECC 2026'!F$2:F$200,$A29))</f>
        <v>0</v>
      </c>
      <c r="C29" s="103">
        <f>IF($A29="","",SUMIFS('GECC 2026'!I$2:I$200,'GECC 2026'!F$2:F$200,$A29))</f>
        <v>0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0</v>
      </c>
      <c r="F29" s="101">
        <f>IF($A29="","",COUNTIFS('GECC 2026'!F$2:F$200,$A29))</f>
        <v>1</v>
      </c>
    </row>
    <row r="30" spans="1:6" x14ac:dyDescent="0.25">
      <c r="A30" t="str">
        <v>Leonardo José Alves Leal Neri</v>
      </c>
      <c r="B30" s="103">
        <f>IF($A30="","",SUMIFS('GECC 2026'!H$2:H$200,'GECC 2026'!F$2:F$200,$A30))</f>
        <v>40</v>
      </c>
      <c r="C30" s="103">
        <f>IF($A30="","",SUMIFS('GECC 2026'!I$2:I$200,'GECC 2026'!F$2:F$200,$A30))</f>
        <v>12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52</v>
      </c>
      <c r="F30" s="101">
        <f>IF($A30="","",COUNTIFS('GECC 2026'!F$2:F$200,$A30))</f>
        <v>2</v>
      </c>
    </row>
    <row r="31" spans="1:6" x14ac:dyDescent="0.25">
      <c r="A31" t="str">
        <v>Luciana Alvim</v>
      </c>
      <c r="B31" s="103">
        <f>IF($A31="","",SUMIFS('GECC 2026'!H$2:H$200,'GECC 2026'!F$2:F$200,$A31))</f>
        <v>60</v>
      </c>
      <c r="C31" s="103">
        <f>IF($A31="","",SUMIFS('GECC 2026'!I$2:I$200,'GECC 2026'!F$2:F$200,$A31))</f>
        <v>94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154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8</v>
      </c>
      <c r="C33" s="103">
        <f>IF($A33="","",SUMIFS('GECC 2026'!I$2:I$200,'GECC 2026'!F$2:F$200,$A33))</f>
        <v>0.24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8.24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6">
        <f>IF($A35="","",SUMIFS('GECC 2026'!$AE$3:$AE$32,'GECC 2026'!$AD$3:$AD$32,$A35))</f>
        <v>16</v>
      </c>
      <c r="E35" s="241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3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6">
        <f>IF($A39="","",SUMIFS('GECC 2026'!$AE$3:$AE$32,'GECC 2026'!$AD$3:$AD$32,$A39))</f>
        <v>0</v>
      </c>
      <c r="E39" s="241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6">
        <f>IF($A40="","",SUMIFS('GECC 2026'!$AE$3:$AE$32,'GECC 2026'!$AD$3:$AD$32,$A40))</f>
        <v>16</v>
      </c>
      <c r="E40" s="241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</v>
      </c>
      <c r="B42" s="103">
        <f>IF($A42="","",SUMIFS('GECC 2026'!H$2:H$200,'GECC 2026'!F$2:F$200,$A42))</f>
        <v>8</v>
      </c>
      <c r="C42" s="103">
        <f>IF($A42="","",SUMIFS('GECC 2026'!I$2:I$200,'GECC 2026'!F$2:F$200,$A42))</f>
        <v>0.24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8.24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6">
        <f>IF($A44="","",SUMIFS('GECC 2026'!$AE$3:$AE$32,'GECC 2026'!$AD$3:$AD$32,$A44))</f>
        <v>0</v>
      </c>
      <c r="E44" s="241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640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2026-06-24T17:53:50Z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