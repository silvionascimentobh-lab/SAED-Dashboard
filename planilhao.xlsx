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44" documentId="13_ncr:1_{C887EC22-7CD1-4717-84BE-7303F42C5C0A}" xr6:coauthVersionLast="47" xr6:coauthVersionMax="47" xr10:uidLastSave="{F713FCE8-4DFA-4430-8CC8-B5BDAF550531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<sst xmlns="http://schemas.openxmlformats.org/spreadsheetml/2006/main" count="6566" uniqueCount="2975">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</sst>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6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7" fontId="33" fillId="4" borderId="23" xfId="0" applyNumberFormat="1" applyFont="1" applyFill="1" applyBorder="1" applyAlignment="1">
      <alignment horizontal="center" vertical="center"/>
    </xf>
    <xf numFmtId="165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7" fontId="33" fillId="3" borderId="23" xfId="0" applyNumberFormat="1" applyFont="1" applyFill="1" applyBorder="1" applyAlignment="1">
      <alignment horizontal="center" vertical="center"/>
    </xf>
    <xf numFmtId="166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8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8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6" zoomScaleNormal="100" workbookViewId="0">
      <pane xSplit="3" topLeftCell="D696" activePane="topRight" state="frozen"/>
      <selection pane="topRight" activeCell="E704" sqref="E704"/>
    </sheetView>
  </sheetViews>
  <sheetFormatPr defaultColWidth="9.140625" defaultRowHeight="23.25" customHeight="1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>
      <c r="A690" s="218" t="str">
        <f>IF(B690="","",B690&amp;"-"&amp;TEXT(COUNTIF(B$2:B690,B690),"000"))</f>
        <v>2026-034</v>
      </c>
      <c r="B690" s="219">
        <v>2026</v>
      </c>
      <c r="C690" s="219" t="s">
        <v>21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2823</v>
      </c>
      <c r="U701" s="203"/>
    </row>
    <row r="702" spans="1:21" ht="23.25" customHeight="1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2824</v>
      </c>
      <c r="E702" s="220" t="s">
        <v>2825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>
        <v>4.67</v>
      </c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2826</v>
      </c>
      <c r="U702" s="203"/>
    </row>
    <row r="703" spans="1:21" ht="23.25" customHeight="1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2827</v>
      </c>
      <c r="E703" s="211" t="s">
        <v>2828</v>
      </c>
      <c r="F703" s="212" t="s">
        <v>61</v>
      </c>
      <c r="G703" s="209" t="s">
        <v>71</v>
      </c>
      <c r="H703" s="213" t="s">
        <v>2800</v>
      </c>
      <c r="I703" s="213" t="s">
        <v>2829</v>
      </c>
      <c r="J703" s="213" t="s">
        <v>2830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2831</v>
      </c>
      <c r="U703" s="203"/>
    </row>
    <row r="704" spans="1:21" ht="23.25" customHeight="1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2832</v>
      </c>
      <c r="E704" s="220" t="s">
        <v>2833</v>
      </c>
      <c r="F704" s="221" t="s">
        <v>61</v>
      </c>
      <c r="G704" s="218" t="s">
        <v>71</v>
      </c>
      <c r="H704" s="222" t="s">
        <v>2834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>
      <c r="A1" s="96" t="s">
        <v>1</v>
      </c>
      <c r="B1" s="96" t="s">
        <v>2835</v>
      </c>
      <c r="C1" s="96" t="s">
        <v>2836</v>
      </c>
      <c r="D1" s="96" t="s">
        <v>4</v>
      </c>
      <c r="E1" s="96" t="s">
        <v>2837</v>
      </c>
      <c r="F1" s="96" t="s">
        <v>19</v>
      </c>
      <c r="G1" s="96" t="s">
        <v>2838</v>
      </c>
      <c r="H1" s="96" t="s">
        <v>2839</v>
      </c>
      <c r="I1" s="96" t="s">
        <v>2840</v>
      </c>
      <c r="J1" s="96" t="s">
        <v>2841</v>
      </c>
      <c r="L1" s="129" t="s">
        <v>2842</v>
      </c>
      <c r="M1" s="100">
        <v>2026</v>
      </c>
      <c r="U1" s="162" t="s">
        <v>2843</v>
      </c>
      <c r="V1" s="161"/>
      <c r="X1" s="159" t="s">
        <v>2844</v>
      </c>
      <c r="Y1" s="107"/>
      <c r="Z1" s="107"/>
      <c r="AA1" s="107"/>
      <c r="AC1" s="254" t="s">
        <v>2845</v>
      </c>
    </row>
    <row r="2" spans="1:31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2835</v>
      </c>
      <c r="Y2" s="160" t="s">
        <v>19</v>
      </c>
      <c r="Z2" s="160" t="s">
        <v>2846</v>
      </c>
      <c r="AA2" s="160" t="s">
        <v>2847</v>
      </c>
      <c r="AC2" s="255" t="s">
        <v>1</v>
      </c>
      <c r="AD2" s="255" t="s">
        <v>2848</v>
      </c>
      <c r="AE2" s="255" t="s">
        <v>2849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2850</v>
      </c>
      <c r="M3" s="19" t="s">
        <v>2851</v>
      </c>
      <c r="N3" s="19" t="s">
        <v>2852</v>
      </c>
      <c r="O3" s="19" t="s">
        <v>2853</v>
      </c>
      <c r="P3" s="19" t="s">
        <v>2854</v>
      </c>
      <c r="Q3" s="19" t="s">
        <v>2855</v>
      </c>
      <c r="R3" s="19" t="s">
        <v>2856</v>
      </c>
      <c r="S3" s="19" t="s">
        <v>2857</v>
      </c>
      <c r="T3" s="19" t="s">
        <v>2858</v>
      </c>
      <c r="X3" t="s">
        <v>2859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2860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2861</v>
      </c>
      <c r="Y5" t="s">
        <v>2712</v>
      </c>
      <c r="Z5">
        <v>1</v>
      </c>
      <c r="AA5">
        <v>0.6</v>
      </c>
      <c r="AC5" s="249">
        <v>2026</v>
      </c>
      <c r="AD5" s="95" t="s">
        <v>2862</v>
      </c>
      <c r="AE5" s="250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2861</v>
      </c>
      <c r="Y6" t="s">
        <v>2863</v>
      </c>
      <c r="Z6">
        <v>1</v>
      </c>
      <c r="AA6">
        <v>0</v>
      </c>
      <c r="AC6" s="249">
        <v>2026</v>
      </c>
      <c r="AD6" s="95" t="s">
        <v>2864</v>
      </c>
      <c r="AE6" s="250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2865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2866</v>
      </c>
      <c r="Y8" s="95" t="s">
        <v>1342</v>
      </c>
      <c r="AA8">
        <v>1.2</v>
      </c>
      <c r="AC8" s="249">
        <v>2026</v>
      </c>
      <c r="AD8" s="95"/>
      <c r="AE8" s="250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2866</v>
      </c>
      <c r="Y9" s="95" t="s">
        <v>1022</v>
      </c>
      <c r="AA9">
        <v>1.2</v>
      </c>
      <c r="AC9" s="249">
        <v>2026</v>
      </c>
      <c r="AD9" s="95"/>
      <c r="AE9" s="250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2866</v>
      </c>
      <c r="Y11" s="95" t="s">
        <v>2867</v>
      </c>
      <c r="AA11">
        <v>1.2</v>
      </c>
      <c r="AC11" s="249">
        <v>2026</v>
      </c>
      <c r="AD11" s="95"/>
      <c r="AE11" s="250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2866</v>
      </c>
      <c r="Y12" s="95" t="s">
        <v>2868</v>
      </c>
      <c r="AA12">
        <v>1.2</v>
      </c>
      <c r="AC12" s="249">
        <v>2026</v>
      </c>
      <c r="AD12" s="95"/>
      <c r="AE12" s="250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2869</v>
      </c>
      <c r="Y16" s="95" t="s">
        <v>2867</v>
      </c>
      <c r="AA16">
        <v>1.2</v>
      </c>
      <c r="AC16" s="249">
        <v>2026</v>
      </c>
      <c r="AD16" s="95"/>
      <c r="AE16" s="250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2869</v>
      </c>
      <c r="Y17" s="95" t="s">
        <v>2868</v>
      </c>
      <c r="AA17">
        <v>1.2</v>
      </c>
      <c r="AC17" s="249">
        <v>2026</v>
      </c>
      <c r="AD17" s="95"/>
      <c r="AE17" s="250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2870</v>
      </c>
      <c r="Y21" s="95" t="s">
        <v>2867</v>
      </c>
      <c r="AA21">
        <v>1.2</v>
      </c>
      <c r="AC21" s="249">
        <v>2026</v>
      </c>
      <c r="AD21" s="95"/>
      <c r="AE21" s="250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2870</v>
      </c>
      <c r="Y22" s="95" t="s">
        <v>2868</v>
      </c>
      <c r="AA22">
        <v>1.2</v>
      </c>
      <c r="AC22" s="249">
        <v>2026</v>
      </c>
      <c r="AD22" s="95"/>
      <c r="AE22" s="250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2871</v>
      </c>
      <c r="Y23" s="95" t="s">
        <v>2712</v>
      </c>
      <c r="AA23">
        <v>2.4</v>
      </c>
      <c r="AC23" s="249">
        <v>2026</v>
      </c>
      <c r="AD23" s="95"/>
      <c r="AE23" s="250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2871</v>
      </c>
      <c r="Y24" s="95" t="s">
        <v>2863</v>
      </c>
      <c r="AA24">
        <v>0</v>
      </c>
      <c r="AC24" s="249">
        <v>2026</v>
      </c>
      <c r="AD24" s="95"/>
      <c r="AE24" s="250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2872</v>
      </c>
      <c r="Y25" s="95" t="s">
        <v>854</v>
      </c>
      <c r="AA25">
        <v>3.6</v>
      </c>
      <c r="AC25" s="249">
        <v>2026</v>
      </c>
      <c r="AD25" s="95"/>
      <c r="AE25" s="250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2872</v>
      </c>
      <c r="Y26" s="95" t="s">
        <v>2873</v>
      </c>
      <c r="Z26">
        <v>0</v>
      </c>
      <c r="AA26">
        <v>0</v>
      </c>
      <c r="AC26" s="249">
        <v>2026</v>
      </c>
      <c r="AD26" s="95"/>
      <c r="AE26" s="250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2874</v>
      </c>
      <c r="Y27" s="95" t="s">
        <v>2712</v>
      </c>
      <c r="AA27">
        <v>2.4</v>
      </c>
      <c r="AC27" s="249">
        <v>2026</v>
      </c>
      <c r="AD27" s="95"/>
      <c r="AE27" s="250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2874</v>
      </c>
      <c r="Y28" s="95" t="s">
        <v>2863</v>
      </c>
      <c r="AA28">
        <v>0</v>
      </c>
      <c r="AC28" s="249">
        <v>2026</v>
      </c>
      <c r="AD28" s="95"/>
      <c r="AE28" s="250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2875</v>
      </c>
      <c r="Y29" s="95" t="s">
        <v>2712</v>
      </c>
      <c r="AA29">
        <v>2.4</v>
      </c>
      <c r="AC29" s="249">
        <v>2026</v>
      </c>
      <c r="AD29" s="95"/>
      <c r="AE29" s="250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2875</v>
      </c>
      <c r="Y30" s="95" t="s">
        <v>2863</v>
      </c>
      <c r="AA30">
        <v>0</v>
      </c>
      <c r="AC30" s="249">
        <v>2026</v>
      </c>
      <c r="AD30" s="95"/>
      <c r="AE30" s="250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2877</v>
      </c>
      <c r="Y33" t="s">
        <v>2878</v>
      </c>
      <c r="Z33">
        <v>4</v>
      </c>
      <c r="AA33">
        <v>0.6</v>
      </c>
      <c r="AC33" s="251"/>
      <c r="AD33" s="252" t="s">
        <v>2879</v>
      </c>
      <c r="AE33" s="253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2877</v>
      </c>
      <c r="Y34" t="s">
        <v>2880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2877</v>
      </c>
      <c r="Y35" t="s">
        <v>107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2877</v>
      </c>
      <c r="Y36" t="s">
        <v>548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2881</v>
      </c>
      <c r="Y37" t="s">
        <v>417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2881</v>
      </c>
      <c r="Y38" s="260" t="s">
        <v>1095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2882</v>
      </c>
      <c r="Y39" t="s">
        <v>548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2883</v>
      </c>
      <c r="Y40" t="s">
        <v>471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2884</v>
      </c>
      <c r="Y41" t="s">
        <v>1471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2884</v>
      </c>
      <c r="Y42" t="s">
        <v>2885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2886</v>
      </c>
      <c r="Y43" s="95" t="s">
        <v>2712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2886</v>
      </c>
      <c r="Y44" s="95" t="s">
        <v>2863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2887</v>
      </c>
      <c r="Y45" t="s">
        <v>2888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2887</v>
      </c>
      <c r="Y46" t="s">
        <v>2889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2887</v>
      </c>
      <c r="Y47" t="s">
        <v>2890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2887</v>
      </c>
      <c r="Y48" t="s">
        <v>2891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2887</v>
      </c>
      <c r="Y49" t="s">
        <v>2892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2887</v>
      </c>
      <c r="Y50" t="s">
        <v>934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2887</v>
      </c>
      <c r="Y51" t="s">
        <v>2893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2887</v>
      </c>
      <c r="Y52" t="s">
        <v>1342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2887</v>
      </c>
      <c r="Y53" t="s">
        <v>2894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2887</v>
      </c>
      <c r="Y54" t="s">
        <v>2895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R83" t="str">
        <v/>
      </c>
      <c r="S83" t="str">
        <v/>
      </c>
    </row>
    <row r="84" spans="1:19">
      <c r="R84" t="str">
        <v/>
      </c>
      <c r="S84" t="str">
        <v/>
      </c>
    </row>
    <row r="85" spans="1:19">
      <c r="R85" t="str">
        <v/>
      </c>
      <c r="S85" t="str">
        <v/>
      </c>
    </row>
    <row r="86" spans="1:19">
      <c r="R86" t="str">
        <v/>
      </c>
      <c r="S86" t="str">
        <v/>
      </c>
    </row>
    <row r="87" spans="1:19">
      <c r="R87" t="str">
        <v/>
      </c>
      <c r="S87" t="str">
        <v/>
      </c>
    </row>
    <row r="88" spans="1:19">
      <c r="R88" t="str">
        <v/>
      </c>
      <c r="S88" t="str">
        <v/>
      </c>
    </row>
    <row r="89" spans="1:19">
      <c r="R89" t="str">
        <v/>
      </c>
      <c r="S89" t="str">
        <v/>
      </c>
    </row>
    <row r="90" spans="1:19">
      <c r="R90" t="str">
        <v/>
      </c>
      <c r="S90" t="str">
        <v/>
      </c>
    </row>
    <row r="91" spans="1:19">
      <c r="R91" t="str">
        <v/>
      </c>
      <c r="S91" t="str">
        <v/>
      </c>
    </row>
    <row r="92" spans="1:19">
      <c r="R92" t="str">
        <v/>
      </c>
      <c r="S92" t="str">
        <v/>
      </c>
    </row>
    <row r="93" spans="1:19">
      <c r="R93" t="str">
        <v/>
      </c>
      <c r="S93" t="str">
        <v/>
      </c>
    </row>
    <row r="94" spans="1:19">
      <c r="R94" t="str">
        <v/>
      </c>
      <c r="S94" t="str">
        <v/>
      </c>
    </row>
    <row r="95" spans="1:19">
      <c r="R95" t="str">
        <v/>
      </c>
      <c r="S95" t="str">
        <v/>
      </c>
    </row>
    <row r="96" spans="1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9" t="s">
        <v>2896</v>
      </c>
      <c r="B1" s="279"/>
      <c r="C1" s="279"/>
      <c r="D1" s="279"/>
      <c r="E1" s="279"/>
      <c r="F1" s="279"/>
      <c r="G1" s="279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0" t="s">
        <v>2897</v>
      </c>
      <c r="B4" s="281"/>
      <c r="D4" s="282" t="s">
        <v>2898</v>
      </c>
      <c r="E4" s="283"/>
      <c r="G4" s="125" t="s">
        <v>2899</v>
      </c>
    </row>
    <row r="5" spans="1:7" ht="54.95" customHeight="1" thickBot="1">
      <c r="A5" s="115">
        <f>COUNTIF('Ações InCompany'!B:B,2026)</f>
        <v>48</v>
      </c>
      <c r="B5" s="116" t="s">
        <v>2900</v>
      </c>
      <c r="D5" s="123">
        <f>COUNTIFS('Ações InCompany'!B:B,2026,'Ações InCompany'!C:C,"Realizado")</f>
        <v>32</v>
      </c>
      <c r="E5" s="124" t="s">
        <v>2900</v>
      </c>
      <c r="G5" s="126">
        <f>COUNTIFS('Ações InCompany'!B:B,2026,'Ações InCompany'!C:C,"A realizar")</f>
        <v>12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8" t="s">
        <v>2901</v>
      </c>
      <c r="B8" s="278"/>
      <c r="D8" s="278" t="s">
        <v>2902</v>
      </c>
      <c r="E8" s="278"/>
    </row>
    <row r="9" spans="1:7" ht="5.0999999999999996" customHeight="1">
      <c r="A9" s="290"/>
      <c r="B9" s="290"/>
      <c r="D9" s="290"/>
      <c r="E9" s="290"/>
    </row>
    <row r="10" spans="1:7" ht="24.95" customHeight="1">
      <c r="A10" s="108" t="s">
        <v>5</v>
      </c>
      <c r="B10" s="108" t="s">
        <v>2903</v>
      </c>
      <c r="D10" s="108" t="s">
        <v>2904</v>
      </c>
      <c r="E10" s="108" t="s">
        <v>2905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2906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2907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2908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2909</v>
      </c>
      <c r="B14" s="114">
        <f>SUM(B11:B13)</f>
        <v>32</v>
      </c>
      <c r="D14" s="113" t="s">
        <v>2910</v>
      </c>
      <c r="E14" s="114">
        <f>SUM(E11:E13)</f>
        <v>1278</v>
      </c>
    </row>
    <row r="30" spans="1:5" ht="17.25">
      <c r="A30" s="278" t="s">
        <v>2911</v>
      </c>
      <c r="B30" s="278"/>
      <c r="C30" s="278"/>
      <c r="D30" s="278"/>
      <c r="E30" s="278"/>
    </row>
    <row r="31" spans="1:5" ht="5.0999999999999996" customHeight="1">
      <c r="A31" s="290"/>
      <c r="B31" s="290"/>
      <c r="C31" s="290"/>
      <c r="D31" s="290"/>
      <c r="E31" s="290"/>
    </row>
    <row r="32" spans="1:5" ht="24.95" customHeight="1">
      <c r="A32" s="108" t="s">
        <v>6</v>
      </c>
      <c r="B32" s="108" t="s">
        <v>2912</v>
      </c>
      <c r="C32" s="108" t="s">
        <v>2913</v>
      </c>
      <c r="D32" s="108" t="s">
        <v>2914</v>
      </c>
      <c r="E32" s="108" t="s">
        <v>2915</v>
      </c>
    </row>
    <row r="33" spans="1:5" ht="24" customHeight="1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</v>
      </c>
    </row>
    <row r="34" spans="1:5" ht="24" customHeight="1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>
      <c r="A35" s="109" t="s">
        <v>2710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0.11363636363636363</v>
      </c>
    </row>
    <row r="36" spans="1:5" ht="24" customHeight="1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0.15909090909090909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0.15909090909090909</v>
      </c>
    </row>
    <row r="42" spans="1:5" ht="24" customHeight="1">
      <c r="A42" s="156" t="s">
        <v>2916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>
      <c r="A44" s="148" t="s">
        <v>2917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2909</v>
      </c>
      <c r="B45" s="121">
        <f>SUM(B33:B44)</f>
        <v>32</v>
      </c>
      <c r="C45" s="121">
        <f>SUM(C33:C44)</f>
        <v>12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2918</v>
      </c>
      <c r="B1" s="12" t="s">
        <v>2919</v>
      </c>
      <c r="C1" s="13" t="s">
        <v>2920</v>
      </c>
      <c r="D1" s="13" t="s">
        <v>2921</v>
      </c>
      <c r="E1" s="13" t="s">
        <v>2922</v>
      </c>
    </row>
    <row r="2" spans="1:5" ht="18" customHeight="1">
      <c r="A2" s="12" t="s">
        <v>2923</v>
      </c>
      <c r="B2" s="12" t="s">
        <v>2924</v>
      </c>
      <c r="C2" s="12" t="s">
        <v>1728</v>
      </c>
      <c r="D2" s="12" t="s">
        <v>2925</v>
      </c>
      <c r="E2" s="12" t="s">
        <v>2926</v>
      </c>
    </row>
    <row r="3" spans="1:5" ht="18" customHeight="1">
      <c r="A3" s="12" t="s">
        <v>2923</v>
      </c>
      <c r="B3" s="12" t="s">
        <v>2924</v>
      </c>
      <c r="C3" s="14" t="s">
        <v>24</v>
      </c>
      <c r="D3" s="12" t="s">
        <v>2927</v>
      </c>
      <c r="E3" s="12" t="s">
        <v>2928</v>
      </c>
    </row>
    <row r="4" spans="1:5" ht="18" customHeight="1">
      <c r="A4" s="12" t="s">
        <v>2923</v>
      </c>
      <c r="B4" s="12" t="s">
        <v>2924</v>
      </c>
      <c r="C4" s="12" t="s">
        <v>67</v>
      </c>
      <c r="D4" s="12" t="s">
        <v>2925</v>
      </c>
      <c r="E4" s="12" t="s">
        <v>2929</v>
      </c>
    </row>
    <row r="5" spans="1:5" ht="18" customHeight="1">
      <c r="A5" s="12" t="s">
        <v>2923</v>
      </c>
      <c r="B5" s="12" t="s">
        <v>2924</v>
      </c>
      <c r="C5" s="12" t="s">
        <v>71</v>
      </c>
      <c r="D5" s="12" t="s">
        <v>2930</v>
      </c>
      <c r="E5" s="12" t="s">
        <v>2931</v>
      </c>
    </row>
    <row r="6" spans="1:5" ht="18" customHeight="1">
      <c r="A6" s="12" t="s">
        <v>2923</v>
      </c>
      <c r="B6" s="12" t="s">
        <v>2924</v>
      </c>
      <c r="C6" s="12" t="s">
        <v>2726</v>
      </c>
      <c r="D6" s="12" t="s">
        <v>2932</v>
      </c>
      <c r="E6" s="12" t="s">
        <v>2933</v>
      </c>
    </row>
    <row r="7" spans="1:5" ht="18" customHeight="1">
      <c r="A7" s="12" t="s">
        <v>2923</v>
      </c>
      <c r="B7" s="12" t="s">
        <v>2934</v>
      </c>
      <c r="C7" s="12" t="s">
        <v>32</v>
      </c>
      <c r="D7" s="12" t="s">
        <v>2935</v>
      </c>
      <c r="E7" s="12" t="s">
        <v>2936</v>
      </c>
    </row>
    <row r="8" spans="1:5" ht="18" customHeight="1">
      <c r="A8" s="12" t="s">
        <v>2923</v>
      </c>
      <c r="B8" s="12" t="s">
        <v>2934</v>
      </c>
      <c r="C8" s="12" t="s">
        <v>37</v>
      </c>
      <c r="D8" s="12" t="s">
        <v>2937</v>
      </c>
      <c r="E8" s="12" t="s">
        <v>2938</v>
      </c>
    </row>
    <row r="9" spans="1:5" ht="18" customHeight="1">
      <c r="A9" s="12" t="s">
        <v>2923</v>
      </c>
      <c r="B9" s="12" t="s">
        <v>2939</v>
      </c>
      <c r="C9" s="12" t="s">
        <v>456</v>
      </c>
      <c r="D9" s="12" t="s">
        <v>2940</v>
      </c>
      <c r="E9" s="12" t="s">
        <v>2941</v>
      </c>
    </row>
    <row r="10" spans="1:5" ht="18" customHeight="1">
      <c r="A10" s="12" t="s">
        <v>2923</v>
      </c>
      <c r="B10" s="12" t="s">
        <v>2939</v>
      </c>
      <c r="C10" s="12" t="s">
        <v>198</v>
      </c>
      <c r="D10" s="12" t="s">
        <v>23</v>
      </c>
      <c r="E10" s="12" t="s">
        <v>2942</v>
      </c>
    </row>
    <row r="11" spans="1:5" ht="18" customHeight="1">
      <c r="A11" s="12" t="s">
        <v>2923</v>
      </c>
      <c r="B11" s="12" t="s">
        <v>2939</v>
      </c>
      <c r="C11" s="12" t="s">
        <v>363</v>
      </c>
      <c r="D11" s="12" t="s">
        <v>23</v>
      </c>
      <c r="E11" s="12" t="s">
        <v>2943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2944</v>
      </c>
      <c r="B1" s="5" t="s">
        <v>10</v>
      </c>
      <c r="C1" s="15" t="s">
        <v>2945</v>
      </c>
      <c r="D1" s="15" t="s">
        <v>2836</v>
      </c>
    </row>
    <row r="2" spans="1:4" ht="21" customHeight="1">
      <c r="A2" s="259" t="s">
        <v>23</v>
      </c>
      <c r="B2" s="259" t="s">
        <v>34</v>
      </c>
      <c r="C2" s="12" t="s">
        <v>2946</v>
      </c>
      <c r="D2" s="12" t="s">
        <v>2764</v>
      </c>
    </row>
    <row r="3" spans="1:4" ht="21" customHeight="1">
      <c r="A3" s="12" t="s">
        <v>61</v>
      </c>
      <c r="B3" s="259" t="s">
        <v>26</v>
      </c>
      <c r="C3" s="12" t="s">
        <v>2947</v>
      </c>
      <c r="D3" s="12" t="s">
        <v>2663</v>
      </c>
    </row>
    <row r="4" spans="1:4" ht="21" customHeight="1">
      <c r="A4" s="14" t="s">
        <v>80</v>
      </c>
      <c r="B4" s="259" t="s">
        <v>219</v>
      </c>
      <c r="D4" s="12" t="s">
        <v>2742</v>
      </c>
    </row>
    <row r="5" spans="1:4" ht="21" customHeight="1">
      <c r="A5" s="12" t="s">
        <v>224</v>
      </c>
      <c r="D5" s="12" t="s">
        <v>21</v>
      </c>
    </row>
    <row r="6" spans="1:4" ht="21" customHeight="1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2918</v>
      </c>
      <c r="B1" s="12" t="s">
        <v>2919</v>
      </c>
      <c r="C1" s="13" t="s">
        <v>2920</v>
      </c>
      <c r="D1" s="13" t="s">
        <v>2921</v>
      </c>
      <c r="E1" s="13" t="s">
        <v>2922</v>
      </c>
    </row>
    <row r="2" spans="1:5" ht="18" customHeight="1">
      <c r="A2" s="12" t="s">
        <v>2948</v>
      </c>
      <c r="B2" s="12" t="s">
        <v>2924</v>
      </c>
      <c r="C2" s="14" t="s">
        <v>24</v>
      </c>
      <c r="D2" s="12" t="s">
        <v>2925</v>
      </c>
      <c r="E2" s="18" t="s">
        <v>2949</v>
      </c>
    </row>
    <row r="3" spans="1:5" ht="18" customHeight="1">
      <c r="A3" s="12" t="s">
        <v>2948</v>
      </c>
      <c r="B3" s="12" t="s">
        <v>2924</v>
      </c>
      <c r="C3" s="12" t="s">
        <v>67</v>
      </c>
      <c r="D3" s="12" t="s">
        <v>2927</v>
      </c>
      <c r="E3" s="12" t="s">
        <v>2950</v>
      </c>
    </row>
    <row r="4" spans="1:5" ht="18" customHeight="1">
      <c r="A4" s="12" t="s">
        <v>2948</v>
      </c>
      <c r="B4" s="12" t="s">
        <v>2924</v>
      </c>
      <c r="C4" s="12" t="s">
        <v>71</v>
      </c>
      <c r="D4" s="12" t="s">
        <v>2930</v>
      </c>
      <c r="E4" s="12" t="s">
        <v>2951</v>
      </c>
    </row>
    <row r="5" spans="1:5" ht="27.75" customHeight="1">
      <c r="A5" s="12" t="s">
        <v>2948</v>
      </c>
      <c r="B5" s="12" t="s">
        <v>2924</v>
      </c>
      <c r="C5" s="12" t="s">
        <v>2689</v>
      </c>
      <c r="D5" s="18" t="s">
        <v>2952</v>
      </c>
      <c r="E5" s="12" t="s">
        <v>2953</v>
      </c>
    </row>
    <row r="6" spans="1:5" ht="18" customHeight="1">
      <c r="A6" s="12" t="s">
        <v>2948</v>
      </c>
      <c r="B6" s="12" t="s">
        <v>2924</v>
      </c>
      <c r="C6" s="12" t="s">
        <v>2726</v>
      </c>
      <c r="D6" s="12" t="s">
        <v>2932</v>
      </c>
      <c r="E6" s="12" t="s">
        <v>2933</v>
      </c>
    </row>
    <row r="7" spans="1:5" ht="18" customHeight="1">
      <c r="A7" s="12" t="s">
        <v>2948</v>
      </c>
      <c r="B7" s="12" t="s">
        <v>2934</v>
      </c>
      <c r="C7" s="12" t="s">
        <v>2710</v>
      </c>
      <c r="D7" s="12" t="s">
        <v>2954</v>
      </c>
      <c r="E7" s="12" t="s">
        <v>2955</v>
      </c>
    </row>
    <row r="8" spans="1:5" ht="18" customHeight="1">
      <c r="A8" s="12" t="s">
        <v>2948</v>
      </c>
      <c r="B8" s="12" t="s">
        <v>2934</v>
      </c>
      <c r="C8" s="12" t="s">
        <v>37</v>
      </c>
      <c r="D8" s="12" t="s">
        <v>2937</v>
      </c>
      <c r="E8" s="12" t="s">
        <v>2938</v>
      </c>
    </row>
    <row r="9" spans="1:5" ht="18" customHeight="1">
      <c r="A9" s="12" t="s">
        <v>2948</v>
      </c>
      <c r="B9" s="12" t="s">
        <v>2934</v>
      </c>
      <c r="C9" s="12" t="s">
        <v>2694</v>
      </c>
      <c r="D9" s="12" t="s">
        <v>2956</v>
      </c>
      <c r="E9" s="18" t="s">
        <v>2957</v>
      </c>
    </row>
    <row r="10" spans="1:5" ht="18" customHeight="1">
      <c r="A10" s="12" t="s">
        <v>2948</v>
      </c>
      <c r="B10" s="12" t="s">
        <v>2958</v>
      </c>
      <c r="C10" s="12" t="s">
        <v>2916</v>
      </c>
      <c r="D10" s="12" t="s">
        <v>2959</v>
      </c>
      <c r="E10" s="18" t="s">
        <v>2960</v>
      </c>
    </row>
    <row r="11" spans="1:5" ht="18" customHeight="1">
      <c r="A11" s="12" t="s">
        <v>2948</v>
      </c>
      <c r="B11" s="12" t="s">
        <v>2958</v>
      </c>
      <c r="C11" s="12" t="s">
        <v>198</v>
      </c>
      <c r="D11" s="12" t="s">
        <v>23</v>
      </c>
      <c r="E11" s="12" t="s">
        <v>2942</v>
      </c>
    </row>
    <row r="12" spans="1:5" ht="18" customHeight="1">
      <c r="A12" s="12" t="s">
        <v>2948</v>
      </c>
      <c r="B12" s="12" t="s">
        <v>2958</v>
      </c>
      <c r="C12" s="12" t="s">
        <v>363</v>
      </c>
      <c r="D12" s="12" t="s">
        <v>23</v>
      </c>
      <c r="E12" s="12" t="s">
        <v>2943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1" t="s">
        <v>2961</v>
      </c>
      <c r="B1" s="291"/>
      <c r="C1" s="291"/>
      <c r="D1" s="291"/>
      <c r="E1" s="291"/>
      <c r="F1" s="291"/>
    </row>
    <row r="2" spans="1:7">
      <c r="A2" s="292" t="s">
        <v>2962</v>
      </c>
      <c r="B2" s="292"/>
      <c r="C2" s="292"/>
      <c r="D2" s="292"/>
      <c r="E2" s="292"/>
      <c r="F2" s="292"/>
    </row>
    <row r="4" spans="1:7">
      <c r="A4" s="102" t="s">
        <v>19</v>
      </c>
      <c r="B4" s="102" t="s">
        <v>2839</v>
      </c>
      <c r="C4" s="102" t="s">
        <v>2840</v>
      </c>
      <c r="D4" s="102" t="s">
        <v>2963</v>
      </c>
      <c r="E4" s="102" t="s">
        <v>2841</v>
      </c>
      <c r="F4" s="102" t="s">
        <v>2964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>
      <c r="A105" s="242" t="s">
        <v>2910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4" t="s">
        <v>2965</v>
      </c>
      <c r="B1" s="284"/>
      <c r="C1" s="284"/>
      <c r="D1" s="284"/>
      <c r="E1" s="284"/>
      <c r="F1" s="284"/>
      <c r="G1" s="284"/>
      <c r="H1" s="284"/>
    </row>
    <row r="2" spans="1:8">
      <c r="A2" s="130" t="s">
        <v>2966</v>
      </c>
    </row>
    <row r="4" spans="1:8" ht="21.95" customHeight="1">
      <c r="A4" s="285" t="s">
        <v>2967</v>
      </c>
      <c r="B4" s="286"/>
      <c r="D4" s="285" t="s">
        <v>2968</v>
      </c>
      <c r="E4" s="286"/>
      <c r="G4" s="285" t="s">
        <v>2969</v>
      </c>
      <c r="H4" s="286"/>
    </row>
    <row r="5" spans="1:8" ht="35.1" customHeight="1">
      <c r="A5" s="289">
        <f>COUNTIF('Ações InCompany'!E:E,"*maratona*")</f>
        <v>13</v>
      </c>
      <c r="B5" s="288"/>
      <c r="D5" s="287">
        <f>SUM(H8:H100)</f>
        <v>1566</v>
      </c>
      <c r="E5" s="288"/>
      <c r="G5" s="287">
        <f>IFERROR(ROUND(D5/A5,0),"-")</f>
        <v>120</v>
      </c>
      <c r="H5" s="288"/>
    </row>
    <row r="6" spans="1:8" ht="9.9499999999999993" customHeight="1"/>
    <row r="7" spans="1:8" ht="24.95" customHeight="1" thickBot="1">
      <c r="A7" s="143" t="s">
        <v>2970</v>
      </c>
      <c r="B7" s="143" t="s">
        <v>2971</v>
      </c>
      <c r="C7" s="143" t="s">
        <v>1</v>
      </c>
      <c r="D7" s="143" t="s">
        <v>2972</v>
      </c>
      <c r="E7" s="143" t="s">
        <v>2973</v>
      </c>
      <c r="F7" s="143" t="s">
        <v>2836</v>
      </c>
      <c r="G7" s="143" t="s">
        <v>5</v>
      </c>
      <c r="H7" s="143" t="s">
        <v>2974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54B26992-BCD1-4DF2-A87D-5F3BC1837C0B}"/>
</file>

<file path=customXml/itemProps3.xml><?xml version="1.0" encoding="utf-8"?>
<ds:datastoreItem xmlns:ds="http://schemas.openxmlformats.org/officeDocument/2006/customXml" ds:itemID="{09E963D1-4255-41FD-98AB-5B82B7F67B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2026-06-30T17:12:08Z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