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72" documentId="13_ncr:1_{C887EC22-7CD1-4717-84BE-7303F42C5C0A}" xr6:coauthVersionLast="47" xr6:coauthVersionMax="47" xr10:uidLastSave="{C4D990A1-A76C-4B2D-8328-55B756D2437A}"/>
  <bookViews>
    <workbookView xWindow="-28920" yWindow="-120" windowWidth="29040" windowHeight="1584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l="1" a="1"/>
  <c r="A5" i="23" l="1" a="1"/>
  <c r="E105" i="23"/>
  <c r="D20" i="23" l="1"/>
  <c r="E29" i="23"/>
  <c r="C33" i="23"/>
  <c r="B34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F5" i="23"/>
  <c r="D5" i="23"/>
  <c r="E5" i="23"/>
  <c r="C5" i="23"/>
  <c r="B5" i="23"/>
  <c r="G5" i="23"/>
  <c r="B105" i="23" l="1"/>
  <c r="C105" i="23"/>
  <c r="F10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<sst xmlns="http://schemas.openxmlformats.org/spreadsheetml/2006/main" count="6545" uniqueCount="2965">
  <si>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</si>
  <si>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</si>
  <si>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</si>
  <si>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</si>
  <si>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</si>
  <si>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</si>
  <si>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</si>
  <si>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</si>
  <si>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</si>
  <si>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</si>
  <si>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</si>
  <si>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</si>
  <si>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</si>
  <si>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</si>
  <si>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</si>
  <si>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</si>
  <si>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</si>
  <si>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</si>
  <si>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</si>
  <si>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</si>
  <si>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</si>
  <si>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</si>
  <si>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</si>
  <si>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</si>
  <si>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</si>
  <si>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</si>
  <si>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</si>
  <si>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</si>
  <si>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</si>
  <si>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</si>
  <si>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</si>
  <si>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</si>
  <si>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</si>
  <si>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</si>
  <si>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</si>
  <si>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</si>
  <si>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</si>
  <si>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</si>
  <si>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</si>
  <si>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</si>
  <si>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</si>
  <si>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</si>
  <si>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</si>
  <si>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</si>
  <si>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</si>
  <si>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</si>
  <si>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</si>
  <si>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</si>
  <si>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</si>
  <si>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</si>
  <si>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</si>
  <si>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</si>
  <si>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</si>
  <si>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</si>
  <si>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</si>
  <si>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</si>
  <si>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</si>
  <si>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</si>
  <si>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</si>
  <si>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</si>
  <si>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</si>
  <si>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</si>
  <si>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</si>
  <si>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</si>
  <si>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</si>
  <si>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</si>
  <si>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</si>
  <si>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</si>
  <si>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</si>
  <si>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</si>
  <si>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</si>
  <si>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</si>
  <si>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</si>
  <si>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</si>
  <si>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</si>
  <si>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</si>
  <si>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</si>
  <si>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</si>
  <si>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</si>
  <si>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</si>
  <si>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</si>
  <si>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</si>
  <si>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</si>
  <si>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</si>
  <si>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</si>
  <si>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</si>
  <si>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</si>
  <si>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</si>
  <si>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</si>
  <si>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</si>
  <si>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</si>
  <si>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</si>
  <si>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</si>
  <si>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</si>
  <si>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</si>
  <si>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</si>
  <si>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</si>
  <si>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</si>
  <si>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</si>
  <si>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</si>
  <si>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</si>
  <si>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</si>
  <si>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</si>
  <si>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</si>
  <si>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</si>
  <si>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</si>
  <si>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</si>
  <si>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</si>
  <si>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</si>
  <si>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</si>
  <si>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</si>
  <si>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</si>
  <si>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</si>
  <si>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</si>
  <si>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</si>
  <si>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</si>
  <si>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</si>
  <si>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</si>
  <si>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</si>
  <si>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</si>
  <si>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</si>
  <si>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</si>
  <si>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</si>
  <si>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</si>
  <si>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</si>
  <si>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</si>
  <si>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</si>
  <si>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</si>
  <si>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</si>
  <si>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</si>
  <si>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</si>
  <si>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</si>
  <si>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</si>
  <si>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</si>
  <si>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</si>
  <si>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</si>
  <si>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</si>
  <si>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</si>
  <si>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</si>
  <si>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</si>
  <si>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</si>
  <si>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</si>
  <si>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</si>
  <si>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</si>
  <si>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</si>
  <si>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</si>
  <si>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</si>
  <si>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</si>
  <si>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</si>
  <si>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</si>
  <si>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</si>
  <si>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</si>
  <si>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</si>
  <si>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</si>
  <si>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</si>
  <si>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</si>
  <si>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</si>
  <si>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</si>
  <si>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</si>
  <si>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</si>
  <si>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</si>
  <si>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</si>
  <si>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</si>
  <si>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</si>
  <si>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</si>
  <si>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</si>
  <si>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</si>
  <si>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</si>
  <si>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</si>
  <si>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</si>
  <si>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</si>
  <si>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</si>
  <si>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</si>
  <si>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</si>
  <si>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</si>
  <si>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</si>
  <si>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</si>
  <si>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</si>
  <si>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</si>
  <si>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</si>
  <si>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</si>
  <si>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</si>
  <si>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</si>
  <si>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</si>
  <si>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</si>
  <si>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</si>
  <si>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</si>
  <si>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</si>
  <si>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</si>
  <si>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</si>
  <si>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</si>
  <si>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</si>
  <si>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</si>
  <si>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</si>
  <si>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</si>
  <si>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</si>
  <si>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</si>
  <si>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</si>
  <si>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</si>
  <si>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</si>
  <si>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</si>
  <si>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</si>
  <si>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</si>
  <si>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</si>
  <si>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</si>
  <si>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</si>
  <si>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</si>
  <si>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</si>
  <si>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</si>
  <si>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</si>
  <si>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</si>
  <si>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</si>
  <si>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</si>
  <si>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</si>
  <si>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</si>
  <si>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</si>
  <si>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</si>
  <si>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</si>
  <si>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</si>
  <si>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</si>
  <si>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</si>
  <si>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</si>
  <si>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</si>
  <si>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</si>
  <si>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</si>
  <si>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</si>
  <si>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</si>
  <si>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</si>
  <si>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</si>
  <si>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</si>
  <si>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</si>
  <si>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</si>
  <si>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</si>
  <si>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</si>
  <si>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</si>
  <si>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</si>
  <si>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</si>
  <si>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</si>
  <si>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</si>
  <si>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</si>
  <si>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</si>
  <si>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</si>
  <si>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</si>
  <si>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</si>
  <si>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</si>
  <si>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</si>
  <si>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</si>
  <si>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</si>
  <si>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</si>
  <si>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</si>
  <si>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</si>
  <si>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</si>
  <si>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</si>
  <si>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</si>
  <si>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</si>
  <si>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</si>
  <si>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</si>
  <si>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</si>
  <si>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</si>
  <si>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</si>
  <si>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</si>
  <si>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</si>
  <si>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</si>
  <si>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</si>
  <si>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</si>
  <si>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</si>
  <si>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</si>
  <si>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</si>
  <si>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</si>
  <si>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</si>
  <si>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</si>
  <si>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</si>
  <si>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</si>
  <si>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</si>
  <si>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</si>
  <si>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</si>
  <si>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</si>
  <si>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</si>
  <si>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</si>
  <si>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</si>
  <si>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</si>
  <si>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</si>
  <si>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</si>
  <si>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</si>
  <si>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</si>
  <si>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</si>
  <si>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</si>
  <si>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</si>
  <si>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</si>
  <si>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</si>
  <si>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</si>
  <si>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</si>
  <si>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</si>
  <si>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</si>
  <si>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</si>
  <si>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</si>
  <si>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</si>
  <si>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</si>
  <si>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</si>
  <si>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</si>
  <si>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</si>
  <si>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</si>
  <si>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</si>
  <si>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</si>
  <si>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</si>
  <si>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</si>
  <si>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</si>
  <si>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</si>
  <si>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</si>
  <si>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</si>
  <si>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</si>
  <si>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</si>
  <si>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</si>
  <si>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</si>
  <si>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</si>
  <si>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</si>
  <si>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</si>
  <si>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</si>
  <si>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</si>
  <si>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</si>
  <si>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</si>
  <si>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</si>
  <si>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</si>
  <si>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</si>
  <si>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</si>
  <si>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</si>
  <si>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</si>
  <si>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</si>
  <si>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</si>
  <si>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</si>
  <si>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</si>
  <si>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</si>
  <si>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</si>
  <si>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</si>
  <si>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</si>
  <si>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</si>
  <si>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</si>
  <si>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</si>
  <si>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</si>
  <si>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</si>
  <si>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</si>
  <si>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</si>
  <si>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</si>
  <si>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</si>
  <si>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</si>
  <si>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</si>
  <si>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</si>
  <si>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</si>
  <si>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</si>
  <si>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</si>
  <si>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</si>
  <si>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</si>
  <si>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</si>
  <si>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</si>
  <si>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</si>
  <si>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</si>
  <si>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</si>
  <si>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</si>
  <si>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</si>
  <si>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</si>
  <si>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</si>
  <si>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</si>
  <si>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</si>
  <si>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</si>
  <si>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</si>
  <si>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</si>
  <si>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</si>
  <si>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</si>
  <si>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</si>
  <si>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</si>
  <si>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</si>
  <si>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</si>
  <si>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</si>
  <si>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</si>
  <si>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</si>
  <si>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</si>
  <si>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</si>
  <si>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</si>
  <si>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</si>
  <si>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</si>
  <si>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</si>
  <si>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</si>
  <si>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</si>
  <si>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</si>
  <si>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</si>
  <si>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</si>
  <si>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</si>
  <si>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</si>
  <si>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</si>
  <si>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</si>
  <si>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</si>
  <si>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</si>
  <si>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</si>
  <si>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</si>
  <si>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</si>
  <si>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</si>
  <si>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</si>
  <si>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</si>
  <si>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</si>
  <si>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</si>
  <si>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</si>
  <si>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</si>
  <si>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</si>
  <si>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</si>
  <si>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</si>
  <si>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</si>
  <si>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</si>
  <si>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</si>
  <si>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</si>
  <si>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</si>
  <si>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</si>
  <si>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</si>
  <si>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</si>
  <si>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</si>
  <si>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</si>
  <si>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</si>
  <si>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</si>
  <si>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</si>
  <si>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</si>
  <si>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</si>
  <si>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</si>
  <si>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</si>
  <si>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</si>
  <si>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</si>
  <si>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</si>
  <si>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</si>
  <si>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</si>
  <si>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</si>
  <si>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</si>
  <si>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</si>
  <si>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</si>
  <si>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</si>
  <si>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</si>
  <si>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</si>
  <si>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</si>
  <si>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</si>
  <si>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</si>
  <si>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</si>
  <si>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</si>
  <si>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</si>
  <si>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</si>
  <si>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</si>
  <si>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</si>
  <si>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</si>
  <si>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</si>
  <si>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</si>
  <si>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</si>
  <si>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</si>
  <si>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</si>
  <si>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</si>
  <si>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</si>
  <si>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</si>
  <si>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</si>
  <si>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</si>
  <si>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</si>
  <si>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</si>
  <si>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</si>
  <si>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</si>
  <si>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</si>
  <si>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</si>
  <si>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</si>
  <si>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</si>
  <si>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</si>
  <si>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</si>
  <si>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</si>
  <si>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</si>
  <si>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</si>
  <si>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</si>
  <si>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</si>
  <si>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</si>
  <si>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</si>
  <si>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</si>
  <si>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</si>
  <si>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</si>
  <si>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</si>
  <si>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</si>
  <si>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</si>
  <si>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</si>
  <si>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</si>
  <si>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</si>
  <si>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</si>
  <si>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</si>
  <si>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</si>
  <si>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</si>
  <si>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</si>
  <si>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</si>
  <si>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</si>
  <si>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</si>
  <si>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</si>
  <si>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</si>
  <si>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</si>
  <si>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</si>
  <si>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</si>
  <si>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</si>
  <si>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</si>
  <si>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</si>
  <si>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</si>
  <si>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</si>
  <si>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</si>
  <si>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</si>
  <si>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</si>
  <si>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</si>
  <si>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</si>
  <si>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</si>
  <si>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</si>
  <si>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</si>
  <si>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</si>
  <si>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</si>
  <si>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</si>
  <si>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</si>
  <si>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</si>
  <si>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</si>
  <si>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</si>
  <si>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</si>
  <si>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</si>
  <si>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</si>
  <si>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</si>
  <si>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</si>
  <si>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</si>
  <si>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</si>
  <si>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</si>
  <si>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</si>
  <si>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</si>
  <si>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</si>
  <si>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</si>
  <si>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</si>
  <si>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</si>
  <si>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</si>
  <si>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</si>
  <si>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</si>
  <si>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</si>
  <si>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</si>
  <si>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</si>
  <si>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</si>
  <si>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</si>
  <si>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</si>
  <si>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</si>
  <si>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</si>
  <si>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</si>
  <si>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</si>
  <si>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</si>
  <si>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</si>
  <si>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</si>
  <si>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</si>
  <si>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</si>
  <si>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</si>
  <si>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</si>
  <si>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</si>
  <si>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</si>
  <si>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</si>
  <si>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</si>
  <si>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</si>
  <si>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</si>
  <si>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</si>
  <si>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</si>
  <si>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</si>
  <si>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</si>
  <si>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</si>
  <si>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</si>
  <si>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</si>
  <si>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</si>
  <si>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</si>
  <si>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</si>
  <si>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</si>
  <si>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</si>
  <si>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</si>
  <si>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</si>
  <si>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</si>
  <si>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</si>
  <si>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</si>
  <si>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</si>
  <si>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</si>
  <si>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</si>
  <si>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</si>
  <si>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</si>
  <si>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</si>
  <si>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</si>
  <si>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</si>
  <si>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</si>
  <si>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</si>
  <si>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</si>
  <si>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</si>
  <si>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</si>
  <si>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</si>
  <si>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</si>
  <si>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</si>
  <si>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</si>
  <si>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</si>
  <si>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</si>
  <si>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</si>
  <si>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</si>
  <si>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</si>
  <si>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</si>
  <si>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</si>
  <si>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</si>
  <si>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</si>
  <si>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</si>
  <si>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</si>
  <si>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</si>
  <si>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</si>
  <si>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</si>
  <si>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</si>
  <si>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</si>
  <si>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</si>
  <si>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</si>
  <si>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</si>
  <si>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</si>
  <si>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</si>
  <si>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</si>
  <si>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</si>
  <si>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</si>
  <si>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</si>
  <si>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</si>
  <si>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</si>
  <si>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</si>
  <si>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</si>
  <si>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</si>
  <si>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</si>
  <si>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</si>
  <si>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</si>
  <si>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</si>
  <si>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</si>
  <si>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</si>
  <si>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</si>
  <si>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</si>
  <si>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</si>
  <si>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</si>
  <si>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</si>
  <si>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</si>
  <si>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</si>
  <si>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</si>
  <si>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</si>
  <si>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</si>
  <si>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</si>
  <si>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</si>
  <si>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</si>
  <si>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</si>
  <si>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</si>
  <si>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</si>
  <si>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</si>
  <si>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</si>
  <si>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</si>
  <si>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</si>
  <si>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</si>
  <si>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</si>
  <si>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</si>
  <si>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</si>
  <si>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</si>
  <si>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</si>
  <si>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</si>
  <si>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</si>
  <si>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</si>
  <si>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</si>
  <si>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</si>
  <si>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</si>
  <si>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</si>
  <si>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</si>
  <si>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</si>
  <si>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</si>
  <si>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</si>
  <si>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</si>
  <si>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</si>
  <si>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</si>
  <si>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</si>
  <si>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</si>
  <si>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</si>
  <si>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</si>
  <si>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</si>
  <si>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</si>
  <si>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</si>
  <si>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</si>
  <si>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</si>
  <si>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</si>
  <si>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</si>
  <si>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</si>
  <si>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</si>
  <si>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</si>
  <si>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</si>
  <si>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</si>
  <si>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</si>
  <si>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</si>
  <si>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</si>
  <si>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</si>
  <si>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</si>
  <si>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</si>
  <si>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</si>
  <si>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</si>
  <si>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</si>
  <si>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</si>
  <si>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</si>
  <si>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</si>
  <si>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</si>
  <si>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</si>
  <si>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</si>
  <si>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</si>
  <si>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</si>
  <si>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</si>
  <si>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</si>
  <si>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</si>
  <si>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</si>
  <si>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</si>
  <si>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</si>
  <si>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</si>
  <si>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</si>
  <si>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</si>
  <si>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</si>
  <si>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</si>
  <si>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</si>
  <si>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</si>
  <si>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</si>
  <si>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</si>
  <si>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</si>
  <si>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</si>
  <si>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</si>
  <si>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</si>
  <si>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</si>
  <si>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</si>
  <si>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</si>
  <si>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</si>
  <si>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</si>
  <si>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</si>
  <si>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</si>
  <si>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</si>
  <si>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</si>
  <si>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</si>
  <si>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</si>
  <si>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</si>
  <si>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</si>
  <si>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</si>
  <si>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</si>
  <si>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</si>
  <si>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</si>
  <si>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</si>
  <si>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</si>
  <si>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</si>
  <si>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</si>
  <si>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</si>
  <si>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</si>
  <si>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</si>
  <si>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</si>
  <si>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</si>
  <si>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</si>
  <si>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</si>
  <si>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</si>
  <si>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</si>
  <si>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</si>
  <si>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</si>
  <si>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</si>
  <si>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</si>
  <si>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</si>
  <si>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</si>
  <si>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</si>
  <si>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</si>
  <si>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</si>
  <si>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</si>
  <si>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</si>
  <si>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</si>
  <si>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</si>
  <si>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</si>
  <si>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</si>
  <si>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</si>
  <si>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</si>
  <si>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</si>
  <si>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</si>
  <si>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</si>
  <si>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</si>
  <si>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</si>
  <si>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</si>
  <si>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</si>
  <si>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</si>
  <si>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</si>
  <si>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</si>
  <si>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</si>
  <si>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</si>
  <si>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</si>
  <si>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</si>
  <si>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</si>
  <si>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</si>
  <si>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</si>
  <si>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</si>
  <si>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</si>
  <si>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</si>
  <si>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</si>
  <si>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</si>
  <si>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</si>
  <si>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</si>
  <si>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</si>
  <si>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</si>
  <si>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</si>
  <si>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</si>
  <si>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</si>
  <si>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</si>
  <si>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</si>
  <si>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</si>
  <si>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</si>
  <si>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</si>
  <si>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</si>
  <si>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</si>
  <si>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</si>
  <si>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</si>
  <si>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</si>
  <si>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</si>
  <si>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</si>
  <si>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</si>
  <si>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</si>
  <si>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</si>
  <si>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</si>
  <si>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</si>
  <si>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</si>
  <si>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</si>
  <si>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</si>
  <si>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</si>
  <si>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</si>
  <si>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</si>
  <si>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</si>
  <si>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</si>
  <si>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</si>
  <si>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</si>
  <si>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</si>
  <si>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</si>
  <si>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</si>
  <si>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</si>
  <si>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</si>
  <si>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</si>
  <si>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</si>
  <si>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</si>
  <si>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</si>
  <si>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</si>
  <si>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</si>
  <si>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</si>
  <si>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</si>
  <si>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</si>
  <si>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</si>
  <si>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</si>
  <si>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</si>
  <si>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</si>
  <si>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</si>
  <si>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</si>
  <si>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</si>
  <si>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</si>
  <si>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</si>
  <si>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</si>
  <si>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</si>
  <si>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</si>
  <si>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</si>
  <si>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</si>
  <si>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</si>
  <si>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</si>
  <si>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</si>
  <si>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</si>
  <si>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</si>
  <si>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</si>
  <si>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</si>
  <si>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</si>
  <si>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</si>
  <si>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</si>
  <si>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</si>
  <si>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</si>
  <si>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</si>
  <si>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</si>
  <si>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</si>
  <si>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</si>
  <si>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</si>
  <si>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</si>
  <si>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</si>
  <si>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</si>
  <si>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</si>
  <si>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</si>
  <si>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</si>
  <si>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</si>
  <si>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</si>
  <si>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</si>
  <si>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</si>
  <si>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</si>
  <si>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</si>
  <si>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</si>
  <si>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</si>
  <si>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</si>
  <si>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</si>
  <si>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</si>
  <si>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</si>
  <si>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</si>
  <si>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</si>
  <si>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</si>
  <si>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</si>
  <si>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</si>
  <si>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</si>
  <si>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</si>
  <si>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</si>
  <si>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</si>
  <si>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</si>
  <si>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</si>
  <si>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</si>
  <si>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</si>
  <si>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</si>
  <si>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</si>
  <si>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</si>
  <si>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</si>
  <si>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</si>
  <si>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</si>
  <si>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</si>
  <si>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</si>
  <si>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</si>
  <si>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</si>
  <si>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</si>
  <si>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</si>
  <si>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</si>
  <si>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</si>
  <si>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</si>
  <si>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</si>
  <si>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</si>
  <si>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</si>
  <si>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</si>
  <si>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</si>
  <si>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</si>
  <si>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</si>
  <si>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</si>
  <si>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</si>
  <si>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</si>
  <si>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</si>
  <si>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</si>
  <si>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</si>
  <si>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</si>
  <si>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</si>
  <si>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</si>
  <si>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</si>
  <si>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</si>
  <si>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</si>
  <si>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</si>
  <si>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</si>
  <si>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</si>
  <si>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</si>
  <si>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</si>
  <si>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</si>
  <si>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</si>
  <si>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</si>
  <si>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</si>
  <si>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</si>
  <si>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</si>
  <si>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</si>
  <si>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</si>
  <si>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</si>
  <si>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</si>
  <si>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</si>
  <si>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</si>
  <si>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</si>
  <si>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</si>
  <si>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</si>
  <si>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</si>
  <si>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</si>
  <si>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</si>
  <si>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</si>
  <si>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</si>
  <si>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</si>
  <si>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</si>
  <si>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</si>
  <si>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</si>
  <si>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</si>
  <si>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</si>
  <si>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</si>
  <si>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</si>
  <si>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</si>
  <si>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</si>
  <si>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</si>
  <si>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</si>
  <si>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</si>
  <si>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</si>
  <si>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</si>
  <si>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</si>
  <si>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</si>
  <si>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</si>
  <si>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</si>
  <si>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</si>
  <si>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</si>
  <si>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</si>
  <si>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</si>
  <si>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</si>
  <si>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</si>
  <si>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</si>
  <si>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</si>
  <si>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</si>
  <si>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</si>
  <si>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</si>
  <si>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</si>
  <si>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</si>
  <si>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</si>
  <si>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</si>
  <si>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</si>
  <si>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</si>
  <si>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</si>
  <si>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</si>
  <si>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</si>
  <si>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</si>
  <si>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</si>
  <si>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</si>
  <si>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</si>
  <si>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</si>
  <si>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</si>
  <si>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</si>
  <si>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</si>
  <si>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</si>
  <si>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</si>
  <si>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</si>
  <si>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</si>
  <si>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</si>
  <si>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</si>
  <si>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</si>
  <si>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</si>
  <si>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</si>
  <si>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</si>
  <si>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</si>
  <si>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</si>
  <si>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</si>
  <si>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</si>
  <si>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</si>
  <si>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</si>
  <si>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</si>
  <si>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</si>
  <si>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</si>
  <si>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</si>
  <si>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</si>
  <si>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</si>
  <si>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</si>
  <si>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</si>
  <si>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</si>
  <si>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</si>
  <si>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</si>
  <si>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</si>
  <si>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</si>
  <si>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</si>
  <si>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</si>
  <si>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</si>
  <si>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</si>
  <si>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</si>
  <si>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</si>
  <si>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</si>
  <si>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</si>
  <si>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</si>
  <si>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</si>
  <si>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</si>
  <si>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</si>
  <si>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</si>
  <si>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</si>
  <si>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</si>
  <si>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</si>
  <si>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</si>
  <si>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</si>
  <si>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</si>
  <si>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</si>
  <si>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</si>
  <si>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</si>
  <si>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</si>
  <si>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</si>
  <si>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</si>
  <si>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</si>
  <si>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</si>
  <si>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</si>
  <si>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</si>
  <si>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</si>
  <si>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</si>
  <si>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</si>
  <si>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</si>
  <si>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</si>
  <si>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</si>
  <si>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</si>
  <si>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</si>
  <si>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</si>
  <si>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</si>
  <si>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</si>
  <si>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</si>
  <si>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</si>
  <si>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</si>
  <si>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</si>
  <si>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</si>
  <si>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</si>
  <si>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</si>
  <si>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</si>
  <si>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</si>
  <si>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</si>
  <si>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</si>
  <si>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</si>
  <si>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</si>
  <si>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</si>
  <si>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</si>
  <si>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</si>
  <si>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</si>
  <si>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</si>
  <si>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</si>
  <si>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</si>
  <si>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</si>
  <si>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</si>
  <si>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</si>
  <si>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</si>
  <si>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</si>
  <si>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</si>
  <si>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</si>
  <si>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</si>
  <si>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</si>
  <si>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</si>
  <si>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</si>
  <si>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</si>
  <si>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</si>
  <si>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</si>
  <si>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</si>
  <si>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</si>
  <si>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</si>
  <si>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</si>
  <si>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</si>
  <si>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</si>
  <si>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</si>
  <si>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</si>
  <si>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</si>
  <si>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</si>
  <si>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</si>
  <si>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</si>
  <si>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</si>
  <si>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</si>
  <si>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</si>
  <si>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</si>
  <si>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</si>
  <si>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</si>
  <si>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</si>
  <si>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</si>
  <si>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</si>
  <si>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</si>
  <si>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</si>
  <si>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</si>
  <si>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</si>
  <si>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</si>
  <si>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</si>
  <si>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</si>
  <si>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</si>
  <si>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</si>
  <si>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</si>
  <si>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</si>
  <si>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</si>
  <si>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</si>
  <si>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</si>
  <si>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</si>
  <si>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</si>
  <si>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</si>
  <si>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</si>
  <si>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</si>
  <si>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</si>
  <si>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</si>
  <si>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</si>
  <si>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</si>
  <si>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</si>
  <si>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</si>
  <si>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</si>
  <si>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</si>
  <si>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</si>
  <si>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</si>
  <si>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</si>
  <si>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</si>
  <si>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</si>
  <si>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</si>
  <si>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</si>
  <si>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</si>
  <si>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</si>
  <si>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</si>
  <si>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</si>
  <si>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</si>
  <si>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</si>
  <si>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</si>
  <si>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</si>
  <si>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</si>
  <si>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</si>
  <si>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</si>
  <si>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</si>
  <si>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</si>
  <si>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</si>
  <si>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</si>
  <si>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</si>
  <si>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</si>
  <si>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</si>
  <si>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</si>
  <si>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</si>
  <si>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</si>
  <si>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</si>
  <si>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</si>
  <si>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</si>
  <si>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</si>
  <si>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</si>
  <si>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</si>
  <si>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</si>
  <si>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</si>
  <si>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</si>
  <si>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</si>
  <si>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</si>
  <si>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</si>
  <si>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</si>
  <si>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</si>
  <si>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</si>
  <si>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</si>
  <si>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</si>
  <si>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</si>
  <si>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</si>
  <si>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</si>
  <si>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</si>
  <si>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</si>
  <si>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</si>
  <si>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</si>
  <si>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</si>
  <si>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</si>
  <si>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</si>
  <si>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</si>
  <si>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</si>
  <si>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</si>
  <si>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</si>
  <si>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</si>
  <si>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</si>
  <si>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</si>
  <si>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</si>
  <si>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</si>
  <si>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</si>
  <si>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</si>
  <si>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</si>
  <si>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</si>
  <si>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</si>
  <si>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</si>
  <si>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</si>
  <si>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</si>
  <si>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</si>
  <si>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</si>
  <si>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</si>
  <si>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</si>
  <si>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</si>
  <si>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</si>
  <si>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</si>
  <si>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</si>
  <si>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</si>
  <si>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</si>
  <si>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</si>
  <si>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</si>
  <si>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</si>
  <si>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</si>
  <si>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</si>
  <si>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</si>
  <si>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</si>
  <si>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</si>
  <si>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</si>
  <si>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</si>
  <si>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</si>
  <si>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</si>
  <si>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</si>
  <si>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</si>
  <si>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</si>
  <si>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</si>
  <si>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</si>
  <si>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</si>
  <si>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</si>
  <si>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</si>
  <si>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</si>
  <si>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</si>
  <si>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</si>
  <si>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</si>
  <si>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</si>
  <si>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</si>
  <si>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</si>
  <si>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</si>
  <si>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</si>
  <si>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</si>
  <si>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</si>
  <si>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</si>
  <si>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</si>
  <si>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</si>
  <si>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</si>
  <si>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</si>
  <si>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</si>
  <si>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</si>
  <si>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</si>
  <si>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</si>
  <si>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</si>
  <si>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</si>
  <si>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</si>
  <si>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</si>
  <si>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</si>
  <si>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</si>
  <si>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</si>
  <si>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</si>
  <si>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</si>
  <si>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</si>
  <si>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</si>
  <si>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</si>
  <si>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</si>
  <si>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</si>
  <si>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</si>
  <si>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</si>
  <si>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</si>
  <si>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</si>
  <si>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</si>
  <si>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</si>
  <si>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</si>
  <si>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</si>
  <si>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</si>
  <si>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</si>
  <si>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</si>
  <si>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</si>
  <si>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</si>
  <si>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</si>
  <si>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</si>
  <si>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</si>
  <si>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</si>
  <si>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</si>
  <si>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</si>
  <si>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</si>
  <si>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</si>
  <si>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</si>
  <si>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</si>
  <si>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</si>
  <si>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</si>
  <si>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</si>
  <si>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</si>
  <si>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</si>
  <si>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</si>
  <si>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</si>
  <si>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</si>
  <si>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</si>
  <si>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</si>
  <si>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</si>
  <si>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</si>
  <si>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</si>
  <si>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</si>
  <si>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</si>
  <si>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</si>
  <si>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</si>
  <si>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</si>
  <si>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</si>
  <si>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</si>
  <si>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</si>
  <si>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</si>
  <si>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</si>
  <si>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</si>
  <si>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</si>
  <si>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</si>
  <si>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</si>
  <si>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</si>
  <si>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</si>
  <si>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</si>
  <si>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</si>
  <si>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</si>
  <si>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</si>
  <si>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</si>
  <si>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</si>
  <si>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</si>
  <si>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</si>
  <si>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</si>
  <si>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</si>
  <si>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</si>
  <si>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</si>
  <si>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</si>
  <si>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</si>
  <si>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</si>
  <si>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</si>
  <si>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</si>
  <si>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</si>
  <si>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</si>
  <si>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</si>
  <si>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</si>
  <si>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</si>
  <si>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</si>
  <si>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</si>
  <si>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</si>
  <si>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</si>
  <si>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</si>
  <si>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</si>
  <si>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</si>
  <si>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</si>
  <si>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</si>
  <si>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</si>
  <si>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</si>
  <si>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</si>
  <si>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</si>
  <si>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</si>
  <si>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</si>
  <si>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</si>
  <si>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</si>
  <si>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</si>
  <si>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</si>
  <si>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</si>
  <si>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</si>
  <si>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</si>
  <si>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</si>
  <si>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</si>
  <si>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</si>
  <si>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</si>
  <si>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</si>
  <si>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</si>
  <si>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</si>
  <si>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</si>
  <si>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</si>
  <si>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</si>
  <si>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</si>
  <si>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</si>
  <si>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</si>
  <si>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</si>
  <si>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</si>
  <si>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</si>
  <si>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</si>
  <si>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</si>
  <si>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</si>
  <si>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</si>
  <si>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</si>
  <si>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</si>
  <si>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</si>
  <si>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</si>
  <si>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</si>
  <si>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</si>
  <si>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</si>
  <si>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</si>
  <si>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</si>
  <si>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</si>
  <si>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</si>
  <si>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</si>
  <si>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</si>
  <si>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</si>
  <si>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</si>
  <si>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</si>
  <si>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</si>
  <si>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</si>
  <si>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</si>
  <si>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</si>
  <si>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</si>
  <si>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</si>
  <si>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</si>
  <si>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</si>
  <si>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</si>
  <si>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</si>
  <si>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</si>
  <si>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</si>
  <si>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</si>
  <si>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</si>
  <si>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</si>
  <si>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</si>
  <si>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</si>
  <si>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</si>
  <si>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</si>
  <si>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</si>
  <si>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</si>
  <si>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</si>
  <si>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</si>
  <si>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</si>
  <si>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</si>
  <si>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</si>
  <si>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</si>
  <si>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</si>
  <si>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</si>
  <si>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</si>
  <si>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</si>
  <si>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</si>
  <si>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</si>
  <si>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</si>
  <si>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</si>
  <si>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</si>
  <si>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</si>
  <si>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</si>
  <si>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</si>
  <si>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</si>
  <si>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</si>
  <si>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</si>
  <si>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</si>
  <si>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</si>
  <si>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</si>
  <si>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</si>
  <si>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</si>
  <si>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</si>
  <si>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</si>
  <si>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</si>
  <si>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</si>
  <si>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</si>
  <si>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</si>
  <si>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</si>
  <si>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</si>
  <si>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</si>
  <si>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</si>
  <si>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</si>
  <si>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</si>
  <si>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</si>
  <si>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</si>
  <si>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</si>
  <si>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</si>
  <si>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</si>
  <si>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</si>
  <si>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</si>
  <si>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</si>
  <si>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</si>
  <si>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</si>
  <si>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</si>
  <si>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</si>
  <si>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</si>
  <si>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</si>
  <si>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</si>
  <si>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</si>
  <si>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</si>
  <si>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</si>
  <si>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</si>
  <si>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</si>
  <si>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</si>
  <si>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</si>
  <si>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</si>
  <si>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</si>
  <si>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</si>
  <si>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</si>
  <si>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</si>
  <si>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</si>
  <si>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</si>
  <si>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</si>
  <si>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</si>
  <si>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</si>
  <si>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</si>
  <si>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</si>
  <si>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</si>
  <si>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</si>
  <si>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</si>
  <si>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</si>
  <si>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</si>
  <si>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</si>
  <si>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</si>
  <si>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</si>
  <si>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</si>
  <si>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</si>
  <si>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</si>
  <si>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</si>
  <si>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</si>
  <si>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</si>
  <si>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</si>
  <si>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</si>
  <si>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</si>
  <si>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</si>
  <si>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</si>
  <si>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</si>
  <si>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</si>
  <si>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</si>
  <si>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</si>
  <si>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</si>
  <si>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</si>
  <si>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</si>
  <si>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</si>
  <si>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</si>
  <si>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</si>
  <si>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</si>
  <si>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</si>
  <si>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</si>
  <si>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</si>
  <si>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</si>
  <si>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</si>
  <si>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</si>
  <si>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</si>
  <si>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</si>
  <si>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</si>
  <si>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</si>
  <si>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</si>
  <si>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</si>
  <si>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</si>
  <si>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</si>
  <si>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</si>
  <si>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</si>
  <si>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</si>
  <si>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</si>
  <si>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</si>
  <si>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</si>
  <si>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</si>
  <si>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</si>
  <si>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</si>
  <si>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</si>
  <si>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</si>
  <si>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</si>
  <si>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</si>
  <si>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</si>
  <si>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</si>
  <si>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</si>
  <si>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</si>
  <si>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</si>
  <si>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</si>
  <si>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</si>
  <si>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</si>
  <si>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</si>
  <si>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</si>
  <si>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</si>
  <si>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</si>
  <si>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</si>
  <si>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</si>
  <si>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</si>
  <si>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</si>
  <si>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</si>
  <si>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</si>
  <si>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</si>
  <si>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</si>
  <si>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</si>
  <si>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</si>
  <si>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</si>
  <si>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</si>
  <si>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</si>
  <si>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</si>
  <si>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</si>
  <si>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</si>
  <si>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</si>
  <si>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</si>
  <si>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</si>
  <si>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</si>
  <si>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</si>
  <si>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</si>
  <si>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</si>
  <si>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</si>
  <si>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</si>
  <si>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</si>
  <si>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</si>
  <si>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</si>
  <si>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</si>
  <si>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</si>
  <si>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</si>
  <si>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</si>
  <si>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</si>
  <si>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</si>
  <si>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</si>
  <si>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</si>
  <si>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</si>
  <si>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</si>
  <si>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</si>
  <si>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</si>
  <si>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</si>
  <si>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</si>
  <si>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</si>
  <si>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</si>
  <si>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</si>
  <si>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</si>
  <si>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</si>
  <si>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</si>
  <si>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</si>
  <si>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</si>
  <si>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</si>
  <si>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</si>
  <si>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</si>
  <si>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</si>
  <si>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</si>
  <si>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</si>
  <si>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</si>
  <si>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</si>
  <si>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</si>
  <si>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</si>
  <si>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</si>
  <si>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</si>
  <si>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</si>
  <si>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</si>
  <si>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</si>
  <si>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</si>
  <si>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</si>
  <si>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</si>
  <si>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</si>
  <si>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</si>
  <si>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</si>
  <si>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</si>
  <si>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</si>
  <si>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</si>
  <si>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</si>
  <si>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</si>
  <si>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</si>
  <si>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</si>
  <si>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</si>
  <si>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</si>
  <si>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</si>
  <si>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</si>
  <si>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</si>
  <si>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</si>
  <si>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</si>
  <si>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</si>
  <si>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</si>
  <si>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</si>
  <si>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</si>
  <si>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</si>
  <si>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</si>
  <si>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</si>
  <si>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</si>
  <si>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</si>
  <si>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</si>
  <si>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</si>
  <si>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</si>
  <si>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</si>
  <si>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</si>
  <si>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</si>
  <si>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</si>
  <si>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</si>
  <si>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</si>
  <si>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</si>
  <si>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</si>
  <si>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</si>
  <si>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</si>
  <si>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</si>
  <si>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</si>
  <si>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</si>
  <si>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</si>
  <si>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</si>
  <si>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</si>
  <si>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</si>
  <si>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</si>
  <si>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</si>
  <si>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</si>
  <si>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</si>
  <si>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</si>
  <si>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</si>
  <si>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</si>
  <si>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</si>
  <si>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</si>
  <si>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</si>
  <si>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</si>
  <si>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</si>
  <si>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</si>
  <si>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</si>
  <si>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</si>
  <si>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</si>
  <si>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</si>
  <si>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</si>
  <si>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</si>
  <si>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</si>
  <si>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</si>
  <si>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</si>
  <si>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</si>
  <si>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</si>
  <si>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</si>
  <si>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</si>
  <si>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</si>
  <si>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</si>
  <si>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</si>
  <si>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</si>
  <si>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</si>
  <si>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</si>
  <si>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</si>
  <si>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</si>
  <si>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</si>
  <si>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</si>
  <si>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</si>
  <si>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</si>
  <si>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</si>
  <si>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</si>
  <si>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</si>
  <si>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</si>
  <si>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</si>
  <si>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</si>
  <si>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</si>
  <si>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</si>
  <si>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</si>
  <si>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</si>
  <si>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</si>
  <si>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</si>
  <si>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</si>
  <si>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</si>
  <si>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</si>
  <si>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</si>
  <si>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</si>
  <si>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</si>
  <si>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</si>
  <si>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</si>
  <si>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</si>
  <si>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</si>
  <si>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</si>
  <si>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</si>
  <si>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</si>
  <si>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</si>
  <si>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</si>
  <si>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</si>
  <si>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</si>
  <si>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</si>
  <si>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</si>
  <si>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</si>
  <si>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</si>
  <si>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</si>
  <si>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</si>
  <si>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</si>
  <si>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</si>
  <si>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</si>
  <si>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</si>
  <si>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</si>
  <si>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</si>
  <si>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</si>
  <si>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</si>
  <si>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</si>
  <si>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</si>
  <si>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</si>
  <si>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</si>
  <si>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</si>
  <si>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</si>
  <si>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</si>
  <si>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</si>
  <si>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</si>
  <si>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</si>
  <si>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</si>
  <si>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</si>
  <si>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</si>
  <si>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</si>
  <si>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</si>
  <si>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</si>
  <si>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</si>
  <si>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</si>
  <si>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</si>
  <si>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</si>
  <si>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</si>
  <si>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</si>
  <si>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</si>
  <si>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</si>
  <si>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</si>
  <si>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</si>
  <si>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</si>
  <si>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</si>
  <si>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</si>
  <si>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</si>
  <si>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</si>
  <si>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</si>
  <si>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</si>
  <si>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</si>
  <si>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</si>
  <si>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</si>
  <si>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</si>
  <si>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</si>
  <si>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</si>
  <si>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</si>
  <si>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</si>
  <si>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</si>
  <si>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</si>
  <si>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</si>
  <si>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</si>
  <si>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</si>
  <si>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</si>
  <si>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</si>
  <si>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</si>
  <si>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</si>
  <si>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</si>
  <si>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</si>
  <si>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</si>
  <si>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</si>
  <si>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</si>
  <si>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</si>
  <si>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</si>
  <si>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</si>
  <si>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</si>
  <si>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</si>
  <si>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</si>
  <si>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</si>
  <si>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</si>
  <si>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</si>
  <si>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</si>
  <si>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</si>
  <si>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</si>
  <si>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</si>
  <si>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</si>
  <si>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</si>
  <si>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</si>
  <si>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</si>
  <si>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</si>
  <si>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</si>
  <si>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</si>
  <si>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</si>
  <si>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</si>
  <si>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</si>
  <si>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</si>
  <si>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</si>
  <si>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</si>
  <si>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</si>
  <si>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</si>
  <si>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</si>
  <si>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</si>
  <si>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</si>
  <si>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</si>
  <si>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</si>
  <si>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</si>
  <si>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</si>
  <si>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</si>
  <si>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</si>
  <si>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</si>
  <si>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</si>
  <si>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</si>
  <si>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</si>
  <si>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</si>
  <si>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</si>
  <si>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</si>
  <si>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</si>
  <si>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</si>
  <si>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</si>
  <si>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</si>
  <si>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</si>
  <si>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</si>
  <si>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</si>
  <si>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</si>
  <si>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</si>
  <si>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</si>
  <si>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</si>
  <si>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</si>
  <si>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</si>
  <si>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</si>
  <si>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</si>
  <si>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</si>
  <si>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</si>
  <si>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</si>
  <si>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</si>
  <si>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</si>
  <si>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</si>
  <si>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</si>
  <si>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</si>
  <si>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</si>
  <si>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</si>
  <si>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</si>
  <si>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</si>
  <si>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</si>
  <si>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</si>
  <si>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</si>
  <si>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</si>
  <si>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</si>
  <si>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</si>
  <si>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</si>
  <si>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</si>
  <si>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</si>
  <si>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</si>
  <si>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</si>
  <si>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</si>
  <si>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</si>
  <si>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</si>
  <si>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</si>
  <si>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</si>
  <si>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</si>
  <si>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</si>
  <si>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</si>
  <si>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</si>
  <si>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</si>
  <si>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</si>
  <si>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</si>
  <si>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</si>
  <si>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</si>
  <si>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</si>
  <si>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</si>
  <si>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</si>
  <si>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</si>
  <si>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</si>
  <si>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</si>
  <si>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</si>
  <si>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</si>
  <si>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</si>
  <si>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</si>
  <si>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</si>
  <si>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</si>
  <si>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</si>
  <si>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</si>
  <si>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</si>
  <si>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</si>
  <si>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</si>
  <si>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</si>
  <si>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</si>
  <si>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</si>
  <si>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</si>
  <si>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</si>
  <si>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</si>
  <si>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</si>
  <si>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</si>
  <si>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</si>
  <si>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</si>
  <si>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</si>
  <si>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</si>
  <si>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</si>
  <si>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</si>
  <si>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</si>
  <si>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</si>
  <si>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</si>
  <si>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</si>
  <si>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</si>
  <si>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</si>
  <si>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</si>
  <si>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</si>
  <si>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</si>
  <si>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</si>
  <si>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</si>
  <si>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</si>
  <si>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</si>
  <si>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</si>
  <si>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</si>
  <si>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</si>
  <si>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</si>
  <si>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</si>
  <si>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</si>
  <si>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</si>
  <si>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</si>
  <si>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</si>
  <si>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</si>
  <si>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</si>
  <si>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</si>
  <si>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</si>
  <si>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</si>
  <si>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</si>
  <si>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</si>
  <si>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</si>
  <si>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</si>
  <si>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</si>
  <si>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</si>
  <si>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</si>
  <si>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</si>
  <si>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</si>
  <si>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</si>
  <si>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</si>
  <si>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</si>
  <si>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</si>
  <si>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</si>
  <si>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</si>
  <si>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</si>
  <si>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</si>
  <si>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</si>
  <si>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</si>
  <si>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</si>
  <si>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</si>
  <si>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</si>
  <si>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</si>
  <si>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</si>
  <si>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</si>
  <si>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</si>
  <si>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</si>
  <si>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</si>
  <si>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</si>
  <si>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</si>
  <si>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</si>
  <si>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</si>
  <si>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</si>
  <si>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</si>
  <si>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</si>
  <si>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</si>
  <si>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</si>
  <si>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</si>
  <si>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</si>
  <si>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</si>
  <si>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</si>
  <si>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</si>
  <si>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</si>
  <si>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</si>
  <si>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</si>
  <si>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</si>
  <si>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</si>
  <si>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</si>
  <si>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</si>
  <si>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</si>
  <si>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</si>
  <si>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</si>
  <si>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</si>
  <si>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</si>
  <si>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</si>
  <si>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</si>
  <si>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</si>
  <si>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</si>
  <si>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</si>
  <si>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</si>
  <si>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</si>
  <si>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</si>
  <si>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</si>
  <si>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</si>
  <si>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</si>
  <si>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</si>
  <si>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</si>
  <si>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</si>
  <si>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</si>
  <si>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</si>
  <si>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</si>
  <si>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</si>
  <si>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</si>
  <si>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</si>
  <si>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</si>
  <si>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</si>
  <si>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</si>
  <si>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</si>
  <si>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</si>
  <si>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</si>
  <si>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</si>
  <si>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</si>
  <si>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</si>
  <si>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</si>
  <si>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</si>
  <si>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</si>
  <si>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</si>
  <si>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</si>
  <si>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</si>
  <si>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</si>
  <si>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</si>
  <si>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</si>
  <si>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</si>
  <si>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</si>
  <si>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</si>
  <si>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</si>
  <si>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</si>
  <si>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</si>
  <si>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</si>
  <si>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</si>
  <si>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</si>
  <si>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</si>
  <si>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</si>
  <si>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</si>
  <si>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</si>
  <si>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</si>
  <si>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</si>
  <si>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</si>
  <si>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</si>
  <si>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</si>
  <si>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</si>
  <si>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</si>
  <si>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</si>
  <si>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</si>
  <si>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</si>
  <si>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</si>
  <si>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</si>
  <si>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</si>
  <si>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</si>
  <si>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</si>
  <si>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</si>
  <si>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</si>
  <si>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</si>
  <si>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</si>
  <si>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</si>
  <si>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</si>
  <si>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</si>
  <si>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</si>
  <si>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</si>
  <si>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</si>
  <si>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</si>
  <si>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</si>
  <si>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</si>
  <si>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</si>
  <si>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</si>
  <si>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</si>
  <si>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</si>
  <si>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</si>
  <si>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</si>
  <si>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</si>
  <si>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</si>
  <si>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</si>
  <si>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</si>
  <si>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</si>
  <si>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</si>
  <si>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</si>
  <si>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</si>
  <si>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</si>
  <si>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</si>
  <si>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</si>
  <si>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</si>
  <si>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</si>
  <si>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</si>
  <si>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</si>
  <si>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</si>
  <si>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</si>
  <si>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</si>
  <si>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</si>
  <si>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</si>
  <si>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</si>
  <si>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</si>
  <si>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</si>
  <si>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</si>
  <si>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</si>
  <si>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</si>
  <si>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</si>
  <si>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</si>
  <si>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</si>
  <si>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</si>
  <si>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</si>
  <si>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</si>
  <si>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</si>
  <si>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</si>
  <si>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</si>
  <si>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</si>
  <si>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</si>
  <si>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</si>
  <si>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</si>
  <si>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</si>
  <si>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</si>
  <si>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</si>
  <si>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</si>
  <si>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</si>
  <si>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</si>
  <si>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</si>
  <si>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</si>
  <si>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</si>
  <si>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</si>
  <si>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</si>
  <si>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</si>
  <si>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</si>
  <si>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</si>
  <si>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</si>
  <si>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</si>
  <si>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</si>
  <si>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</si>
  <si>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</si>
  <si>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</si>
  <si>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</si>
  <si>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</si>
  <si>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</si>
  <si>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</si>
  <si>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</si>
  <si>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</si>
  <si>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</si>
  <si>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</si>
  <si>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</si>
  <si>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</si>
  <si>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</si>
  <si>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</si>
  <si>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</si>
  <si>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</si>
  <si>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</si>
  <si>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</si>
  <si>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</si>
  <si>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</si>
  <si>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</si>
  <si>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</si>
  <si>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</si>
  <si>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</si>
  <si>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</si>
  <si>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</si>
  <si>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</si>
  <si>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</si>
  <si>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</si>
  <si>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</si>
  <si>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</si>
  <si>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</si>
  <si>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</si>
  <si>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</si>
  <si>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</si>
  <si>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</si>
  <si>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</si>
  <si>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</si>
  <si>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</si>
  <si>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</si>
  <si>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</si>
  <si>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</si>
  <si>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</si>
  <si>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</si>
  <si>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</si>
  <si>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</si>
  <si>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</si>
  <si>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</si>
  <si>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</si>
  <si>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</si>
  <si>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</si>
  <si>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</si>
  <si>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</si>
  <si>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</si>
  <si>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</si>
  <si>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</si>
  <si>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</si>
  <si>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</si>
  <si>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</si>
  <si>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</si>
  <si>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</si>
  <si>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</si>
  <si>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</si>
  <si>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</si>
  <si>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</si>
  <si>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</si>
  <si>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</si>
  <si>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</si>
  <si>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</si>
  <si>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</si>
  <si>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</si>
  <si>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</si>
  <si>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</si>
  <si>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</si>
  <si>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</si>
  <si>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</si>
  <si>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</si>
  <si>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</si>
  <si>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</si>
  <si>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</si>
  <si>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</si>
  <si>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</si>
  <si>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</si>
  <si>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</si>
  <si>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</si>
  <si>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</si>
  <si>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</si>
  <si>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</si>
  <si>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</si>
  <si>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</si>
  <si>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</si>
  <si>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</si>
  <si>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</si>
  <si>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</si>
  <si>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</si>
  <si>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</si>
  <si>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</si>
  <si>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</si>
  <si>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</si>
  <si>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</si>
  <si>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</si>
  <si>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</si>
  <si>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</si>
  <si>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</si>
  <si>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</si>
  <si>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</si>
  <si>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</si>
  <si>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</si>
  <si>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</si>
  <si>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</si>
  <si>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</si>
  <si>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</si>
  <si>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</si>
  <si>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</si>
  <si>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</si>
  <si>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</si>
  <si>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</si>
  <si>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</si>
  <si>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</si>
  <si>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</si>
  <si>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</si>
  <si>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</si>
  <si>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</si>
  <si>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</si>
  <si>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</si>
  <si>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</si>
  <si>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</si>
  <si>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</si>
  <si>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</si>
  <si>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</si>
  <si>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</si>
  <si>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</si>
  <si>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</si>
  <si>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</si>
  <si>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</si>
  <si>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</si>
  <si>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</si>
  <si>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</si>
  <si>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</si>
  <si>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</si>
  <si>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</si>
  <si>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</si>
  <si>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</si>
  <si>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</si>
  <si>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</si>
  <si>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</si>
  <si>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</si>
  <si>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</si>
  <si>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</si>
  <si>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</si>
  <si>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</si>
  <si>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</si>
  <si>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</si>
  <si>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</si>
  <si>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</si>
  <si>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</si>
  <si>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</si>
  <si>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</si>
  <si>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</si>
  <si>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</si>
  <si>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</si>
  <si>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</si>
  <si>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</si>
  <si>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</si>
  <si>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</si>
  <si>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</si>
  <si>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</si>
  <si>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</si>
  <si>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</si>
  <si>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</si>
  <si>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</si>
  <si>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</si>
  <si>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</si>
  <si>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</si>
  <si>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</si>
  <si>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</si>
  <si>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</si>
  <si>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</si>
  <si>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</si>
  <si>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</si>
  <si>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</si>
  <si>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</si>
  <si>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</si>
  <si>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</si>
  <si>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</si>
  <si>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</si>
  <si>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</si>
  <si>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</si>
  <si>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</si>
  <si>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</si>
  <si>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</si>
  <si>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</si>
  <si>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</si>
  <si>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</si>
  <si>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</si>
  <si>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</si>
  <si>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</si>
  <si>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</si>
  <si>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</si>
  <si>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</si>
  <si>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</si>
  <si>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</si>
  <si>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</si>
  <si>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</si>
  <si>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</si>
  <si>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</si>
  <si>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</si>
  <si>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</si>
  <si>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</si>
  <si>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</si>
  <si>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</si>
  <si>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</si>
  <si>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</si>
  <si>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</si>
  <si>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</si>
  <si>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</si>
  <si>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</si>
  <si>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</si>
  <si>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</si>
  <si>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</si>
  <si>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</si>
  <si>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</si>
  <si>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</si>
  <si>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</si>
  <si>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</si>
  <si>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</si>
  <si>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</si>
  <si>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</si>
  <si>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</si>
  <si>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</si>
  <si>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</si>
  <si>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</si>
  <si>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</si>
  <si>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</si>
  <si>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</si>
  <si>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</si>
  <si>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</si>
  <si>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</si>
  <si>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</si>
  <si>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</si>
  <si>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</si>
  <si>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</si>
  <si>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</si>
  <si>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</si>
  <si>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</si>
  <si>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</si>
  <si>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</si>
  <si>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</si>
  <si>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</si>
  <si>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</si>
  <si>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</si>
  <si>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</si>
  <si>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</si>
  <si>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</si>
  <si>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</si>
  <si>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</si>
  <si>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</si>
  <si>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</si>
  <si>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</si>
  <si>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</si>
  <si>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</si>
  <si>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</si>
  <si>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</si>
  <si>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</si>
  <si>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</si>
  <si>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</si>
  <si>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</si>
  <si>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</si>
  <si>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</si>
  <si>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</si>
  <si>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</si>
  <si>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</si>
  <si>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</si>
  <si>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</si>
  <si>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</si>
  <si>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</si>
  <si>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</si>
  <si>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</si>
  <si>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</si>
  <si>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</si>
  <si>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</si>
  <si>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</si>
  <si>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</si>
  <si>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</si>
  <si>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</si>
  <si>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</si>
  <si>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</si>
  <si>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</si>
  <si>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</si>
  <si>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</si>
  <si>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</si>
  <si>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</si>
  <si>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</si>
  <si>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</si>
  <si>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</si>
  <si>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</si>
  <si>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</si>
  <si>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</si>
  <si>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</si>
  <si>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</si>
  <si>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</si>
  <si>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</si>
  <si>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</si>
  <si>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</si>
  <si>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</si>
  <si>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</si>
  <si>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</si>
  <si>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</si>
  <si>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</si>
  <si>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</si>
  <si>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</si>
  <si>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</si>
  <si>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</si>
  <si>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</si>
  <si>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</si>
  <si>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</si>
  <si>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</si>
  <si>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</si>
  <si>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</si>
  <si>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</si>
  <si>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</si>
  <si>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</si>
  <si>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</si>
  <si>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</si>
  <si>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</si>
  <si>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</si>
  <si>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</si>
  <si>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</si>
  <si>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</si>
  <si>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</si>
  <si>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</si>
  <si>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</si>
  <si>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</si>
  <si>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</si>
  <si>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</si>
  <si>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</si>
  <si>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</si>
  <si>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</si>
  <si>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</si>
  <si>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</si>
  <si>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</si>
  <si>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</si>
  <si>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</si>
  <si>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</si>
  <si>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</si>
  <si>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</si>
  <si>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</si>
  <si>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</si>
  <si>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</si>
  <si>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</si>
  <si>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</si>
  <si>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</si>
  <si>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</si>
  <si>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</si>
  <si>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</si>
  <si>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</si>
  <si>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</si>
  <si>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</si>
  <si>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</si>
  <si>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</si>
  <si>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</si>
  <si>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</si>
  <si>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</si>
  <si>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</si>
  <si>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</si>
  <si>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</si>
  <si>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</si>
  <si>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</si>
  <si>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</si>
  <si>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</si>
  <si>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</si>
  <si>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</si>
  <si>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</si>
  <si>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</si>
  <si>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</si>
  <si>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</si>
  <si>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</si>
  <si>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</si>
  <si>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</si>
  <si>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</si>
  <si>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</si>
  <si>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</si>
  <si>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</si>
  <si>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</si>
  <si>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</si>
  <si>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</si>
  <si>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</si>
  <si>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</si>
  <si>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</si>
  <si>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</si>
  <si>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</si>
  <si>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</si>
  <si>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</si>
  <si>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</si>
  <si>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</si>
  <si>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</si>
  <si>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</si>
  <si>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</si>
  <si>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</si>
  <si>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</si>
  <si>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</si>
  <si>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</si>
  <si>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</si>
  <si>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</si>
  <si>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</si>
  <si>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</si>
  <si>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</si>
  <si>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</si>
  <si>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</si>
  <si>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</si>
  <si>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</si>
  <si>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</si>
  <si>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</si>
  <si>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</si>
  <si>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</si>
  <si>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</si>
  <si>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</si>
  <si>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</si>
  <si>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</si>
  <si>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</si>
  <si>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</si>
  <si>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</si>
  <si>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</si>
  <si>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</si>
  <si>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</si>
  <si>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</si>
  <si>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</si>
  <si>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</si>
  <si>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</si>
  <si>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</si>
  <si>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</si>
  <si>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</si>
  <si>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</si>
  <si>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</si>
  <si>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</si>
  <si>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</si>
  <si>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</si>
  <si>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</si>
  <si>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</si>
  <si>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</si>
  <si>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</si>
  <si>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</si>
  <si>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</si>
  <si>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</si>
  <si>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</si>
  <si>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</si>
  <si>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</si>
  <si>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</si>
  <si>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</si>
  <si>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</si>
  <si>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</si>
  <si>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</si>
  <si>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</si>
  <si>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</si>
  <si>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</si>
  <si>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</si>
  <si>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</si>
  <si>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</si>
  <si>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</si>
  <si>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</si>
  <si>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</si>
  <si>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</si>
  <si>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</si>
  <si>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</si>
  <si>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</si>
  <si>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</si>
  <si>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</si>
  <si>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</si>
  <si>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</si>
  <si>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</si>
  <si>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</si>
  <si>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</si>
  <si>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</si>
  <si>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</si>
  <si>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</si>
  <si>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</si>
  <si>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</si>
  <si>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</si>
  <si>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</si>
  <si>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</si>
  <si>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</si>
  <si>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</si>
  <si>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</si>
  <si>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</si>
  <si>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</si>
  <si>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</si>
  <si>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</si>
  <si>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</si>
  <si>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</si>
  <si>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</si>
  <si>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</si>
  <si>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</si>
  <si>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</si>
  <si>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</si>
  <si>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</si>
  <si>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</si>
  <si>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</si>
  <si>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</si>
  <si>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</si>
  <si>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</si>
  <si>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</si>
  <si>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</si>
  <si>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</si>
  <si>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</si>
  <si>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</si>
  <si>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</si>
  <si>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</si>
  <si>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</si>
  <si>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</si>
  <si>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</si>
  <si>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</si>
  <si>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</si>
  <si>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</si>
  <si>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</si>
  <si>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</si>
  <si>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</si>
  <si>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</si>
  <si>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</si>
  <si>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</si>
  <si>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</si>
  <si>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</si>
  <si>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</si>
  <si>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</si>
  <si>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</si>
  <si>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</si>
  <si>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</si>
  <si>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</si>
  <si>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</si>
  <si>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</si>
  <si>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</si>
  <si>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</si>
  <si>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</si>
  <si>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</si>
  <si>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</si>
  <si>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</si>
  <si>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</si>
  <si>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</si>
  <si>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</si>
  <si>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</si>
  <si>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</si>
  <si>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</si>
  <si>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</si>
  <si>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</si>
  <si>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</si>
  <si>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</si>
  <si>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</si>
  <si>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</si>
  <si>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</si>
  <si>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</si>
  <si>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</si>
  <si>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</si>
  <si>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</si>
  <si>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</si>
  <si>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</si>
  <si>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</si>
  <si>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</si>
  <si>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</si>
  <si>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</si>
  <si>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</si>
  <si>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</si>
  <si>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</si>
  <si>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</si>
  <si>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</si>
  <si>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</si>
  <si>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</si>
  <si>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</si>
  <si>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</si>
  <si>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</si>
  <si>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</si>
  <si>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</si>
  <si>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</si>
  <si>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</si>
  <si>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</si>
  <si>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</si>
  <si>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</si>
  <si>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</si>
  <si>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</si>
  <si>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</si>
  <si>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</si>
  <si>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</si>
  <si>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</si>
  <si>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</si>
  <si>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</si>
  <si>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</si>
  <si>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</si>
  <si>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</si>
  <si>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</si>
  <si>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</si>
  <si>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</si>
  <si>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</si>
  <si>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</si>
  <si>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</si>
  <si>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</si>
  <si>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</si>
  <si>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</si>
  <si>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</si>
  <si>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</si>
  <si>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</si>
  <si>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</si>
  <si>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</si>
  <si>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</si>
  <si>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</si>
  <si>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</si>
  <si>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</si>
  <si>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</si>
  <si>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</si>
  <si>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</si>
  <si>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</si>
  <si>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</si>
  <si>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</si>
  <si>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</si>
  <si>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</si>
  <si>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</si>
  <si>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</si>
  <si>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</si>
  <si>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</si>
  <si>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</si>
  <si>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</si>
  <si>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</si>
  <si>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</si>
  <si>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</si>
  <si>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</si>
  <si>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</si>
  <si>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</si>
  <si>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</si>
  <si>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</si>
  <si>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</si>
  <si>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</si>
  <si>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</si>
  <si>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</si>
  <si>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</si>
  <si>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</si>
  <si>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</si>
  <si>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</si>
  <si>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</si>
  <si>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</si>
  <si>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</si>
  <si>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</si>
  <si>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</si>
  <si>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</si>
  <si>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</si>
  <si>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</si>
  <si>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</si>
  <si>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</si>
  <si>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</si>
  <si>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</si>
  <si>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</si>
  <si>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</si>
  <si>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</si>
  <si>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</si>
  <si>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</si>
  <si>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</si>
  <si>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</si>
  <si>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</si>
  <si>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</si>
  <si>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</si>
  <si>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</si>
  <si>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</si>
  <si>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</si>
  <si>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</si>
  <si>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</si>
  <si>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</si>
  <si>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</si>
  <si>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</si>
  <si>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</si>
  <si>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</si>
  <si>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</si>
  <si>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</si>
  <si>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</si>
  <si>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</si>
  <si>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</si>
  <si>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</si>
  <si>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</si>
  <si>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</si>
  <si>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</si>
  <si>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</si>
  <si>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</si>
  <si>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</si>
  <si>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</si>
  <si>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</si>
  <si>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</si>
  <si>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</si>
  <si>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</si>
  <si>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</si>
  <si>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</si>
  <si>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</si>
  <si>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</si>
  <si>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</si>
  <si>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</si>
  <si>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</si>
  <si>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</si>
  <si>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</si>
  <si>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</si>
  <si>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</si>
  <si>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</si>
  <si>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</si>
  <si>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</si>
  <si>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</si>
  <si>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</si>
  <si>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</si>
  <si>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</si>
  <si>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</si>
  <si>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</si>
  <si>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</si>
  <si>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</si>
  <si>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</si>
  <si>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</si>
  <si>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</si>
  <si>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</si>
  <si>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</si>
  <si>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</si>
  <si>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</si>
  <si>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</si>
  <si>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</si>
  <si>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</si>
  <si>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</si>
  <si>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</si>
  <si>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</si>
  <si>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</si>
  <si>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</si>
  <si>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</si>
  <si>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</si>
  <si>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</si>
  <si>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</si>
  <si>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</si>
  <si>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</si>
  <si>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</si>
  <si>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</si>
  <si>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</si>
  <si>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</si>
  <si>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</si>
  <si>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</si>
  <si>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</si>
  <si>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</si>
  <si>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</si>
  <si>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</si>
  <si>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</si>
  <si>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</si>
  <si>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</si>
  <si>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</si>
  <si>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</si>
  <si>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</si>
  <si>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</si>
  <si>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</si>
  <si>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</si>
  <si>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</si>
  <si>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</si>
  <si>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</si>
  <si>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</si>
  <si>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</si>
  <si>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</si>
  <si>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</si>
  <si>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</si>
  <si>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</si>
  <si>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</si>
  <si>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</si>
  <si>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</si>
  <si>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</si>
  <si>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</si>
  <si>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</si>
  <si>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</si>
  <si>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</si>
  <si>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</si>
  <si>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</si>
  <si>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</si>
  <si>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</si>
  <si>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</si>
  <si>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</si>
  <si>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</si>
  <si>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</si>
  <si>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</si>
  <si>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</si>
  <si>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</si>
  <si>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</si>
  <si>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</si>
  <si>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</si>
  <si>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</si>
  <si>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2026-047</t>
  </si>
  <si>
    <t>Felipe da Costa Malaquias</t>
  </si>
  <si>
    <t>26 e 27/10/2026</t>
  </si>
  <si>
    <t>6761/2026</t>
  </si>
  <si>
    <t>Introdução à Engenharia de Prompt - SEE</t>
  </si>
  <si>
    <t>30/06/2026 e 02/07/2026</t>
  </si>
  <si>
    <t>2026-048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</si>
</sst>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15</c:v>
                </c:pt>
                <c:pt idx="1">
                  <c:v>10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437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5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87" zoomScaleNormal="100" workbookViewId="0">
      <pane xSplit="3" topLeftCell="D1" activePane="topRight" state="frozen"/>
      <selection pane="topRight" activeCell="M702" sqref="M702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>SUM(O3:Q3)</f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>SUM(O4:Q4)</f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>SUM(O5:Q5)</f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>SUM(O6:Q6)</f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>SUM(O7:Q7)</f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>SUM(O8:Q8)</f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>SUM(O9:Q9)</f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>SUM(O10:Q10)</f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>SUM(O11:Q11)</f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>SUM(O12:Q12)</f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>SUM(O13:Q13)</f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>SUM(O14:Q14)</f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>SUM(O15:Q15)</f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>SUM(O16:Q16)</f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>SUM(O17:Q17)</f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>SUM(O18:Q18)</f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>SUM(O19:Q19)</f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>SUM(O20:Q20)</f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>SUM(O21:Q21)</f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>SUM(O22:Q22)</f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>SUM(O23:Q23)</f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>SUM(O24:Q24)</f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>SUM(O25:Q25)</f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>SUM(O26:Q26)</f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>SUM(O27:Q27)</f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>SUM(O28:Q28)</f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>SUM(O29:Q29)</f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>SUM(O30:Q30)</f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>SUM(O31:Q31)</f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>SUM(O32:Q32)</f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>SUM(O33:Q33)</f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>SUM(O34:Q34)</f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>SUM(O35:Q35)</f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>SUM(O36:Q36)</f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>SUM(O37:Q37)</f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>SUM(O38:Q38)</f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>SUM(O39:Q39)</f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>SUM(O40:Q40)</f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>SUM(O41:Q41)</f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>SUM(O42:Q42)</f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>SUM(O43:Q43)</f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>SUM(O44:Q44)</f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>SUM(O45:Q45)</f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>SUM(O46:Q46)</f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>SUM(O47:Q47)</f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>SUM(O48:Q48)</f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>SUM(O49:Q49)</f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>SUM(O50:Q50)</f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>SUM(O51:Q51)</f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>SUM(O52:Q52)</f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>SUM(O53:Q53)</f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>SUM(O54:Q54)</f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>SUM(O55:Q55)</f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>SUM(O56:Q56)</f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>SUM(O57:Q57)</f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>SUM(O58:Q58)</f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>SUM(O59:Q59)</f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>SUM(O60:Q60)</f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>SUM(O61:Q61)</f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>SUM(O62:Q62)</f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>SUM(O63:Q63)</f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>SUM(O64:Q64)</f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>SUM(O65:Q65)</f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>SUM(O67:Q67)</f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>SUM(O68:Q68)</f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>SUM(O69:Q69)</f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>SUM(O70:Q70)</f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>SUM(O71:Q71)</f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>SUM(O72:Q72)</f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>SUM(O73:Q73)</f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>SUM(O74:Q74)</f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>SUM(O75:Q75)</f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>SUM(O76:Q76)</f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>SUM(O77:Q77)</f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>SUM(O78:Q78)</f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>SUM(O79:Q79)</f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>SUM(O80:Q80)</f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>SUM(O81:Q81)</f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>SUM(O82:Q82)</f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>SUM(O83:Q83)</f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>SUM(O84:Q84)</f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>SUM(O85:Q85)</f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>SUM(O86:Q86)</f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>SUM(O87:Q87)</f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>SUM(O88:Q88)</f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>SUM(O89:Q89)</f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>SUM(O90:Q90)</f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>SUM(O91:Q91)</f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>SUM(O92:Q92)</f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>SUM(O93:Q93)</f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>SUM(O94:Q94)</f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>SUM(O95:Q95)</f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>SUM(O96:Q96)</f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>SUM(O97:Q97)</f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>SUM(O98:Q98)</f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>SUM(O99:Q99)</f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>SUM(O100:Q100)</f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>SUM(O101:Q101)</f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>SUM(O102:Q102)</f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>SUM(O103:Q103)</f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>SUM(O104:Q104)</f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>SUM(O105:Q105)</f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>SUM(O106:Q106)</f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>SUM(O107:Q107)</f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>SUM(O108:Q108)</f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>SUM(O109:Q109)</f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>SUM(O110:Q110)</f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>SUM(O111:Q111)</f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>SUM(O112:Q112)</f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>SUM(O113:Q113)</f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>SUM(O114:Q114)</f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>SUM(O115:Q115)</f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>SUM(O116:Q116)</f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>SUM(O117:Q117)</f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>SUM(O118:Q118)</f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>SUM(O119:Q119)</f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>SUM(O120:Q120)</f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>SUM(O121:Q121)</f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>SUM(O122:Q122)</f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>SUM(O123:Q123)</f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>SUM(O124:Q124)</f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>SUM(O125:Q125)</f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>SUM(O126:Q126)</f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>SUM(O127:Q127)</f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>SUM(O128:Q128)</f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>SUM(O129:Q129)</f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>SUM(O131:Q131)</f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>SUM(O132:Q132)</f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>SUM(O133:Q133)</f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>SUM(O134:Q134)</f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>SUM(O135:Q135)</f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>SUM(O136:Q136)</f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>SUM(O137:Q137)</f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>SUM(O138:Q138)</f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>SUM(O139:Q139)</f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>SUM(O140:Q140)</f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>SUM(O141:Q141)</f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>SUM(O142:Q142)</f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>SUM(O143:Q143)</f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>SUM(O144:Q144)</f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>SUM(O145:Q145)</f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>SUM(O146:Q146)</f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>SUM(O147:Q147)</f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>SUM(O148:Q148)</f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>SUM(O149:Q149)</f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>SUM(O150:Q150)</f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>SUM(O151:Q151)</f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>SUM(O152:Q152)</f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>SUM(O153:Q153)</f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>SUM(O154:Q154)</f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>SUM(O155:Q155)</f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>SUM(O156:Q156)</f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>SUM(O157:Q157)</f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>SUM(O158:Q158)</f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>SUM(O159:Q159)</f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>SUM(O160:Q160)</f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>SUM(O161:Q161)</f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>SUM(O162:Q162)</f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>SUM(O163:Q163)</f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>SUM(O164:Q164)</f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>SUM(O165:Q165)</f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>SUM(O166:Q166)</f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>SUM(O167:Q167)</f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>SUM(O168:Q168)</f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>SUM(O169:Q169)</f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>SUM(O170:Q170)</f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>SUM(O171:Q171)</f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>SUM(O172:Q172)</f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>SUM(O173:Q173)</f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>SUM(O174:Q174)</f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>SUM(O175:Q175)</f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>SUM(O176:Q176)</f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>SUM(O177:Q177)</f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>SUM(O178:Q178)</f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>SUM(O179:Q179)</f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>SUM(O180:Q180)</f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>SUM(O181:Q181)</f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>SUM(O182:Q182)</f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>SUM(O183:Q183)</f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>SUM(O184:Q184)</f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>SUM(O185:Q185)</f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>SUM(O186:Q186)</f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>SUM(O187:Q187)</f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>SUM(O188:Q188)</f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>SUM(O189:Q189)</f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>SUM(O190:Q190)</f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>SUM(O191:Q191)</f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>SUM(O192:Q192)</f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>SUM(O193:Q193)</f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>SUM(O195:Q195)</f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>SUM(O196:Q196)</f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>SUM(O197:Q197)</f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>SUM(O198:Q198)</f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>SUM(O199:Q199)</f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>SUM(O200:Q200)</f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>SUM(O201:Q201)</f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>SUM(O202:Q202)</f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>SUM(O203:Q203)</f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>SUM(O204:Q204)</f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>SUM(O205:Q205)</f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>SUM(O206:Q206)</f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>SUM(O207:Q207)</f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>SUM(O208:Q208)</f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>SUM(O209:Q209)</f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>SUM(O210:Q210)</f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>SUM(O211:Q211)</f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>SUM(O212:Q212)</f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>SUM(O213:Q213)</f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>SUM(O214:Q214)</f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>SUM(O215:Q215)</f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>SUM(O216:Q216)</f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>SUM(O217:Q217)</f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>SUM(O218:Q218)</f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>SUM(O219:Q219)</f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>SUM(O220:Q220)</f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>SUM(O221:Q221)</f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>SUM(O222:Q222)</f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>SUM(O223:Q223)</f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>SUM(O224:Q224)</f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>SUM(O225:Q225)</f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>SUM(O226:Q226)</f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>SUM(O227:Q227)</f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>SUM(O228:Q228)</f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>SUM(O229:Q229)</f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>SUM(O230:Q230)</f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>SUM(O231:Q231)</f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>SUM(O232:Q232)</f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>SUM(O233:Q233)</f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>SUM(O234:Q234)</f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>SUM(O235:Q235)</f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>SUM(O236:Q236)</f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>SUM(O237:Q237)</f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>SUM(O238:Q238)</f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>SUM(O239:Q239)</f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>SUM(O240:Q240)</f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>SUM(O241:Q241)</f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>SUM(O242:Q242)</f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>SUM(O243:Q243)</f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>SUM(O244:Q244)</f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>SUM(O245:Q245)</f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>SUM(O246:Q246)</f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>SUM(O247:Q247)</f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>SUM(O248:Q248)</f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>SUM(O249:Q249)</f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>SUM(O250:Q250)</f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>SUM(O251:Q251)</f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>SUM(O252:Q252)</f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>SUM(O253:Q253)</f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>SUM(O254:Q254)</f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>SUM(O255:Q255)</f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>SUM(O256:Q256)</f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>SUM(O257:Q257)</f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>SUM(O259:Q259)</f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>SUM(O260:Q260)</f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>SUM(O261:Q261)</f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>SUM(O262:Q262)</f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>SUM(O263:Q263)</f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>SUM(O264:Q264)</f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>SUM(O265:Q265)</f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>SUM(O266:Q266)</f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>SUM(O267:Q267)</f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>SUM(O268:Q268)</f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>SUM(O269:Q269)</f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>SUM(O270:Q270)</f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>SUM(O271:Q271)</f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>SUM(O272:Q272)</f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>SUM(O273:Q273)</f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>SUM(O274:Q274)</f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>SUM(O275:Q275)</f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>SUM(O276:Q276)</f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>SUM(O277:Q277)</f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>SUM(O278:Q278)</f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>SUM(O279:Q279)</f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>SUM(O280:Q280)</f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>SUM(O281:Q281)</f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>SUM(O282:Q282)</f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>SUM(O283:Q283)</f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>SUM(O284:Q284)</f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>SUM(O285:Q285)</f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>SUM(O286:Q286)</f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>SUM(O287:Q287)</f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>SUM(O288:Q288)</f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>SUM(O289:Q289)</f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>SUM(O290:Q290)</f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>SUM(O291:Q291)</f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>SUM(O292:Q292)</f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>SUM(O293:Q293)</f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>SUM(O294:Q294)</f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>SUM(O295:Q295)</f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>SUM(O296:Q296)</f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>SUM(O297:Q297)</f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>SUM(O298:Q298)</f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>SUM(O299:Q299)</f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>SUM(O300:Q300)</f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>SUM(O301:Q301)</f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>SUM(O302:Q302)</f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>SUM(O303:Q303)</f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>SUM(O304:Q304)</f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>SUM(O305:Q305)</f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>SUM(O306:Q306)</f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>SUM(O307:Q307)</f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>SUM(O308:Q308)</f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>SUM(O309:Q309)</f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>SUM(O310:Q310)</f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>SUM(O311:Q311)</f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>SUM(O312:Q312)</f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>SUM(O313:Q313)</f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>SUM(O314:Q314)</f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>SUM(O315:Q315)</f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>SUM(O316:Q316)</f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>SUM(O317:Q317)</f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>SUM(O318:Q318)</f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>SUM(O319:Q319)</f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>SUM(O320:Q320)</f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>SUM(O321:Q321)</f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>SUM(O323:Q323)</f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>SUM(O324:Q324)</f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>SUM(O325:Q325)</f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>SUM(O326:Q326)</f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>SUM(O327:Q327)</f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>SUM(O328:Q328)</f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>SUM(O329:Q329)</f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>SUM(O330:Q330)</f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>SUM(O331:Q331)</f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>SUM(O332:Q332)</f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>SUM(O333:Q333)</f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>SUM(O334:Q334)</f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>SUM(O335:Q335)</f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>SUM(O336:Q336)</f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>SUM(O337:Q337)</f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>SUM(O338:Q338)</f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>SUM(O339:Q339)</f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>SUM(O340:Q340)</f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>SUM(O341:Q341)</f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>SUM(O342:Q342)</f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>SUM(O343:Q343)</f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>SUM(O344:Q344)</f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>SUM(O345:Q345)</f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>SUM(O346:Q346)</f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>SUM(O347:Q347)</f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>SUM(O348:Q348)</f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>SUM(O349:Q349)</f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>SUM(O350:Q350)</f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>SUM(O351:Q351)</f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>SUM(O352:Q352)</f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>SUM(O353:Q353)</f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>SUM(O354:Q354)</f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>SUM(O355:Q355)</f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>SUM(O356:Q356)</f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>SUM(O357:Q357)</f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>SUM(O358:Q358)</f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>SUM(O359:Q359)</f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>SUM(O360:Q360)</f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>SUM(O361:Q361)</f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>SUM(O362:Q362)</f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>SUM(O363:Q363)</f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>SUM(O364:Q364)</f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>SUM(O365:Q365)</f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>SUM(O366:Q366)</f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>SUM(O367:Q367)</f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>SUM(O368:Q368)</f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>SUM(O369:Q369)</f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>SUM(O370:Q370)</f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>SUM(O371:Q371)</f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>SUM(O372:Q372)</f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>SUM(O373:Q373)</f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>SUM(O374:Q374)</f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>SUM(O375:Q375)</f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>SUM(O376:Q376)</f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>SUM(O377:Q377)</f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>SUM(O378:Q378)</f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>SUM(O379:Q379)</f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>SUM(O380:Q380)</f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>SUM(O381:Q381)</f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>SUM(O382:Q382)</f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>SUM(O383:Q383)</f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>SUM(O384:Q384)</f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>SUM(O385:Q385)</f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>SUM(O387:Q387)</f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>SUM(O388:Q388)</f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>SUM(O389:Q389)</f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>SUM(O390:Q390)</f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>SUM(O391:Q391)</f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>SUM(O392:Q392)</f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>SUM(O395:Q395)</f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>SUM(O396:Q396)</f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>SUM(O397:Q397)</f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>SUM(O398:Q398)</f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>SUM(O399:Q399)</f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>SUM(O400:Q400)</f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>SUM(O401:Q401)</f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>SUM(O402:Q402)</f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>SUM(O403:Q403)</f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>SUM(O404:Q404)</f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>SUM(O405:Q405)</f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>SUM(O406:Q406)</f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>SUM(O407:Q407)</f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>SUM(O408:Q408)</f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>SUM(O409:Q409)</f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>SUM(O410:Q410)</f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>SUM(O411:Q411)</f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>SUM(O412:Q412)</f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>SUM(O413:Q413)</f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>SUM(O414:Q414)</f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>SUM(O415:Q415)</f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>SUM(O416:Q416)</f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>SUM(O417:Q417)</f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>SUM(O418:Q418)</f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>SUM(O419:Q419)</f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>SUM(O420:Q420)</f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>SUM(O421:Q421)</f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>SUM(O422:Q422)</f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>SUM(O423:Q423)</f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>SUM(O424:Q424)</f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>SUM(O425:Q425)</f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>SUM(O426:Q426)</f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>SUM(O427:Q427)</f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>SUM(O428:Q428)</f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>SUM(O429:Q429)</f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>SUM(O430:Q430)</f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>SUM(O431:Q431)</f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>SUM(O432:Q432)</f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>SUM(O433:Q433)</f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>SUM(O434:Q434)</f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>SUM(O435:Q435)</f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>SUM(O436:Q436)</f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>SUM(O437:Q437)</f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>SUM(O438:Q438)</f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>SUM(O439:Q439)</f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>SUM(O440:Q440)</f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>SUM(O441:Q441)</f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>SUM(O442:Q442)</f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>SUM(O443:Q443)</f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>SUM(O444:Q444)</f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>SUM(O445:Q445)</f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>SUM(O446:Q446)</f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>SUM(O447:Q447)</f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>SUM(O448:Q448)</f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>SUM(O449:Q449)</f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>SUM(O450:Q450)</f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>SUM(O451:Q451)</f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>SUM(O452:Q452)</f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>SUM(O453:Q453)</f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>SUM(O454:Q454)</f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>SUM(O455:Q455)</f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>SUM(O456:Q456)</f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>SUM(O457:Q457)</f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>SUM(O459:Q459)</f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>SUM(O460:Q460)</f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>SUM(O461:Q461)</f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>SUM(O462:Q462)</f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>SUM(O463:Q463)</f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>SUM(O464:Q464)</f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>SUM(O465:Q465)</f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>SUM(O466:Q466)</f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>SUM(O467:Q467)</f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>SUM(O468:Q468)</f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>SUM(O469:Q469)</f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>SUM(O470:Q470)</f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>SUM(O471:Q471)</f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>SUM(O472:Q472)</f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>SUM(O473:Q473)</f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>SUM(O474:Q474)</f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>SUM(O475:Q475)</f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>SUM(O476:Q476)</f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>SUM(O477:Q477)</f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>SUM(O478:Q478)</f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>SUM(O479:Q479)</f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>SUM(O480:Q480)</f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>SUM(O481:Q481)</f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>SUM(O482:Q482)</f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>SUM(O483:Q483)</f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>SUM(O484:Q484)</f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>SUM(O485:Q485)</f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>SUM(O486:Q486)</f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>SUM(O487:Q487)</f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>SUM(O488:Q488)</f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>SUM(O489:Q489)</f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>SUM(O490:Q490)</f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>SUM(O491:Q491)</f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>SUM(O492:Q492)</f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>SUM(O493:Q493)</f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>SUM(O494:Q494)</f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>SUM(O495:Q495)</f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>SUM(O496:Q496)</f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>SUM(O497:Q497)</f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>SUM(O498:Q498)</f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>SUM(O499:Q499)</f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>SUM(O500:Q500)</f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>SUM(O501:Q501)</f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>SUM(O502:Q502)</f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>SUM(O503:Q503)</f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>SUM(O504:Q504)</f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>SUM(O505:Q505)</f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>SUM(O506:Q506)</f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>SUM(O507:Q507)</f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>SUM(O508:Q508)</f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>SUM(O509:Q509)</f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>SUM(O510:Q510)</f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>SUM(O511:Q511)</f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>SUM(O512:Q512)</f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>SUM(O513:Q513)</f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>SUM(O514:Q514)</f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>SUM(O515:Q515)</f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>SUM(O516:Q516)</f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>SUM(O517:Q517)</f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>SUM(O518:Q518)</f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>SUM(O519:Q519)</f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>SUM(O520:Q520)</f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>SUM(O521:Q521)</f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>SUM(O523:Q523)</f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>SUM(O524:Q524)</f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>SUM(O525:Q525)</f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>SUM(O526:Q526)</f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>SUM(O527:Q527)</f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>SUM(O528:Q528)</f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>SUM(O529:Q529)</f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>SUM(O530:Q530)</f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>SUM(O531:Q531)</f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>SUM(O532:Q532)</f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>SUM(O533:Q533)</f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>SUM(O534:Q534)</f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>SUM(O535:Q535)</f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>SUM(O536:Q536)</f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>SUM(O537:Q537)</f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>SUM(O538:Q538)</f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>SUM(O539:Q539)</f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>SUM(O540:Q540)</f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>SUM(O541:Q541)</f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>SUM(O542:Q542)</f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>SUM(O543:Q543)</f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>SUM(O544:Q544)</f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>SUM(O545:Q545)</f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>SUM(O546:Q546)</f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>SUM(O547:Q547)</f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>SUM(O548:Q548)</f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>SUM(O549:Q549)</f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>SUM(O550:Q550)</f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>SUM(O551:Q551)</f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>SUM(O552:Q552)</f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>SUM(O553:Q553)</f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>SUM(O554:Q554)</f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>SUM(O555:Q555)</f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>SUM(O556:Q556)</f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>SUM(O557:Q557)</f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>SUM(O558:Q558)</f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>SUM(O559:Q559)</f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>SUM(O560:Q560)</f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>SUM(O561:Q561)</f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>SUM(O562:Q562)</f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>SUM(O563:Q563)</f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>SUM(O564:Q564)</f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>SUM(O565:Q565)</f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>SUM(O566:Q566)</f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>SUM(O567:Q567)</f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>SUM(O568:Q568)</f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>SUM(O569:Q569)</f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>SUM(O570:Q570)</f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>SUM(O571:Q571)</f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>SUM(O572:Q572)</f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>SUM(O573:Q573)</f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>SUM(O574:Q574)</f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>SUM(O575:Q575)</f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>SUM(O576:Q576)</f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>SUM(O577:Q577)</f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>SUM(O578:Q578)</f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>SUM(O579:Q579)</f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>SUM(O580:Q580)</f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>SUM(O581:Q581)</f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>SUM(O582:Q582)</f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>SUM(O583:Q583)</f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>SUM(O584:Q584)</f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>SUM(O585:Q585)</f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>SUM(O587:Q587)</f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>SUM(O588:Q588)</f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>SUM(O589:Q589)</f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>SUM(O590:Q590)</f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>SUM(O591:Q591)</f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>SUM(O592:Q592)</f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>SUM(O593:Q593)</f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>SUM(O594:Q594)</f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>SUM(O595:Q595)</f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>SUM(O596:Q596)</f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>SUM(O597:Q597)</f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>SUM(O598:Q598)</f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>SUM(O599:Q599)</f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>SUM(O600:Q600)</f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>SUM(O601:Q601)</f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>SUM(O602:Q602)</f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>SUM(O603:Q603)</f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>SUM(O604:Q604)</f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>SUM(O605:Q605)</f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>SUM(O606:Q606)</f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>SUM(O607:Q607)</f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>SUM(O608:Q608)</f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>SUM(O609:Q609)</f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>SUM(O610:Q610)</f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>SUM(O611:Q611)</f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>SUM(O612:Q612)</f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>SUM(O613:Q613)</f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>SUM(O614:Q614)</f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>SUM(O615:Q615)</f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>SUM(O616:Q616)</f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>SUM(O617:Q617)</f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>SUM(O618:Q618)</f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>SUM(O619:Q619)</f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>SUM(O620:Q620)</f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>SUM(O621:Q621)</f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>SUM(O622:Q622)</f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>SUM(O623:Q623)</f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>SUM(O624:Q624)</f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>SUM(O625:Q625)</f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>SUM(O626:Q626)</f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>SUM(O627:Q627)</f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>SUM(O628:Q628)</f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>SUM(O629:Q629)</f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>SUM(O630:Q630)</f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>SUM(O631:Q631)</f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>SUM(O632:Q632)</f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>SUM(O633:Q633)</f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>SUM(O634:Q634)</f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>SUM(O635:Q635)</f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>SUM(O636:Q636)</f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>SUM(O637:Q637)</f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>SUM(O638:Q638)</f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>SUM(O639:Q639)</f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>SUM(O640:Q640)</f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>SUM(O643:Q643)</f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>SUM(O644:Q644)</f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>SUM(O645:Q645)</f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>SUM(O646:Q646)</f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>SUM(O647:Q647)</f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>SUM(O648:Q648)</f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>SUM(O649:Q649)</f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2748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>SUM(O663:Q663)</f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>SUM(O664:Q664)</f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>SUM(O665:Q665)</f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>SUM(O666:Q666)</f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>SUM(O667:Q667)</f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>SUM(O668:Q668)</f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>SUM(O672:Q672)</f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>SUM(O673:Q673)</f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>SUM(O674:Q674)</f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>SUM(O675:Q675)</f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>SUM(O676:Q676)</f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>SUM(O677:Q677)</f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>SUM(O678:Q678)</f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>SUM(O679:Q679)</f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2767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>SUM(O680:Q680)</f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>SUM(O682:Q682)</f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>SUM(O683:Q683)</f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>SUM(O684:Q684)</f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2960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0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2773</v>
      </c>
      <c r="E686" s="240" t="s">
        <v>2774</v>
      </c>
      <c r="F686" s="221" t="s">
        <v>23</v>
      </c>
      <c r="G686" s="218" t="s">
        <v>67</v>
      </c>
      <c r="H686" s="222" t="s">
        <v>2775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0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2776</v>
      </c>
      <c r="E687" s="211" t="s">
        <v>2777</v>
      </c>
      <c r="F687" s="212" t="s">
        <v>23</v>
      </c>
      <c r="G687" s="209" t="s">
        <v>67</v>
      </c>
      <c r="H687" s="213" t="s">
        <v>2778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0"/>
        <v>0</v>
      </c>
      <c r="S687" s="210">
        <v>25</v>
      </c>
      <c r="T687" t="s">
        <v>2779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2780</v>
      </c>
      <c r="E688" s="240" t="s">
        <v>2781</v>
      </c>
      <c r="F688" s="221" t="s">
        <v>80</v>
      </c>
      <c r="G688" s="218" t="s">
        <v>2725</v>
      </c>
      <c r="H688" s="222" t="s">
        <v>2782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0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2783</v>
      </c>
      <c r="E689" s="245" t="s">
        <v>2784</v>
      </c>
      <c r="F689" s="212" t="s">
        <v>23</v>
      </c>
      <c r="G689" s="209" t="s">
        <v>2709</v>
      </c>
      <c r="H689" s="247" t="s">
        <v>2785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0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2783</v>
      </c>
      <c r="E690" s="246" t="s">
        <v>2786</v>
      </c>
      <c r="F690" s="221" t="s">
        <v>23</v>
      </c>
      <c r="G690" s="218" t="s">
        <v>2709</v>
      </c>
      <c r="H690" s="248" t="s">
        <v>2787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0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2788</v>
      </c>
      <c r="E691" s="245" t="s">
        <v>2667</v>
      </c>
      <c r="F691" s="212" t="s">
        <v>23</v>
      </c>
      <c r="G691" s="209" t="s">
        <v>37</v>
      </c>
      <c r="H691" s="213" t="s">
        <v>2789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0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2790</v>
      </c>
      <c r="E692" s="246" t="s">
        <v>2791</v>
      </c>
      <c r="F692" s="221" t="s">
        <v>23</v>
      </c>
      <c r="G692" s="218" t="s">
        <v>363</v>
      </c>
      <c r="H692" s="222" t="s">
        <v>2792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0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2793</v>
      </c>
      <c r="E693" s="245" t="s">
        <v>2794</v>
      </c>
      <c r="F693" s="212" t="s">
        <v>23</v>
      </c>
      <c r="G693" s="209" t="s">
        <v>24</v>
      </c>
      <c r="H693" s="213" t="s">
        <v>2795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0"/>
        <v>30</v>
      </c>
      <c r="S693" s="210">
        <v>12</v>
      </c>
      <c r="T693" s="209" t="s">
        <v>2796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2797</v>
      </c>
      <c r="E694" s="220" t="s">
        <v>2798</v>
      </c>
      <c r="F694" s="221" t="s">
        <v>61</v>
      </c>
      <c r="G694" s="218" t="s">
        <v>2688</v>
      </c>
      <c r="H694" s="222" t="s">
        <v>2799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0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2800</v>
      </c>
      <c r="E695" s="211" t="s">
        <v>2801</v>
      </c>
      <c r="F695" s="212" t="s">
        <v>80</v>
      </c>
      <c r="G695" s="261" t="s">
        <v>2725</v>
      </c>
      <c r="H695" s="213" t="s">
        <v>2802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0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2803</v>
      </c>
      <c r="E696" s="220" t="s">
        <v>2804</v>
      </c>
      <c r="F696" s="221" t="s">
        <v>80</v>
      </c>
      <c r="G696" s="270" t="s">
        <v>2725</v>
      </c>
      <c r="H696" s="222" t="s">
        <v>2805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0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2806</v>
      </c>
      <c r="E697" s="211" t="s">
        <v>2807</v>
      </c>
      <c r="F697" s="212" t="s">
        <v>80</v>
      </c>
      <c r="G697" s="261" t="s">
        <v>2725</v>
      </c>
      <c r="H697" s="213" t="s">
        <v>2808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0"/>
        <v>50</v>
      </c>
      <c r="S697" s="210">
        <v>3</v>
      </c>
      <c r="T697" s="209" t="s">
        <v>2809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2810</v>
      </c>
      <c r="E698" s="220" t="s">
        <v>2811</v>
      </c>
      <c r="F698" s="221" t="s">
        <v>23</v>
      </c>
      <c r="G698" s="218" t="s">
        <v>24</v>
      </c>
      <c r="H698" s="222" t="s">
        <v>2799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0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2812</v>
      </c>
      <c r="E699" s="211" t="s">
        <v>2813</v>
      </c>
      <c r="F699" s="212" t="s">
        <v>23</v>
      </c>
      <c r="G699" s="209" t="s">
        <v>67</v>
      </c>
      <c r="H699" s="213" t="s">
        <v>2814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0"/>
        <v>0</v>
      </c>
      <c r="S699" s="210">
        <v>10</v>
      </c>
      <c r="T699" s="209" t="s">
        <v>2815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2816</v>
      </c>
      <c r="E700" s="220" t="s">
        <v>2817</v>
      </c>
      <c r="F700" s="221" t="s">
        <v>61</v>
      </c>
      <c r="G700" s="218" t="s">
        <v>71</v>
      </c>
      <c r="H700" s="222" t="s">
        <v>2818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0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2819</v>
      </c>
      <c r="E701" s="211" t="s">
        <v>2820</v>
      </c>
      <c r="F701" s="212" t="s">
        <v>61</v>
      </c>
      <c r="G701" s="209" t="s">
        <v>71</v>
      </c>
      <c r="H701" s="213" t="s">
        <v>2952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0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2821</v>
      </c>
      <c r="E702" s="220" t="s">
        <v>2822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>
        <v>9746.07</v>
      </c>
      <c r="M702" s="215"/>
      <c r="N702" s="226">
        <v>20</v>
      </c>
      <c r="O702" s="225">
        <v>20</v>
      </c>
      <c r="P702" s="225">
        <v>0</v>
      </c>
      <c r="Q702" s="225">
        <v>0</v>
      </c>
      <c r="R702" s="225">
        <f t="shared" si="0"/>
        <v>20</v>
      </c>
      <c r="S702" s="219">
        <v>12</v>
      </c>
      <c r="T702" s="218" t="s">
        <v>2823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2756</v>
      </c>
      <c r="D703" s="210" t="s">
        <v>2953</v>
      </c>
      <c r="E703" s="211" t="s">
        <v>2954</v>
      </c>
      <c r="F703" s="212" t="s">
        <v>61</v>
      </c>
      <c r="G703" s="209" t="s">
        <v>71</v>
      </c>
      <c r="H703" s="213" t="s">
        <v>2799</v>
      </c>
      <c r="I703" s="213" t="s">
        <v>2955</v>
      </c>
      <c r="J703" s="213" t="s">
        <v>2956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0"/>
        <v>0</v>
      </c>
      <c r="S703" s="210">
        <v>17.45</v>
      </c>
      <c r="T703" s="209" t="s">
        <v>2957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2756</v>
      </c>
      <c r="D704" s="219" t="s">
        <v>2961</v>
      </c>
      <c r="E704" s="220" t="s">
        <v>2962</v>
      </c>
      <c r="F704" s="221" t="s">
        <v>61</v>
      </c>
      <c r="G704" s="218" t="s">
        <v>71</v>
      </c>
      <c r="H704" s="222" t="s">
        <v>2963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0"/>
        <v>0</v>
      </c>
      <c r="S704" s="219">
        <v>8</v>
      </c>
      <c r="T704" s="104" t="s">
        <v>2729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0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0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0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0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0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0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0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0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0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0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0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0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0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0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0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0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0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0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0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0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0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0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0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0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0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0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0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0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0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0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0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0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0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0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0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0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0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0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0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0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0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0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0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62" activePane="bottomLeft" state="frozen"/>
      <selection pane="bottomLeft" activeCell="I64" sqref="I6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2824</v>
      </c>
      <c r="C1" s="96" t="s">
        <v>2825</v>
      </c>
      <c r="D1" s="96" t="s">
        <v>4</v>
      </c>
      <c r="E1" s="96" t="s">
        <v>2826</v>
      </c>
      <c r="F1" s="96" t="s">
        <v>19</v>
      </c>
      <c r="G1" s="96" t="s">
        <v>2827</v>
      </c>
      <c r="H1" s="96" t="s">
        <v>2828</v>
      </c>
      <c r="I1" s="96" t="s">
        <v>2829</v>
      </c>
      <c r="J1" s="96" t="s">
        <v>2830</v>
      </c>
      <c r="L1" s="129" t="s">
        <v>2831</v>
      </c>
      <c r="M1" s="100">
        <v>2026</v>
      </c>
      <c r="U1" s="162" t="s">
        <v>2832</v>
      </c>
      <c r="V1" s="161"/>
      <c r="X1" s="159" t="s">
        <v>2833</v>
      </c>
      <c r="Y1" s="107"/>
      <c r="Z1" s="107"/>
      <c r="AA1" s="107"/>
      <c r="AC1" s="254" t="s">
        <v>2834</v>
      </c>
    </row>
    <row r="2" spans="1:31" x14ac:dyDescent="0.25">
      <c r="A2" s="98" cm="1">
        <f t="array" ref="A2:J7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2824</v>
      </c>
      <c r="Y2" s="160" t="s">
        <v>19</v>
      </c>
      <c r="Z2" s="160" t="s">
        <v>2835</v>
      </c>
      <c r="AA2" s="160" t="s">
        <v>2836</v>
      </c>
      <c r="AC2" s="255" t="s">
        <v>1</v>
      </c>
      <c r="AD2" s="255" t="s">
        <v>2837</v>
      </c>
      <c r="AE2" s="255" t="s">
        <v>2838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2839</v>
      </c>
      <c r="M3" s="19" t="s">
        <v>2840</v>
      </c>
      <c r="N3" s="19" t="s">
        <v>2841</v>
      </c>
      <c r="O3" s="19" t="s">
        <v>2842</v>
      </c>
      <c r="P3" s="19" t="s">
        <v>2843</v>
      </c>
      <c r="Q3" s="19" t="s">
        <v>2844</v>
      </c>
      <c r="R3" s="19" t="s">
        <v>2845</v>
      </c>
      <c r="S3" s="19" t="s">
        <v>2846</v>
      </c>
      <c r="T3" s="19" t="s">
        <v>2847</v>
      </c>
      <c r="X3" t="s">
        <v>2848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2849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2850</v>
      </c>
      <c r="Y5" t="s">
        <v>2711</v>
      </c>
      <c r="Z5">
        <v>1</v>
      </c>
      <c r="AA5">
        <v>0.6</v>
      </c>
      <c r="AC5" s="249">
        <v>2026</v>
      </c>
      <c r="AD5" s="95" t="s">
        <v>2851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2850</v>
      </c>
      <c r="Y6" t="s">
        <v>2852</v>
      </c>
      <c r="Z6">
        <v>1</v>
      </c>
      <c r="AA6">
        <v>0</v>
      </c>
      <c r="AC6" s="249">
        <v>2026</v>
      </c>
      <c r="AD6" s="95" t="s">
        <v>2853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2854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2855</v>
      </c>
      <c r="Y11" s="95" t="s">
        <v>2856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2855</v>
      </c>
      <c r="Y12" s="95" t="s">
        <v>2857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2858</v>
      </c>
      <c r="Y16" s="95" t="s">
        <v>2856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2858</v>
      </c>
      <c r="Y17" s="95" t="s">
        <v>2857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2859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2859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2859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2859</v>
      </c>
      <c r="Y21" s="95" t="s">
        <v>2856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2859</v>
      </c>
      <c r="Y22" s="95" t="s">
        <v>2857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2860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2860</v>
      </c>
      <c r="Y24" s="95" t="s">
        <v>2852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2861</v>
      </c>
      <c r="Y26" s="95" t="s">
        <v>2862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2863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2863</v>
      </c>
      <c r="Y28" s="95" t="s">
        <v>2852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2864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2864</v>
      </c>
      <c r="Y30" s="95" t="s">
        <v>2852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2866</v>
      </c>
      <c r="Y33" t="s">
        <v>2867</v>
      </c>
      <c r="Z33">
        <v>4</v>
      </c>
      <c r="AA33">
        <v>0.6</v>
      </c>
      <c r="AC33" s="251"/>
      <c r="AD33" s="252" t="s">
        <v>2868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2866</v>
      </c>
      <c r="Y34" t="s">
        <v>2869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2871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72</v>
      </c>
      <c r="T40">
        <v>70</v>
      </c>
      <c r="X40" t="s">
        <v>2872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72</v>
      </c>
      <c r="X41" t="s">
        <v>2958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2958</v>
      </c>
      <c r="Y42" t="s">
        <v>2959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2964</v>
      </c>
      <c r="Y43" s="95" t="s">
        <v>2711</v>
      </c>
      <c r="AA43">
        <v>2.4</v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2964</v>
      </c>
      <c r="Y44" s="95" t="s">
        <v>2852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Realizado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Realizado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Realizado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17.45</v>
      </c>
      <c r="F70" t="str">
        <v>Flávio José Fonseca de Souza</v>
      </c>
      <c r="G70">
        <v>2</v>
      </c>
      <c r="H70">
        <v>0</v>
      </c>
      <c r="I70">
        <v>34.9</v>
      </c>
      <c r="J70">
        <v>34.9</v>
      </c>
      <c r="R70" t="str">
        <v/>
      </c>
      <c r="S70" t="str">
        <v/>
      </c>
    </row>
    <row r="71" spans="1:19" x14ac:dyDescent="0.25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17.45</v>
      </c>
      <c r="F71" t="str">
        <v>Felipe da Costa Malaquias</v>
      </c>
      <c r="G71">
        <v>2</v>
      </c>
      <c r="H71">
        <v>0</v>
      </c>
      <c r="I71">
        <v>34.9</v>
      </c>
      <c r="J71">
        <v>34.9</v>
      </c>
      <c r="R71" t="str">
        <v/>
      </c>
      <c r="S71" t="str">
        <v/>
      </c>
    </row>
    <row r="72" spans="1:19" x14ac:dyDescent="0.25">
      <c r="A72">
        <v>2026</v>
      </c>
      <c r="B72" t="str">
        <v>2026-048</v>
      </c>
      <c r="C72" t="str">
        <v>A realizar</v>
      </c>
      <c r="D72" t="str">
        <v>Introdução à Engenharia de Prompt - SEE</v>
      </c>
      <c r="E72">
        <v>8</v>
      </c>
      <c r="F72" t="str">
        <v>Arthur Wú</v>
      </c>
      <c r="G72">
        <v>2</v>
      </c>
      <c r="H72">
        <v>8</v>
      </c>
      <c r="I72">
        <v>2.4</v>
      </c>
      <c r="J72">
        <v>10.4</v>
      </c>
      <c r="R72" t="str">
        <v/>
      </c>
      <c r="S72" t="str">
        <v/>
      </c>
    </row>
    <row r="73" spans="1:19" x14ac:dyDescent="0.25">
      <c r="A73">
        <v>2026</v>
      </c>
      <c r="B73" t="str">
        <v>2026-048</v>
      </c>
      <c r="C73" t="str">
        <v>A realizar</v>
      </c>
      <c r="D73" t="str">
        <v>Introdução à Engenharia de Prompt - SEE</v>
      </c>
      <c r="E73">
        <v>8</v>
      </c>
      <c r="F73" t="str">
        <v>Gustavo Takahashi</v>
      </c>
      <c r="G73">
        <v>2</v>
      </c>
      <c r="H73">
        <v>8</v>
      </c>
      <c r="I73">
        <v>0</v>
      </c>
      <c r="J73">
        <v>8</v>
      </c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2873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2874</v>
      </c>
      <c r="B4" s="282"/>
      <c r="D4" s="283" t="s">
        <v>2875</v>
      </c>
      <c r="E4" s="284"/>
      <c r="G4" s="125" t="s">
        <v>2876</v>
      </c>
    </row>
    <row r="5" spans="1:7" ht="54.95" customHeight="1" thickBot="1" x14ac:dyDescent="0.75">
      <c r="A5" s="115">
        <f>COUNTIF('Ações InCompany'!B:B,2026)</f>
        <v>48</v>
      </c>
      <c r="B5" s="116" t="s">
        <v>2877</v>
      </c>
      <c r="D5" s="123">
        <f>COUNTIFS('Ações InCompany'!B:B,2026,'Ações InCompany'!C:C,"Realizado")</f>
        <v>30</v>
      </c>
      <c r="E5" s="124" t="s">
        <v>2877</v>
      </c>
      <c r="G5" s="126">
        <f>COUNTIFS('Ações InCompany'!B:B,2026,'Ações InCompany'!C:C,"A realizar")</f>
        <v>13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2878</v>
      </c>
      <c r="B8" s="278"/>
      <c r="D8" s="278" t="s">
        <v>2879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2880</v>
      </c>
      <c r="D10" s="108" t="s">
        <v>2881</v>
      </c>
      <c r="E10" s="108" t="s">
        <v>2882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15</v>
      </c>
      <c r="D11" s="109" t="s">
        <v>2883</v>
      </c>
      <c r="E11" s="110">
        <f>SUMIFS('Ações InCompany'!O:O,'Ações InCompany'!B:B,2026,'Ações InCompany'!C:C,"Realizado")</f>
        <v>437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10</v>
      </c>
      <c r="D12" s="111" t="s">
        <v>2884</v>
      </c>
      <c r="E12" s="112">
        <f>SUMIFS('Ações InCompany'!P:P,'Ações InCompany'!B:B,2026,'Ações InCompany'!C:C,"Realizado")</f>
        <v>447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2885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2886</v>
      </c>
      <c r="B14" s="114">
        <f>SUM(B11:B13)</f>
        <v>30</v>
      </c>
      <c r="D14" s="113" t="s">
        <v>2887</v>
      </c>
      <c r="E14" s="114">
        <f>SUM(E11:E13)</f>
        <v>1254</v>
      </c>
    </row>
    <row r="30" spans="1:5" ht="17.25" x14ac:dyDescent="0.3">
      <c r="A30" s="278" t="s">
        <v>2888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2889</v>
      </c>
      <c r="C32" s="108" t="s">
        <v>2890</v>
      </c>
      <c r="D32" s="108" t="s">
        <v>2891</v>
      </c>
      <c r="E32" s="108" t="s">
        <v>2892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0.2558139534883721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6.9767441860465115E-2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0.11627906976744186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2.3255813953488372E-2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4.6511627906976744E-2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0.16279069767441862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9.3023255813953487E-2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2.3255813953488372E-2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5</v>
      </c>
      <c r="C41" s="152">
        <f>COUNTIFS('Ações InCompany'!B:B,2026,'Ações InCompany'!C:C,"A realizar",'Ações InCompany'!G:G,A41)</f>
        <v>2</v>
      </c>
      <c r="D41" s="151">
        <f>B41+C41</f>
        <v>7</v>
      </c>
      <c r="E41" s="157">
        <f>D41/$D$45</f>
        <v>0.16279069767441862</v>
      </c>
    </row>
    <row r="42" spans="1:5" ht="24" customHeight="1" x14ac:dyDescent="0.25">
      <c r="A42" s="156" t="s">
        <v>2893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4.6511627906976744E-2</v>
      </c>
    </row>
    <row r="44" spans="1:5" ht="24" customHeight="1" x14ac:dyDescent="0.25">
      <c r="A44" s="148" t="s">
        <v>2894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2886</v>
      </c>
      <c r="B45" s="121">
        <f>SUM(B33:B44)</f>
        <v>30</v>
      </c>
      <c r="C45" s="121">
        <f>SUM(C33:C44)</f>
        <v>13</v>
      </c>
      <c r="D45" s="121">
        <f>SUM(D33:D44)</f>
        <v>43</v>
      </c>
      <c r="E45" s="122">
        <f>SUM(E33:E44)</f>
        <v>1.0000000000000002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2900</v>
      </c>
      <c r="B2" s="12" t="s">
        <v>2901</v>
      </c>
      <c r="C2" s="12" t="s">
        <v>1728</v>
      </c>
      <c r="D2" s="12" t="s">
        <v>2902</v>
      </c>
      <c r="E2" s="12" t="s">
        <v>2903</v>
      </c>
    </row>
    <row r="3" spans="1:5" ht="18" customHeight="1" x14ac:dyDescent="0.25">
      <c r="A3" s="12" t="s">
        <v>2900</v>
      </c>
      <c r="B3" s="12" t="s">
        <v>2901</v>
      </c>
      <c r="C3" s="14" t="s">
        <v>24</v>
      </c>
      <c r="D3" s="12" t="s">
        <v>2904</v>
      </c>
      <c r="E3" s="12" t="s">
        <v>2905</v>
      </c>
    </row>
    <row r="4" spans="1:5" ht="18" customHeight="1" x14ac:dyDescent="0.25">
      <c r="A4" s="12" t="s">
        <v>2900</v>
      </c>
      <c r="B4" s="12" t="s">
        <v>2901</v>
      </c>
      <c r="C4" s="12" t="s">
        <v>67</v>
      </c>
      <c r="D4" s="12" t="s">
        <v>2902</v>
      </c>
      <c r="E4" s="12" t="s">
        <v>2906</v>
      </c>
    </row>
    <row r="5" spans="1:5" ht="18" customHeight="1" x14ac:dyDescent="0.25">
      <c r="A5" s="12" t="s">
        <v>2900</v>
      </c>
      <c r="B5" s="12" t="s">
        <v>2901</v>
      </c>
      <c r="C5" s="12" t="s">
        <v>71</v>
      </c>
      <c r="D5" s="12" t="s">
        <v>2907</v>
      </c>
      <c r="E5" s="12" t="s">
        <v>2908</v>
      </c>
    </row>
    <row r="6" spans="1:5" ht="18" customHeight="1" x14ac:dyDescent="0.25">
      <c r="A6" s="12" t="s">
        <v>2900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2900</v>
      </c>
      <c r="B7" s="12" t="s">
        <v>2911</v>
      </c>
      <c r="C7" s="12" t="s">
        <v>32</v>
      </c>
      <c r="D7" s="12" t="s">
        <v>2912</v>
      </c>
      <c r="E7" s="12" t="s">
        <v>2913</v>
      </c>
    </row>
    <row r="8" spans="1:5" ht="18" customHeight="1" x14ac:dyDescent="0.25">
      <c r="A8" s="12" t="s">
        <v>2900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2900</v>
      </c>
      <c r="B9" s="12" t="s">
        <v>2916</v>
      </c>
      <c r="C9" s="12" t="s">
        <v>456</v>
      </c>
      <c r="D9" s="12" t="s">
        <v>2917</v>
      </c>
      <c r="E9" s="12" t="s">
        <v>2918</v>
      </c>
    </row>
    <row r="10" spans="1:5" ht="18" customHeight="1" x14ac:dyDescent="0.25">
      <c r="A10" s="12" t="s">
        <v>2900</v>
      </c>
      <c r="B10" s="12" t="s">
        <v>2916</v>
      </c>
      <c r="C10" s="12" t="s">
        <v>198</v>
      </c>
      <c r="D10" s="12" t="s">
        <v>23</v>
      </c>
      <c r="E10" s="12" t="s">
        <v>2919</v>
      </c>
    </row>
    <row r="11" spans="1:5" ht="18" customHeight="1" x14ac:dyDescent="0.25">
      <c r="A11" s="12" t="s">
        <v>2900</v>
      </c>
      <c r="B11" s="12" t="s">
        <v>2916</v>
      </c>
      <c r="C11" s="12" t="s">
        <v>363</v>
      </c>
      <c r="D11" s="12" t="s">
        <v>23</v>
      </c>
      <c r="E11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2921</v>
      </c>
      <c r="B1" s="5" t="s">
        <v>10</v>
      </c>
      <c r="C1" s="15" t="s">
        <v>2922</v>
      </c>
      <c r="D1" s="15" t="s">
        <v>2825</v>
      </c>
    </row>
    <row r="2" spans="1:4" ht="21" customHeight="1" x14ac:dyDescent="0.25">
      <c r="A2" s="259" t="s">
        <v>23</v>
      </c>
      <c r="B2" s="259" t="s">
        <v>34</v>
      </c>
      <c r="C2" s="12" t="s">
        <v>2923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2924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2925</v>
      </c>
      <c r="B2" s="12" t="s">
        <v>2901</v>
      </c>
      <c r="C2" s="14" t="s">
        <v>24</v>
      </c>
      <c r="D2" s="12" t="s">
        <v>2902</v>
      </c>
      <c r="E2" s="18" t="s">
        <v>2926</v>
      </c>
    </row>
    <row r="3" spans="1:5" ht="18" customHeight="1" x14ac:dyDescent="0.25">
      <c r="A3" s="12" t="s">
        <v>2925</v>
      </c>
      <c r="B3" s="12" t="s">
        <v>2901</v>
      </c>
      <c r="C3" s="12" t="s">
        <v>67</v>
      </c>
      <c r="D3" s="12" t="s">
        <v>2904</v>
      </c>
      <c r="E3" s="12" t="s">
        <v>2927</v>
      </c>
    </row>
    <row r="4" spans="1:5" ht="18" customHeight="1" x14ac:dyDescent="0.25">
      <c r="A4" s="12" t="s">
        <v>2925</v>
      </c>
      <c r="B4" s="12" t="s">
        <v>2901</v>
      </c>
      <c r="C4" s="12" t="s">
        <v>71</v>
      </c>
      <c r="D4" s="12" t="s">
        <v>2907</v>
      </c>
      <c r="E4" s="12" t="s">
        <v>2928</v>
      </c>
    </row>
    <row r="5" spans="1:5" ht="27.75" customHeight="1" x14ac:dyDescent="0.25">
      <c r="A5" s="12" t="s">
        <v>2925</v>
      </c>
      <c r="B5" s="12" t="s">
        <v>2901</v>
      </c>
      <c r="C5" s="12" t="s">
        <v>2688</v>
      </c>
      <c r="D5" s="18" t="s">
        <v>2929</v>
      </c>
      <c r="E5" s="12" t="s">
        <v>2930</v>
      </c>
    </row>
    <row r="6" spans="1:5" ht="18" customHeight="1" x14ac:dyDescent="0.25">
      <c r="A6" s="12" t="s">
        <v>2925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2925</v>
      </c>
      <c r="B7" s="12" t="s">
        <v>2911</v>
      </c>
      <c r="C7" s="12" t="s">
        <v>2709</v>
      </c>
      <c r="D7" s="12" t="s">
        <v>2931</v>
      </c>
      <c r="E7" s="12" t="s">
        <v>2932</v>
      </c>
    </row>
    <row r="8" spans="1:5" ht="18" customHeight="1" x14ac:dyDescent="0.25">
      <c r="A8" s="12" t="s">
        <v>2925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2925</v>
      </c>
      <c r="B9" s="12" t="s">
        <v>2911</v>
      </c>
      <c r="C9" s="12" t="s">
        <v>2693</v>
      </c>
      <c r="D9" s="12" t="s">
        <v>2933</v>
      </c>
      <c r="E9" s="18" t="s">
        <v>2934</v>
      </c>
    </row>
    <row r="10" spans="1:5" ht="18" customHeight="1" x14ac:dyDescent="0.25">
      <c r="A10" s="12" t="s">
        <v>2925</v>
      </c>
      <c r="B10" s="12" t="s">
        <v>2935</v>
      </c>
      <c r="C10" s="12" t="s">
        <v>2893</v>
      </c>
      <c r="D10" s="12" t="s">
        <v>2936</v>
      </c>
      <c r="E10" s="18" t="s">
        <v>2937</v>
      </c>
    </row>
    <row r="11" spans="1:5" ht="18" customHeight="1" x14ac:dyDescent="0.25">
      <c r="A11" s="12" t="s">
        <v>2925</v>
      </c>
      <c r="B11" s="12" t="s">
        <v>2935</v>
      </c>
      <c r="C11" s="12" t="s">
        <v>198</v>
      </c>
      <c r="D11" s="12" t="s">
        <v>23</v>
      </c>
      <c r="E11" s="12" t="s">
        <v>2919</v>
      </c>
    </row>
    <row r="12" spans="1:5" ht="18" customHeight="1" x14ac:dyDescent="0.25">
      <c r="A12" s="12" t="s">
        <v>2925</v>
      </c>
      <c r="B12" s="12" t="s">
        <v>2935</v>
      </c>
      <c r="C12" s="12" t="s">
        <v>363</v>
      </c>
      <c r="D12" s="12" t="s">
        <v>23</v>
      </c>
      <c r="E12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0" sqref="A10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2938</v>
      </c>
      <c r="B1" s="285"/>
      <c r="C1" s="285"/>
      <c r="D1" s="285"/>
      <c r="E1" s="285"/>
      <c r="F1" s="285"/>
    </row>
    <row r="2" spans="1:7" x14ac:dyDescent="0.25">
      <c r="A2" s="286" t="s">
        <v>2939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2828</v>
      </c>
      <c r="C4" s="102" t="s">
        <v>2829</v>
      </c>
      <c r="D4" s="102" t="s">
        <v>2940</v>
      </c>
      <c r="E4" s="102" t="s">
        <v>2830</v>
      </c>
      <c r="F4" s="102" t="s">
        <v>2941</v>
      </c>
    </row>
    <row r="5" spans="1:7" x14ac:dyDescent="0.25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Felipe da Costa Malaquias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34.9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34.9</v>
      </c>
      <c r="F15" s="101">
        <f>IF($A15="","",COUNTIFS('GECC 2026'!F$2:F$200,$A15))</f>
        <v>1</v>
      </c>
    </row>
    <row r="16" spans="1:7" x14ac:dyDescent="0.25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 x14ac:dyDescent="0.25">
      <c r="A17" t="str">
        <v>Flávio José Fonseca de Souza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Gabriel Heller</v>
      </c>
      <c r="B18" s="103">
        <f>IF($A18="","",SUMIFS('GECC 2026'!H$2:H$200,'GECC 2026'!F$2:F$200,$A18))</f>
        <v>4</v>
      </c>
      <c r="C18" s="103">
        <f>IF($A18="","",SUMIFS('GECC 2026'!I$2:I$200,'GECC 2026'!F$2:F$200,$A18))</f>
        <v>33.200000000000003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 x14ac:dyDescent="0.25">
      <c r="A19" t="str">
        <v>Gustavo Takahashi</v>
      </c>
      <c r="B19" s="103">
        <f>IF($A19="","",SUMIFS('GECC 2026'!H$2:H$200,'GECC 2026'!F$2:F$200,$A19))</f>
        <v>33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33</v>
      </c>
      <c r="F19" s="101">
        <f>IF($A19="","",COUNTIFS('GECC 2026'!F$2:F$200,$A19))</f>
        <v>5</v>
      </c>
    </row>
    <row r="20" spans="1:6" x14ac:dyDescent="0.25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 x14ac:dyDescent="0.25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 x14ac:dyDescent="0.25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 x14ac:dyDescent="0.25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 x14ac:dyDescent="0.25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 x14ac:dyDescent="0.25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 x14ac:dyDescent="0.25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 x14ac:dyDescent="0.25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 x14ac:dyDescent="0.25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 x14ac:dyDescent="0.25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 x14ac:dyDescent="0.25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 x14ac:dyDescent="0.25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2887</v>
      </c>
      <c r="B105" s="243">
        <f>SUM(B5:B100)</f>
        <v>568</v>
      </c>
      <c r="C105" s="243">
        <f>SUM(C5:C100)</f>
        <v>380.09999999999997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2943</v>
      </c>
    </row>
    <row r="4" spans="1:8" ht="21.95" customHeight="1" x14ac:dyDescent="0.25">
      <c r="A4" s="288" t="s">
        <v>2944</v>
      </c>
      <c r="B4" s="289"/>
      <c r="D4" s="288" t="s">
        <v>2945</v>
      </c>
      <c r="E4" s="289"/>
      <c r="G4" s="288" t="s">
        <v>2946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2947</v>
      </c>
      <c r="B7" s="143" t="s">
        <v>2948</v>
      </c>
      <c r="C7" s="143" t="s">
        <v>1</v>
      </c>
      <c r="D7" s="143" t="s">
        <v>2949</v>
      </c>
      <c r="E7" s="143" t="s">
        <v>2950</v>
      </c>
      <c r="F7" s="143" t="s">
        <v>2825</v>
      </c>
      <c r="G7" s="143" t="s">
        <v>5</v>
      </c>
      <c r="H7" s="143" t="s">
        <v>2951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2026-06-19T17:23:00Z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