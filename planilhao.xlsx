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59" documentId="13_ncr:1_{C887EC22-7CD1-4717-84BE-7303F42C5C0A}" xr6:coauthVersionLast="47" xr6:coauthVersionMax="47" xr10:uidLastSave="{D84FDA52-54CD-4B4C-BAFF-2CC533F4B806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<sst xmlns="http://schemas.openxmlformats.org/spreadsheetml/2006/main" count="6567" uniqueCount="2976">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</sst>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2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E695" activePane="bottomLeft" state="frozen"/>
      <selection pane="bottomLeft" activeCell="G629" sqref="G629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/>
      </c>
      <c r="B705" s="209"/>
      <c r="C705" s="218"/>
      <c r="D705" s="209"/>
      <c r="E705" s="210"/>
      <c r="F705" s="211"/>
      <c r="G705" s="208"/>
      <c r="H705" s="212"/>
      <c r="I705" s="213"/>
      <c r="J705" s="213"/>
      <c r="K705" s="209"/>
      <c r="L705" s="223"/>
      <c r="M705" s="214"/>
      <c r="N705" s="215"/>
      <c r="O705" s="216"/>
      <c r="P705" s="216"/>
      <c r="Q705" s="216"/>
      <c r="R705" s="216" t="str">
        <f t="shared" si="14"/>
        <v/>
      </c>
      <c r="S705" s="209"/>
      <c r="T705" s="208"/>
    </row>
    <row r="706" spans="1:20" ht="23.25" customHeight="1">
      <c r="A706" s="217" t="str">
        <f>IF(B706="","",B706&amp;"-"&amp;TEXT(COUNTIF(B$2:B706,B706),"000"))</f>
        <v/>
      </c>
      <c r="B706" s="218"/>
      <c r="C706" s="218"/>
      <c r="D706" s="218"/>
      <c r="E706" s="219"/>
      <c r="F706" s="220"/>
      <c r="G706" s="217"/>
      <c r="H706" s="221"/>
      <c r="I706" s="222"/>
      <c r="J706" s="222"/>
      <c r="K706" s="218"/>
      <c r="L706" s="223"/>
      <c r="M706" s="214"/>
      <c r="N706" s="225"/>
      <c r="O706" s="224"/>
      <c r="P706" s="224"/>
      <c r="Q706" s="224"/>
      <c r="R706" s="224" t="str">
        <f t="shared" si="14"/>
        <v/>
      </c>
      <c r="S706" s="218"/>
      <c r="T706" s="217"/>
    </row>
    <row r="707" spans="1:20" ht="23.25" customHeight="1">
      <c r="A707" s="208" t="str">
        <f>IF(B707="","",B707&amp;"-"&amp;TEXT(COUNTIF(B$2:B707,B707),"000"))</f>
        <v/>
      </c>
      <c r="B707" s="209"/>
      <c r="C707" s="218"/>
      <c r="D707" s="209"/>
      <c r="E707" s="210"/>
      <c r="F707" s="211"/>
      <c r="G707" s="208"/>
      <c r="H707" s="212"/>
      <c r="I707" s="213"/>
      <c r="J707" s="213"/>
      <c r="K707" s="209"/>
      <c r="L707" s="223"/>
      <c r="M707" s="214"/>
      <c r="N707" s="215"/>
      <c r="O707" s="216"/>
      <c r="P707" s="216"/>
      <c r="Q707" s="216"/>
      <c r="R707" s="216" t="str">
        <f t="shared" si="14"/>
        <v/>
      </c>
      <c r="S707" s="209"/>
      <c r="T707" s="208"/>
    </row>
    <row r="708" spans="1:20" ht="23.25" customHeight="1">
      <c r="A708" s="217" t="str">
        <f>IF(B708="","",B708&amp;"-"&amp;TEXT(COUNTIF(B$2:B708,B708),"000"))</f>
        <v/>
      </c>
      <c r="B708" s="218"/>
      <c r="C708" s="218"/>
      <c r="D708" s="218"/>
      <c r="E708" s="219"/>
      <c r="F708" s="220"/>
      <c r="G708" s="217"/>
      <c r="H708" s="221"/>
      <c r="I708" s="222"/>
      <c r="J708" s="222"/>
      <c r="K708" s="218"/>
      <c r="L708" s="223"/>
      <c r="M708" s="214"/>
      <c r="N708" s="225"/>
      <c r="O708" s="224"/>
      <c r="P708" s="224"/>
      <c r="Q708" s="224"/>
      <c r="R708" s="224" t="str">
        <f t="shared" si="14"/>
        <v/>
      </c>
      <c r="S708" s="218"/>
      <c r="T708" s="217"/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2836</v>
      </c>
      <c r="C1" s="96" t="s">
        <v>2837</v>
      </c>
      <c r="D1" s="96" t="s">
        <v>4</v>
      </c>
      <c r="E1" s="96" t="s">
        <v>2838</v>
      </c>
      <c r="F1" s="96" t="s">
        <v>19</v>
      </c>
      <c r="G1" s="96" t="s">
        <v>2839</v>
      </c>
      <c r="H1" s="96" t="s">
        <v>2840</v>
      </c>
      <c r="I1" s="96" t="s">
        <v>2841</v>
      </c>
      <c r="J1" s="96" t="s">
        <v>2842</v>
      </c>
      <c r="L1" s="129" t="s">
        <v>2843</v>
      </c>
      <c r="M1" s="100">
        <v>2026</v>
      </c>
      <c r="U1" s="162" t="s">
        <v>2844</v>
      </c>
      <c r="V1" s="161"/>
      <c r="X1" s="159" t="s">
        <v>2845</v>
      </c>
      <c r="Y1" s="107"/>
      <c r="Z1" s="107"/>
      <c r="AA1" s="107"/>
      <c r="AC1" s="253" t="s">
        <v>2846</v>
      </c>
    </row>
    <row r="2" spans="1:31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2836</v>
      </c>
      <c r="Y2" s="160" t="s">
        <v>19</v>
      </c>
      <c r="Z2" s="160" t="s">
        <v>2847</v>
      </c>
      <c r="AA2" s="160" t="s">
        <v>2848</v>
      </c>
      <c r="AC2" s="254" t="s">
        <v>1</v>
      </c>
      <c r="AD2" s="254" t="s">
        <v>2849</v>
      </c>
      <c r="AE2" s="254" t="s">
        <v>2850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2851</v>
      </c>
      <c r="M3" s="19" t="s">
        <v>2852</v>
      </c>
      <c r="N3" s="19" t="s">
        <v>2853</v>
      </c>
      <c r="O3" s="19" t="s">
        <v>2854</v>
      </c>
      <c r="P3" s="19" t="s">
        <v>2855</v>
      </c>
      <c r="Q3" s="19" t="s">
        <v>2856</v>
      </c>
      <c r="R3" s="19" t="s">
        <v>2857</v>
      </c>
      <c r="S3" s="19" t="s">
        <v>2858</v>
      </c>
      <c r="T3" s="19" t="s">
        <v>2859</v>
      </c>
      <c r="X3" t="s">
        <v>2860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2861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2862</v>
      </c>
      <c r="Y5" t="s">
        <v>2713</v>
      </c>
      <c r="Z5">
        <v>1</v>
      </c>
      <c r="AA5">
        <v>0.6</v>
      </c>
      <c r="AC5" s="248">
        <v>2026</v>
      </c>
      <c r="AD5" s="95" t="s">
        <v>2863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2862</v>
      </c>
      <c r="Y6" t="s">
        <v>2864</v>
      </c>
      <c r="Z6">
        <v>1</v>
      </c>
      <c r="AA6">
        <v>0</v>
      </c>
      <c r="AC6" s="248">
        <v>2026</v>
      </c>
      <c r="AD6" s="95" t="s">
        <v>2865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2866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2867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2867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2867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2867</v>
      </c>
      <c r="Y11" s="95" t="s">
        <v>2868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2867</v>
      </c>
      <c r="Y12" s="95" t="s">
        <v>2869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2870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2870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2870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2870</v>
      </c>
      <c r="Y16" s="95" t="s">
        <v>2868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2870</v>
      </c>
      <c r="Y17" s="95" t="s">
        <v>2869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2871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2871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2871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2871</v>
      </c>
      <c r="Y21" s="95" t="s">
        <v>2868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2871</v>
      </c>
      <c r="Y22" s="95" t="s">
        <v>2869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2872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2872</v>
      </c>
      <c r="Y24" s="95" t="s">
        <v>2864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2873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2873</v>
      </c>
      <c r="Y26" s="95" t="s">
        <v>2874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2875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2875</v>
      </c>
      <c r="Y28" s="95" t="s">
        <v>2864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2876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2876</v>
      </c>
      <c r="Y30" s="95" t="s">
        <v>2864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2877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2878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2878</v>
      </c>
      <c r="Y33" t="s">
        <v>2879</v>
      </c>
      <c r="Z33">
        <v>4</v>
      </c>
      <c r="AA33">
        <v>0.6</v>
      </c>
      <c r="AC33" s="250"/>
      <c r="AD33" s="251" t="s">
        <v>2880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2878</v>
      </c>
      <c r="Y34" t="s">
        <v>2881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2878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2878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2882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2882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2883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2884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2885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2885</v>
      </c>
      <c r="Y42" t="s">
        <v>2886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2887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2887</v>
      </c>
      <c r="Y44" s="95" t="s">
        <v>2864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2888</v>
      </c>
      <c r="Y45" t="s">
        <v>2889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2888</v>
      </c>
      <c r="Y46" t="s">
        <v>2890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2888</v>
      </c>
      <c r="Y47" t="s">
        <v>2891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2888</v>
      </c>
      <c r="Y48" t="s">
        <v>2892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2888</v>
      </c>
      <c r="Y49" t="s">
        <v>2893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2888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2888</v>
      </c>
      <c r="Y51" t="s">
        <v>2894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2888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2888</v>
      </c>
      <c r="Y53" t="s">
        <v>2895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2888</v>
      </c>
      <c r="Y54" t="s">
        <v>2896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R83" t="str">
        <v/>
      </c>
      <c r="S83" t="str">
        <v/>
      </c>
    </row>
    <row r="84" spans="1:19">
      <c r="R84" t="str">
        <v/>
      </c>
      <c r="S84" t="str">
        <v/>
      </c>
    </row>
    <row r="85" spans="1:19">
      <c r="R85" t="str">
        <v/>
      </c>
      <c r="S85" t="str">
        <v/>
      </c>
    </row>
    <row r="86" spans="1:19">
      <c r="R86" t="str">
        <v/>
      </c>
      <c r="S86" t="str">
        <v/>
      </c>
    </row>
    <row r="87" spans="1:19">
      <c r="R87" t="str">
        <v/>
      </c>
      <c r="S87" t="str">
        <v/>
      </c>
    </row>
    <row r="88" spans="1:19">
      <c r="R88" t="str">
        <v/>
      </c>
      <c r="S88" t="str">
        <v/>
      </c>
    </row>
    <row r="89" spans="1:19">
      <c r="R89" t="str">
        <v/>
      </c>
      <c r="S89" t="str">
        <v/>
      </c>
    </row>
    <row r="90" spans="1:19">
      <c r="R90" t="str">
        <v/>
      </c>
      <c r="S90" t="str">
        <v/>
      </c>
    </row>
    <row r="91" spans="1:19">
      <c r="R91" t="str">
        <v/>
      </c>
      <c r="S91" t="str">
        <v/>
      </c>
    </row>
    <row r="92" spans="1:19">
      <c r="R92" t="str">
        <v/>
      </c>
      <c r="S92" t="str">
        <v/>
      </c>
    </row>
    <row r="93" spans="1:19">
      <c r="R93" t="str">
        <v/>
      </c>
      <c r="S93" t="str">
        <v/>
      </c>
    </row>
    <row r="94" spans="1:19">
      <c r="R94" t="str">
        <v/>
      </c>
      <c r="S94" t="str">
        <v/>
      </c>
    </row>
    <row r="95" spans="1:19">
      <c r="R95" t="str">
        <v/>
      </c>
      <c r="S95" t="str">
        <v/>
      </c>
    </row>
    <row r="96" spans="1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2897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2898</v>
      </c>
      <c r="B4" s="280"/>
      <c r="D4" s="281" t="s">
        <v>2899</v>
      </c>
      <c r="E4" s="282"/>
      <c r="G4" s="125" t="s">
        <v>2900</v>
      </c>
    </row>
    <row r="5" spans="1:7" ht="54.95" customHeight="1" thickBot="1">
      <c r="A5" s="115">
        <f>COUNTIF('Ações InCompany'!B:B,2026)</f>
        <v>48</v>
      </c>
      <c r="B5" s="116" t="s">
        <v>2901</v>
      </c>
      <c r="D5" s="123">
        <f>COUNTIFS('Ações InCompany'!B:B,2026,'Ações InCompany'!C:C,"Realizado")</f>
        <v>32</v>
      </c>
      <c r="E5" s="124" t="s">
        <v>2901</v>
      </c>
      <c r="G5" s="126">
        <f>COUNTIFS('Ações InCompany'!B:B,2026,'Ações InCompany'!C:C,"A realizar")</f>
        <v>11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2902</v>
      </c>
      <c r="B8" s="277"/>
      <c r="D8" s="277" t="s">
        <v>2903</v>
      </c>
      <c r="E8" s="277"/>
    </row>
    <row r="9" spans="1:7" ht="5.0999999999999996" customHeight="1">
      <c r="A9" s="289"/>
      <c r="B9" s="289"/>
      <c r="D9" s="289"/>
      <c r="E9" s="289"/>
    </row>
    <row r="10" spans="1:7" ht="24.95" customHeight="1">
      <c r="A10" s="108" t="s">
        <v>5</v>
      </c>
      <c r="B10" s="108" t="s">
        <v>2904</v>
      </c>
      <c r="D10" s="108" t="s">
        <v>2905</v>
      </c>
      <c r="E10" s="108" t="s">
        <v>2906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2907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2908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2909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2910</v>
      </c>
      <c r="B14" s="114">
        <f>SUM(B11:B13)</f>
        <v>32</v>
      </c>
      <c r="D14" s="113" t="s">
        <v>2911</v>
      </c>
      <c r="E14" s="114">
        <f>SUM(E11:E13)</f>
        <v>1278</v>
      </c>
    </row>
    <row r="30" spans="1:5" ht="17.25">
      <c r="A30" s="277" t="s">
        <v>2912</v>
      </c>
      <c r="B30" s="277"/>
      <c r="C30" s="277"/>
      <c r="D30" s="277"/>
      <c r="E30" s="277"/>
    </row>
    <row r="31" spans="1:5" ht="5.0999999999999996" customHeight="1">
      <c r="A31" s="289"/>
      <c r="B31" s="289"/>
      <c r="C31" s="289"/>
      <c r="D31" s="289"/>
      <c r="E31" s="289"/>
    </row>
    <row r="32" spans="1:5" ht="24.95" customHeight="1">
      <c r="A32" s="108" t="s">
        <v>6</v>
      </c>
      <c r="B32" s="108" t="s">
        <v>2913</v>
      </c>
      <c r="C32" s="108" t="s">
        <v>2914</v>
      </c>
      <c r="D32" s="108" t="s">
        <v>2915</v>
      </c>
      <c r="E32" s="108" t="s">
        <v>2916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0.23255813953488372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0.11627906976744186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>
      <c r="A42" s="156" t="s">
        <v>2917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>
      <c r="A44" s="148" t="s">
        <v>2918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2910</v>
      </c>
      <c r="B45" s="121">
        <f>SUM(B33:B44)</f>
        <v>32</v>
      </c>
      <c r="C45" s="121">
        <f>SUM(C33:C44)</f>
        <v>11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2919</v>
      </c>
      <c r="B1" s="12" t="s">
        <v>2920</v>
      </c>
      <c r="C1" s="13" t="s">
        <v>2921</v>
      </c>
      <c r="D1" s="13" t="s">
        <v>2922</v>
      </c>
      <c r="E1" s="13" t="s">
        <v>2923</v>
      </c>
    </row>
    <row r="2" spans="1:5" ht="18" customHeight="1">
      <c r="A2" s="12" t="s">
        <v>2924</v>
      </c>
      <c r="B2" s="12" t="s">
        <v>2925</v>
      </c>
      <c r="C2" s="12" t="s">
        <v>1729</v>
      </c>
      <c r="D2" s="12" t="s">
        <v>2926</v>
      </c>
      <c r="E2" s="12" t="s">
        <v>2927</v>
      </c>
    </row>
    <row r="3" spans="1:5" ht="18" customHeight="1">
      <c r="A3" s="12" t="s">
        <v>2924</v>
      </c>
      <c r="B3" s="12" t="s">
        <v>2925</v>
      </c>
      <c r="C3" s="14" t="s">
        <v>24</v>
      </c>
      <c r="D3" s="12" t="s">
        <v>2928</v>
      </c>
      <c r="E3" s="12" t="s">
        <v>2929</v>
      </c>
    </row>
    <row r="4" spans="1:5" ht="18" customHeight="1">
      <c r="A4" s="12" t="s">
        <v>2924</v>
      </c>
      <c r="B4" s="12" t="s">
        <v>2925</v>
      </c>
      <c r="C4" s="12" t="s">
        <v>68</v>
      </c>
      <c r="D4" s="12" t="s">
        <v>2926</v>
      </c>
      <c r="E4" s="12" t="s">
        <v>2930</v>
      </c>
    </row>
    <row r="5" spans="1:5" ht="18" customHeight="1">
      <c r="A5" s="12" t="s">
        <v>2924</v>
      </c>
      <c r="B5" s="12" t="s">
        <v>2925</v>
      </c>
      <c r="C5" s="12" t="s">
        <v>72</v>
      </c>
      <c r="D5" s="12" t="s">
        <v>2931</v>
      </c>
      <c r="E5" s="12" t="s">
        <v>2932</v>
      </c>
    </row>
    <row r="6" spans="1:5" ht="18" customHeight="1">
      <c r="A6" s="12" t="s">
        <v>2924</v>
      </c>
      <c r="B6" s="12" t="s">
        <v>2925</v>
      </c>
      <c r="C6" s="12" t="s">
        <v>2727</v>
      </c>
      <c r="D6" s="12" t="s">
        <v>2933</v>
      </c>
      <c r="E6" s="12" t="s">
        <v>2934</v>
      </c>
    </row>
    <row r="7" spans="1:5" ht="18" customHeight="1">
      <c r="A7" s="12" t="s">
        <v>2924</v>
      </c>
      <c r="B7" s="12" t="s">
        <v>2935</v>
      </c>
      <c r="C7" s="12" t="s">
        <v>33</v>
      </c>
      <c r="D7" s="12" t="s">
        <v>2936</v>
      </c>
      <c r="E7" s="12" t="s">
        <v>2937</v>
      </c>
    </row>
    <row r="8" spans="1:5" ht="18" customHeight="1">
      <c r="A8" s="12" t="s">
        <v>2924</v>
      </c>
      <c r="B8" s="12" t="s">
        <v>2935</v>
      </c>
      <c r="C8" s="12" t="s">
        <v>38</v>
      </c>
      <c r="D8" s="12" t="s">
        <v>2938</v>
      </c>
      <c r="E8" s="12" t="s">
        <v>2939</v>
      </c>
    </row>
    <row r="9" spans="1:5" ht="18" customHeight="1">
      <c r="A9" s="12" t="s">
        <v>2924</v>
      </c>
      <c r="B9" s="12" t="s">
        <v>2940</v>
      </c>
      <c r="C9" s="12" t="s">
        <v>457</v>
      </c>
      <c r="D9" s="12" t="s">
        <v>2941</v>
      </c>
      <c r="E9" s="12" t="s">
        <v>2942</v>
      </c>
    </row>
    <row r="10" spans="1:5" ht="18" customHeight="1">
      <c r="A10" s="12" t="s">
        <v>2924</v>
      </c>
      <c r="B10" s="12" t="s">
        <v>2940</v>
      </c>
      <c r="C10" s="12" t="s">
        <v>199</v>
      </c>
      <c r="D10" s="12" t="s">
        <v>23</v>
      </c>
      <c r="E10" s="12" t="s">
        <v>2943</v>
      </c>
    </row>
    <row r="11" spans="1:5" ht="18" customHeight="1">
      <c r="A11" s="12" t="s">
        <v>2924</v>
      </c>
      <c r="B11" s="12" t="s">
        <v>2940</v>
      </c>
      <c r="C11" s="12" t="s">
        <v>364</v>
      </c>
      <c r="D11" s="12" t="s">
        <v>23</v>
      </c>
      <c r="E11" s="12" t="s">
        <v>2944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2945</v>
      </c>
      <c r="B1" s="5" t="s">
        <v>10</v>
      </c>
      <c r="C1" s="15" t="s">
        <v>2946</v>
      </c>
      <c r="D1" s="15" t="s">
        <v>2837</v>
      </c>
    </row>
    <row r="2" spans="1:4" ht="21" customHeight="1">
      <c r="A2" s="258" t="s">
        <v>23</v>
      </c>
      <c r="B2" s="258" t="s">
        <v>35</v>
      </c>
      <c r="C2" s="12" t="s">
        <v>2947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2948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2919</v>
      </c>
      <c r="B1" s="12" t="s">
        <v>2920</v>
      </c>
      <c r="C1" s="13" t="s">
        <v>2921</v>
      </c>
      <c r="D1" s="13" t="s">
        <v>2922</v>
      </c>
      <c r="E1" s="13" t="s">
        <v>2923</v>
      </c>
    </row>
    <row r="2" spans="1:5" ht="18" customHeight="1">
      <c r="A2" s="12" t="s">
        <v>2949</v>
      </c>
      <c r="B2" s="12" t="s">
        <v>2925</v>
      </c>
      <c r="C2" s="14" t="s">
        <v>24</v>
      </c>
      <c r="D2" s="12" t="s">
        <v>2926</v>
      </c>
      <c r="E2" s="18" t="s">
        <v>2950</v>
      </c>
    </row>
    <row r="3" spans="1:5" ht="18" customHeight="1">
      <c r="A3" s="12" t="s">
        <v>2949</v>
      </c>
      <c r="B3" s="12" t="s">
        <v>2925</v>
      </c>
      <c r="C3" s="12" t="s">
        <v>68</v>
      </c>
      <c r="D3" s="12" t="s">
        <v>2928</v>
      </c>
      <c r="E3" s="12" t="s">
        <v>2951</v>
      </c>
    </row>
    <row r="4" spans="1:5" ht="18" customHeight="1">
      <c r="A4" s="12" t="s">
        <v>2949</v>
      </c>
      <c r="B4" s="12" t="s">
        <v>2925</v>
      </c>
      <c r="C4" s="12" t="s">
        <v>72</v>
      </c>
      <c r="D4" s="12" t="s">
        <v>2931</v>
      </c>
      <c r="E4" s="12" t="s">
        <v>2952</v>
      </c>
    </row>
    <row r="5" spans="1:5" ht="27.75" customHeight="1">
      <c r="A5" s="12" t="s">
        <v>2949</v>
      </c>
      <c r="B5" s="12" t="s">
        <v>2925</v>
      </c>
      <c r="C5" s="12" t="s">
        <v>2690</v>
      </c>
      <c r="D5" s="18" t="s">
        <v>2953</v>
      </c>
      <c r="E5" s="12" t="s">
        <v>2954</v>
      </c>
    </row>
    <row r="6" spans="1:5" ht="18" customHeight="1">
      <c r="A6" s="12" t="s">
        <v>2949</v>
      </c>
      <c r="B6" s="12" t="s">
        <v>2925</v>
      </c>
      <c r="C6" s="12" t="s">
        <v>2727</v>
      </c>
      <c r="D6" s="12" t="s">
        <v>2933</v>
      </c>
      <c r="E6" s="12" t="s">
        <v>2934</v>
      </c>
    </row>
    <row r="7" spans="1:5" ht="18" customHeight="1">
      <c r="A7" s="12" t="s">
        <v>2949</v>
      </c>
      <c r="B7" s="12" t="s">
        <v>2935</v>
      </c>
      <c r="C7" s="12" t="s">
        <v>2711</v>
      </c>
      <c r="D7" s="12" t="s">
        <v>2955</v>
      </c>
      <c r="E7" s="12" t="s">
        <v>2956</v>
      </c>
    </row>
    <row r="8" spans="1:5" ht="18" customHeight="1">
      <c r="A8" s="12" t="s">
        <v>2949</v>
      </c>
      <c r="B8" s="12" t="s">
        <v>2935</v>
      </c>
      <c r="C8" s="12" t="s">
        <v>38</v>
      </c>
      <c r="D8" s="12" t="s">
        <v>2938</v>
      </c>
      <c r="E8" s="12" t="s">
        <v>2939</v>
      </c>
    </row>
    <row r="9" spans="1:5" ht="18" customHeight="1">
      <c r="A9" s="12" t="s">
        <v>2949</v>
      </c>
      <c r="B9" s="12" t="s">
        <v>2935</v>
      </c>
      <c r="C9" s="12" t="s">
        <v>2695</v>
      </c>
      <c r="D9" s="12" t="s">
        <v>2957</v>
      </c>
      <c r="E9" s="18" t="s">
        <v>2958</v>
      </c>
    </row>
    <row r="10" spans="1:5" ht="18" customHeight="1">
      <c r="A10" s="12" t="s">
        <v>2949</v>
      </c>
      <c r="B10" s="12" t="s">
        <v>2959</v>
      </c>
      <c r="C10" s="12" t="s">
        <v>2917</v>
      </c>
      <c r="D10" s="12" t="s">
        <v>2960</v>
      </c>
      <c r="E10" s="18" t="s">
        <v>2961</v>
      </c>
    </row>
    <row r="11" spans="1:5" ht="18" customHeight="1">
      <c r="A11" s="12" t="s">
        <v>2949</v>
      </c>
      <c r="B11" s="12" t="s">
        <v>2959</v>
      </c>
      <c r="C11" s="12" t="s">
        <v>199</v>
      </c>
      <c r="D11" s="12" t="s">
        <v>23</v>
      </c>
      <c r="E11" s="12" t="s">
        <v>2943</v>
      </c>
    </row>
    <row r="12" spans="1:5" ht="18" customHeight="1">
      <c r="A12" s="12" t="s">
        <v>2949</v>
      </c>
      <c r="B12" s="12" t="s">
        <v>2959</v>
      </c>
      <c r="C12" s="12" t="s">
        <v>364</v>
      </c>
      <c r="D12" s="12" t="s">
        <v>23</v>
      </c>
      <c r="E12" s="12" t="s">
        <v>2944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0" t="s">
        <v>2962</v>
      </c>
      <c r="B1" s="290"/>
      <c r="C1" s="290"/>
      <c r="D1" s="290"/>
      <c r="E1" s="290"/>
      <c r="F1" s="290"/>
    </row>
    <row r="2" spans="1:7">
      <c r="A2" s="291" t="s">
        <v>2963</v>
      </c>
      <c r="B2" s="291"/>
      <c r="C2" s="291"/>
      <c r="D2" s="291"/>
      <c r="E2" s="291"/>
      <c r="F2" s="291"/>
    </row>
    <row r="4" spans="1:7">
      <c r="A4" s="102" t="s">
        <v>19</v>
      </c>
      <c r="B4" s="102" t="s">
        <v>2840</v>
      </c>
      <c r="C4" s="102" t="s">
        <v>2841</v>
      </c>
      <c r="D4" s="102" t="s">
        <v>2964</v>
      </c>
      <c r="E4" s="102" t="s">
        <v>2842</v>
      </c>
      <c r="F4" s="102" t="s">
        <v>2965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2911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2966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2967</v>
      </c>
    </row>
    <row r="4" spans="1:8" ht="21.95" customHeight="1">
      <c r="A4" s="284" t="s">
        <v>2968</v>
      </c>
      <c r="B4" s="285"/>
      <c r="D4" s="284" t="s">
        <v>2969</v>
      </c>
      <c r="E4" s="285"/>
      <c r="G4" s="284" t="s">
        <v>2970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2971</v>
      </c>
      <c r="B7" s="143" t="s">
        <v>2972</v>
      </c>
      <c r="C7" s="143" t="s">
        <v>1</v>
      </c>
      <c r="D7" s="143" t="s">
        <v>2973</v>
      </c>
      <c r="E7" s="143" t="s">
        <v>2974</v>
      </c>
      <c r="F7" s="143" t="s">
        <v>2837</v>
      </c>
      <c r="G7" s="143" t="s">
        <v>5</v>
      </c>
      <c r="H7" s="143" t="s">
        <v>2975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Renato Coelho Martins Salgado</cp:lastModifiedBy>
  <cp:revision/>
  <dcterms:created xsi:type="dcterms:W3CDTF">2024-04-02T18:43:15Z</dcterms:created>
  <dcterms:modified xsi:type="dcterms:W3CDTF">2026-06-30T19:23:22Z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