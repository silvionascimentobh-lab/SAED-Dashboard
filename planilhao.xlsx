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24" documentId="13_ncr:1_{C887EC22-7CD1-4717-84BE-7303F42C5C0A}" xr6:coauthVersionLast="47" xr6:coauthVersionMax="47" xr10:uidLastSave="{529C7EF0-84E5-476F-B13F-49093EA4F82F}"/>
  <bookViews>
    <workbookView minimized="1" xWindow="3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a="1"/>
  <c r="E105" i="23" l="1"/>
  <c r="A5" i="23" a="1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<sst xmlns="http://schemas.openxmlformats.org/spreadsheetml/2006/main" count="6606" uniqueCount="2984">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</sst>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79" activePane="bottomLeft" state="frozen"/>
      <selection pane="bottomLeft" activeCell="D682" sqref="D682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 x14ac:dyDescent="0.25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 x14ac:dyDescent="0.25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 x14ac:dyDescent="0.25">
      <c r="A1" s="96" t="s">
        <v>1</v>
      </c>
      <c r="B1" s="96" t="s">
        <v>2844</v>
      </c>
      <c r="C1" s="96" t="s">
        <v>2845</v>
      </c>
      <c r="D1" s="96" t="s">
        <v>4</v>
      </c>
      <c r="E1" s="96" t="s">
        <v>2846</v>
      </c>
      <c r="F1" s="96" t="s">
        <v>19</v>
      </c>
      <c r="G1" s="96" t="s">
        <v>2847</v>
      </c>
      <c r="H1" s="96" t="s">
        <v>2848</v>
      </c>
      <c r="I1" s="96" t="s">
        <v>2849</v>
      </c>
      <c r="J1" s="96" t="s">
        <v>2850</v>
      </c>
      <c r="L1" s="129" t="s">
        <v>2851</v>
      </c>
      <c r="M1" s="100">
        <v>2026</v>
      </c>
      <c r="U1" s="162" t="s">
        <v>2852</v>
      </c>
      <c r="V1" s="161"/>
      <c r="X1" s="159" t="s">
        <v>2853</v>
      </c>
      <c r="Y1" s="107"/>
      <c r="Z1" s="107"/>
      <c r="AA1" s="107"/>
      <c r="AC1" s="253" t="s">
        <v>2854</v>
      </c>
    </row>
    <row r="2" spans="1:31" x14ac:dyDescent="0.25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2844</v>
      </c>
      <c r="Y2" s="160" t="s">
        <v>19</v>
      </c>
      <c r="Z2" s="160" t="s">
        <v>2855</v>
      </c>
      <c r="AA2" s="160" t="s">
        <v>2856</v>
      </c>
      <c r="AC2" s="254" t="s">
        <v>1</v>
      </c>
      <c r="AD2" s="254" t="s">
        <v>2857</v>
      </c>
      <c r="AE2" s="254" t="s">
        <v>2858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2859</v>
      </c>
      <c r="M3" s="19" t="s">
        <v>2860</v>
      </c>
      <c r="N3" s="19" t="s">
        <v>2861</v>
      </c>
      <c r="O3" s="19" t="s">
        <v>2862</v>
      </c>
      <c r="P3" s="19" t="s">
        <v>2863</v>
      </c>
      <c r="Q3" s="19" t="s">
        <v>2864</v>
      </c>
      <c r="R3" s="19" t="s">
        <v>2865</v>
      </c>
      <c r="S3" s="19" t="s">
        <v>2866</v>
      </c>
      <c r="T3" s="19" t="s">
        <v>2867</v>
      </c>
      <c r="X3" t="s">
        <v>2868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2869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2870</v>
      </c>
      <c r="Y5" t="s">
        <v>2713</v>
      </c>
      <c r="Z5">
        <v>1</v>
      </c>
      <c r="AA5">
        <v>0.6</v>
      </c>
      <c r="AC5" s="248">
        <v>2026</v>
      </c>
      <c r="AD5" s="95" t="s">
        <v>2871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2870</v>
      </c>
      <c r="Y6" t="s">
        <v>2872</v>
      </c>
      <c r="Z6">
        <v>1</v>
      </c>
      <c r="AA6">
        <v>0</v>
      </c>
      <c r="AC6" s="248">
        <v>2026</v>
      </c>
      <c r="AD6" s="95" t="s">
        <v>2873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2874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2875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2875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2875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2875</v>
      </c>
      <c r="Y11" s="95" t="s">
        <v>2876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2875</v>
      </c>
      <c r="Y12" s="95" t="s">
        <v>2877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2878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2878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2878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2878</v>
      </c>
      <c r="Y16" s="95" t="s">
        <v>2876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2878</v>
      </c>
      <c r="Y17" s="95" t="s">
        <v>2877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2879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2879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2879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2879</v>
      </c>
      <c r="Y21" s="95" t="s">
        <v>2876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2879</v>
      </c>
      <c r="Y22" s="95" t="s">
        <v>2877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2880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2880</v>
      </c>
      <c r="Y24" s="95" t="s">
        <v>2872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2881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2881</v>
      </c>
      <c r="Y26" s="95" t="s">
        <v>2882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2883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2883</v>
      </c>
      <c r="Y28" s="95" t="s">
        <v>2872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2884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2884</v>
      </c>
      <c r="Y30" s="95" t="s">
        <v>2872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2885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2886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2886</v>
      </c>
      <c r="Y33" t="s">
        <v>2887</v>
      </c>
      <c r="Z33">
        <v>4</v>
      </c>
      <c r="AA33">
        <v>0.6</v>
      </c>
      <c r="AC33" s="250"/>
      <c r="AD33" s="251" t="s">
        <v>2888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2886</v>
      </c>
      <c r="Y34" t="s">
        <v>2889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2886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2886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2890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2890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2891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2892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2893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2893</v>
      </c>
      <c r="Y42" t="s">
        <v>2894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2895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2895</v>
      </c>
      <c r="Y44" s="95" t="s">
        <v>2872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2896</v>
      </c>
      <c r="Y45" t="s">
        <v>2897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2896</v>
      </c>
      <c r="Y46" t="s">
        <v>2898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2896</v>
      </c>
      <c r="Y47" t="s">
        <v>2899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2896</v>
      </c>
      <c r="Y48" t="s">
        <v>2900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2896</v>
      </c>
      <c r="Y49" t="s">
        <v>2901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2896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2896</v>
      </c>
      <c r="Y51" t="s">
        <v>2902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2896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2896</v>
      </c>
      <c r="Y53" t="s">
        <v>2903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2896</v>
      </c>
      <c r="Y54" t="s">
        <v>2904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 x14ac:dyDescent="0.25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 x14ac:dyDescent="0.25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 x14ac:dyDescent="0.25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 x14ac:dyDescent="0.25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 x14ac:dyDescent="0.25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 x14ac:dyDescent="0.25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 x14ac:dyDescent="0.25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 x14ac:dyDescent="0.25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 x14ac:dyDescent="0.25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 x14ac:dyDescent="0.25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 x14ac:dyDescent="0.25">
      <c r="R107" t="str">
        <v/>
      </c>
      <c r="S107" t="str">
        <v/>
      </c>
    </row>
    <row r="108" spans="1:19" x14ac:dyDescent="0.25">
      <c r="R108" t="str">
        <v/>
      </c>
      <c r="S108" t="str">
        <v/>
      </c>
    </row>
    <row r="109" spans="1:19" x14ac:dyDescent="0.25">
      <c r="R109" t="str">
        <v/>
      </c>
      <c r="S109" t="str">
        <v/>
      </c>
    </row>
    <row r="110" spans="1:19" x14ac:dyDescent="0.25">
      <c r="R110" t="str">
        <v/>
      </c>
      <c r="S110" t="str">
        <v/>
      </c>
    </row>
    <row r="111" spans="1:19" x14ac:dyDescent="0.25">
      <c r="R111" t="str">
        <v/>
      </c>
      <c r="S111" t="str">
        <v/>
      </c>
    </row>
    <row r="112" spans="1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1" t="s">
        <v>2905</v>
      </c>
      <c r="B1" s="281"/>
      <c r="C1" s="281"/>
      <c r="D1" s="281"/>
      <c r="E1" s="281"/>
      <c r="F1" s="281"/>
      <c r="G1" s="281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2" t="s">
        <v>2906</v>
      </c>
      <c r="B4" s="283"/>
      <c r="D4" s="284" t="s">
        <v>2907</v>
      </c>
      <c r="E4" s="285"/>
      <c r="G4" s="125" t="s">
        <v>2908</v>
      </c>
    </row>
    <row r="5" spans="1:7" ht="54.95" customHeight="1" thickBot="1" x14ac:dyDescent="0.75">
      <c r="A5" s="115">
        <f>COUNTIF('Ações InCompany'!B:B,2026)</f>
        <v>53</v>
      </c>
      <c r="B5" s="116" t="s">
        <v>2909</v>
      </c>
      <c r="D5" s="123">
        <f>COUNTIFS('Ações InCompany'!B:B,2026,'Ações InCompany'!C:C,"Realizado")</f>
        <v>32</v>
      </c>
      <c r="E5" s="124" t="s">
        <v>2909</v>
      </c>
      <c r="G5" s="126">
        <f>COUNTIFS('Ações InCompany'!B:B,2026,'Ações InCompany'!C:C,"A realizar")</f>
        <v>15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9" t="s">
        <v>2910</v>
      </c>
      <c r="B8" s="279"/>
      <c r="D8" s="279" t="s">
        <v>2911</v>
      </c>
      <c r="E8" s="279"/>
    </row>
    <row r="9" spans="1:7" ht="5.0999999999999996" customHeight="1" x14ac:dyDescent="0.25">
      <c r="A9" s="280"/>
      <c r="B9" s="280"/>
      <c r="D9" s="280"/>
      <c r="E9" s="280"/>
    </row>
    <row r="10" spans="1:7" ht="24.95" customHeight="1" x14ac:dyDescent="0.25">
      <c r="A10" s="108" t="s">
        <v>5</v>
      </c>
      <c r="B10" s="108" t="s">
        <v>2912</v>
      </c>
      <c r="D10" s="108" t="s">
        <v>2913</v>
      </c>
      <c r="E10" s="108" t="s">
        <v>2914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2915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2916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2917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2918</v>
      </c>
      <c r="B14" s="114">
        <f>SUM(B11:B13)</f>
        <v>32</v>
      </c>
      <c r="D14" s="113" t="s">
        <v>2919</v>
      </c>
      <c r="E14" s="114">
        <f>SUM(E11:E13)</f>
        <v>1278</v>
      </c>
    </row>
    <row r="30" spans="1:5" ht="17.25" x14ac:dyDescent="0.3">
      <c r="A30" s="279" t="s">
        <v>2920</v>
      </c>
      <c r="B30" s="279"/>
      <c r="C30" s="279"/>
      <c r="D30" s="279"/>
      <c r="E30" s="279"/>
    </row>
    <row r="31" spans="1:5" ht="5.0999999999999996" customHeight="1" x14ac:dyDescent="0.25">
      <c r="A31" s="280"/>
      <c r="B31" s="280"/>
      <c r="C31" s="280"/>
      <c r="D31" s="280"/>
      <c r="E31" s="280"/>
    </row>
    <row r="32" spans="1:5" ht="24.95" customHeight="1" x14ac:dyDescent="0.25">
      <c r="A32" s="108" t="s">
        <v>6</v>
      </c>
      <c r="B32" s="108" t="s">
        <v>2921</v>
      </c>
      <c r="C32" s="108" t="s">
        <v>2922</v>
      </c>
      <c r="D32" s="108" t="s">
        <v>2923</v>
      </c>
      <c r="E32" s="108" t="s">
        <v>2924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0.1276595744680851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0.21276595744680851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 x14ac:dyDescent="0.25">
      <c r="A42" s="156" t="s">
        <v>2925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 x14ac:dyDescent="0.25">
      <c r="A44" s="148" t="s">
        <v>2926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2918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2932</v>
      </c>
      <c r="B2" s="12" t="s">
        <v>2933</v>
      </c>
      <c r="C2" s="12" t="s">
        <v>1729</v>
      </c>
      <c r="D2" s="12" t="s">
        <v>2934</v>
      </c>
      <c r="E2" s="12" t="s">
        <v>2935</v>
      </c>
    </row>
    <row r="3" spans="1:5" ht="18" customHeight="1" x14ac:dyDescent="0.25">
      <c r="A3" s="12" t="s">
        <v>2932</v>
      </c>
      <c r="B3" s="12" t="s">
        <v>2933</v>
      </c>
      <c r="C3" s="14" t="s">
        <v>24</v>
      </c>
      <c r="D3" s="12" t="s">
        <v>2936</v>
      </c>
      <c r="E3" s="12" t="s">
        <v>2937</v>
      </c>
    </row>
    <row r="4" spans="1:5" ht="18" customHeight="1" x14ac:dyDescent="0.25">
      <c r="A4" s="12" t="s">
        <v>2932</v>
      </c>
      <c r="B4" s="12" t="s">
        <v>2933</v>
      </c>
      <c r="C4" s="12" t="s">
        <v>68</v>
      </c>
      <c r="D4" s="12" t="s">
        <v>2934</v>
      </c>
      <c r="E4" s="12" t="s">
        <v>2938</v>
      </c>
    </row>
    <row r="5" spans="1:5" ht="18" customHeight="1" x14ac:dyDescent="0.25">
      <c r="A5" s="12" t="s">
        <v>2932</v>
      </c>
      <c r="B5" s="12" t="s">
        <v>2933</v>
      </c>
      <c r="C5" s="12" t="s">
        <v>72</v>
      </c>
      <c r="D5" s="12" t="s">
        <v>2939</v>
      </c>
      <c r="E5" s="12" t="s">
        <v>2940</v>
      </c>
    </row>
    <row r="6" spans="1:5" ht="18" customHeight="1" x14ac:dyDescent="0.25">
      <c r="A6" s="12" t="s">
        <v>2932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2932</v>
      </c>
      <c r="B7" s="12" t="s">
        <v>2943</v>
      </c>
      <c r="C7" s="12" t="s">
        <v>33</v>
      </c>
      <c r="D7" s="12" t="s">
        <v>2944</v>
      </c>
      <c r="E7" s="12" t="s">
        <v>2945</v>
      </c>
    </row>
    <row r="8" spans="1:5" ht="18" customHeight="1" x14ac:dyDescent="0.25">
      <c r="A8" s="12" t="s">
        <v>2932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2932</v>
      </c>
      <c r="B9" s="12" t="s">
        <v>2948</v>
      </c>
      <c r="C9" s="12" t="s">
        <v>457</v>
      </c>
      <c r="D9" s="12" t="s">
        <v>2949</v>
      </c>
      <c r="E9" s="12" t="s">
        <v>2950</v>
      </c>
    </row>
    <row r="10" spans="1:5" ht="18" customHeight="1" x14ac:dyDescent="0.25">
      <c r="A10" s="12" t="s">
        <v>2932</v>
      </c>
      <c r="B10" s="12" t="s">
        <v>2948</v>
      </c>
      <c r="C10" s="12" t="s">
        <v>199</v>
      </c>
      <c r="D10" s="12" t="s">
        <v>23</v>
      </c>
      <c r="E10" s="12" t="s">
        <v>2951</v>
      </c>
    </row>
    <row r="11" spans="1:5" ht="18" customHeight="1" x14ac:dyDescent="0.25">
      <c r="A11" s="12" t="s">
        <v>2932</v>
      </c>
      <c r="B11" s="12" t="s">
        <v>2948</v>
      </c>
      <c r="C11" s="12" t="s">
        <v>364</v>
      </c>
      <c r="D11" s="12" t="s">
        <v>23</v>
      </c>
      <c r="E11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2953</v>
      </c>
      <c r="B1" s="5" t="s">
        <v>10</v>
      </c>
      <c r="C1" s="15" t="s">
        <v>2954</v>
      </c>
      <c r="D1" s="15" t="s">
        <v>2845</v>
      </c>
    </row>
    <row r="2" spans="1:4" ht="21" customHeight="1" x14ac:dyDescent="0.25">
      <c r="A2" s="258" t="s">
        <v>23</v>
      </c>
      <c r="B2" s="258" t="s">
        <v>35</v>
      </c>
      <c r="C2" s="12" t="s">
        <v>2955</v>
      </c>
      <c r="D2" s="12" t="s">
        <v>2765</v>
      </c>
    </row>
    <row r="3" spans="1:4" ht="21" customHeight="1" x14ac:dyDescent="0.25">
      <c r="A3" s="12" t="s">
        <v>62</v>
      </c>
      <c r="B3" s="258" t="s">
        <v>26</v>
      </c>
      <c r="C3" s="12" t="s">
        <v>2956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2743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2927</v>
      </c>
      <c r="B1" s="12" t="s">
        <v>2928</v>
      </c>
      <c r="C1" s="13" t="s">
        <v>2929</v>
      </c>
      <c r="D1" s="13" t="s">
        <v>2930</v>
      </c>
      <c r="E1" s="13" t="s">
        <v>2931</v>
      </c>
    </row>
    <row r="2" spans="1:5" ht="18" customHeight="1" x14ac:dyDescent="0.25">
      <c r="A2" s="12" t="s">
        <v>2957</v>
      </c>
      <c r="B2" s="12" t="s">
        <v>2933</v>
      </c>
      <c r="C2" s="14" t="s">
        <v>24</v>
      </c>
      <c r="D2" s="12" t="s">
        <v>2934</v>
      </c>
      <c r="E2" s="18" t="s">
        <v>2958</v>
      </c>
    </row>
    <row r="3" spans="1:5" ht="18" customHeight="1" x14ac:dyDescent="0.25">
      <c r="A3" s="12" t="s">
        <v>2957</v>
      </c>
      <c r="B3" s="12" t="s">
        <v>2933</v>
      </c>
      <c r="C3" s="12" t="s">
        <v>68</v>
      </c>
      <c r="D3" s="12" t="s">
        <v>2936</v>
      </c>
      <c r="E3" s="12" t="s">
        <v>2959</v>
      </c>
    </row>
    <row r="4" spans="1:5" ht="18" customHeight="1" x14ac:dyDescent="0.25">
      <c r="A4" s="12" t="s">
        <v>2957</v>
      </c>
      <c r="B4" s="12" t="s">
        <v>2933</v>
      </c>
      <c r="C4" s="12" t="s">
        <v>72</v>
      </c>
      <c r="D4" s="12" t="s">
        <v>2939</v>
      </c>
      <c r="E4" s="12" t="s">
        <v>2960</v>
      </c>
    </row>
    <row r="5" spans="1:5" ht="27.75" customHeight="1" x14ac:dyDescent="0.25">
      <c r="A5" s="12" t="s">
        <v>2957</v>
      </c>
      <c r="B5" s="12" t="s">
        <v>2933</v>
      </c>
      <c r="C5" s="12" t="s">
        <v>2690</v>
      </c>
      <c r="D5" s="18" t="s">
        <v>2961</v>
      </c>
      <c r="E5" s="12" t="s">
        <v>2962</v>
      </c>
    </row>
    <row r="6" spans="1:5" ht="18" customHeight="1" x14ac:dyDescent="0.25">
      <c r="A6" s="12" t="s">
        <v>2957</v>
      </c>
      <c r="B6" s="12" t="s">
        <v>2933</v>
      </c>
      <c r="C6" s="12" t="s">
        <v>2727</v>
      </c>
      <c r="D6" s="12" t="s">
        <v>2941</v>
      </c>
      <c r="E6" s="12" t="s">
        <v>2942</v>
      </c>
    </row>
    <row r="7" spans="1:5" ht="18" customHeight="1" x14ac:dyDescent="0.25">
      <c r="A7" s="12" t="s">
        <v>2957</v>
      </c>
      <c r="B7" s="12" t="s">
        <v>2943</v>
      </c>
      <c r="C7" s="12" t="s">
        <v>2711</v>
      </c>
      <c r="D7" s="12" t="s">
        <v>2963</v>
      </c>
      <c r="E7" s="12" t="s">
        <v>2964</v>
      </c>
    </row>
    <row r="8" spans="1:5" ht="18" customHeight="1" x14ac:dyDescent="0.25">
      <c r="A8" s="12" t="s">
        <v>2957</v>
      </c>
      <c r="B8" s="12" t="s">
        <v>2943</v>
      </c>
      <c r="C8" s="12" t="s">
        <v>38</v>
      </c>
      <c r="D8" s="12" t="s">
        <v>2946</v>
      </c>
      <c r="E8" s="12" t="s">
        <v>2947</v>
      </c>
    </row>
    <row r="9" spans="1:5" ht="18" customHeight="1" x14ac:dyDescent="0.25">
      <c r="A9" s="12" t="s">
        <v>2957</v>
      </c>
      <c r="B9" s="12" t="s">
        <v>2943</v>
      </c>
      <c r="C9" s="12" t="s">
        <v>2695</v>
      </c>
      <c r="D9" s="12" t="s">
        <v>2965</v>
      </c>
      <c r="E9" s="18" t="s">
        <v>2966</v>
      </c>
    </row>
    <row r="10" spans="1:5" ht="18" customHeight="1" x14ac:dyDescent="0.25">
      <c r="A10" s="12" t="s">
        <v>2957</v>
      </c>
      <c r="B10" s="12" t="s">
        <v>2967</v>
      </c>
      <c r="C10" s="12" t="s">
        <v>2925</v>
      </c>
      <c r="D10" s="12" t="s">
        <v>2968</v>
      </c>
      <c r="E10" s="18" t="s">
        <v>2969</v>
      </c>
    </row>
    <row r="11" spans="1:5" ht="18" customHeight="1" x14ac:dyDescent="0.25">
      <c r="A11" s="12" t="s">
        <v>2957</v>
      </c>
      <c r="B11" s="12" t="s">
        <v>2967</v>
      </c>
      <c r="C11" s="12" t="s">
        <v>199</v>
      </c>
      <c r="D11" s="12" t="s">
        <v>23</v>
      </c>
      <c r="E11" s="12" t="s">
        <v>2951</v>
      </c>
    </row>
    <row r="12" spans="1:5" ht="18" customHeight="1" x14ac:dyDescent="0.25">
      <c r="A12" s="12" t="s">
        <v>2957</v>
      </c>
      <c r="B12" s="12" t="s">
        <v>2967</v>
      </c>
      <c r="C12" s="12" t="s">
        <v>364</v>
      </c>
      <c r="D12" s="12" t="s">
        <v>23</v>
      </c>
      <c r="E12" s="12" t="s">
        <v>2952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6" t="s">
        <v>2970</v>
      </c>
      <c r="B1" s="286"/>
      <c r="C1" s="286"/>
      <c r="D1" s="286"/>
      <c r="E1" s="286"/>
      <c r="F1" s="286"/>
    </row>
    <row r="2" spans="1:7" x14ac:dyDescent="0.25">
      <c r="A2" s="287" t="s">
        <v>2971</v>
      </c>
      <c r="B2" s="287"/>
      <c r="C2" s="287"/>
      <c r="D2" s="287"/>
      <c r="E2" s="287"/>
      <c r="F2" s="287"/>
    </row>
    <row r="4" spans="1:7" x14ac:dyDescent="0.25">
      <c r="A4" s="102" t="s">
        <v>19</v>
      </c>
      <c r="B4" s="102" t="s">
        <v>2848</v>
      </c>
      <c r="C4" s="102" t="s">
        <v>2849</v>
      </c>
      <c r="D4" s="102" t="s">
        <v>2972</v>
      </c>
      <c r="E4" s="102" t="s">
        <v>2850</v>
      </c>
      <c r="F4" s="102" t="s">
        <v>2973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2919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8" t="s">
        <v>2974</v>
      </c>
      <c r="B1" s="288"/>
      <c r="C1" s="288"/>
      <c r="D1" s="288"/>
      <c r="E1" s="288"/>
      <c r="F1" s="288"/>
      <c r="G1" s="288"/>
      <c r="H1" s="288"/>
    </row>
    <row r="2" spans="1:8" x14ac:dyDescent="0.25">
      <c r="A2" s="130" t="s">
        <v>2975</v>
      </c>
    </row>
    <row r="4" spans="1:8" ht="21.95" customHeight="1" x14ac:dyDescent="0.25">
      <c r="A4" s="289" t="s">
        <v>2976</v>
      </c>
      <c r="B4" s="290"/>
      <c r="D4" s="289" t="s">
        <v>2977</v>
      </c>
      <c r="E4" s="290"/>
      <c r="G4" s="289" t="s">
        <v>2978</v>
      </c>
      <c r="H4" s="290"/>
    </row>
    <row r="5" spans="1:8" ht="35.1" customHeight="1" x14ac:dyDescent="0.25">
      <c r="A5" s="293">
        <f>COUNTIF('Ações InCompany'!E:E,"*maratona*")</f>
        <v>13</v>
      </c>
      <c r="B5" s="292"/>
      <c r="D5" s="291">
        <f>SUM(H8:H100)</f>
        <v>1566</v>
      </c>
      <c r="E5" s="292"/>
      <c r="G5" s="291">
        <f>IFERROR(ROUND(D5/A5,0),"-")</f>
        <v>120</v>
      </c>
      <c r="H5" s="292"/>
    </row>
    <row r="6" spans="1:8" ht="9.9499999999999993" customHeight="1" x14ac:dyDescent="0.25"/>
    <row r="7" spans="1:8" ht="24.95" customHeight="1" thickBot="1" x14ac:dyDescent="0.3">
      <c r="A7" s="143" t="s">
        <v>2979</v>
      </c>
      <c r="B7" s="143" t="s">
        <v>2980</v>
      </c>
      <c r="C7" s="143" t="s">
        <v>1</v>
      </c>
      <c r="D7" s="143" t="s">
        <v>2981</v>
      </c>
      <c r="E7" s="143" t="s">
        <v>2982</v>
      </c>
      <c r="F7" s="143" t="s">
        <v>2845</v>
      </c>
      <c r="G7" s="143" t="s">
        <v>5</v>
      </c>
      <c r="H7" s="143" t="s">
        <v>2983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2026-07-01T18:29:54Z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