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32" documentId="13_ncr:1_{C887EC22-7CD1-4717-84BE-7303F42C5C0A}" xr6:coauthVersionLast="47" xr6:coauthVersionMax="47" xr10:uidLastSave="{ED2B6AC2-5233-4A86-A889-63D1929E9A9C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s="1" a="1"/>
  <c r="A5" i="23" l="1" a="1"/>
  <c r="E105" i="23"/>
  <c r="D35" i="23" l="1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D20" i="23"/>
  <c r="F10" i="23"/>
  <c r="C30" i="23"/>
  <c r="E17" i="23"/>
  <c r="E11" i="23"/>
  <c r="F26" i="23"/>
  <c r="B23" i="23"/>
  <c r="C9" i="23"/>
  <c r="D11" i="23"/>
  <c r="F11" i="23"/>
  <c r="C18" i="23"/>
  <c r="B19" i="23"/>
  <c r="D32" i="23"/>
  <c r="E29" i="23"/>
  <c r="D16" i="23"/>
  <c r="E7" i="23"/>
  <c r="C33" i="23"/>
  <c r="B20" i="23"/>
  <c r="F23" i="23"/>
  <c r="B34" i="23"/>
  <c r="F9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E8" i="23"/>
  <c r="D29" i="23"/>
  <c r="D23" i="23"/>
  <c r="B22" i="23"/>
  <c r="C25" i="23"/>
  <c r="B30" i="23"/>
  <c r="D26" i="23"/>
  <c r="E10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<sst xmlns="http://schemas.openxmlformats.org/spreadsheetml/2006/main" count="6533" uniqueCount="2961">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</sst>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9" zoomScaleNormal="100" workbookViewId="0">
      <pane xSplit="3" topLeftCell="D1" activePane="topRight" state="frozen"/>
      <selection pane="topRight" activeCell="E698" sqref="E698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0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1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47</v>
      </c>
      <c r="B5" s="116" t="s">
        <v>2877</v>
      </c>
      <c r="D5" s="123">
        <f>COUNTIFS('Ações InCompany'!B:B,2026,'Ações InCompany'!C:C,"Realizado")</f>
        <v>28</v>
      </c>
      <c r="E5" s="124" t="s">
        <v>2877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28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0.25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7.4999999999999997E-2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0.125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2.5000000000000001E-2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0.05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0.17499999999999999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7.4999999999999997E-2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2.5000000000000001E-2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0.15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0.05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28</v>
      </c>
      <c r="C45" s="121">
        <f>SUM(C33:C44)</f>
        <v>12</v>
      </c>
      <c r="D45" s="121">
        <f>SUM(D33:D44)</f>
        <v>40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7" sqref="A17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25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25</v>
      </c>
      <c r="F19" s="101">
        <f>IF($A19="","",COUNTIFS('GECC 2026'!F$2:F$200,$A19))</f>
        <v>4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552</v>
      </c>
      <c r="C105" s="243">
        <f>SUM(C5:C100)</f>
        <v>377.7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70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2026-06-17T21:56:22Z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