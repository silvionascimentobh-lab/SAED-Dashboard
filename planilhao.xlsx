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897" documentId="13_ncr:1_{C887EC22-7CD1-4717-84BE-7303F42C5C0A}" xr6:coauthVersionLast="47" xr6:coauthVersionMax="47" xr10:uidLastSave="{3E4F425A-E175-49FE-B536-057BED796534}"/>
  <bookViews>
    <workbookView xWindow="-2880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AE33" i="20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l="1" a="1"/>
  <c r="T4" i="20" l="1" a="1"/>
  <c r="A2" i="20" l="1" a="1"/>
  <c r="A5" i="23" l="1" a="1"/>
  <c r="E105" i="23"/>
  <c r="B31" i="23" l="1"/>
  <c r="D19" i="23"/>
  <c r="D25" i="23"/>
  <c r="E18" i="23"/>
  <c r="C24" i="23"/>
  <c r="B23" i="23"/>
  <c r="C31" i="23"/>
  <c r="B15" i="23"/>
  <c r="D32" i="23"/>
  <c r="B11" i="23"/>
  <c r="F13" i="23"/>
  <c r="E16" i="23"/>
  <c r="C7" i="23"/>
  <c r="E10" i="23"/>
  <c r="D24" i="23"/>
  <c r="F14" i="23"/>
  <c r="D10" i="23"/>
  <c r="D29" i="23"/>
  <c r="B13" i="23"/>
  <c r="D28" i="23"/>
  <c r="D17" i="23"/>
  <c r="F16" i="23"/>
  <c r="D22" i="23"/>
  <c r="E30" i="23"/>
  <c r="E11" i="23"/>
  <c r="F32" i="23"/>
  <c r="D11" i="23"/>
  <c r="C18" i="23"/>
  <c r="D31" i="23"/>
  <c r="D14" i="23"/>
  <c r="E7" i="23"/>
  <c r="E12" i="23"/>
  <c r="F23" i="23"/>
  <c r="F9" i="23"/>
  <c r="F31" i="23"/>
  <c r="F21" i="23"/>
  <c r="F29" i="23"/>
  <c r="C26" i="23"/>
  <c r="F33" i="23"/>
  <c r="E14" i="23"/>
  <c r="F17" i="23"/>
  <c r="F6" i="23"/>
  <c r="F24" i="23"/>
  <c r="C30" i="23"/>
  <c r="F30" i="23"/>
  <c r="C20" i="23"/>
  <c r="E27" i="23"/>
  <c r="C34" i="23"/>
  <c r="B33" i="23"/>
  <c r="D16" i="23"/>
  <c r="B29" i="23"/>
  <c r="C33" i="23"/>
  <c r="D8" i="23"/>
  <c r="D30" i="23"/>
  <c r="C27" i="23"/>
  <c r="D21" i="23"/>
  <c r="E8" i="23"/>
  <c r="C13" i="23"/>
  <c r="C19" i="23"/>
  <c r="B30" i="23"/>
  <c r="C11" i="23"/>
  <c r="B16" i="23"/>
  <c r="D18" i="23"/>
  <c r="B25" i="23"/>
  <c r="C15" i="23"/>
  <c r="C32" i="23"/>
  <c r="C23" i="23"/>
  <c r="E31" i="23"/>
  <c r="B12" i="23"/>
  <c r="B21" i="23"/>
  <c r="E15" i="23"/>
  <c r="C8" i="23"/>
  <c r="E32" i="23"/>
  <c r="D6" i="23"/>
  <c r="C12" i="23"/>
  <c r="B17" i="23"/>
  <c r="E25" i="23"/>
  <c r="E33" i="23"/>
  <c r="B22" i="23"/>
  <c r="E9" i="23"/>
  <c r="E21" i="23"/>
  <c r="B28" i="23"/>
  <c r="D20" i="23"/>
  <c r="D7" i="23"/>
  <c r="F26" i="23"/>
  <c r="B18" i="23"/>
  <c r="F11" i="23"/>
  <c r="B19" i="23"/>
  <c r="E29" i="23"/>
  <c r="E6" i="23"/>
  <c r="F12" i="23"/>
  <c r="B20" i="23"/>
  <c r="B34" i="23"/>
  <c r="F25" i="23"/>
  <c r="E26" i="23"/>
  <c r="B8" i="23"/>
  <c r="C6" i="23"/>
  <c r="F18" i="23"/>
  <c r="D33" i="23"/>
  <c r="D26" i="23"/>
  <c r="F15" i="23"/>
  <c r="B7" i="23"/>
  <c r="E22" i="23"/>
  <c r="F19" i="23"/>
  <c r="F27" i="23"/>
  <c r="C9" i="23"/>
  <c r="E19" i="23"/>
  <c r="B27" i="23"/>
  <c r="C28" i="23"/>
  <c r="E34" i="23"/>
  <c r="D27" i="23"/>
  <c r="B26" i="23"/>
  <c r="C14" i="23"/>
  <c r="C21" i="23"/>
  <c r="C29" i="23"/>
  <c r="F22" i="23"/>
  <c r="B6" i="23"/>
  <c r="D23" i="23"/>
  <c r="C25" i="23"/>
  <c r="E24" i="23"/>
  <c r="C16" i="23"/>
  <c r="E20" i="23"/>
  <c r="F10" i="23"/>
  <c r="E17" i="23"/>
  <c r="B10" i="23"/>
  <c r="E28" i="23"/>
  <c r="D12" i="23"/>
  <c r="C17" i="23"/>
  <c r="E23" i="23"/>
  <c r="D15" i="23"/>
  <c r="B24" i="23"/>
  <c r="F28" i="23"/>
  <c r="F34" i="23"/>
  <c r="C22" i="23"/>
  <c r="D34" i="23"/>
  <c r="E13" i="23"/>
  <c r="B14" i="23"/>
  <c r="F8" i="23"/>
  <c r="B32" i="23"/>
  <c r="D9" i="23"/>
  <c r="F7" i="23"/>
  <c r="D13" i="23"/>
  <c r="F20" i="23"/>
  <c r="C10" i="23"/>
  <c r="B9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<sst xmlns="http://schemas.openxmlformats.org/spreadsheetml/2006/main" count="6519" uniqueCount="2954">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</sst>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1" zoomScaleNormal="100" workbookViewId="0">
      <pane xSplit="3" topLeftCell="D1" activePane="topRight" state="frozen"/>
      <selection pane="topRight" activeCell="H702" sqref="H70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2953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2822</v>
      </c>
      <c r="E702" s="220" t="s">
        <v>2823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0"/>
        <v>0</v>
      </c>
      <c r="S702" s="219">
        <v>12</v>
      </c>
      <c r="T702" s="218" t="s">
        <v>2824</v>
      </c>
      <c r="U702" s="203"/>
    </row>
    <row r="703" spans="1:21" ht="23.25" customHeight="1" x14ac:dyDescent="0.25">
      <c r="A703" s="209" t="str">
        <f>IF(B703="","",B703&amp;"-"&amp;TEXT(COUNTIF(B$2:B703,B703),"000"))</f>
        <v/>
      </c>
      <c r="B703" s="210"/>
      <c r="C703" s="219"/>
      <c r="D703" s="210"/>
      <c r="E703" s="211"/>
      <c r="F703" s="212"/>
      <c r="G703" s="209"/>
      <c r="H703" s="213"/>
      <c r="I703" s="213"/>
      <c r="J703" s="213"/>
      <c r="K703" s="210"/>
      <c r="L703" s="224"/>
      <c r="M703" s="215"/>
      <c r="N703" s="216"/>
      <c r="O703" s="217"/>
      <c r="P703" s="217"/>
      <c r="Q703" s="217"/>
      <c r="R703" s="217" t="str">
        <f t="shared" si="0"/>
        <v/>
      </c>
      <c r="S703" s="210"/>
      <c r="T703" s="209"/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0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E1" workbookViewId="0">
      <pane ySplit="1" topLeftCell="A59" activePane="bottomLeft" state="frozen"/>
      <selection pane="bottomLeft" activeCell="K67" sqref="K6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2825</v>
      </c>
      <c r="C1" s="96" t="s">
        <v>2826</v>
      </c>
      <c r="D1" s="96" t="s">
        <v>4</v>
      </c>
      <c r="E1" s="96" t="s">
        <v>2827</v>
      </c>
      <c r="F1" s="96" t="s">
        <v>19</v>
      </c>
      <c r="G1" s="96" t="s">
        <v>2828</v>
      </c>
      <c r="H1" s="96" t="s">
        <v>2829</v>
      </c>
      <c r="I1" s="96" t="s">
        <v>2830</v>
      </c>
      <c r="J1" s="96" t="s">
        <v>2831</v>
      </c>
      <c r="L1" s="129" t="s">
        <v>2832</v>
      </c>
      <c r="M1" s="100">
        <v>2026</v>
      </c>
      <c r="U1" s="162" t="s">
        <v>2833</v>
      </c>
      <c r="V1" s="161"/>
      <c r="X1" s="159" t="s">
        <v>2834</v>
      </c>
      <c r="Y1" s="107"/>
      <c r="Z1" s="107"/>
      <c r="AA1" s="107"/>
      <c r="AC1" s="254" t="s">
        <v>2835</v>
      </c>
    </row>
    <row r="2" spans="1:31" x14ac:dyDescent="0.25">
      <c r="A2" s="98" cm="1">
        <f t="array" ref="A2:J69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2825</v>
      </c>
      <c r="Y2" s="160" t="s">
        <v>19</v>
      </c>
      <c r="Z2" s="160" t="s">
        <v>2836</v>
      </c>
      <c r="AA2" s="160" t="s">
        <v>2837</v>
      </c>
      <c r="AC2" s="255" t="s">
        <v>1</v>
      </c>
      <c r="AD2" s="255" t="s">
        <v>2838</v>
      </c>
      <c r="AE2" s="255" t="s">
        <v>2839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2840</v>
      </c>
      <c r="M3" s="19" t="s">
        <v>2841</v>
      </c>
      <c r="N3" s="19" t="s">
        <v>2842</v>
      </c>
      <c r="O3" s="19" t="s">
        <v>2843</v>
      </c>
      <c r="P3" s="19" t="s">
        <v>2844</v>
      </c>
      <c r="Q3" s="19" t="s">
        <v>2845</v>
      </c>
      <c r="R3" s="19" t="s">
        <v>2846</v>
      </c>
      <c r="S3" s="19" t="s">
        <v>2847</v>
      </c>
      <c r="T3" s="19" t="s">
        <v>2848</v>
      </c>
      <c r="X3" t="s">
        <v>2849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8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9">_xlfn.VSTACK(0,_xlfn._xlws.FILTER(S4:S200,S4:S200&lt;&gt;""))</f>
        <v>0</v>
      </c>
      <c r="X4" t="s">
        <v>2850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2851</v>
      </c>
      <c r="Y5" t="s">
        <v>2711</v>
      </c>
      <c r="Z5">
        <v>1</v>
      </c>
      <c r="AA5">
        <v>0.6</v>
      </c>
      <c r="AC5" s="249">
        <v>2026</v>
      </c>
      <c r="AD5" s="95" t="s">
        <v>2852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2851</v>
      </c>
      <c r="Y6" t="s">
        <v>2853</v>
      </c>
      <c r="Z6">
        <v>1</v>
      </c>
      <c r="AA6">
        <v>0</v>
      </c>
      <c r="AC6" s="249">
        <v>2026</v>
      </c>
      <c r="AD6" s="95" t="s">
        <v>2854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2855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2856</v>
      </c>
      <c r="Y11" s="95" t="s">
        <v>2857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2856</v>
      </c>
      <c r="Y12" s="95" t="s">
        <v>2858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2859</v>
      </c>
      <c r="Y16" s="95" t="s">
        <v>2857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2859</v>
      </c>
      <c r="Y17" s="95" t="s">
        <v>2858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2860</v>
      </c>
      <c r="Y21" s="95" t="s">
        <v>2857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2860</v>
      </c>
      <c r="Y22" s="95" t="s">
        <v>2858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2861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2861</v>
      </c>
      <c r="Y24" s="95" t="s">
        <v>2853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2862</v>
      </c>
      <c r="Y26" s="95" t="s">
        <v>2863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2864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2864</v>
      </c>
      <c r="Y28" s="95" t="s">
        <v>2853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2865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2865</v>
      </c>
      <c r="Y30" s="95" t="s">
        <v>2853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2867</v>
      </c>
      <c r="Y33" t="s">
        <v>2868</v>
      </c>
      <c r="Z33">
        <v>4</v>
      </c>
      <c r="AA33">
        <v>0.6</v>
      </c>
      <c r="AC33" s="251"/>
      <c r="AD33" s="252" t="s">
        <v>2869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2867</v>
      </c>
      <c r="Y34" t="s">
        <v>2870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R39" t="str">
        <v/>
      </c>
      <c r="S39" t="str">
        <v/>
      </c>
      <c r="T39">
        <v>68</v>
      </c>
      <c r="X39" t="s">
        <v>2872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X40" t="s">
        <v>2873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R70" t="str">
        <v/>
      </c>
      <c r="S70" t="str">
        <v/>
      </c>
    </row>
    <row r="71" spans="1:19" x14ac:dyDescent="0.25"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2874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2875</v>
      </c>
      <c r="B4" s="282"/>
      <c r="D4" s="283" t="s">
        <v>2876</v>
      </c>
      <c r="E4" s="284"/>
      <c r="G4" s="125" t="s">
        <v>2877</v>
      </c>
    </row>
    <row r="5" spans="1:7" ht="54.95" customHeight="1" thickBot="1" x14ac:dyDescent="0.75">
      <c r="A5" s="115">
        <f>COUNTIF('Ações InCompany'!B:B,2026)</f>
        <v>46</v>
      </c>
      <c r="B5" s="116" t="s">
        <v>2878</v>
      </c>
      <c r="D5" s="123">
        <f>COUNTIFS('Ações InCompany'!B:B,2026,'Ações InCompany'!C:C,"Realizado")</f>
        <v>28</v>
      </c>
      <c r="E5" s="124" t="s">
        <v>2878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2879</v>
      </c>
      <c r="B8" s="278"/>
      <c r="D8" s="278" t="s">
        <v>2880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2881</v>
      </c>
      <c r="D10" s="108" t="s">
        <v>2882</v>
      </c>
      <c r="E10" s="108" t="s">
        <v>2883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2884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2885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2886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2887</v>
      </c>
      <c r="B14" s="114">
        <f>SUM(B11:B13)</f>
        <v>28</v>
      </c>
      <c r="D14" s="113" t="s">
        <v>2888</v>
      </c>
      <c r="E14" s="114">
        <f>SUM(E11:E13)</f>
        <v>1190</v>
      </c>
    </row>
    <row r="30" spans="1:5" ht="17.25" x14ac:dyDescent="0.3">
      <c r="A30" s="278" t="s">
        <v>2889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2890</v>
      </c>
      <c r="C32" s="108" t="s">
        <v>2891</v>
      </c>
      <c r="D32" s="108" t="s">
        <v>2892</v>
      </c>
      <c r="E32" s="108" t="s">
        <v>2893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4</v>
      </c>
      <c r="D33" s="117">
        <f t="shared" ref="D33:D44" si="0">B33+C33</f>
        <v>9</v>
      </c>
      <c r="E33" s="118">
        <f t="shared" ref="E33:E44" si="1">D33/$D$45</f>
        <v>0.22500000000000001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7.4999999999999997E-2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0.125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0.05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0.05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0.17499999999999999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7.4999999999999997E-2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2.5000000000000001E-2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0.15</v>
      </c>
    </row>
    <row r="42" spans="1:5" ht="24" customHeight="1" x14ac:dyDescent="0.25">
      <c r="A42" s="156" t="s">
        <v>2894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0.05</v>
      </c>
    </row>
    <row r="44" spans="1:5" ht="24" customHeight="1" x14ac:dyDescent="0.25">
      <c r="A44" s="148" t="s">
        <v>2895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2887</v>
      </c>
      <c r="B45" s="121">
        <f>SUM(B33:B44)</f>
        <v>28</v>
      </c>
      <c r="C45" s="121">
        <f>SUM(C33:C44)</f>
        <v>12</v>
      </c>
      <c r="D45" s="121">
        <f>SUM(D33:D44)</f>
        <v>40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2901</v>
      </c>
      <c r="B2" s="12" t="s">
        <v>2902</v>
      </c>
      <c r="C2" s="12" t="s">
        <v>1728</v>
      </c>
      <c r="D2" s="12" t="s">
        <v>2903</v>
      </c>
      <c r="E2" s="12" t="s">
        <v>2904</v>
      </c>
    </row>
    <row r="3" spans="1:5" ht="18" customHeight="1" x14ac:dyDescent="0.25">
      <c r="A3" s="12" t="s">
        <v>2901</v>
      </c>
      <c r="B3" s="12" t="s">
        <v>2902</v>
      </c>
      <c r="C3" s="14" t="s">
        <v>24</v>
      </c>
      <c r="D3" s="12" t="s">
        <v>2905</v>
      </c>
      <c r="E3" s="12" t="s">
        <v>2906</v>
      </c>
    </row>
    <row r="4" spans="1:5" ht="18" customHeight="1" x14ac:dyDescent="0.25">
      <c r="A4" s="12" t="s">
        <v>2901</v>
      </c>
      <c r="B4" s="12" t="s">
        <v>2902</v>
      </c>
      <c r="C4" s="12" t="s">
        <v>67</v>
      </c>
      <c r="D4" s="12" t="s">
        <v>2903</v>
      </c>
      <c r="E4" s="12" t="s">
        <v>2907</v>
      </c>
    </row>
    <row r="5" spans="1:5" ht="18" customHeight="1" x14ac:dyDescent="0.25">
      <c r="A5" s="12" t="s">
        <v>2901</v>
      </c>
      <c r="B5" s="12" t="s">
        <v>2902</v>
      </c>
      <c r="C5" s="12" t="s">
        <v>71</v>
      </c>
      <c r="D5" s="12" t="s">
        <v>2908</v>
      </c>
      <c r="E5" s="12" t="s">
        <v>2909</v>
      </c>
    </row>
    <row r="6" spans="1:5" ht="18" customHeight="1" x14ac:dyDescent="0.25">
      <c r="A6" s="12" t="s">
        <v>2901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2901</v>
      </c>
      <c r="B7" s="12" t="s">
        <v>2912</v>
      </c>
      <c r="C7" s="12" t="s">
        <v>32</v>
      </c>
      <c r="D7" s="12" t="s">
        <v>2913</v>
      </c>
      <c r="E7" s="12" t="s">
        <v>2914</v>
      </c>
    </row>
    <row r="8" spans="1:5" ht="18" customHeight="1" x14ac:dyDescent="0.25">
      <c r="A8" s="12" t="s">
        <v>2901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2901</v>
      </c>
      <c r="B9" s="12" t="s">
        <v>2917</v>
      </c>
      <c r="C9" s="12" t="s">
        <v>456</v>
      </c>
      <c r="D9" s="12" t="s">
        <v>2918</v>
      </c>
      <c r="E9" s="12" t="s">
        <v>2919</v>
      </c>
    </row>
    <row r="10" spans="1:5" ht="18" customHeight="1" x14ac:dyDescent="0.25">
      <c r="A10" s="12" t="s">
        <v>2901</v>
      </c>
      <c r="B10" s="12" t="s">
        <v>2917</v>
      </c>
      <c r="C10" s="12" t="s">
        <v>198</v>
      </c>
      <c r="D10" s="12" t="s">
        <v>23</v>
      </c>
      <c r="E10" s="12" t="s">
        <v>2920</v>
      </c>
    </row>
    <row r="11" spans="1:5" ht="18" customHeight="1" x14ac:dyDescent="0.25">
      <c r="A11" s="12" t="s">
        <v>2901</v>
      </c>
      <c r="B11" s="12" t="s">
        <v>2917</v>
      </c>
      <c r="C11" s="12" t="s">
        <v>363</v>
      </c>
      <c r="D11" s="12" t="s">
        <v>23</v>
      </c>
      <c r="E11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2922</v>
      </c>
      <c r="B1" s="5" t="s">
        <v>10</v>
      </c>
      <c r="C1" s="15" t="s">
        <v>2923</v>
      </c>
      <c r="D1" s="15" t="s">
        <v>2826</v>
      </c>
    </row>
    <row r="2" spans="1:4" ht="21" customHeight="1" x14ac:dyDescent="0.25">
      <c r="A2" s="259" t="s">
        <v>23</v>
      </c>
      <c r="B2" s="259" t="s">
        <v>34</v>
      </c>
      <c r="C2" s="12" t="s">
        <v>2924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2925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2926</v>
      </c>
      <c r="B2" s="12" t="s">
        <v>2902</v>
      </c>
      <c r="C2" s="14" t="s">
        <v>24</v>
      </c>
      <c r="D2" s="12" t="s">
        <v>2903</v>
      </c>
      <c r="E2" s="18" t="s">
        <v>2927</v>
      </c>
    </row>
    <row r="3" spans="1:5" ht="18" customHeight="1" x14ac:dyDescent="0.25">
      <c r="A3" s="12" t="s">
        <v>2926</v>
      </c>
      <c r="B3" s="12" t="s">
        <v>2902</v>
      </c>
      <c r="C3" s="12" t="s">
        <v>67</v>
      </c>
      <c r="D3" s="12" t="s">
        <v>2905</v>
      </c>
      <c r="E3" s="12" t="s">
        <v>2928</v>
      </c>
    </row>
    <row r="4" spans="1:5" ht="18" customHeight="1" x14ac:dyDescent="0.25">
      <c r="A4" s="12" t="s">
        <v>2926</v>
      </c>
      <c r="B4" s="12" t="s">
        <v>2902</v>
      </c>
      <c r="C4" s="12" t="s">
        <v>71</v>
      </c>
      <c r="D4" s="12" t="s">
        <v>2908</v>
      </c>
      <c r="E4" s="12" t="s">
        <v>2929</v>
      </c>
    </row>
    <row r="5" spans="1:5" ht="27.75" customHeight="1" x14ac:dyDescent="0.25">
      <c r="A5" s="12" t="s">
        <v>2926</v>
      </c>
      <c r="B5" s="12" t="s">
        <v>2902</v>
      </c>
      <c r="C5" s="12" t="s">
        <v>2688</v>
      </c>
      <c r="D5" s="18" t="s">
        <v>2930</v>
      </c>
      <c r="E5" s="12" t="s">
        <v>2931</v>
      </c>
    </row>
    <row r="6" spans="1:5" ht="18" customHeight="1" x14ac:dyDescent="0.25">
      <c r="A6" s="12" t="s">
        <v>2926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2926</v>
      </c>
      <c r="B7" s="12" t="s">
        <v>2912</v>
      </c>
      <c r="C7" s="12" t="s">
        <v>2709</v>
      </c>
      <c r="D7" s="12" t="s">
        <v>2932</v>
      </c>
      <c r="E7" s="12" t="s">
        <v>2933</v>
      </c>
    </row>
    <row r="8" spans="1:5" ht="18" customHeight="1" x14ac:dyDescent="0.25">
      <c r="A8" s="12" t="s">
        <v>2926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2926</v>
      </c>
      <c r="B9" s="12" t="s">
        <v>2912</v>
      </c>
      <c r="C9" s="12" t="s">
        <v>2693</v>
      </c>
      <c r="D9" s="12" t="s">
        <v>2934</v>
      </c>
      <c r="E9" s="18" t="s">
        <v>2935</v>
      </c>
    </row>
    <row r="10" spans="1:5" ht="18" customHeight="1" x14ac:dyDescent="0.25">
      <c r="A10" s="12" t="s">
        <v>2926</v>
      </c>
      <c r="B10" s="12" t="s">
        <v>2936</v>
      </c>
      <c r="C10" s="12" t="s">
        <v>2894</v>
      </c>
      <c r="D10" s="12" t="s">
        <v>2937</v>
      </c>
      <c r="E10" s="18" t="s">
        <v>2938</v>
      </c>
    </row>
    <row r="11" spans="1:5" ht="18" customHeight="1" x14ac:dyDescent="0.25">
      <c r="A11" s="12" t="s">
        <v>2926</v>
      </c>
      <c r="B11" s="12" t="s">
        <v>2936</v>
      </c>
      <c r="C11" s="12" t="s">
        <v>198</v>
      </c>
      <c r="D11" s="12" t="s">
        <v>23</v>
      </c>
      <c r="E11" s="12" t="s">
        <v>2920</v>
      </c>
    </row>
    <row r="12" spans="1:5" ht="18" customHeight="1" x14ac:dyDescent="0.25">
      <c r="A12" s="12" t="s">
        <v>2926</v>
      </c>
      <c r="B12" s="12" t="s">
        <v>2936</v>
      </c>
      <c r="C12" s="12" t="s">
        <v>363</v>
      </c>
      <c r="D12" s="12" t="s">
        <v>23</v>
      </c>
      <c r="E12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2939</v>
      </c>
      <c r="B1" s="285"/>
      <c r="C1" s="285"/>
      <c r="D1" s="285"/>
      <c r="E1" s="285"/>
      <c r="F1" s="285"/>
    </row>
    <row r="2" spans="1:7" x14ac:dyDescent="0.25">
      <c r="A2" s="286" t="s">
        <v>2940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2829</v>
      </c>
      <c r="C4" s="102" t="s">
        <v>2830</v>
      </c>
      <c r="D4" s="102" t="s">
        <v>2941</v>
      </c>
      <c r="E4" s="102" t="s">
        <v>2831</v>
      </c>
      <c r="F4" s="102" t="s">
        <v>2942</v>
      </c>
    </row>
    <row r="5" spans="1:7" x14ac:dyDescent="0.25">
      <c r="A5" t="str" cm="1">
        <f t="array" ref="A5:A34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Fernanda Viana de Souza</v>
      </c>
      <c r="B15" s="103">
        <f>IF($A15="","",SUMIFS('GECC 2026'!H$2:H$200,'GECC 2026'!F$2:F$200,$A15))</f>
        <v>15</v>
      </c>
      <c r="C15" s="103">
        <f>IF($A15="","",SUMIFS('GECC 2026'!I$2:I$200,'GECC 2026'!F$2:F$200,$A15))</f>
        <v>3.09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18.09</v>
      </c>
      <c r="F15" s="101">
        <f>IF($A15="","",COUNTIFS('GECC 2026'!F$2:F$200,$A15))</f>
        <v>4</v>
      </c>
    </row>
    <row r="16" spans="1:7" x14ac:dyDescent="0.25">
      <c r="A16" t="str">
        <v>Flávio José Fonseca de Souza</v>
      </c>
      <c r="B16" s="103">
        <f>IF($A16="","",SUMIFS('GECC 2026'!H$2:H$200,'GECC 2026'!F$2:F$200,$A16))</f>
        <v>8</v>
      </c>
      <c r="C16" s="103">
        <f>IF($A16="","",SUMIFS('GECC 2026'!I$2:I$200,'GECC 2026'!F$2:F$200,$A16))</f>
        <v>2.4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10.4</v>
      </c>
      <c r="F16" s="101">
        <f>IF($A16="","",COUNTIFS('GECC 2026'!F$2:F$200,$A16))</f>
        <v>1</v>
      </c>
    </row>
    <row r="17" spans="1:6" x14ac:dyDescent="0.25">
      <c r="A17" t="str">
        <v>Gabriel Heller</v>
      </c>
      <c r="B17" s="103">
        <f>IF($A17="","",SUMIFS('GECC 2026'!H$2:H$200,'GECC 2026'!F$2:F$200,$A17))</f>
        <v>36</v>
      </c>
      <c r="C17" s="103">
        <f>IF($A17="","",SUMIFS('GECC 2026'!I$2:I$200,'GECC 2026'!F$2:F$200,$A17))</f>
        <v>1.2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37.200000000000003</v>
      </c>
      <c r="F17" s="101">
        <f>IF($A17="","",COUNTIFS('GECC 2026'!F$2:F$200,$A17))</f>
        <v>2</v>
      </c>
    </row>
    <row r="18" spans="1:6" x14ac:dyDescent="0.25">
      <c r="A18" t="str">
        <v>Gustavo Takahashi</v>
      </c>
      <c r="B18" s="103">
        <f>IF($A18="","",SUMIFS('GECC 2026'!H$2:H$200,'GECC 2026'!F$2:F$200,$A18))</f>
        <v>25</v>
      </c>
      <c r="C18" s="103">
        <f>IF($A18="","",SUMIFS('GECC 2026'!I$2:I$200,'GECC 2026'!F$2:F$200,$A18))</f>
        <v>0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25</v>
      </c>
      <c r="F18" s="101">
        <f>IF($A18="","",COUNTIFS('GECC 2026'!F$2:F$200,$A18))</f>
        <v>4</v>
      </c>
    </row>
    <row r="19" spans="1:6" x14ac:dyDescent="0.25">
      <c r="A19" t="str">
        <v>Hamilton de Jesus Lopes Neto</v>
      </c>
      <c r="B19" s="103">
        <f>IF($A19="","",SUMIFS('GECC 2026'!H$2:H$200,'GECC 2026'!F$2:F$200,$A19))</f>
        <v>12</v>
      </c>
      <c r="C19" s="103">
        <f>IF($A19="","",SUMIFS('GECC 2026'!I$2:I$200,'GECC 2026'!F$2:F$200,$A19))</f>
        <v>1.2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13.2</v>
      </c>
      <c r="F19" s="101">
        <f>IF($A19="","",COUNTIFS('GECC 2026'!F$2:F$200,$A19))</f>
        <v>1</v>
      </c>
    </row>
    <row r="20" spans="1:6" x14ac:dyDescent="0.25">
      <c r="A20" t="str">
        <v>Indio Artiaga do Brasil Rabelo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3.6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15.6</v>
      </c>
      <c r="F20" s="101">
        <f>IF($A20="","",COUNTIFS('GECC 2026'!F$2:F$200,$A20))</f>
        <v>1</v>
      </c>
    </row>
    <row r="21" spans="1:6" x14ac:dyDescent="0.25">
      <c r="A21" t="str">
        <v>Leonardo de Melo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0</v>
      </c>
      <c r="F21" s="101">
        <f>IF($A21="","",COUNTIFS('GECC 2026'!F$2:F$200,$A21))</f>
        <v>1</v>
      </c>
    </row>
    <row r="22" spans="1:6" x14ac:dyDescent="0.25">
      <c r="A22" t="str">
        <v>Leonardo José Alves Leal Neri</v>
      </c>
      <c r="B22" s="103">
        <f>IF($A22="","",SUMIFS('GECC 2026'!H$2:H$200,'GECC 2026'!F$2:F$200,$A22))</f>
        <v>40</v>
      </c>
      <c r="C22" s="103">
        <f>IF($A22="","",SUMIFS('GECC 2026'!I$2:I$200,'GECC 2026'!F$2:F$200,$A22))</f>
        <v>12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52</v>
      </c>
      <c r="F22" s="101">
        <f>IF($A22="","",COUNTIFS('GECC 2026'!F$2:F$200,$A22))</f>
        <v>2</v>
      </c>
    </row>
    <row r="23" spans="1:6" x14ac:dyDescent="0.25">
      <c r="A23" t="str">
        <v>Luciana Alvim</v>
      </c>
      <c r="B23" s="103">
        <f>IF($A23="","",SUMIFS('GECC 2026'!H$2:H$200,'GECC 2026'!F$2:F$200,$A23))</f>
        <v>60</v>
      </c>
      <c r="C23" s="103">
        <f>IF($A23="","",SUMIFS('GECC 2026'!I$2:I$200,'GECC 2026'!F$2:F$200,$A23))</f>
        <v>94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154</v>
      </c>
      <c r="F23" s="101">
        <f>IF($A23="","",COUNTIFS('GECC 2026'!F$2:F$200,$A23))</f>
        <v>6</v>
      </c>
    </row>
    <row r="24" spans="1:6" x14ac:dyDescent="0.25">
      <c r="A24" t="str">
        <v>Marcelo Bálbio Moraes</v>
      </c>
      <c r="B24" s="103">
        <f>IF($A24="","",SUMIFS('GECC 2026'!H$2:H$200,'GECC 2026'!F$2:F$200,$A24))</f>
        <v>0</v>
      </c>
      <c r="C24" s="103">
        <f>IF($A24="","",SUMIFS('GECC 2026'!I$2:I$200,'GECC 2026'!F$2:F$200,$A24))</f>
        <v>0</v>
      </c>
      <c r="D24" s="256">
        <f>IF($A24="","",SUMIFS('GECC 2026'!$AE$3:$AE$32,'GECC 2026'!$AD$3:$AD$32,$A24))</f>
        <v>16</v>
      </c>
      <c r="E24" s="241">
        <f>IF($A24="","",SUMIFS('GECC 2026'!J$2:J$200,'GECC 2026'!F$2:F$200,$A24)+SUMIFS('GECC 2026'!$AE$3:$AE$32,'GECC 2026'!$AD$3:$AD$32,$A24))</f>
        <v>16</v>
      </c>
      <c r="F24" s="101">
        <f>IF($A24="","",COUNTIFS('GECC 2026'!F$2:F$200,$A24))</f>
        <v>0</v>
      </c>
    </row>
    <row r="25" spans="1:6" x14ac:dyDescent="0.25">
      <c r="A25" t="str">
        <v>Mauri Siqueira Montessi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Michel Martins de Morais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Paulo José Góes Daltro</v>
      </c>
      <c r="B27" s="103">
        <f>IF($A27="","",SUMIFS('GECC 2026'!H$2:H$200,'GECC 2026'!F$2:F$200,$A27))</f>
        <v>16</v>
      </c>
      <c r="C27" s="103">
        <f>IF($A27="","",SUMIFS('GECC 2026'!I$2:I$200,'GECC 2026'!F$2:F$200,$A27))</f>
        <v>4.8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20.8</v>
      </c>
      <c r="F27" s="101">
        <f>IF($A27="","",COUNTIFS('GECC 2026'!F$2:F$200,$A27))</f>
        <v>3</v>
      </c>
    </row>
    <row r="28" spans="1:6" x14ac:dyDescent="0.25">
      <c r="A28" t="str">
        <v>Priscila Nolasco</v>
      </c>
      <c r="B28" s="103">
        <f>IF($A28="","",SUMIFS('GECC 2026'!H$2:H$200,'GECC 2026'!F$2:F$200,$A28))</f>
        <v>12</v>
      </c>
      <c r="C28" s="103">
        <f>IF($A28="","",SUMIFS('GECC 2026'!I$2:I$200,'GECC 2026'!F$2:F$200,$A28))</f>
        <v>2.6399999999999997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14.64</v>
      </c>
      <c r="F28" s="101">
        <f>IF($A28="","",COUNTIFS('GECC 2026'!F$2:F$200,$A28))</f>
        <v>3</v>
      </c>
    </row>
    <row r="29" spans="1:6" x14ac:dyDescent="0.25">
      <c r="A29" t="str">
        <v>Reinaldo Alencar</v>
      </c>
      <c r="B29" s="103">
        <f>IF($A29="","",SUMIFS('GECC 2026'!H$2:H$200,'GECC 2026'!F$2:F$200,$A29))</f>
        <v>48</v>
      </c>
      <c r="C29" s="103">
        <f>IF($A29="","",SUMIFS('GECC 2026'!I$2:I$200,'GECC 2026'!F$2:F$200,$A29))</f>
        <v>7.1999999999999993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55.2</v>
      </c>
      <c r="F29" s="101">
        <f>IF($A29="","",COUNTIFS('GECC 2026'!F$2:F$200,$A29))</f>
        <v>3</v>
      </c>
    </row>
    <row r="30" spans="1:6" x14ac:dyDescent="0.25">
      <c r="A30" t="str">
        <v>Rogério Ribeiro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Rômulo Miranda Alvim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3.6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43.6</v>
      </c>
      <c r="F31" s="101">
        <f>IF($A31="","",COUNTIFS('GECC 2026'!F$2:F$200,$A31))</f>
        <v>2</v>
      </c>
    </row>
    <row r="32" spans="1:6" x14ac:dyDescent="0.25">
      <c r="A32" t="str">
        <v>Servidores, colaboradores e estagiários do TCDF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0</v>
      </c>
      <c r="F32" s="101">
        <f>IF($A32="","",COUNTIFS('GECC 2026'!F$2:F$200,$A32))</f>
        <v>1</v>
      </c>
    </row>
    <row r="33" spans="1:6" x14ac:dyDescent="0.25">
      <c r="A33" t="str">
        <v>Tarsila Firmino Ely</v>
      </c>
      <c r="B33" s="103">
        <f>IF($A33="","",SUMIFS('GECC 2026'!H$2:H$200,'GECC 2026'!F$2:F$200,$A33))</f>
        <v>56</v>
      </c>
      <c r="C33" s="103">
        <f>IF($A33="","",SUMIFS('GECC 2026'!I$2:I$200,'GECC 2026'!F$2:F$200,$A33))</f>
        <v>96.4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152.4</v>
      </c>
      <c r="F33" s="101">
        <f>IF($A33="","",COUNTIFS('GECC 2026'!F$2:F$200,$A33))</f>
        <v>5</v>
      </c>
    </row>
    <row r="34" spans="1:6" x14ac:dyDescent="0.25">
      <c r="A34" t="str">
        <v>Túllio Herbeth Teixeira Moraes</v>
      </c>
      <c r="B34" s="103">
        <f>IF($A34="","",SUMIFS('GECC 2026'!H$2:H$200,'GECC 2026'!F$2:F$200,$A34))</f>
        <v>3</v>
      </c>
      <c r="C34" s="103">
        <f>IF($A34="","",SUMIFS('GECC 2026'!I$2:I$200,'GECC 2026'!F$2:F$200,$A34))</f>
        <v>0.44999999999999996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3.45</v>
      </c>
      <c r="F34" s="101">
        <f>IF($A34="","",COUNTIFS('GECC 2026'!F$2:F$200,$A34))</f>
        <v>1</v>
      </c>
    </row>
    <row r="35" spans="1:6" x14ac:dyDescent="0.25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6" t="str">
        <f>IF($A35="","",SUMIFS('GECC 2026'!$AE$3:$AE$32,'GECC 2026'!$AD$3:$AD$32,$A35))</f>
        <v/>
      </c>
      <c r="E35" s="241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2888</v>
      </c>
      <c r="B105" s="243">
        <f>SUM(B5:B100)</f>
        <v>584</v>
      </c>
      <c r="C105" s="243">
        <f>SUM(C5:C100)</f>
        <v>275.89999999999998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68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2943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2944</v>
      </c>
    </row>
    <row r="4" spans="1:8" ht="21.95" customHeight="1" x14ac:dyDescent="0.25">
      <c r="A4" s="288" t="s">
        <v>2945</v>
      </c>
      <c r="B4" s="289"/>
      <c r="D4" s="288" t="s">
        <v>2946</v>
      </c>
      <c r="E4" s="289"/>
      <c r="G4" s="288" t="s">
        <v>2947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2948</v>
      </c>
      <c r="B7" s="143" t="s">
        <v>2949</v>
      </c>
      <c r="C7" s="143" t="s">
        <v>1</v>
      </c>
      <c r="D7" s="143" t="s">
        <v>2950</v>
      </c>
      <c r="E7" s="143" t="s">
        <v>2951</v>
      </c>
      <c r="F7" s="143" t="s">
        <v>2826</v>
      </c>
      <c r="G7" s="143" t="s">
        <v>5</v>
      </c>
      <c r="H7" s="143" t="s">
        <v>2952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2026-06-16T22:03:12Z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