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11" documentId="13_ncr:1_{C887EC22-7CD1-4717-84BE-7303F42C5C0A}" xr6:coauthVersionLast="47" xr6:coauthVersionMax="47" xr10:uidLastSave="{13A01052-0BDB-4DB6-875A-E110BD02973B}"/>
  <bookViews>
    <workbookView xWindow="28680" yWindow="-120" windowWidth="29040" windowHeight="1572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Maratonas" sheetId="27" r:id="rId7"/>
    <sheet name="Dashboard GECC 2026" sheetId="23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17" guid="{77C5030A-63E1-4109-A4D5-32A3FB7E122A}" maximized="1" windowWidth="0" windowHeight="0" activeSheetId="0"/>
    <customWorkbookView name="Filtro 18" guid="{990EC2BE-89D2-41CF-8152-E21202B6F8D8}" maximized="1" windowWidth="0" windowHeight="0" activeSheetId="0"/>
    <customWorkbookView name="Filtro 15" guid="{DDC390A9-8BCC-4E1B-8EE8-FEFD20C963E8}" maximized="1" windowWidth="0" windowHeight="0" activeSheetId="0"/>
    <customWorkbookView name="Filtro 59" guid="{B2B68F91-0ADB-423D-BEF9-757DCA540FDD}" maximized="1" windowWidth="0" windowHeight="0" activeSheetId="0"/>
    <customWorkbookView name="Filtro 16" guid="{9C7682D3-C31F-4FE6-8766-BC418D960F41}" maximized="1" windowWidth="0" windowHeight="0" activeSheetId="0"/>
    <customWorkbookView name="Filtro 57" guid="{6BA1C58C-C21F-47F7-B022-0FEA98904E5F}" maximized="1" windowWidth="0" windowHeight="0" activeSheetId="0"/>
    <customWorkbookView name="Filtro 13" guid="{DF0241CF-B7E5-4FA7-B0C8-FA54D26D77D7}" maximized="1" windowWidth="0" windowHeight="0" activeSheetId="0"/>
    <customWorkbookView name="Filtro 14" guid="{ED877901-4C49-488E-89E7-42CF1935CA6E}" maximized="1" windowWidth="0" windowHeight="0" activeSheetId="0"/>
    <customWorkbookView name="Filtro 58" guid="{DA1621F1-9CA5-43AE-9A42-AC9D36F85B7D}" maximized="1" windowWidth="0" windowHeight="0" activeSheetId="0"/>
    <customWorkbookView name="Filtro 11" guid="{0904EB7B-8DCA-4D50-AD8B-0A671CE637AF}" maximized="1" windowWidth="0" windowHeight="0" activeSheetId="0"/>
    <customWorkbookView name="Filtro 55" guid="{D2A89341-BB3B-405B-B324-3BE49BB6E042}" maximized="1" windowWidth="0" windowHeight="0" activeSheetId="0"/>
    <customWorkbookView name="Filtro 12" guid="{19CACD21-710C-4D14-9ACE-063162C7120B}" maximized="1" windowWidth="0" windowHeight="0" activeSheetId="0"/>
    <customWorkbookView name="Filtro 56" guid="{1105711C-AABE-4812-8827-ED6089DCF11E}" maximized="1" windowWidth="0" windowHeight="0" activeSheetId="0"/>
    <customWorkbookView name="Filtro 53" guid="{2BB93E5B-65F1-4C09-BB9E-66343F5B3E82}" maximized="1" windowWidth="0" windowHeight="0" activeSheetId="0"/>
    <customWorkbookView name="Filtro 10" guid="{633FA869-BC39-409D-BF13-F2C3CBB9EA93}" maximized="1" windowWidth="0" windowHeight="0" activeSheetId="0"/>
    <customWorkbookView name="Filtro 54" guid="{FB245C5C-9A8F-416D-A134-0975CF96E595}" maximized="1" windowWidth="0" windowHeight="0" activeSheetId="0"/>
    <customWorkbookView name="Filtro 51" guid="{0F15AC02-A38D-4E8A-8C4B-DD7F2868099F}" maximized="1" windowWidth="0" windowHeight="0" activeSheetId="0"/>
    <customWorkbookView name="Filtro 52" guid="{560766DC-06F5-422D-B190-641D8FE5A38D}" maximized="1" windowWidth="0" windowHeight="0" activeSheetId="0"/>
    <customWorkbookView name="Filtro 50" guid="{5480ECB2-55D1-41C0-8514-F0684F861D24}" maximized="1" windowWidth="0" windowHeight="0" activeSheetId="0"/>
    <customWorkbookView name="Filtro 28" guid="{1AB13F6B-0D74-43EC-B774-8B52A94E0814}" maximized="1" windowWidth="0" windowHeight="0" activeSheetId="0"/>
    <customWorkbookView name="Filtro 29" guid="{B5CEFD59-C042-4547-AAFF-F62EC921EEC6}" maximized="1" windowWidth="0" windowHeight="0" activeSheetId="0"/>
    <customWorkbookView name="Filtro 26" guid="{3B6786E1-C731-4815-9553-455D14481DD3}" maximized="1" windowWidth="0" windowHeight="0" activeSheetId="0"/>
    <customWorkbookView name="Filtro 27" guid="{23C9FC25-18F4-47EF-A3B5-759DEC27F9E9}" maximized="1" windowWidth="0" windowHeight="0" activeSheetId="0"/>
    <customWorkbookView name="Filtro 8" guid="{7F93445C-3064-44FB-ABC5-E30DCF77756E}" maximized="1" windowWidth="0" windowHeight="0" activeSheetId="0"/>
    <customWorkbookView name="Filtro 24" guid="{9A493B68-EB00-440B-8491-378C02F67A40}" maximized="1" windowWidth="0" windowHeight="0" activeSheetId="0"/>
    <customWorkbookView name="Filtro 9" guid="{2AF3BD90-56F5-45E9-AAA2-03E540B72567}" maximized="1" windowWidth="0" windowHeight="0" activeSheetId="0"/>
    <customWorkbookView name="Filtro 25" guid="{743E0231-3395-43B3-ADCA-F3A128F1B83A}" maximized="1" windowWidth="0" windowHeight="0" activeSheetId="0"/>
    <customWorkbookView name="Filtro 22" guid="{371F802A-A094-48E0-BF99-0747C34D37B9}" maximized="1" windowWidth="0" windowHeight="0" activeSheetId="0"/>
    <customWorkbookView name="Filtro 23" guid="{A1C80D12-5F51-43D3-B26D-C4E8E80E8CF2}" maximized="1" windowWidth="0" windowHeight="0" activeSheetId="0"/>
    <customWorkbookView name="Filtro 20" guid="{70652B29-1ABA-485A-9A80-A46DCDFDCA82}" maximized="1" windowWidth="0" windowHeight="0" activeSheetId="0"/>
    <customWorkbookView name="Filtro 21" guid="{A3242535-E588-41A5-A488-2E120680CF6E}" maximized="1" windowWidth="0" windowHeight="0" activeSheetId="0"/>
    <customWorkbookView name="Filtro 62" guid="{BF3829F5-7BD2-40A9-9D59-6FA51DE0B5DA}" maximized="1" windowWidth="0" windowHeight="0" activeSheetId="0"/>
    <customWorkbookView name="Filtro 60" guid="{3A0B7064-EFB6-42D3-AA59-F49B2C2E28A3}" maximized="1" windowWidth="0" windowHeight="0" activeSheetId="0"/>
    <customWorkbookView name="Filtro 61" guid="{02C55D31-8E27-44A2-A753-221185C3D450}" maximized="1" windowWidth="0" windowHeight="0" activeSheetId="0"/>
    <customWorkbookView name="Filtro 19" guid="{F8DFD977-D486-42A2-ADDC-71E97C40849F}" maximized="1" windowWidth="0" windowHeight="0" activeSheetId="0"/>
    <customWorkbookView name="Filtro 39" guid="{AA5A0339-5E84-4A56-8746-33FE6401E32F}" maximized="1" windowWidth="0" windowHeight="0" activeSheetId="0"/>
    <customWorkbookView name="Filtro 37" guid="{AB062F27-A6C8-47F1-BE53-0FF9CA1DEF53}" maximized="1" windowWidth="0" windowHeight="0" activeSheetId="0"/>
    <customWorkbookView name="Filtro 38" guid="{6F970FA6-35FA-43B5-8000-ED45D53ABBFB}" maximized="1" windowWidth="0" windowHeight="0" activeSheetId="0"/>
    <customWorkbookView name="Filtro 35" guid="{BD49A265-64CA-4E25-B77B-BEA5B216E8B0}" maximized="1" windowWidth="0" windowHeight="0" activeSheetId="0"/>
    <customWorkbookView name="Filtro 36" guid="{DA4468DA-23DF-4CE6-A7A1-D96801F812A5}" maximized="1" windowWidth="0" windowHeight="0" activeSheetId="0"/>
    <customWorkbookView name="Filtro 33" guid="{0C325FD1-5773-4650-8B0D-3332A38760DC}" maximized="1" windowWidth="0" windowHeight="0" activeSheetId="0"/>
    <customWorkbookView name="Filtro 34" guid="{C7C27644-1A5D-4074-B300-764545BFC964}" maximized="1" windowWidth="0" windowHeight="0" activeSheetId="0"/>
    <customWorkbookView name="Filtro 31" guid="{678EC2BA-6745-461E-BAC1-D09F77FA1062}" maximized="1" windowWidth="0" windowHeight="0" activeSheetId="0"/>
    <customWorkbookView name="Filtro 32" guid="{265C295C-DFB6-4951-B01D-86C18934578C}" maximized="1" windowWidth="0" windowHeight="0" activeSheetId="0"/>
    <customWorkbookView name="Filtro 30" guid="{2AB5F1EE-8485-44BA-A278-7AE3DE9CF145}" maximized="1" windowWidth="0" windowHeight="0" activeSheetId="0"/>
    <customWorkbookView name="Filtro 4" guid="{091F3115-1E32-40D6-93A0-F16A7E814F96}" maximized="1" windowWidth="0" windowHeight="0" activeSheetId="0"/>
    <customWorkbookView name="Filtro 5" guid="{1C752AA4-ECD6-4155-AAB6-DB036719A0D6}" maximized="1" windowWidth="0" windowHeight="0" activeSheetId="0"/>
    <customWorkbookView name="Filtro 6" guid="{6A040256-BBC3-4938-A5D6-D77105714F23}" maximized="1" windowWidth="0" windowHeight="0" activeSheetId="0"/>
    <customWorkbookView name="Filtro 7" guid="{E936EEA7-993F-4552-BBDF-E1DB0091DFDE}" maximized="1" windowWidth="0" windowHeight="0" activeSheetId="0"/>
    <customWorkbookView name="Filtro 1" guid="{69BC16F3-55B0-4A0A-9007-3B0C4D012204}" maximized="1" windowWidth="0" windowHeight="0" activeSheetId="0"/>
    <customWorkbookView name="Filtro 2" guid="{DC0F290D-0110-4230-A92A-0C9FF5FA3573}" maximized="1" windowWidth="0" windowHeight="0" activeSheetId="0"/>
    <customWorkbookView name="Filtro 3" guid="{34EB6BDD-DB10-46C3-8070-38A1FF20F467}" maximized="1" windowWidth="0" windowHeight="0" activeSheetId="0"/>
    <customWorkbookView name="Filtro 48" guid="{437C4520-960F-4EE8-BC29-5EAC5035FDE9}" maximized="1" windowWidth="0" windowHeight="0" activeSheetId="0"/>
    <customWorkbookView name="Filtro 49" guid="{888656D7-51D7-4D86-82B1-69398E74949E}" maximized="1" windowWidth="0" windowHeight="0" activeSheetId="0"/>
    <customWorkbookView name="Filtro 46" guid="{426752F7-EFAA-494A-8C44-3FE740F51102}" maximized="1" windowWidth="0" windowHeight="0" activeSheetId="0"/>
    <customWorkbookView name="Filtro 47" guid="{B3051128-E594-4E84-A90F-3E0AA1920164}" maximized="1" windowWidth="0" windowHeight="0" activeSheetId="0"/>
    <customWorkbookView name="Filtro 44" guid="{466B00F4-CD06-4459-9EAD-5E099599461D}" maximized="1" windowWidth="0" windowHeight="0" activeSheetId="0"/>
    <customWorkbookView name="Filtro 45" guid="{37A81383-EB82-4415-9CA7-3B544A1BA6DF}" maximized="1" windowWidth="0" windowHeight="0" activeSheetId="0"/>
    <customWorkbookView name="Filtro 42" guid="{66204134-7843-4E4D-9132-12589B1C9904}" maximized="1" windowWidth="0" windowHeight="0" activeSheetId="0"/>
    <customWorkbookView name="Filtro 43" guid="{983434C3-FA2A-4410-B75A-EB842981FB7E}" maximized="1" windowWidth="0" windowHeight="0" activeSheetId="0"/>
    <customWorkbookView name="Filtro 40" guid="{32D42168-6533-486B-BA4F-1FCBEE1D5E70}" maximized="1" windowWidth="0" windowHeight="0" activeSheetId="0"/>
    <customWorkbookView name="Filtro 41" guid="{CA3FE984-959D-4FD1-AD51-F273057287D0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F105" i="23" l="1"/>
  <c r="G5" i="23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<sst xmlns="http://schemas.openxmlformats.org/spreadsheetml/2006/main" count="6630" uniqueCount="2991">
  <si>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</si>
  <si>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</si>
  <si>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</si>
  <si>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</si>
  <si>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</si>
  <si>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</si>
  <si>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</si>
  <si>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</si>
  <si>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</si>
  <si>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</si>
  <si>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</si>
  <si>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</si>
  <si>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</si>
  <si>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</si>
  <si>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</si>
  <si>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</si>
  <si>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</si>
  <si>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</si>
  <si>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</si>
  <si>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</si>
  <si>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</si>
  <si>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</si>
  <si>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</si>
  <si>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</si>
  <si>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</si>
  <si>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</si>
  <si>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</si>
  <si>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</si>
  <si>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</si>
  <si>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</si>
  <si>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</si>
  <si>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</si>
  <si>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</si>
  <si>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</si>
  <si>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</si>
  <si>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</si>
  <si>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</si>
  <si>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</si>
  <si>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</si>
  <si>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</si>
  <si>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</si>
  <si>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</si>
  <si>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</si>
  <si>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</si>
  <si>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</si>
  <si>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</si>
  <si>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</si>
  <si>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</si>
  <si>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</si>
  <si>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</si>
  <si>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</si>
  <si>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</si>
  <si>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</si>
  <si>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</si>
  <si>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</si>
  <si>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</si>
  <si>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</si>
  <si>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</si>
  <si>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</si>
  <si>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</si>
  <si>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</si>
  <si>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</si>
  <si>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</si>
  <si>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</si>
  <si>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</si>
  <si>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</si>
  <si>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</si>
  <si>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</si>
  <si>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</si>
  <si>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</si>
  <si>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</si>
  <si>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</si>
  <si>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</si>
  <si>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</si>
  <si>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</si>
  <si>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</si>
  <si>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</si>
  <si>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</si>
  <si>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</si>
  <si>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</si>
  <si>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</si>
  <si>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</si>
  <si>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</si>
  <si>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</si>
  <si>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</si>
  <si>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</si>
  <si>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</si>
  <si>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</si>
  <si>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</si>
  <si>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</si>
  <si>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</si>
  <si>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</si>
  <si>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</si>
  <si>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</si>
  <si>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</si>
  <si>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</si>
  <si>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</si>
  <si>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</si>
  <si>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</si>
  <si>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</si>
  <si>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</si>
  <si>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</si>
  <si>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</si>
  <si>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</si>
  <si>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</si>
  <si>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</si>
  <si>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</si>
  <si>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</si>
  <si>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</si>
  <si>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</si>
  <si>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</si>
  <si>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</si>
  <si>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</si>
  <si>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</si>
  <si>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</si>
  <si>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</si>
  <si>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</si>
  <si>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</si>
  <si>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</si>
  <si>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</si>
  <si>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</si>
  <si>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</si>
  <si>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</si>
  <si>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</si>
  <si>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</si>
  <si>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</si>
  <si>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</si>
  <si>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</si>
  <si>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</si>
  <si>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</si>
  <si>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</si>
  <si>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</si>
  <si>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</si>
  <si>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</si>
  <si>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</si>
  <si>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</si>
  <si>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</si>
  <si>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</si>
  <si>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</si>
  <si>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</si>
  <si>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</si>
  <si>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</si>
  <si>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</si>
  <si>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</si>
  <si>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</si>
  <si>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</si>
  <si>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</si>
  <si>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</si>
  <si>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</si>
  <si>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</si>
  <si>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</si>
  <si>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</si>
  <si>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</si>
  <si>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</si>
  <si>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</si>
  <si>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</si>
  <si>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</si>
  <si>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</si>
  <si>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</si>
  <si>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</si>
  <si>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</si>
  <si>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</si>
  <si>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</si>
  <si>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</si>
  <si>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</si>
  <si>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</si>
  <si>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</si>
  <si>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</si>
  <si>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</si>
  <si>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</si>
  <si>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</si>
  <si>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</si>
  <si>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</si>
  <si>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</si>
  <si>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</si>
  <si>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</si>
  <si>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</si>
  <si>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</si>
  <si>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</si>
  <si>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</si>
  <si>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</si>
  <si>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</si>
  <si>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</si>
  <si>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</si>
  <si>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</si>
  <si>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</si>
  <si>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</si>
  <si>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</si>
  <si>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</si>
  <si>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</si>
  <si>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</si>
  <si>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</si>
  <si>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</si>
  <si>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</si>
  <si>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</si>
  <si>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</si>
  <si>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</si>
  <si>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</si>
  <si>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</si>
  <si>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</si>
  <si>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</si>
  <si>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</si>
  <si>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</si>
  <si>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</si>
  <si>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</si>
  <si>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</si>
  <si>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</si>
  <si>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</si>
  <si>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</si>
  <si>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</si>
  <si>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</si>
  <si>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</si>
  <si>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</si>
  <si>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</si>
  <si>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</si>
  <si>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</si>
  <si>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</si>
  <si>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</si>
  <si>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</si>
  <si>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</si>
  <si>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</si>
  <si>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</si>
  <si>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</si>
  <si>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</si>
  <si>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</si>
  <si>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</si>
  <si>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</si>
  <si>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</si>
  <si>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</si>
  <si>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</si>
  <si>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</si>
  <si>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</si>
  <si>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</si>
  <si>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</si>
  <si>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</si>
  <si>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</si>
  <si>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</si>
  <si>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</si>
  <si>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</si>
  <si>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</si>
  <si>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</si>
  <si>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</si>
  <si>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</si>
  <si>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</si>
  <si>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</si>
  <si>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</si>
  <si>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</si>
  <si>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</si>
  <si>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</si>
  <si>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</si>
  <si>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</si>
  <si>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</si>
  <si>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</si>
  <si>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</si>
  <si>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</si>
  <si>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</si>
  <si>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</si>
  <si>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</si>
  <si>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</si>
  <si>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</si>
  <si>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</si>
  <si>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</si>
  <si>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</si>
  <si>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</si>
  <si>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</si>
  <si>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</si>
  <si>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</si>
  <si>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</si>
  <si>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</si>
  <si>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</si>
  <si>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</si>
  <si>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</si>
  <si>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</si>
  <si>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</si>
  <si>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</si>
  <si>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</si>
  <si>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</si>
  <si>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</si>
  <si>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</si>
  <si>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</si>
  <si>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</si>
  <si>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</si>
  <si>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</si>
  <si>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</si>
  <si>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</si>
  <si>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</si>
  <si>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</si>
  <si>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</si>
  <si>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</si>
  <si>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</si>
  <si>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</si>
  <si>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</si>
  <si>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</si>
  <si>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</si>
  <si>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</si>
  <si>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</si>
  <si>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</si>
  <si>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</si>
  <si>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</si>
  <si>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</si>
  <si>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</si>
  <si>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</si>
  <si>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</si>
  <si>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</si>
  <si>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</si>
  <si>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</si>
  <si>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</si>
  <si>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</si>
  <si>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</si>
  <si>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</si>
  <si>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</si>
  <si>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</si>
  <si>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</si>
  <si>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</si>
  <si>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</si>
  <si>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</si>
  <si>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</si>
  <si>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</si>
  <si>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</si>
  <si>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</si>
  <si>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</si>
  <si>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</si>
  <si>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</si>
  <si>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</si>
  <si>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</si>
  <si>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</si>
  <si>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</si>
  <si>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</si>
  <si>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</si>
  <si>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</si>
  <si>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</si>
  <si>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</si>
  <si>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</si>
  <si>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</si>
  <si>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</si>
  <si>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</si>
  <si>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</si>
  <si>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</si>
  <si>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</si>
  <si>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</si>
  <si>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</si>
  <si>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</si>
  <si>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</si>
  <si>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</si>
  <si>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</si>
  <si>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</si>
  <si>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</si>
  <si>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</si>
  <si>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</si>
  <si>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</si>
  <si>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</si>
  <si>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</si>
  <si>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</si>
  <si>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</si>
  <si>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</si>
  <si>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</si>
  <si>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</si>
  <si>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</si>
  <si>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</si>
  <si>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</si>
  <si>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</si>
  <si>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</si>
  <si>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</si>
  <si>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</si>
  <si>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</si>
  <si>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</si>
  <si>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</si>
  <si>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</si>
  <si>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</si>
  <si>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</si>
  <si>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</si>
  <si>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</si>
  <si>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</si>
  <si>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</si>
  <si>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</si>
  <si>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</si>
  <si>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</si>
  <si>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</si>
  <si>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</si>
  <si>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</si>
  <si>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</si>
  <si>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</si>
  <si>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</si>
  <si>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</si>
  <si>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</si>
  <si>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</si>
  <si>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</si>
  <si>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</si>
  <si>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</si>
  <si>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</si>
  <si>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</si>
  <si>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</si>
  <si>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</si>
  <si>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</si>
  <si>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</si>
  <si>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</si>
  <si>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</si>
  <si>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</si>
  <si>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</si>
  <si>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</si>
  <si>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</si>
  <si>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</si>
  <si>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</si>
  <si>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</si>
  <si>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</si>
  <si>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</si>
  <si>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</si>
  <si>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</si>
  <si>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</si>
  <si>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</si>
  <si>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</si>
  <si>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</si>
  <si>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</si>
  <si>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</si>
  <si>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</si>
  <si>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</si>
  <si>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</si>
  <si>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</si>
  <si>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</si>
  <si>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</si>
  <si>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</si>
  <si>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</si>
  <si>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</si>
  <si>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</si>
  <si>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</si>
  <si>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</si>
  <si>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</si>
  <si>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</si>
  <si>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</si>
  <si>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</si>
  <si>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</si>
  <si>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</si>
  <si>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</si>
  <si>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</si>
  <si>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</si>
  <si>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</si>
  <si>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</si>
  <si>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</si>
  <si>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</si>
  <si>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</si>
  <si>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</si>
  <si>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</si>
  <si>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</si>
  <si>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</si>
  <si>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</si>
  <si>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</si>
  <si>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</si>
  <si>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</si>
  <si>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</si>
  <si>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</si>
  <si>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</si>
  <si>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</si>
  <si>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</si>
  <si>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</si>
  <si>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</si>
  <si>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</si>
  <si>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</si>
  <si>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</si>
  <si>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</si>
  <si>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</si>
  <si>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</si>
  <si>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</si>
  <si>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</si>
  <si>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</si>
  <si>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</si>
  <si>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</si>
  <si>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</si>
  <si>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</si>
  <si>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</si>
  <si>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</si>
  <si>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</si>
  <si>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</si>
  <si>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</si>
  <si>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</si>
  <si>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</si>
  <si>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</si>
  <si>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</si>
  <si>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</si>
  <si>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</si>
  <si>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</si>
  <si>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</si>
  <si>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</si>
  <si>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</si>
  <si>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</si>
  <si>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</si>
  <si>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</si>
  <si>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</si>
  <si>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</si>
  <si>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</si>
  <si>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</si>
  <si>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</si>
  <si>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</si>
  <si>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</si>
  <si>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</si>
  <si>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</si>
  <si>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</si>
  <si>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</si>
  <si>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</si>
  <si>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</si>
  <si>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</si>
  <si>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</si>
  <si>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</si>
  <si>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</si>
  <si>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</si>
  <si>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</si>
  <si>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</si>
  <si>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</si>
  <si>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</si>
  <si>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</si>
  <si>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</si>
  <si>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</si>
  <si>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</si>
  <si>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</si>
  <si>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</si>
  <si>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</si>
  <si>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</si>
  <si>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</si>
  <si>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</si>
  <si>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</si>
  <si>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</si>
  <si>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</si>
  <si>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</si>
  <si>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</si>
  <si>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</si>
  <si>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</si>
  <si>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</si>
  <si>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</si>
  <si>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</si>
  <si>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</si>
  <si>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</si>
  <si>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</si>
  <si>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</si>
  <si>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</si>
  <si>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</si>
  <si>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</si>
  <si>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</si>
  <si>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</si>
  <si>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</si>
  <si>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</si>
  <si>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</si>
  <si>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</si>
  <si>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</si>
  <si>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</si>
  <si>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</si>
  <si>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</si>
  <si>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</si>
  <si>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</si>
  <si>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</si>
  <si>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</si>
  <si>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</si>
  <si>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</si>
  <si>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</si>
  <si>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</si>
  <si>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</si>
  <si>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</si>
  <si>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</si>
  <si>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</si>
  <si>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</si>
  <si>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</si>
  <si>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</si>
  <si>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</si>
  <si>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</si>
  <si>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</si>
  <si>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</si>
  <si>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</si>
  <si>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</si>
  <si>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</si>
  <si>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</si>
  <si>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</si>
  <si>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</si>
  <si>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</si>
  <si>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</si>
  <si>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</si>
  <si>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</si>
  <si>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</si>
  <si>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</si>
  <si>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</si>
  <si>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</si>
  <si>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</si>
  <si>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</si>
  <si>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</si>
  <si>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</si>
  <si>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</si>
  <si>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</si>
  <si>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</si>
  <si>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</si>
  <si>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</si>
  <si>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</si>
  <si>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</si>
  <si>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</si>
  <si>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</si>
  <si>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</si>
  <si>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</si>
  <si>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</si>
  <si>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</si>
  <si>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</si>
  <si>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</si>
  <si>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</si>
  <si>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</si>
  <si>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</si>
  <si>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</si>
  <si>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</si>
  <si>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</si>
  <si>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</si>
  <si>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</si>
  <si>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</si>
  <si>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</si>
  <si>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</si>
  <si>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</si>
  <si>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</si>
  <si>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</si>
  <si>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</si>
  <si>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</si>
  <si>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</si>
  <si>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</si>
  <si>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</si>
  <si>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</si>
  <si>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</si>
  <si>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</si>
  <si>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</si>
  <si>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</si>
  <si>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</si>
  <si>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</si>
  <si>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</si>
  <si>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</si>
  <si>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</si>
  <si>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</si>
  <si>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</si>
  <si>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</si>
  <si>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</si>
  <si>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</si>
  <si>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</si>
  <si>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</si>
  <si>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</si>
  <si>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</si>
  <si>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</si>
  <si>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</si>
  <si>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</si>
  <si>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</si>
  <si>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</si>
  <si>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</si>
  <si>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</si>
  <si>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</si>
  <si>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</si>
  <si>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</si>
  <si>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</si>
  <si>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</si>
  <si>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</si>
  <si>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</si>
  <si>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</si>
  <si>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</si>
  <si>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</si>
  <si>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</si>
  <si>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</si>
  <si>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</si>
  <si>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</si>
  <si>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</si>
  <si>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</si>
  <si>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</si>
  <si>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</si>
  <si>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</si>
  <si>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</si>
  <si>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</si>
  <si>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</si>
  <si>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</si>
  <si>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</si>
  <si>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</si>
  <si>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</si>
  <si>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</si>
  <si>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</si>
  <si>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</si>
  <si>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</si>
  <si>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</si>
  <si>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</si>
  <si>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</si>
  <si>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</si>
  <si>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</si>
  <si>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</si>
  <si>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</si>
  <si>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</si>
  <si>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</si>
  <si>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</si>
  <si>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</si>
  <si>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</si>
  <si>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</si>
  <si>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</si>
  <si>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</si>
  <si>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</si>
  <si>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</si>
  <si>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</si>
  <si>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</si>
  <si>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</si>
  <si>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</si>
  <si>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</si>
  <si>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</si>
  <si>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</si>
  <si>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</si>
  <si>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</si>
  <si>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</si>
  <si>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</si>
  <si>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</si>
  <si>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</si>
  <si>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</si>
  <si>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</si>
  <si>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</si>
  <si>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</si>
  <si>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</si>
  <si>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</si>
  <si>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</si>
  <si>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</si>
  <si>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</si>
  <si>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</si>
  <si>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</si>
  <si>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</si>
  <si>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</si>
  <si>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</si>
  <si>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</si>
  <si>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</si>
  <si>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</si>
  <si>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</si>
  <si>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</si>
  <si>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</si>
  <si>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</si>
  <si>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</si>
  <si>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</si>
  <si>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</si>
  <si>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</si>
  <si>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</si>
  <si>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</si>
  <si>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</si>
  <si>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</si>
  <si>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</si>
  <si>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</si>
  <si>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</si>
  <si>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</si>
  <si>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</si>
  <si>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</si>
  <si>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</si>
  <si>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</si>
  <si>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</si>
  <si>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</si>
  <si>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</si>
  <si>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</si>
  <si>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</si>
  <si>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</si>
  <si>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</si>
  <si>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</si>
  <si>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</si>
  <si>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</si>
  <si>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</si>
  <si>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</si>
  <si>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</si>
  <si>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</si>
  <si>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</si>
  <si>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</si>
  <si>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</si>
  <si>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</si>
  <si>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</si>
  <si>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</si>
  <si>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</si>
  <si>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</si>
  <si>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</si>
  <si>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</si>
  <si>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</si>
  <si>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</si>
  <si>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</si>
  <si>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</si>
  <si>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</si>
  <si>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</si>
  <si>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</si>
  <si>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</si>
  <si>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</si>
  <si>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</si>
  <si>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</si>
  <si>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</si>
  <si>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</si>
  <si>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</si>
  <si>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</si>
  <si>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</si>
  <si>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</si>
  <si>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</si>
  <si>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</si>
  <si>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</si>
  <si>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</si>
  <si>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</si>
  <si>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</si>
  <si>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</si>
  <si>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</si>
  <si>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</si>
  <si>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</si>
  <si>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</si>
  <si>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</si>
  <si>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</si>
  <si>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</si>
  <si>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</si>
  <si>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</si>
  <si>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</si>
  <si>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</si>
  <si>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</si>
  <si>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</si>
  <si>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</si>
  <si>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</si>
  <si>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</si>
  <si>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</si>
  <si>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</si>
  <si>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</si>
  <si>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</si>
  <si>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</si>
  <si>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</si>
  <si>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</si>
  <si>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</si>
  <si>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</si>
  <si>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</si>
  <si>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</si>
  <si>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</si>
  <si>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</si>
  <si>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</si>
  <si>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</si>
  <si>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</si>
  <si>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</si>
  <si>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</si>
  <si>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</si>
  <si>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</si>
  <si>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</si>
  <si>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</si>
  <si>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</si>
  <si>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</si>
  <si>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</si>
  <si>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</si>
  <si>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</si>
  <si>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</si>
  <si>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</si>
  <si>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</si>
  <si>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</si>
  <si>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</si>
  <si>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</si>
  <si>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</si>
  <si>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</si>
  <si>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</si>
  <si>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</si>
  <si>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</si>
  <si>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</si>
  <si>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</si>
  <si>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</si>
  <si>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</si>
  <si>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</si>
  <si>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</si>
  <si>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</si>
  <si>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</si>
  <si>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</si>
  <si>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</si>
  <si>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</si>
  <si>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</si>
  <si>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</si>
  <si>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</si>
  <si>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</si>
  <si>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</si>
  <si>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</si>
  <si>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</si>
  <si>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</si>
  <si>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</si>
  <si>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</si>
  <si>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</si>
  <si>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</si>
  <si>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</si>
  <si>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</si>
  <si>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</si>
  <si>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</si>
  <si>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</si>
  <si>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</si>
  <si>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</si>
  <si>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</si>
  <si>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</si>
  <si>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</si>
  <si>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</si>
  <si>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</si>
  <si>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</si>
  <si>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</si>
  <si>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</si>
  <si>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</si>
  <si>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</si>
  <si>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</si>
  <si>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</si>
  <si>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</si>
  <si>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</si>
  <si>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</si>
  <si>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</si>
  <si>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</si>
  <si>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</si>
  <si>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</si>
  <si>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</si>
  <si>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</si>
  <si>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</si>
  <si>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</si>
  <si>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</si>
  <si>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</si>
  <si>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</si>
  <si>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</si>
  <si>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</si>
  <si>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</si>
  <si>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</si>
  <si>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</si>
  <si>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</si>
  <si>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</si>
  <si>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</si>
  <si>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</si>
  <si>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</si>
  <si>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</si>
  <si>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</si>
  <si>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</si>
  <si>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</si>
  <si>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</si>
  <si>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</si>
  <si>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</si>
  <si>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</si>
  <si>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</si>
  <si>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</si>
  <si>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</si>
  <si>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</si>
  <si>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</si>
  <si>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</si>
  <si>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</si>
  <si>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</si>
  <si>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</si>
  <si>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</si>
  <si>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</si>
  <si>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</si>
  <si>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</si>
  <si>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</si>
  <si>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</si>
  <si>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</si>
  <si>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</si>
  <si>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</si>
  <si>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</si>
  <si>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</si>
  <si>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</si>
  <si>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</si>
  <si>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</si>
  <si>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</si>
  <si>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</si>
  <si>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</si>
  <si>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</si>
  <si>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</si>
  <si>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</si>
  <si>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</si>
  <si>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</si>
  <si>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</si>
  <si>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</si>
  <si>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</si>
  <si>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</si>
  <si>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</si>
  <si>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</si>
  <si>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</si>
  <si>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</si>
  <si>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</si>
  <si>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</si>
  <si>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</si>
  <si>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</si>
  <si>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</si>
  <si>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</si>
  <si>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</si>
  <si>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</si>
  <si>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</si>
  <si>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</si>
  <si>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</si>
  <si>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</si>
  <si>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</si>
  <si>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</si>
  <si>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</si>
  <si>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</si>
  <si>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</si>
  <si>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</si>
  <si>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</si>
  <si>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</si>
  <si>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</si>
  <si>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</si>
  <si>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</si>
  <si>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</si>
  <si>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</si>
  <si>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</si>
  <si>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</si>
  <si>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</si>
  <si>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</si>
  <si>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</si>
  <si>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</si>
  <si>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</si>
  <si>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</si>
  <si>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</si>
  <si>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</si>
  <si>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</si>
  <si>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</si>
  <si>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</si>
  <si>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</si>
  <si>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</si>
  <si>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</si>
  <si>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</si>
  <si>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</si>
  <si>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</si>
  <si>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</si>
  <si>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</si>
  <si>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</si>
  <si>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</si>
  <si>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</si>
  <si>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</si>
  <si>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</si>
  <si>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</si>
  <si>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</si>
  <si>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</si>
  <si>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</si>
  <si>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</si>
  <si>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</si>
  <si>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</si>
  <si>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</si>
  <si>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</si>
  <si>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</si>
  <si>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</si>
  <si>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</si>
  <si>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</si>
  <si>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</si>
  <si>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</si>
  <si>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</si>
  <si>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</si>
  <si>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</si>
  <si>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</si>
  <si>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</si>
  <si>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</si>
  <si>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</si>
  <si>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</si>
  <si>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</si>
  <si>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</si>
  <si>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</si>
  <si>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</si>
  <si>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</si>
  <si>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</si>
  <si>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</si>
  <si>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</si>
  <si>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</si>
  <si>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</si>
  <si>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</si>
  <si>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</si>
  <si>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</si>
  <si>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</si>
  <si>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</si>
  <si>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</si>
  <si>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</si>
  <si>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</si>
  <si>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</si>
  <si>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</si>
  <si>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</si>
  <si>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</si>
  <si>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</si>
  <si>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</si>
  <si>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</si>
  <si>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</si>
  <si>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</si>
  <si>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</si>
  <si>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</si>
  <si>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</si>
  <si>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</si>
  <si>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</si>
  <si>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</si>
  <si>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</si>
  <si>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</si>
  <si>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</si>
  <si>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</si>
  <si>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</si>
  <si>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</si>
  <si>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</si>
  <si>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</si>
  <si>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</si>
  <si>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</si>
  <si>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</si>
  <si>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</si>
  <si>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</si>
  <si>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</si>
  <si>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</si>
  <si>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</si>
  <si>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</si>
  <si>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</si>
  <si>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</si>
  <si>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</si>
  <si>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</si>
  <si>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</si>
  <si>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</si>
  <si>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</si>
  <si>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</si>
  <si>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</si>
  <si>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</si>
  <si>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</si>
  <si>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</si>
  <si>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</si>
  <si>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</si>
  <si>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</si>
  <si>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</si>
  <si>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</si>
  <si>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</si>
  <si>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</si>
  <si>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</si>
  <si>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</si>
  <si>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</si>
  <si>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</si>
  <si>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</si>
  <si>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</si>
  <si>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</si>
  <si>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</si>
  <si>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</si>
  <si>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</si>
  <si>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</si>
  <si>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</si>
  <si>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</si>
  <si>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</si>
  <si>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</si>
  <si>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</si>
  <si>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</si>
  <si>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</si>
  <si>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</si>
  <si>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</si>
  <si>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</si>
  <si>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</si>
  <si>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</si>
  <si>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</si>
  <si>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</si>
  <si>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</si>
  <si>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</si>
  <si>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</si>
  <si>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</si>
  <si>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</si>
  <si>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</si>
  <si>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</si>
  <si>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</si>
  <si>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</si>
  <si>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</si>
  <si>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</si>
  <si>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</si>
  <si>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</si>
  <si>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</si>
  <si>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</si>
  <si>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</si>
  <si>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</si>
  <si>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</si>
  <si>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</si>
  <si>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</si>
  <si>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</si>
  <si>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</si>
  <si>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</si>
  <si>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</si>
  <si>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</si>
  <si>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</si>
  <si>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</si>
  <si>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</si>
  <si>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</si>
  <si>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</si>
  <si>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</si>
  <si>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</si>
  <si>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</si>
  <si>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</si>
  <si>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</si>
  <si>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</si>
  <si>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</si>
  <si>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</si>
  <si>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</si>
  <si>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</si>
  <si>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</si>
  <si>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</si>
  <si>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</si>
  <si>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</si>
  <si>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</si>
  <si>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</si>
  <si>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</si>
  <si>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</si>
  <si>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</si>
  <si>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</si>
  <si>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</si>
  <si>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</si>
  <si>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</si>
  <si>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</si>
  <si>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</si>
  <si>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</si>
  <si>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</si>
  <si>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</si>
  <si>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</si>
  <si>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</si>
  <si>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</si>
  <si>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</si>
  <si>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</si>
  <si>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</si>
  <si>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</si>
  <si>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</si>
  <si>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</si>
  <si>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</si>
  <si>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</si>
  <si>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</si>
  <si>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</si>
  <si>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</si>
  <si>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</si>
  <si>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</si>
  <si>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</si>
  <si>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</si>
  <si>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</si>
  <si>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</si>
  <si>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</si>
  <si>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</si>
  <si>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</si>
  <si>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</si>
  <si>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</si>
  <si>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</si>
  <si>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</si>
  <si>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</si>
  <si>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</si>
  <si>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</si>
  <si>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</si>
  <si>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</si>
  <si>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</si>
  <si>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</si>
  <si>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</si>
  <si>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</si>
  <si>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</si>
  <si>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</si>
  <si>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</si>
  <si>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</si>
  <si>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</si>
  <si>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</si>
  <si>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</si>
  <si>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</si>
  <si>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</si>
  <si>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</si>
  <si>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</si>
  <si>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</si>
  <si>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</si>
  <si>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</si>
  <si>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</si>
  <si>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</si>
  <si>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</si>
  <si>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</si>
  <si>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</si>
  <si>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</si>
  <si>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</si>
  <si>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</si>
  <si>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</si>
  <si>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</si>
  <si>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</si>
  <si>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</si>
  <si>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</si>
  <si>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</si>
  <si>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</si>
  <si>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</si>
  <si>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</si>
  <si>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</si>
  <si>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</si>
  <si>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</si>
  <si>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</si>
  <si>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</si>
  <si>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</si>
  <si>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</si>
  <si>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</si>
  <si>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</si>
  <si>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</si>
  <si>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</si>
  <si>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</si>
  <si>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</si>
  <si>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</si>
  <si>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</si>
  <si>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</si>
  <si>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</si>
  <si>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</si>
  <si>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</si>
  <si>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</si>
  <si>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</si>
  <si>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</si>
  <si>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</si>
  <si>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</si>
  <si>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</si>
  <si>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</si>
  <si>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</si>
  <si>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</si>
  <si>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</si>
  <si>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</si>
  <si>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</si>
  <si>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</si>
  <si>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</si>
  <si>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</si>
  <si>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</si>
  <si>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</si>
  <si>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</si>
  <si>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</si>
  <si>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</si>
  <si>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</si>
  <si>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</si>
  <si>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</si>
  <si>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</si>
  <si>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</si>
  <si>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</si>
  <si>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</si>
  <si>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</si>
  <si>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</si>
  <si>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</si>
  <si>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</si>
  <si>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</si>
  <si>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</si>
  <si>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</si>
  <si>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</si>
  <si>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</si>
  <si>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</si>
  <si>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</si>
  <si>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</si>
  <si>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</si>
  <si>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</si>
  <si>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</si>
  <si>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</si>
  <si>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</si>
  <si>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</si>
  <si>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</si>
  <si>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</si>
  <si>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</si>
  <si>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</si>
  <si>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</si>
  <si>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</si>
  <si>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</si>
  <si>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</si>
  <si>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</si>
  <si>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</si>
  <si>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</si>
  <si>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</si>
  <si>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</si>
  <si>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</si>
  <si>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</si>
  <si>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</si>
  <si>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</si>
  <si>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</si>
  <si>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</si>
  <si>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</si>
  <si>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</si>
  <si>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</si>
  <si>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</si>
  <si>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</si>
  <si>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</si>
  <si>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</si>
  <si>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</si>
  <si>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</si>
  <si>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</si>
  <si>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</si>
  <si>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</si>
  <si>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</si>
  <si>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</si>
  <si>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</si>
  <si>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</si>
  <si>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</si>
  <si>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</si>
  <si>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</si>
  <si>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</si>
  <si>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</si>
  <si>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</si>
  <si>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</si>
  <si>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</si>
  <si>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</si>
  <si>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</si>
  <si>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</si>
  <si>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</si>
  <si>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</si>
  <si>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</si>
  <si>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</si>
  <si>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</si>
  <si>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</si>
  <si>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</si>
  <si>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</si>
  <si>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</si>
  <si>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</si>
  <si>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</si>
  <si>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</si>
  <si>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</si>
  <si>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</si>
  <si>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</si>
  <si>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</si>
  <si>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</si>
  <si>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</si>
  <si>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</si>
  <si>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</si>
  <si>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</si>
  <si>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</si>
  <si>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</si>
  <si>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</si>
  <si>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</si>
  <si>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</si>
  <si>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</si>
  <si>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</si>
  <si>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</si>
  <si>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</si>
  <si>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</si>
  <si>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</si>
  <si>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</si>
  <si>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</si>
  <si>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</si>
  <si>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</si>
  <si>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</si>
  <si>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</si>
  <si>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</si>
  <si>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</si>
  <si>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</si>
  <si>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</si>
  <si>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</si>
  <si>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</si>
  <si>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</si>
  <si>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</si>
  <si>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</si>
  <si>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</si>
  <si>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</si>
  <si>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</si>
  <si>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</si>
  <si>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</si>
  <si>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</si>
  <si>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</si>
  <si>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</si>
  <si>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</si>
  <si>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</si>
  <si>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</si>
  <si>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</si>
  <si>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</si>
  <si>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</si>
  <si>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</si>
  <si>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</si>
  <si>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</si>
  <si>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</si>
  <si>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</si>
  <si>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</si>
  <si>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</si>
  <si>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</si>
  <si>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</si>
  <si>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</si>
  <si>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</si>
  <si>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</si>
  <si>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</si>
  <si>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</si>
  <si>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</si>
  <si>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</si>
  <si>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</si>
  <si>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</si>
  <si>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</si>
  <si>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</si>
  <si>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</si>
  <si>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</si>
  <si>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</si>
  <si>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</si>
  <si>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</si>
  <si>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</si>
  <si>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</si>
  <si>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</si>
  <si>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</si>
  <si>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</si>
  <si>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</si>
  <si>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</si>
  <si>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</si>
  <si>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</si>
  <si>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</si>
  <si>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</si>
  <si>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</si>
  <si>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</si>
  <si>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</si>
  <si>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</si>
  <si>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</si>
  <si>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</si>
  <si>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</si>
  <si>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</si>
  <si>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</si>
  <si>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</si>
  <si>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</si>
  <si>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</si>
  <si>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</si>
  <si>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</si>
  <si>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</si>
  <si>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</si>
  <si>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</si>
  <si>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</si>
  <si>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</si>
  <si>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</si>
  <si>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</si>
  <si>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</si>
  <si>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</si>
  <si>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</si>
  <si>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</si>
  <si>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</si>
  <si>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</si>
  <si>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</si>
  <si>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</si>
  <si>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</si>
  <si>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</si>
  <si>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</si>
  <si>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</si>
  <si>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</si>
  <si>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</si>
  <si>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</si>
  <si>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</si>
  <si>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</si>
  <si>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</si>
  <si>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</si>
  <si>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</si>
  <si>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</si>
  <si>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</si>
  <si>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</si>
  <si>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</si>
  <si>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</si>
  <si>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</si>
  <si>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</si>
  <si>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</si>
  <si>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</si>
  <si>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</si>
  <si>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</si>
  <si>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</si>
  <si>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</si>
  <si>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</si>
  <si>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</si>
  <si>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</si>
  <si>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</si>
  <si>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</si>
  <si>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</si>
  <si>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</si>
  <si>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</si>
  <si>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</si>
  <si>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</si>
  <si>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</si>
  <si>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</si>
  <si>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</si>
  <si>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</si>
  <si>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</si>
  <si>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</si>
  <si>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</si>
  <si>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</si>
  <si>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</si>
  <si>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</si>
  <si>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</si>
  <si>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</si>
  <si>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</si>
  <si>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</si>
  <si>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</si>
  <si>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</si>
  <si>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</si>
  <si>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</si>
  <si>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</si>
  <si>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</si>
  <si>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</si>
  <si>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</si>
  <si>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</si>
  <si>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</si>
  <si>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</si>
  <si>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</si>
  <si>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</si>
  <si>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</si>
  <si>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</si>
  <si>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</si>
  <si>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</si>
  <si>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</si>
  <si>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</si>
  <si>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</si>
  <si>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</si>
  <si>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</si>
  <si>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</si>
  <si>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</si>
  <si>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</si>
  <si>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</si>
  <si>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</si>
  <si>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</si>
  <si>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</si>
  <si>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</si>
  <si>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</si>
  <si>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</si>
  <si>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</si>
  <si>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</si>
  <si>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</si>
  <si>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</si>
  <si>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</si>
  <si>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</si>
  <si>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</si>
  <si>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</si>
  <si>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</si>
  <si>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</si>
  <si>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</si>
  <si>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</si>
  <si>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</si>
  <si>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</si>
  <si>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</si>
  <si>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</si>
  <si>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</si>
  <si>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</si>
  <si>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</si>
  <si>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</si>
  <si>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</si>
  <si>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</si>
  <si>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</si>
  <si>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</si>
  <si>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</si>
  <si>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</si>
  <si>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</si>
  <si>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</si>
  <si>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</si>
  <si>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</si>
  <si>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</si>
  <si>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</si>
  <si>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</si>
  <si>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</si>
  <si>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</si>
  <si>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</si>
  <si>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</si>
  <si>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</si>
  <si>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</si>
  <si>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</si>
  <si>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</si>
  <si>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</si>
  <si>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</si>
  <si>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</si>
  <si>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</si>
  <si>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</si>
  <si>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</si>
  <si>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</si>
  <si>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</si>
  <si>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</si>
  <si>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</si>
  <si>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</si>
  <si>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</si>
  <si>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</si>
  <si>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</si>
  <si>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</si>
  <si>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</si>
  <si>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</si>
  <si>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</si>
  <si>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</si>
  <si>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</si>
  <si>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</si>
  <si>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</si>
  <si>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</si>
  <si>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</si>
  <si>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</si>
  <si>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</si>
  <si>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</si>
  <si>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</si>
  <si>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</si>
  <si>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</si>
  <si>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</si>
  <si>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</si>
  <si>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</si>
  <si>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</si>
  <si>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</si>
  <si>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</si>
  <si>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</si>
  <si>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</si>
  <si>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</si>
  <si>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</si>
  <si>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</si>
  <si>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</si>
  <si>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</si>
  <si>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</si>
  <si>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</si>
  <si>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</si>
  <si>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</si>
  <si>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</si>
  <si>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</si>
  <si>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</si>
  <si>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</si>
  <si>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</si>
  <si>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</si>
  <si>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</si>
  <si>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</si>
  <si>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</si>
  <si>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</si>
  <si>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</si>
  <si>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</si>
  <si>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</si>
  <si>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</si>
  <si>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</si>
  <si>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</si>
  <si>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</si>
  <si>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</si>
  <si>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</si>
  <si>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</si>
  <si>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</si>
  <si>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</si>
  <si>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</si>
  <si>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</si>
  <si>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</si>
  <si>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</si>
  <si>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</si>
  <si>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</si>
  <si>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</si>
  <si>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</si>
  <si>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</si>
  <si>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</si>
  <si>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</si>
  <si>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</si>
  <si>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</si>
  <si>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</si>
  <si>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</si>
  <si>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</si>
  <si>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</si>
  <si>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</si>
  <si>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</si>
  <si>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</si>
  <si>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</si>
  <si>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</si>
  <si>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</si>
  <si>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</si>
  <si>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</si>
  <si>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</si>
  <si>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</si>
  <si>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</si>
  <si>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</si>
  <si>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</si>
  <si>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</si>
  <si>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</si>
  <si>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</si>
  <si>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</si>
  <si>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</si>
  <si>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</si>
  <si>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</si>
  <si>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</si>
  <si>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</si>
  <si>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</si>
  <si>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</si>
  <si>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</si>
  <si>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</si>
  <si>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</si>
  <si>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</si>
  <si>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</si>
  <si>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</si>
  <si>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</si>
  <si>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</si>
  <si>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</si>
  <si>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</si>
  <si>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</si>
  <si>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</si>
  <si>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</si>
  <si>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</si>
  <si>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</si>
  <si>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</si>
  <si>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</si>
  <si>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</si>
  <si>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</si>
  <si>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</si>
  <si>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</si>
  <si>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</si>
  <si>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</si>
  <si>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</si>
  <si>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</si>
  <si>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</si>
  <si>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</si>
  <si>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</si>
  <si>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</si>
  <si>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</si>
  <si>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</si>
  <si>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</si>
  <si>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</si>
  <si>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</si>
  <si>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</si>
  <si>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</si>
  <si>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</si>
  <si>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</si>
  <si>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</si>
  <si>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</si>
  <si>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</si>
  <si>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</si>
  <si>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</si>
  <si>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</si>
  <si>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</si>
  <si>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</si>
  <si>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</si>
  <si>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</si>
  <si>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</si>
  <si>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</si>
  <si>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</si>
  <si>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</si>
  <si>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</si>
  <si>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</si>
  <si>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</si>
  <si>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</si>
  <si>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</si>
  <si>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</si>
  <si>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</si>
  <si>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</si>
  <si>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</si>
  <si>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</si>
  <si>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</si>
  <si>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</si>
  <si>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</si>
  <si>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</si>
  <si>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</si>
  <si>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</si>
  <si>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</si>
  <si>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</si>
  <si>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</si>
  <si>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</si>
  <si>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</si>
  <si>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</si>
  <si>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</si>
  <si>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</si>
  <si>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</si>
  <si>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</si>
  <si>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</si>
  <si>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</si>
  <si>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</si>
  <si>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</si>
  <si>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</si>
  <si>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</si>
  <si>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</si>
  <si>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</si>
  <si>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</si>
  <si>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</si>
  <si>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</si>
  <si>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</si>
  <si>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</si>
  <si>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</si>
  <si>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</si>
  <si>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</si>
  <si>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</si>
  <si>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</si>
  <si>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</si>
  <si>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</si>
  <si>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</si>
  <si>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</si>
  <si>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</si>
  <si>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</si>
  <si>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</si>
  <si>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</si>
  <si>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</si>
  <si>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</si>
  <si>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</si>
  <si>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</si>
  <si>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</si>
  <si>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</si>
  <si>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</si>
  <si>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</si>
  <si>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</si>
  <si>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</si>
  <si>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</si>
  <si>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</si>
  <si>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</si>
  <si>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</si>
  <si>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</si>
  <si>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</si>
  <si>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</si>
  <si>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</si>
  <si>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</si>
  <si>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</si>
  <si>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</si>
  <si>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</si>
  <si>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</si>
  <si>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</si>
  <si>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</si>
  <si>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</si>
  <si>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</si>
  <si>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</si>
  <si>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</si>
  <si>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</si>
  <si>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</si>
  <si>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</si>
  <si>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</si>
  <si>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</si>
  <si>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</si>
  <si>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</si>
  <si>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</si>
  <si>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</si>
  <si>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</si>
  <si>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</si>
  <si>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</si>
  <si>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</si>
  <si>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</si>
  <si>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</si>
  <si>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</si>
  <si>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</si>
  <si>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</si>
  <si>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</si>
  <si>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</si>
  <si>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</si>
  <si>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</si>
  <si>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</si>
  <si>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</si>
  <si>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</si>
  <si>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</si>
  <si>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</si>
  <si>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</si>
  <si>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</si>
  <si>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</si>
  <si>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</si>
  <si>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</si>
  <si>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</si>
  <si>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</si>
  <si>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</si>
  <si>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</si>
  <si>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</si>
  <si>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</si>
  <si>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</si>
  <si>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</si>
  <si>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</si>
  <si>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</si>
  <si>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</si>
  <si>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</si>
  <si>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</si>
  <si>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</si>
  <si>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</si>
  <si>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</si>
  <si>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</si>
  <si>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</si>
  <si>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</si>
  <si>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</si>
  <si>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</si>
  <si>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</si>
  <si>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</si>
  <si>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</si>
  <si>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</si>
  <si>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</si>
  <si>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</si>
  <si>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</si>
  <si>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</si>
  <si>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</si>
  <si>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</si>
  <si>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</si>
  <si>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</si>
  <si>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</si>
  <si>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</si>
  <si>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</si>
  <si>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</si>
  <si>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</si>
  <si>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</si>
  <si>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</si>
  <si>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</si>
  <si>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</si>
  <si>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</si>
  <si>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</si>
  <si>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</si>
  <si>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</si>
  <si>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</si>
  <si>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</si>
  <si>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</si>
  <si>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</si>
  <si>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</si>
  <si>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</si>
  <si>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</si>
  <si>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</si>
  <si>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</si>
  <si>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</si>
  <si>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</si>
  <si>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</si>
  <si>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</si>
  <si>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</si>
  <si>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</si>
  <si>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</si>
  <si>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</si>
  <si>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</si>
  <si>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</si>
  <si>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</si>
  <si>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</si>
  <si>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</si>
  <si>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</si>
  <si>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</si>
  <si>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</si>
  <si>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</si>
  <si>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</si>
  <si>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</si>
  <si>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</si>
  <si>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</si>
  <si>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</si>
  <si>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</si>
  <si>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</si>
  <si>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</si>
  <si>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</si>
  <si>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</si>
  <si>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</si>
  <si>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</si>
  <si>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</si>
  <si>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</si>
  <si>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</si>
  <si>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</si>
  <si>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</si>
  <si>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</si>
  <si>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</si>
  <si>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</si>
  <si>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</si>
  <si>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</si>
  <si>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</si>
  <si>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</si>
  <si>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</si>
  <si>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</si>
  <si>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</si>
  <si>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</si>
  <si>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</si>
  <si>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</si>
  <si>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</si>
  <si>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</si>
  <si>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</si>
  <si>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</si>
  <si>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</si>
  <si>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</si>
  <si>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</si>
  <si>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</si>
  <si>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</si>
  <si>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</si>
  <si>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</si>
  <si>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</si>
  <si>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</si>
  <si>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</si>
  <si>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</si>
  <si>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</si>
  <si>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</si>
  <si>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</si>
  <si>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</si>
  <si>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</si>
  <si>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</si>
  <si>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</si>
  <si>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</si>
  <si>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</si>
  <si>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</si>
  <si>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</si>
  <si>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</si>
  <si>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</si>
  <si>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</si>
  <si>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</si>
  <si>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</si>
  <si>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</si>
  <si>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</si>
  <si>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</si>
  <si>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</si>
  <si>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</si>
  <si>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</si>
  <si>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</si>
  <si>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</si>
  <si>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</si>
  <si>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</si>
  <si>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</si>
  <si>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</si>
  <si>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</si>
  <si>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</si>
  <si>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</si>
  <si>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</si>
  <si>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</si>
  <si>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</si>
  <si>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</si>
  <si>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</si>
  <si>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</si>
  <si>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</si>
  <si>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</si>
  <si>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</si>
  <si>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</si>
  <si>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</si>
  <si>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</si>
  <si>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</si>
  <si>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</si>
  <si>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</si>
  <si>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</si>
  <si>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</si>
  <si>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</si>
  <si>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</si>
  <si>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</si>
  <si>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</si>
  <si>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</si>
  <si>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</si>
  <si>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</si>
  <si>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</si>
  <si>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</si>
  <si>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</si>
  <si>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</si>
  <si>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</si>
  <si>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</si>
  <si>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</si>
  <si>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</si>
  <si>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</si>
  <si>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</si>
  <si>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</si>
  <si>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</si>
  <si>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</si>
  <si>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</si>
  <si>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</si>
  <si>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</si>
  <si>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</si>
  <si>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</si>
  <si>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</si>
  <si>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</si>
  <si>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</si>
  <si>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</si>
  <si>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</si>
  <si>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</si>
  <si>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</si>
  <si>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</si>
  <si>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</si>
  <si>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</si>
  <si>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</si>
  <si>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</si>
  <si>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</si>
  <si>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</si>
  <si>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</si>
  <si>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</si>
  <si>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</si>
  <si>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</si>
  <si>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</si>
  <si>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</si>
  <si>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</si>
  <si>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</si>
  <si>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</si>
  <si>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</si>
  <si>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</si>
  <si>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</si>
  <si>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</si>
  <si>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</si>
  <si>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</si>
  <si>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</si>
  <si>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</si>
  <si>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</si>
  <si>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</si>
  <si>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</si>
  <si>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</si>
  <si>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</si>
  <si>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</si>
  <si>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</si>
  <si>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</si>
  <si>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</si>
  <si>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</si>
  <si>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</si>
  <si>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</si>
  <si>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</si>
  <si>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</si>
  <si>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</si>
  <si>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</si>
  <si>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</si>
  <si>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</si>
  <si>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</si>
  <si>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</si>
  <si>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</si>
  <si>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</si>
  <si>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</si>
  <si>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</si>
  <si>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</si>
  <si>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</si>
  <si>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</si>
  <si>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</si>
  <si>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</si>
  <si>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</si>
  <si>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</si>
  <si>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</si>
  <si>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</si>
  <si>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</si>
  <si>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</si>
  <si>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</si>
  <si>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</si>
  <si>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</si>
  <si>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</si>
  <si>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</si>
  <si>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</si>
  <si>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</si>
  <si>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</si>
  <si>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</si>
  <si>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</si>
  <si>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</si>
  <si>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</si>
  <si>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</si>
  <si>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</si>
  <si>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</si>
  <si>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</si>
  <si>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</si>
  <si>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</si>
  <si>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</si>
  <si>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</si>
  <si>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</si>
  <si>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</si>
  <si>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</si>
  <si>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</si>
  <si>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</si>
  <si>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</si>
  <si>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</si>
  <si>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</si>
  <si>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</si>
  <si>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</si>
  <si>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</si>
  <si>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</si>
  <si>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</si>
  <si>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</si>
  <si>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</si>
  <si>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</si>
  <si>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</si>
  <si>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</si>
  <si>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</si>
  <si>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</si>
  <si>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</si>
  <si>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</si>
  <si>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</si>
  <si>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</si>
  <si>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</si>
  <si>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</si>
  <si>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</si>
  <si>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</si>
  <si>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</si>
  <si>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</si>
  <si>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</si>
  <si>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</si>
  <si>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</si>
  <si>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</si>
  <si>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</si>
  <si>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</si>
  <si>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</si>
  <si>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</si>
  <si>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</si>
  <si>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</si>
  <si>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</si>
  <si>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</si>
  <si>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</si>
  <si>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</si>
  <si>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</si>
  <si>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</si>
  <si>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</si>
  <si>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</si>
  <si>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</si>
  <si>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</si>
  <si>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</si>
  <si>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</si>
  <si>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</si>
  <si>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</si>
  <si>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</si>
  <si>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</si>
  <si>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</si>
  <si>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</si>
  <si>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</si>
  <si>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</si>
  <si>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</si>
  <si>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</si>
  <si>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</si>
  <si>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</si>
  <si>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</si>
  <si>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</si>
  <si>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</si>
  <si>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</si>
  <si>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</si>
  <si>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</si>
  <si>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</si>
  <si>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</si>
  <si>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</si>
  <si>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</si>
  <si>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</si>
  <si>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</si>
  <si>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</si>
  <si>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</si>
  <si>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</si>
  <si>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</si>
  <si>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</si>
  <si>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</si>
  <si>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</si>
  <si>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</si>
  <si>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</si>
  <si>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</si>
  <si>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</si>
  <si>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</si>
  <si>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</si>
  <si>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</si>
  <si>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</si>
  <si>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</si>
  <si>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</si>
  <si>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</si>
  <si>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</si>
  <si>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</si>
  <si>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</si>
  <si>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</si>
  <si>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</si>
  <si>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</si>
  <si>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</si>
  <si>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</si>
  <si>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</si>
  <si>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</si>
  <si>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</si>
  <si>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</si>
  <si>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</si>
  <si>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</si>
  <si>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</si>
  <si>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</si>
  <si>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</si>
  <si>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</si>
  <si>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</si>
  <si>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</si>
  <si>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</si>
  <si>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</si>
  <si>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</si>
  <si>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</si>
  <si>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</si>
  <si>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</si>
  <si>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</si>
  <si>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</si>
  <si>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</si>
  <si>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</si>
  <si>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</si>
  <si>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</si>
  <si>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</si>
  <si>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</si>
  <si>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</si>
  <si>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</si>
  <si>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</si>
  <si>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</si>
  <si>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</si>
  <si>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</si>
  <si>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</si>
  <si>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</si>
  <si>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</si>
  <si>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</si>
  <si>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</si>
  <si>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</si>
  <si>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</si>
  <si>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</si>
  <si>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</si>
  <si>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</si>
  <si>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</si>
  <si>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</si>
  <si>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</si>
  <si>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</si>
  <si>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</si>
  <si>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</si>
  <si>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</si>
  <si>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</si>
  <si>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</si>
  <si>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</si>
  <si>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</si>
  <si>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</si>
  <si>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</si>
  <si>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</si>
  <si>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</si>
  <si>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</si>
  <si>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</si>
  <si>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</si>
  <si>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</si>
  <si>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</si>
  <si>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</si>
  <si>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</si>
  <si>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</si>
  <si>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</si>
  <si>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</si>
  <si>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</si>
  <si>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</si>
  <si>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</si>
  <si>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</si>
  <si>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</si>
  <si>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</si>
  <si>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</si>
  <si>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</si>
  <si>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</si>
  <si>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</si>
  <si>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</si>
  <si>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</si>
  <si>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</si>
  <si>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</si>
  <si>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</si>
  <si>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</si>
  <si>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</si>
  <si>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</si>
  <si>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</si>
  <si>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</si>
  <si>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</si>
  <si>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</si>
  <si>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</si>
  <si>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</si>
  <si>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</si>
  <si>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</si>
  <si>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</si>
  <si>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</si>
  <si>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</si>
  <si>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</si>
  <si>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</si>
  <si>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</si>
  <si>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</si>
  <si>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</si>
  <si>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</si>
  <si>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</si>
  <si>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</si>
  <si>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</si>
  <si>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</si>
  <si>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</si>
  <si>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</si>
  <si>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</si>
  <si>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</si>
  <si>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</si>
  <si>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</si>
  <si>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</si>
  <si>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</si>
  <si>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</si>
  <si>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</si>
  <si>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</si>
  <si>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</si>
  <si>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</si>
  <si>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</si>
  <si>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</si>
  <si>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</si>
  <si>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</si>
  <si>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</si>
  <si>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</si>
  <si>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</si>
  <si>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</si>
  <si>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</si>
  <si>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</si>
  <si>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</si>
  <si>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</si>
  <si>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</si>
  <si>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</si>
  <si>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</si>
  <si>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</si>
  <si>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</si>
  <si>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</si>
  <si>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</si>
  <si>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</si>
  <si>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</si>
  <si>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</si>
  <si>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</si>
  <si>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</si>
  <si>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</si>
  <si>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</si>
  <si>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</si>
  <si>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</si>
  <si>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</si>
  <si>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</si>
  <si>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</si>
  <si>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</si>
  <si>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</si>
  <si>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</si>
  <si>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</si>
  <si>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</si>
  <si>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</si>
  <si>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</si>
  <si>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</si>
  <si>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</si>
  <si>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</si>
  <si>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</si>
  <si>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</si>
  <si>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</si>
  <si>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</si>
  <si>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</si>
  <si>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</si>
  <si>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</si>
  <si>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</si>
  <si>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</si>
  <si>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</si>
  <si>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</si>
  <si>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</si>
  <si>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</si>
  <si>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</si>
  <si>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</si>
  <si>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</si>
  <si>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</si>
  <si>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</si>
  <si>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</si>
  <si>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</si>
  <si>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</si>
  <si>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</si>
  <si>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</si>
  <si>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</si>
  <si>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</si>
  <si>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</si>
  <si>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</si>
  <si>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</si>
  <si>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</si>
  <si>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</si>
  <si>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</si>
  <si>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</si>
  <si>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</si>
  <si>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</si>
  <si>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</si>
  <si>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</si>
  <si>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</si>
  <si>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</si>
  <si>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</si>
  <si>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</si>
  <si>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</si>
  <si>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</si>
  <si>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</si>
  <si>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</si>
  <si>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</si>
  <si>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</si>
  <si>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</si>
  <si>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</si>
  <si>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</si>
  <si>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</si>
  <si>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</si>
  <si>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</si>
  <si>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</si>
  <si>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</si>
  <si>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</si>
  <si>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</si>
  <si>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</si>
  <si>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</si>
  <si>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</si>
  <si>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</si>
  <si>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</si>
  <si>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</si>
  <si>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</si>
  <si>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</si>
  <si>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</si>
  <si>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</si>
  <si>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</si>
  <si>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</si>
  <si>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</si>
  <si>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</si>
  <si>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</si>
  <si>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</si>
  <si>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</si>
  <si>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</si>
  <si>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</si>
  <si>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</si>
  <si>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</si>
  <si>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</si>
  <si>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</si>
  <si>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</si>
  <si>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</si>
  <si>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</si>
  <si>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</si>
  <si>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</si>
  <si>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</si>
  <si>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</si>
  <si>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</si>
  <si>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</si>
  <si>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</si>
  <si>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</si>
  <si>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</si>
  <si>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</si>
  <si>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</si>
  <si>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</si>
  <si>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</si>
  <si>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</si>
  <si>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</si>
  <si>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</si>
  <si>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</si>
  <si>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</si>
  <si>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</si>
  <si>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</si>
  <si>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</si>
  <si>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</si>
  <si>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</si>
  <si>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</si>
  <si>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</si>
  <si>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</si>
  <si>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</si>
  <si>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</si>
  <si>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</si>
  <si>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</si>
  <si>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</si>
  <si>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</si>
  <si>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</si>
  <si>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</si>
  <si>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</si>
  <si>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</si>
  <si>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</si>
  <si>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</si>
  <si>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</si>
  <si>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</si>
  <si>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</si>
  <si>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</si>
  <si>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</si>
  <si>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</si>
  <si>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</si>
  <si>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</si>
  <si>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</si>
  <si>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</si>
  <si>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</si>
  <si>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</si>
  <si>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</si>
  <si>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</si>
  <si>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</si>
  <si>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</si>
  <si>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</si>
  <si>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</si>
  <si>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</si>
  <si>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</si>
  <si>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</si>
  <si>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</si>
  <si>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</si>
  <si>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</si>
  <si>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</si>
  <si>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</si>
  <si>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</si>
  <si>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</si>
  <si>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</si>
  <si>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</si>
  <si>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</si>
  <si>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</si>
  <si>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</si>
  <si>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</si>
  <si>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</si>
  <si>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</si>
  <si>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</si>
  <si>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</si>
  <si>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</si>
  <si>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</si>
  <si>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</si>
  <si>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</si>
  <si>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</si>
  <si>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</si>
  <si>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</si>
  <si>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</si>
  <si>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</si>
  <si>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</si>
  <si>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</si>
  <si>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</si>
  <si>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</si>
  <si>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</si>
  <si>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</si>
  <si>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</si>
  <si>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</si>
  <si>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</si>
  <si>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</si>
  <si>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</si>
  <si>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</si>
  <si>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</si>
  <si>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</si>
  <si>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</si>
  <si>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</si>
  <si>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</si>
  <si>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</si>
  <si>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</si>
  <si>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</si>
  <si>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</si>
  <si>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</si>
  <si>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</si>
  <si>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</si>
  <si>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</si>
  <si>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</si>
  <si>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</si>
  <si>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</si>
  <si>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</si>
  <si>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</si>
  <si>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</si>
  <si>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</si>
  <si>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</si>
  <si>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</si>
  <si>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</si>
  <si>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</si>
  <si>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</si>
  <si>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</si>
  <si>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</si>
  <si>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</si>
  <si>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</si>
  <si>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</si>
  <si>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</si>
  <si>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</si>
  <si>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</si>
  <si>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</si>
  <si>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</si>
  <si>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</si>
  <si>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</si>
  <si>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</si>
  <si>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</si>
  <si>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</si>
  <si>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</si>
  <si>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</si>
  <si>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</si>
  <si>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</si>
  <si>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</si>
  <si>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</si>
  <si>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</si>
  <si>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</si>
  <si>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</si>
  <si>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</si>
  <si>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</si>
  <si>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</si>
  <si>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</si>
  <si>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</si>
  <si>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</si>
  <si>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</si>
  <si>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</si>
  <si>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</si>
  <si>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</si>
  <si>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</si>
  <si>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</si>
  <si>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</si>
  <si>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</si>
  <si>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</si>
  <si>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</si>
  <si>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</si>
  <si>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</si>
  <si>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</si>
  <si>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</si>
  <si>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</si>
  <si>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</si>
  <si>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</si>
  <si>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</si>
  <si>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</si>
  <si>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</si>
  <si>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</si>
  <si>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</si>
  <si>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</si>
  <si>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</si>
  <si>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</si>
  <si>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</si>
  <si>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</si>
  <si>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</si>
  <si>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</si>
  <si>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</si>
  <si>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</si>
  <si>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</si>
  <si>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</si>
  <si>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</si>
  <si>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</si>
  <si>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</si>
  <si>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</si>
  <si>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</si>
  <si>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</si>
  <si>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</si>
  <si>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</si>
  <si>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</si>
  <si>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</si>
  <si>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</si>
  <si>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</si>
  <si>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</si>
  <si>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</si>
  <si>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</si>
  <si>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</si>
  <si>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</si>
  <si>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</si>
  <si>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</si>
  <si>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</si>
  <si>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</si>
  <si>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</si>
  <si>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</si>
  <si>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</si>
  <si>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</si>
  <si>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</si>
  <si>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</si>
  <si>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</si>
  <si>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</si>
  <si>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</si>
  <si>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</si>
  <si>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</si>
  <si>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</si>
  <si>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</si>
  <si>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</si>
  <si>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</si>
  <si>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</si>
  <si>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</si>
  <si>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</si>
  <si>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</si>
  <si>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</si>
  <si>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</si>
  <si>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</si>
  <si>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</si>
  <si>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</si>
  <si>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</si>
  <si>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</si>
  <si>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</si>
  <si>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</si>
  <si>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</si>
  <si>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</si>
  <si>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</si>
  <si>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</si>
  <si>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</si>
  <si>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</si>
  <si>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</si>
  <si>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</si>
  <si>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</si>
  <si>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</si>
  <si>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</si>
  <si>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</si>
  <si>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</si>
  <si>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</si>
  <si>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</si>
  <si>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</si>
  <si>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</si>
  <si>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</si>
  <si>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</si>
  <si>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</si>
  <si>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</si>
  <si>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</si>
  <si>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</si>
  <si>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</si>
  <si>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</si>
  <si>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</si>
  <si>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</si>
  <si>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</si>
  <si>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</si>
  <si>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</si>
  <si>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</si>
  <si>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</si>
  <si>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</si>
  <si>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</si>
  <si>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</si>
  <si>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</si>
  <si>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</si>
  <si>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</si>
  <si>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</si>
  <si>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</si>
  <si>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</si>
  <si>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</si>
  <si>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</si>
  <si>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</si>
  <si>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</si>
  <si>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</si>
  <si>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</si>
  <si>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</si>
  <si>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</si>
  <si>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</si>
  <si>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</si>
  <si>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</si>
  <si>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</si>
  <si>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</si>
  <si>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</si>
  <si>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</si>
  <si>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</si>
  <si>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</si>
  <si>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</si>
  <si>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</si>
  <si>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</si>
  <si>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</si>
  <si>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</si>
  <si>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</si>
  <si>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</si>
  <si>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</si>
  <si>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</si>
  <si>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</si>
  <si>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</si>
  <si>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</si>
  <si>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</si>
  <si>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</si>
  <si>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</si>
  <si>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</si>
  <si>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</si>
  <si>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</si>
  <si>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</si>
  <si>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</si>
  <si>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</si>
  <si>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</si>
  <si>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</si>
  <si>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</si>
  <si>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</si>
  <si>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</si>
  <si>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</si>
  <si>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</si>
  <si>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</si>
  <si>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</si>
  <si>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</si>
  <si>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</si>
  <si>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</si>
  <si>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</si>
  <si>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</si>
  <si>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</si>
  <si>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</si>
  <si>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</si>
  <si>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</si>
  <si>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</si>
  <si>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</si>
  <si>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</si>
  <si>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</si>
  <si>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</si>
  <si>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</si>
  <si>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</si>
  <si>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</si>
  <si>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</si>
  <si>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</si>
  <si>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</si>
  <si>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</si>
  <si>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</si>
  <si>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</si>
  <si>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</si>
  <si>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</si>
  <si>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</si>
  <si>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</si>
  <si>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</si>
  <si>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</si>
  <si>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</si>
  <si>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</si>
  <si>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</si>
  <si>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</si>
  <si>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</si>
  <si>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</si>
  <si>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</si>
  <si>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</si>
  <si>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</si>
  <si>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</si>
  <si>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</si>
  <si>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</si>
  <si>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</si>
  <si>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</si>
  <si>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</si>
  <si>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</si>
  <si>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</si>
  <si>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</si>
  <si>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</si>
  <si>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</si>
  <si>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</si>
  <si>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</si>
  <si>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</si>
  <si>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</si>
  <si>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</si>
  <si>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</si>
  <si>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</si>
  <si>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</si>
  <si>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</si>
  <si>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</si>
  <si>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</si>
  <si>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</si>
  <si>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</si>
  <si>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</si>
  <si>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</si>
  <si>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</si>
  <si>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</si>
  <si>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</si>
  <si>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</si>
  <si>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</si>
  <si>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</si>
  <si>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</si>
  <si>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</si>
  <si>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</si>
  <si>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</si>
  <si>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</si>
  <si>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</si>
  <si>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</si>
  <si>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</si>
  <si>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</si>
  <si>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</si>
  <si>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</si>
  <si>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</si>
  <si>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</si>
  <si>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</si>
  <si>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</si>
  <si>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</si>
  <si>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</si>
  <si>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</si>
  <si>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</si>
  <si>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</si>
  <si>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</si>
  <si>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</si>
  <si>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</si>
  <si>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</si>
  <si>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</si>
  <si>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</si>
  <si>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</si>
  <si>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</si>
  <si>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</si>
  <si>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</si>
  <si>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</si>
  <si>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</si>
  <si>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</si>
  <si>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</si>
  <si>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</si>
  <si>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</si>
  <si>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</si>
  <si>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</si>
  <si>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</si>
  <si>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</si>
  <si>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</si>
  <si>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</si>
  <si>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</si>
  <si>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</si>
  <si>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</si>
  <si>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</si>
  <si>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</si>
  <si>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</si>
  <si>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</si>
  <si>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</si>
  <si>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</si>
  <si>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</si>
  <si>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</si>
  <si>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</si>
  <si>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</si>
  <si>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</si>
  <si>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</si>
  <si>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</si>
  <si>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</si>
  <si>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</si>
  <si>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</si>
  <si>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</si>
  <si>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</si>
  <si>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</si>
  <si>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</si>
  <si>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</si>
  <si>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</si>
  <si>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</si>
  <si>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</si>
  <si>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</si>
  <si>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</si>
  <si>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</si>
  <si>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</si>
  <si>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</si>
  <si>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</si>
  <si>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</si>
  <si>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</si>
  <si>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</si>
  <si>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</si>
  <si>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</si>
  <si>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</si>
  <si>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</si>
  <si>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</si>
  <si>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</si>
  <si>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</si>
  <si>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</si>
  <si>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</si>
  <si>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</si>
  <si>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</si>
  <si>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</si>
  <si>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</si>
  <si>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</si>
  <si>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</si>
  <si>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</si>
  <si>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</si>
  <si>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</si>
  <si>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</si>
  <si>
    <t>Cinthia Thais de Carvalho Luz Thomazi; Adriana Cuoco Portugal; Fernanda Viana de Souza; Denise Duarte Guirra Kuhlmann;  Priscila Nolasco de Oliveira</t>
  </si>
  <si>
    <t>Cinthia Thais de Carvalho Luz Thomazi; Adriana Cuoco Portugal; Fernanda Viana de Souza; Denise Duarte Guirra Kuhlmann; Priscila Nolasco de Oliveira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</si>
</sst>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5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tabSelected="1" topLeftCell="H1" zoomScaleNormal="100" workbookViewId="0">
      <pane ySplit="1" topLeftCell="A655" activePane="bottomLeft" state="frozen"/>
      <selection pane="bottomLeft" activeCell="T659" sqref="T659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2990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2989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2741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2989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2695</v>
      </c>
      <c r="H676" s="38" t="s">
        <v>2745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4" t="s">
        <v>2747</v>
      </c>
      <c r="F677" s="188" t="s">
        <v>23</v>
      </c>
      <c r="G677" s="194" t="s">
        <v>38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5" t="s">
        <v>2754</v>
      </c>
      <c r="F679" s="29" t="s">
        <v>62</v>
      </c>
      <c r="G679" s="179" t="s">
        <v>2690</v>
      </c>
      <c r="H679" s="182" t="s">
        <v>2755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2764</v>
      </c>
      <c r="D680" s="70" t="s">
        <v>2743</v>
      </c>
      <c r="E680" s="65" t="s">
        <v>2757</v>
      </c>
      <c r="F680" s="29" t="s">
        <v>23</v>
      </c>
      <c r="G680" s="20" t="s">
        <v>2695</v>
      </c>
      <c r="H680" s="68" t="s">
        <v>2986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2" t="s">
        <v>2759</v>
      </c>
      <c r="F681" s="31" t="s">
        <v>62</v>
      </c>
      <c r="G681" s="194" t="s">
        <v>2690</v>
      </c>
      <c r="H681" s="189" t="s">
        <v>2760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62</v>
      </c>
      <c r="G682" s="181" t="s">
        <v>2690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62</v>
      </c>
      <c r="G683" s="21" t="s">
        <v>72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2756</v>
      </c>
      <c r="D684" s="70" t="s">
        <v>2768</v>
      </c>
      <c r="E684" s="164" t="s">
        <v>2769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2764</v>
      </c>
      <c r="D685" s="209" t="s">
        <v>2771</v>
      </c>
      <c r="E685" s="210" t="s">
        <v>2772</v>
      </c>
      <c r="F685" s="211" t="s">
        <v>62</v>
      </c>
      <c r="G685" s="208" t="s">
        <v>72</v>
      </c>
      <c r="H685" s="212" t="s">
        <v>2773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2764</v>
      </c>
      <c r="D686" s="218" t="s">
        <v>2774</v>
      </c>
      <c r="E686" s="239" t="s">
        <v>2775</v>
      </c>
      <c r="F686" s="220" t="s">
        <v>23</v>
      </c>
      <c r="G686" s="217" t="s">
        <v>68</v>
      </c>
      <c r="H686" s="221" t="s">
        <v>2776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2752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2742</v>
      </c>
      <c r="D687" s="209" t="s">
        <v>2777</v>
      </c>
      <c r="E687" s="210" t="s">
        <v>2778</v>
      </c>
      <c r="F687" s="211" t="s">
        <v>23</v>
      </c>
      <c r="G687" s="208" t="s">
        <v>68</v>
      </c>
      <c r="H687" s="212" t="s">
        <v>2779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2780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2781</v>
      </c>
      <c r="E688" s="239" t="s">
        <v>2782</v>
      </c>
      <c r="F688" s="220" t="s">
        <v>81</v>
      </c>
      <c r="G688" s="217" t="s">
        <v>2727</v>
      </c>
      <c r="H688" s="221" t="s">
        <v>2783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2784</v>
      </c>
      <c r="E689" s="244" t="s">
        <v>2785</v>
      </c>
      <c r="F689" s="211" t="s">
        <v>23</v>
      </c>
      <c r="G689" s="208" t="s">
        <v>2711</v>
      </c>
      <c r="H689" s="246" t="s">
        <v>2786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2784</v>
      </c>
      <c r="E690" s="245" t="s">
        <v>2787</v>
      </c>
      <c r="F690" s="220" t="s">
        <v>23</v>
      </c>
      <c r="G690" s="217" t="s">
        <v>2711</v>
      </c>
      <c r="H690" s="247" t="s">
        <v>2788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2789</v>
      </c>
      <c r="E691" s="244" t="s">
        <v>2669</v>
      </c>
      <c r="F691" s="211" t="s">
        <v>23</v>
      </c>
      <c r="G691" s="208" t="s">
        <v>38</v>
      </c>
      <c r="H691" s="212" t="s">
        <v>2790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2791</v>
      </c>
      <c r="E692" s="245" t="s">
        <v>2792</v>
      </c>
      <c r="F692" s="220" t="s">
        <v>23</v>
      </c>
      <c r="G692" s="217" t="s">
        <v>364</v>
      </c>
      <c r="H692" s="221" t="s">
        <v>2793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2794</v>
      </c>
      <c r="E693" s="244" t="s">
        <v>2795</v>
      </c>
      <c r="F693" s="211" t="s">
        <v>23</v>
      </c>
      <c r="G693" s="208" t="s">
        <v>24</v>
      </c>
      <c r="H693" s="212" t="s">
        <v>2796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2797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2764</v>
      </c>
      <c r="D694" s="218" t="s">
        <v>2798</v>
      </c>
      <c r="E694" s="219" t="s">
        <v>2799</v>
      </c>
      <c r="F694" s="220" t="s">
        <v>62</v>
      </c>
      <c r="G694" s="217" t="s">
        <v>2690</v>
      </c>
      <c r="H694" s="221" t="s">
        <v>2800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2764</v>
      </c>
      <c r="D695" s="209" t="s">
        <v>2801</v>
      </c>
      <c r="E695" s="210" t="s">
        <v>2802</v>
      </c>
      <c r="F695" s="211" t="s">
        <v>81</v>
      </c>
      <c r="G695" s="260" t="s">
        <v>2727</v>
      </c>
      <c r="H695" s="212" t="s">
        <v>2803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2804</v>
      </c>
      <c r="E696" s="219" t="s">
        <v>2805</v>
      </c>
      <c r="F696" s="220" t="s">
        <v>81</v>
      </c>
      <c r="G696" s="269" t="s">
        <v>2727</v>
      </c>
      <c r="H696" s="221" t="s">
        <v>2806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2807</v>
      </c>
      <c r="E697" s="210" t="s">
        <v>2808</v>
      </c>
      <c r="F697" s="211" t="s">
        <v>81</v>
      </c>
      <c r="G697" s="260" t="s">
        <v>2727</v>
      </c>
      <c r="H697" s="212" t="s">
        <v>2809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2810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2764</v>
      </c>
      <c r="D698" s="218" t="s">
        <v>2811</v>
      </c>
      <c r="E698" s="219" t="s">
        <v>2812</v>
      </c>
      <c r="F698" s="220" t="s">
        <v>23</v>
      </c>
      <c r="G698" s="217" t="s">
        <v>24</v>
      </c>
      <c r="H698" s="221" t="s">
        <v>2800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2764</v>
      </c>
      <c r="D699" s="209" t="s">
        <v>2813</v>
      </c>
      <c r="E699" s="210" t="s">
        <v>2814</v>
      </c>
      <c r="F699" s="211" t="s">
        <v>23</v>
      </c>
      <c r="G699" s="208" t="s">
        <v>68</v>
      </c>
      <c r="H699" s="212" t="s">
        <v>2815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2816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2764</v>
      </c>
      <c r="D700" s="218" t="s">
        <v>2817</v>
      </c>
      <c r="E700" s="219" t="s">
        <v>2818</v>
      </c>
      <c r="F700" s="220" t="s">
        <v>62</v>
      </c>
      <c r="G700" s="217" t="s">
        <v>72</v>
      </c>
      <c r="H700" s="221" t="s">
        <v>2819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2764</v>
      </c>
      <c r="D701" s="209" t="s">
        <v>2820</v>
      </c>
      <c r="E701" s="210" t="s">
        <v>2821</v>
      </c>
      <c r="F701" s="211" t="s">
        <v>62</v>
      </c>
      <c r="G701" s="208" t="s">
        <v>72</v>
      </c>
      <c r="H701" s="212" t="s">
        <v>2822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2823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2824</v>
      </c>
      <c r="E702" s="219" t="s">
        <v>2825</v>
      </c>
      <c r="F702" s="220" t="s">
        <v>23</v>
      </c>
      <c r="G702" s="217" t="s">
        <v>24</v>
      </c>
      <c r="H702" s="221" t="s">
        <v>2758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2826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2764</v>
      </c>
      <c r="D703" s="209" t="s">
        <v>2827</v>
      </c>
      <c r="E703" s="210" t="s">
        <v>2828</v>
      </c>
      <c r="F703" s="211" t="s">
        <v>62</v>
      </c>
      <c r="G703" s="208" t="s">
        <v>72</v>
      </c>
      <c r="H703" s="212" t="s">
        <v>2800</v>
      </c>
      <c r="I703" s="212" t="s">
        <v>2829</v>
      </c>
      <c r="J703" s="212" t="s">
        <v>2830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2831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2832</v>
      </c>
      <c r="E704" s="219" t="s">
        <v>2833</v>
      </c>
      <c r="F704" s="220" t="s">
        <v>62</v>
      </c>
      <c r="G704" s="217" t="s">
        <v>72</v>
      </c>
      <c r="H704" s="221" t="s">
        <v>2834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2764</v>
      </c>
      <c r="D705" s="209" t="s">
        <v>2739</v>
      </c>
      <c r="E705" s="210" t="s">
        <v>2835</v>
      </c>
      <c r="F705" s="211" t="s">
        <v>81</v>
      </c>
      <c r="G705" s="260" t="s">
        <v>2727</v>
      </c>
      <c r="H705" s="277" t="s">
        <v>2836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2764</v>
      </c>
      <c r="D706" s="209" t="s">
        <v>2739</v>
      </c>
      <c r="E706" s="210" t="s">
        <v>2835</v>
      </c>
      <c r="F706" s="220" t="s">
        <v>81</v>
      </c>
      <c r="G706" s="269" t="s">
        <v>2727</v>
      </c>
      <c r="H706" s="278" t="s">
        <v>2837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2987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2764</v>
      </c>
      <c r="D707" s="209" t="s">
        <v>2739</v>
      </c>
      <c r="E707" s="210" t="s">
        <v>2835</v>
      </c>
      <c r="F707" s="211" t="s">
        <v>81</v>
      </c>
      <c r="G707" s="260" t="s">
        <v>2727</v>
      </c>
      <c r="H707" s="277" t="s">
        <v>2838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2987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2764</v>
      </c>
      <c r="D708" s="209" t="s">
        <v>2739</v>
      </c>
      <c r="E708" s="210" t="s">
        <v>2835</v>
      </c>
      <c r="F708" s="220" t="s">
        <v>81</v>
      </c>
      <c r="G708" s="269" t="s">
        <v>2727</v>
      </c>
      <c r="H708" s="278" t="s">
        <v>2839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2987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2764</v>
      </c>
      <c r="D709" s="209" t="s">
        <v>2840</v>
      </c>
      <c r="E709" s="210" t="s">
        <v>2841</v>
      </c>
      <c r="F709" s="211" t="s">
        <v>23</v>
      </c>
      <c r="G709" s="208" t="s">
        <v>2711</v>
      </c>
      <c r="H709" s="212" t="s">
        <v>2800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2764</v>
      </c>
      <c r="D710" s="218" t="s">
        <v>2842</v>
      </c>
      <c r="E710" s="210" t="s">
        <v>2843</v>
      </c>
      <c r="F710" s="220" t="s">
        <v>62</v>
      </c>
      <c r="G710" s="217" t="s">
        <v>72</v>
      </c>
      <c r="H710" s="221" t="s">
        <v>2815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2844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2764</v>
      </c>
      <c r="D711" s="209" t="s">
        <v>2739</v>
      </c>
      <c r="E711" s="210" t="s">
        <v>2835</v>
      </c>
      <c r="F711" s="211" t="s">
        <v>81</v>
      </c>
      <c r="G711" s="260" t="s">
        <v>2727</v>
      </c>
      <c r="H711" s="212" t="s">
        <v>2845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2987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2764</v>
      </c>
      <c r="D712" s="218" t="s">
        <v>2739</v>
      </c>
      <c r="E712" s="210" t="s">
        <v>2835</v>
      </c>
      <c r="F712" s="220" t="s">
        <v>81</v>
      </c>
      <c r="G712" s="269" t="s">
        <v>2727</v>
      </c>
      <c r="H712" s="221" t="s">
        <v>2846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2987</v>
      </c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 de Oliveira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 de Oliveira</v>
      </c>
      <c r="G7" s="97">
        <v>5</v>
      </c>
      <c r="H7" s="99">
        <v>4</v>
      </c>
      <c r="I7" s="99">
        <v>0.24</v>
      </c>
      <c r="J7" s="99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 de Oliveira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 de Oliveira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 de Oliveira</v>
      </c>
      <c r="G29" s="97">
        <v>5</v>
      </c>
      <c r="H29" s="99">
        <v>4</v>
      </c>
      <c r="I29" s="99">
        <v>0.24</v>
      </c>
      <c r="J29" s="99">
        <v>4.24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 de Oliveira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2896</v>
      </c>
      <c r="Y42" t="s">
        <v>2844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2897</v>
      </c>
      <c r="Y44" s="95" t="s">
        <v>2875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2898</v>
      </c>
      <c r="Y45" t="s">
        <v>2899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2898</v>
      </c>
      <c r="Y46" t="s">
        <v>2900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2898</v>
      </c>
      <c r="Y47" t="s">
        <v>2901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2898</v>
      </c>
      <c r="Y48" t="s">
        <v>2902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2907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2908</v>
      </c>
      <c r="B4" s="284"/>
      <c r="D4" s="285" t="s">
        <v>2909</v>
      </c>
      <c r="E4" s="286"/>
      <c r="G4" s="125" t="s">
        <v>2910</v>
      </c>
    </row>
    <row r="5" spans="1:7" ht="54.95" customHeight="1" thickBot="1" x14ac:dyDescent="0.75">
      <c r="A5" s="115">
        <f>COUNTIF('Ações InCompany'!B:B,2026)</f>
        <v>56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2912</v>
      </c>
      <c r="B8" s="280"/>
      <c r="D8" s="280" t="s">
        <v>2913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 x14ac:dyDescent="0.3">
      <c r="A30" s="280" t="s">
        <v>2922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2920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 x14ac:dyDescent="0.25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 x14ac:dyDescent="0.25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 x14ac:dyDescent="0.25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 x14ac:dyDescent="0.25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 x14ac:dyDescent="0.25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 x14ac:dyDescent="0.25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 x14ac:dyDescent="0.25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 x14ac:dyDescent="0.25">
      <c r="A2" s="258" t="s">
        <v>23</v>
      </c>
      <c r="B2" s="258" t="s">
        <v>35</v>
      </c>
      <c r="C2" s="12" t="s">
        <v>2957</v>
      </c>
      <c r="D2" s="12" t="s">
        <v>2764</v>
      </c>
    </row>
    <row r="3" spans="1:4" ht="21" customHeight="1" x14ac:dyDescent="0.25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2742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 x14ac:dyDescent="0.25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 x14ac:dyDescent="0.25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 x14ac:dyDescent="0.25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 x14ac:dyDescent="0.25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 x14ac:dyDescent="0.25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 x14ac:dyDescent="0.25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 x14ac:dyDescent="0.25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 x14ac:dyDescent="0.25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2973</v>
      </c>
    </row>
    <row r="4" spans="1:8" ht="21.95" customHeight="1" x14ac:dyDescent="0.25">
      <c r="A4" s="288" t="s">
        <v>2974</v>
      </c>
      <c r="B4" s="289"/>
      <c r="D4" s="288" t="s">
        <v>2975</v>
      </c>
      <c r="E4" s="289"/>
      <c r="G4" s="288" t="s">
        <v>2976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2982</v>
      </c>
      <c r="B1" s="293"/>
      <c r="C1" s="293"/>
      <c r="D1" s="293"/>
      <c r="E1" s="293"/>
      <c r="F1" s="293"/>
    </row>
    <row r="2" spans="1:7" x14ac:dyDescent="0.25">
      <c r="A2" s="294" t="s">
        <v>2983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 de Oliveira</v>
      </c>
      <c r="B37" s="103">
        <f>IF($A37="","",SUMIFS('GECC 2026'!H$2:H$200,'GECC 2026'!F$2:F$200,$A37))</f>
        <v>36</v>
      </c>
      <c r="C37" s="103">
        <f>IF($A37="","",SUMIFS('GECC 2026'!I$2:I$200,'GECC 2026'!F$2:F$200,$A37))</f>
        <v>2.16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38.160000000000011</v>
      </c>
      <c r="F37" s="101">
        <f>IF($A37="","",COUNTIFS('GECC 2026'!F$2:F$200,$A37))</f>
        <v>9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2921</v>
      </c>
      <c r="B105" s="242">
        <f>SUM(B5:B100)</f>
        <v>696</v>
      </c>
      <c r="C105" s="242">
        <f>SUM(C5:C100)</f>
        <v>387.78000000000003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2026-07-02T18:50:14Z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