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053" documentId="13_ncr:1_{C887EC22-7CD1-4717-84BE-7303F42C5C0A}" xr6:coauthVersionLast="47" xr6:coauthVersionMax="47" xr10:uidLastSave="{E21F94BB-FDCF-46A1-B5E6-3517A464BC83}"/>
  <bookViews>
    <workbookView xWindow="-28770" yWindow="30" windowWidth="28770" windowHeight="1557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4" i="3" l="1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AE33" i="20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44" i="23" l="1"/>
  <c r="E44" i="23"/>
  <c r="F44" i="23"/>
  <c r="C44" i="23"/>
  <c r="D44" i="23"/>
  <c r="B8" i="27" l="1"/>
  <c r="A8" i="27"/>
  <c r="L4" i="20"/>
  <c r="R4" i="20" s="1" a="1"/>
  <c r="R4" i="20" l="1"/>
  <c r="S4" i="20" s="1" a="1"/>
  <c r="S4" i="20" s="1"/>
  <c r="T4" i="20" l="1" a="1"/>
  <c r="T4" i="20" s="1"/>
  <c r="A2" i="20" a="1"/>
  <c r="E105" i="23" l="1"/>
  <c r="A5" i="23" a="1"/>
  <c r="A2" i="20"/>
  <c r="E43" i="23" l="1"/>
  <c r="D41" i="23"/>
  <c r="D42" i="23"/>
  <c r="D40" i="23"/>
  <c r="D39" i="23"/>
  <c r="E38" i="23"/>
  <c r="E37" i="23"/>
  <c r="E36" i="23"/>
  <c r="F38" i="23"/>
  <c r="F41" i="23"/>
  <c r="C37" i="23"/>
  <c r="C39" i="23"/>
  <c r="C41" i="23"/>
  <c r="C42" i="23"/>
  <c r="B39" i="23"/>
  <c r="E41" i="23"/>
  <c r="E39" i="23"/>
  <c r="D38" i="23"/>
  <c r="D37" i="23"/>
  <c r="D36" i="23"/>
  <c r="F37" i="23"/>
  <c r="F40" i="23"/>
  <c r="F43" i="23"/>
  <c r="C38" i="23"/>
  <c r="C40" i="23"/>
  <c r="C43" i="23"/>
  <c r="B38" i="23"/>
  <c r="E42" i="23"/>
  <c r="B36" i="23"/>
  <c r="B42" i="23"/>
  <c r="D43" i="23"/>
  <c r="D20" i="23"/>
  <c r="E29" i="23"/>
  <c r="C29" i="23"/>
  <c r="B8" i="23"/>
  <c r="C6" i="23"/>
  <c r="F33" i="23"/>
  <c r="D33" i="23"/>
  <c r="E24" i="23"/>
  <c r="F16" i="23"/>
  <c r="B16" i="23"/>
  <c r="B7" i="23"/>
  <c r="D18" i="23"/>
  <c r="F20" i="23"/>
  <c r="C28" i="23"/>
  <c r="F13" i="23"/>
  <c r="B26" i="23"/>
  <c r="C27" i="23"/>
  <c r="F29" i="23"/>
  <c r="F8" i="23"/>
  <c r="C33" i="23"/>
  <c r="B34" i="23"/>
  <c r="C21" i="23"/>
  <c r="C12" i="23"/>
  <c r="F21" i="23"/>
  <c r="D10" i="23"/>
  <c r="E33" i="23"/>
  <c r="D28" i="23"/>
  <c r="D19" i="23"/>
  <c r="F6" i="23"/>
  <c r="B28" i="23"/>
  <c r="E20" i="23"/>
  <c r="F19" i="23"/>
  <c r="E6" i="23"/>
  <c r="C8" i="23"/>
  <c r="F25" i="23"/>
  <c r="B6" i="23"/>
  <c r="B13" i="23"/>
  <c r="C10" i="23"/>
  <c r="F30" i="23"/>
  <c r="B10" i="23"/>
  <c r="C32" i="23"/>
  <c r="C23" i="23"/>
  <c r="B15" i="23"/>
  <c r="B12" i="23"/>
  <c r="B11" i="23"/>
  <c r="D27" i="23"/>
  <c r="C7" i="23"/>
  <c r="F14" i="23"/>
  <c r="C13" i="23"/>
  <c r="E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E40" i="23"/>
  <c r="F36" i="23"/>
  <c r="F39" i="23"/>
  <c r="F42" i="23"/>
  <c r="B40" i="23"/>
  <c r="B43" i="23"/>
  <c r="C36" i="23"/>
  <c r="B37" i="23"/>
  <c r="B41" i="23"/>
  <c r="D9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A5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<sst xmlns="http://schemas.openxmlformats.org/spreadsheetml/2006/main" count="6567" uniqueCount="2976">
  <si>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</si>
  <si>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</si>
  <si>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</si>
  <si>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</si>
  <si>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</si>
  <si>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</si>
  <si>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</si>
  <si>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</si>
  <si>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</si>
  <si>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</si>
  <si>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</si>
  <si>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</si>
  <si>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</si>
  <si>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</si>
  <si>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</si>
  <si>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</si>
  <si>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</si>
  <si>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</si>
  <si>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</si>
  <si>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</si>
  <si>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</si>
  <si>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</si>
  <si>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</si>
  <si>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</si>
  <si>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</si>
  <si>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</si>
  <si>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</si>
  <si>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</si>
  <si>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procu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</si>
  <si>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</si>
  <si>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</si>
  <si>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</si>
  <si>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</si>
  <si>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</si>
  <si>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</si>
  <si>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</si>
  <si>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</si>
  <si>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</si>
  <si>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</si>
  <si>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</si>
  <si>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</si>
  <si>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</si>
  <si>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</si>
  <si>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</si>
  <si>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</si>
  <si>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</si>
  <si>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</si>
  <si>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</si>
  <si>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</si>
  <si>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</si>
  <si>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</si>
  <si>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</si>
  <si>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</si>
  <si>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</si>
  <si>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</si>
  <si>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</si>
  <si>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</si>
  <si>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</si>
  <si>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</si>
  <si>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</si>
  <si>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</si>
  <si>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</si>
  <si>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</si>
  <si>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</si>
  <si>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</si>
  <si>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</si>
  <si>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</si>
  <si>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</si>
  <si>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</si>
  <si>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</si>
  <si>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</si>
  <si>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</si>
  <si>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</si>
  <si>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</si>
  <si>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</si>
  <si>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</si>
  <si>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</si>
  <si>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</si>
  <si>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</si>
  <si>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</si>
  <si>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</si>
  <si>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</si>
  <si>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</si>
  <si>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</si>
  <si>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</si>
  <si>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</si>
  <si>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</si>
  <si>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</si>
  <si>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</si>
  <si>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</si>
  <si>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</si>
  <si>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</si>
  <si>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</si>
  <si>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</si>
  <si>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</si>
  <si>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</si>
  <si>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</si>
  <si>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</si>
  <si>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</si>
  <si>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</si>
  <si>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</si>
  <si>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</si>
  <si>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</si>
  <si>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</si>
  <si>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</si>
  <si>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</si>
  <si>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</si>
  <si>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</si>
  <si>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</si>
  <si>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</si>
  <si>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</si>
  <si>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</si>
  <si>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</si>
  <si>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</si>
  <si>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</si>
  <si>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</si>
  <si>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</si>
  <si>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</si>
  <si>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</si>
  <si>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</si>
  <si>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</si>
  <si>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</si>
  <si>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</si>
  <si>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</si>
  <si>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</si>
  <si>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</si>
  <si>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</si>
  <si>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</si>
  <si>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</si>
  <si>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</si>
  <si>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</si>
  <si>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</si>
  <si>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</si>
  <si>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</si>
  <si>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</si>
  <si>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</si>
  <si>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</si>
  <si>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</si>
  <si>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</si>
  <si>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</si>
  <si>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</si>
  <si>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</si>
  <si>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</si>
  <si>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</si>
  <si>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</si>
  <si>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</si>
  <si>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</si>
  <si>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</si>
  <si>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</si>
  <si>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</si>
  <si>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</si>
  <si>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</si>
  <si>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</si>
  <si>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</si>
  <si>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</si>
  <si>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</si>
  <si>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</si>
  <si>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</si>
  <si>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</si>
  <si>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</si>
  <si>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</si>
  <si>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</si>
  <si>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</si>
  <si>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</si>
  <si>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</si>
  <si>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</si>
  <si>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</si>
  <si>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</si>
  <si>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</si>
  <si>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</si>
  <si>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</si>
  <si>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</si>
  <si>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</si>
  <si>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</si>
  <si>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</si>
  <si>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</si>
  <si>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</si>
  <si>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</si>
  <si>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</si>
  <si>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</si>
  <si>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</si>
  <si>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</si>
  <si>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</si>
  <si>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</si>
  <si>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</si>
  <si>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</si>
  <si>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</si>
  <si>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</si>
  <si>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</si>
  <si>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</si>
  <si>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</si>
  <si>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</si>
  <si>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</si>
  <si>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</si>
  <si>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</si>
  <si>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</si>
  <si>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</si>
  <si>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</si>
  <si>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</si>
  <si>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</si>
  <si>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</si>
  <si>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</si>
  <si>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</si>
  <si>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</si>
  <si>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</si>
  <si>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</si>
  <si>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</si>
  <si>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</si>
  <si>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</si>
  <si>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</si>
  <si>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</si>
  <si>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</si>
  <si>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</si>
  <si>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</si>
  <si>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</si>
  <si>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</si>
  <si>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</si>
  <si>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</si>
  <si>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</si>
  <si>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</si>
  <si>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</si>
  <si>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</si>
  <si>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</si>
  <si>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</si>
  <si>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</si>
  <si>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</si>
  <si>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</si>
  <si>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</si>
  <si>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</si>
  <si>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</si>
  <si>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</si>
  <si>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</si>
  <si>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</si>
  <si>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</si>
  <si>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</si>
  <si>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</si>
  <si>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</si>
  <si>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</si>
  <si>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</si>
  <si>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</si>
  <si>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</si>
  <si>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</si>
  <si>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</si>
  <si>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</si>
  <si>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</si>
  <si>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</si>
  <si>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</si>
  <si>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</si>
  <si>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</si>
  <si>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</si>
  <si>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</si>
  <si>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</si>
  <si>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</si>
  <si>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</si>
  <si>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</si>
  <si>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</si>
  <si>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</si>
  <si>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</si>
  <si>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</si>
  <si>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</si>
  <si>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</si>
  <si>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</si>
  <si>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</si>
  <si>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</si>
  <si>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</si>
  <si>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</si>
  <si>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</si>
  <si>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</si>
  <si>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</si>
  <si>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</si>
  <si>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</si>
  <si>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</si>
  <si>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</si>
  <si>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</si>
  <si>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</si>
  <si>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</si>
  <si>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</si>
  <si>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</si>
  <si>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</si>
  <si>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</si>
  <si>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</si>
  <si>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</si>
  <si>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</si>
  <si>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</si>
  <si>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</si>
  <si>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</si>
  <si>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</si>
  <si>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</si>
  <si>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</si>
  <si>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</si>
  <si>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</si>
  <si>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</si>
  <si>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</si>
  <si>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</si>
  <si>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</si>
  <si>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</si>
  <si>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</si>
  <si>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</si>
  <si>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</si>
  <si>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</si>
  <si>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</si>
  <si>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</si>
  <si>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</si>
  <si>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</si>
  <si>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</si>
  <si>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</si>
  <si>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</si>
  <si>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</si>
  <si>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</si>
  <si>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</si>
  <si>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</si>
  <si>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</si>
  <si>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</si>
  <si>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</si>
  <si>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</si>
  <si>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</si>
  <si>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</si>
  <si>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</si>
  <si>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</si>
  <si>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</si>
  <si>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</si>
  <si>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</si>
  <si>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</si>
  <si>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</si>
  <si>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</si>
  <si>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</si>
  <si>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</si>
  <si>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</si>
  <si>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</si>
  <si>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</si>
  <si>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</si>
  <si>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</si>
  <si>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</si>
  <si>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</si>
  <si>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</si>
  <si>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</si>
  <si>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</si>
  <si>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</si>
  <si>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</si>
  <si>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</si>
  <si>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</si>
  <si>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</si>
  <si>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</si>
  <si>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</si>
  <si>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</si>
  <si>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</si>
  <si>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</si>
  <si>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</si>
  <si>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</si>
  <si>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</si>
  <si>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</si>
  <si>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</si>
  <si>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</si>
  <si>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</si>
  <si>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</si>
  <si>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</si>
  <si>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</si>
  <si>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</si>
  <si>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</si>
  <si>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</si>
  <si>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</si>
  <si>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</si>
  <si>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</si>
  <si>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</si>
  <si>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</si>
  <si>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</si>
  <si>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</si>
  <si>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</si>
  <si>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</si>
  <si>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</si>
  <si>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</si>
  <si>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</si>
  <si>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</si>
  <si>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</si>
  <si>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</si>
  <si>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</si>
  <si>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</si>
  <si>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</si>
  <si>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</si>
  <si>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</si>
  <si>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</si>
  <si>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</si>
  <si>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</si>
  <si>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</si>
  <si>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</si>
  <si>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</si>
  <si>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</si>
  <si>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</si>
  <si>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</si>
  <si>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</si>
  <si>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</si>
  <si>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</si>
  <si>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</si>
  <si>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</si>
  <si>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</si>
  <si>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</si>
  <si>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</si>
  <si>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</si>
  <si>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</si>
  <si>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</si>
  <si>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</si>
  <si>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</si>
  <si>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</si>
  <si>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</si>
  <si>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</si>
  <si>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</si>
  <si>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</si>
  <si>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</si>
  <si>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</si>
  <si>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</si>
  <si>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</si>
  <si>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</si>
  <si>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</si>
  <si>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</si>
  <si>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</si>
  <si>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</si>
  <si>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</si>
  <si>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</si>
  <si>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</si>
  <si>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</si>
  <si>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</si>
  <si>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</si>
  <si>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</si>
  <si>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</si>
  <si>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</si>
  <si>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</si>
  <si>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</si>
  <si>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</si>
  <si>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</si>
  <si>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</si>
  <si>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</si>
  <si>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</si>
  <si>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</si>
  <si>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</si>
  <si>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</si>
  <si>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</si>
  <si>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</si>
  <si>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</si>
  <si>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</si>
  <si>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</si>
  <si>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</si>
  <si>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</si>
  <si>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</si>
  <si>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</si>
  <si>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</si>
  <si>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</si>
  <si>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</si>
  <si>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</si>
  <si>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</si>
  <si>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</si>
  <si>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</si>
  <si>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</si>
  <si>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</si>
  <si>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</si>
  <si>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</si>
  <si>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</si>
  <si>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</si>
  <si>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</si>
  <si>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</si>
  <si>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</si>
  <si>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</si>
  <si>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</si>
  <si>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</si>
  <si>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</si>
  <si>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</si>
  <si>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</si>
  <si>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</si>
  <si>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</si>
  <si>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</si>
  <si>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</si>
  <si>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</si>
  <si>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</si>
  <si>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</si>
  <si>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</si>
  <si>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</si>
  <si>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</si>
  <si>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</si>
  <si>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</si>
  <si>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</si>
  <si>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</si>
  <si>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</si>
  <si>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</si>
  <si>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</si>
  <si>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</si>
  <si>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</si>
  <si>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</si>
  <si>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</si>
  <si>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</si>
  <si>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</si>
  <si>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</si>
  <si>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</si>
  <si>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</si>
  <si>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</si>
  <si>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</si>
  <si>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</si>
  <si>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</si>
  <si>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</si>
  <si>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</si>
  <si>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</si>
  <si>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</si>
  <si>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</si>
  <si>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</si>
  <si>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</si>
  <si>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</si>
  <si>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</si>
  <si>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</si>
  <si>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</si>
  <si>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</si>
  <si>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</si>
  <si>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</si>
  <si>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</si>
  <si>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</si>
  <si>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</si>
  <si>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</si>
  <si>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</si>
  <si>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</si>
  <si>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</si>
  <si>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</si>
  <si>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</si>
  <si>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</si>
  <si>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</si>
  <si>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</si>
  <si>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</si>
  <si>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</si>
  <si>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</si>
  <si>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</si>
  <si>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</si>
  <si>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</si>
  <si>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</si>
  <si>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</si>
  <si>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</si>
  <si>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</si>
  <si>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</si>
  <si>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</si>
  <si>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</si>
  <si>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</si>
  <si>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</si>
  <si>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</si>
  <si>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</si>
  <si>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</si>
  <si>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</si>
  <si>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</si>
  <si>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</si>
  <si>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</si>
  <si>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</si>
  <si>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</si>
  <si>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</si>
  <si>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</si>
  <si>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</si>
  <si>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</si>
  <si>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</si>
  <si>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</si>
  <si>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</si>
  <si>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</si>
  <si>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</si>
  <si>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</si>
  <si>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</si>
  <si>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</si>
  <si>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</si>
  <si>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</si>
  <si>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</si>
  <si>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</si>
  <si>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</si>
  <si>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</si>
  <si>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</si>
  <si>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</si>
  <si>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</si>
  <si>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</si>
  <si>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</si>
  <si>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</si>
  <si>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</si>
  <si>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</si>
  <si>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</si>
  <si>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</si>
  <si>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</si>
  <si>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</si>
  <si>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</si>
  <si>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</si>
  <si>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</si>
  <si>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</si>
  <si>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</si>
  <si>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</si>
  <si>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</si>
  <si>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</si>
  <si>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</si>
  <si>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</si>
  <si>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</si>
  <si>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</si>
  <si>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</si>
  <si>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</si>
  <si>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</si>
  <si>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</si>
  <si>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</si>
  <si>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</si>
  <si>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</si>
  <si>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</si>
  <si>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</si>
  <si>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</si>
  <si>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</si>
  <si>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</si>
  <si>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</si>
  <si>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</si>
  <si>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</si>
  <si>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</si>
  <si>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</si>
  <si>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</si>
  <si>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</si>
  <si>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</si>
  <si>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</si>
  <si>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</si>
  <si>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</si>
  <si>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</si>
  <si>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</si>
  <si>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</si>
  <si>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</si>
  <si>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</si>
  <si>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</si>
  <si>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</si>
  <si>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</si>
  <si>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</si>
  <si>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</si>
  <si>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</si>
  <si>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</si>
  <si>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</si>
  <si>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</si>
  <si>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</si>
  <si>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</si>
  <si>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</si>
  <si>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</si>
  <si>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</si>
  <si>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</si>
  <si>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</si>
  <si>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</si>
  <si>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</si>
  <si>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</si>
  <si>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</si>
  <si>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</si>
  <si>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</si>
  <si>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</si>
  <si>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</si>
  <si>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</si>
  <si>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</si>
  <si>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</si>
  <si>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</si>
  <si>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</si>
  <si>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</si>
  <si>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</si>
  <si>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</si>
  <si>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</si>
  <si>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</si>
  <si>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</si>
  <si>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</si>
  <si>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</si>
  <si>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</si>
  <si>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</si>
  <si>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</si>
  <si>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</si>
  <si>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</si>
  <si>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</si>
  <si>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</si>
  <si>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</si>
  <si>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</si>
  <si>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</si>
  <si>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</si>
  <si>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</si>
  <si>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</si>
  <si>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</si>
  <si>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</si>
  <si>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</si>
  <si>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</si>
  <si>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</si>
  <si>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</si>
  <si>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</si>
  <si>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</si>
  <si>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</si>
  <si>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</si>
  <si>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</si>
  <si>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</si>
  <si>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</si>
  <si>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</si>
  <si>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</si>
  <si>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</si>
  <si>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</si>
  <si>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</si>
  <si>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</si>
  <si>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</si>
  <si>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</si>
  <si>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</si>
  <si>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</si>
  <si>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</si>
  <si>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</si>
  <si>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</si>
  <si>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</si>
  <si>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</si>
  <si>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</si>
  <si>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</si>
  <si>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</si>
  <si>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</si>
  <si>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</si>
  <si>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</si>
  <si>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</si>
  <si>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</si>
  <si>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</si>
  <si>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</si>
  <si>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</si>
  <si>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</si>
  <si>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</si>
  <si>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</si>
  <si>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</si>
  <si>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</si>
  <si>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</si>
  <si>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</si>
  <si>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</si>
  <si>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</si>
  <si>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</si>
  <si>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</si>
  <si>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</si>
  <si>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</si>
  <si>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</si>
  <si>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</si>
  <si>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</si>
  <si>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</si>
  <si>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</si>
  <si>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</si>
  <si>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</si>
  <si>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</si>
  <si>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</si>
  <si>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</si>
  <si>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</si>
  <si>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</si>
  <si>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</si>
  <si>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</si>
  <si>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</si>
  <si>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</si>
  <si>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</si>
  <si>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</si>
  <si>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</si>
  <si>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</si>
  <si>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</si>
  <si>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</si>
  <si>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</si>
  <si>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</si>
  <si>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</si>
  <si>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</si>
  <si>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</si>
  <si>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</si>
  <si>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</si>
  <si>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</si>
  <si>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</si>
  <si>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</si>
  <si>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</si>
  <si>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</si>
  <si>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</si>
  <si>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</si>
  <si>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</si>
  <si>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</si>
  <si>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</si>
  <si>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</si>
  <si>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</si>
  <si>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</si>
  <si>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</si>
  <si>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</si>
  <si>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</si>
  <si>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</si>
  <si>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</si>
  <si>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</si>
  <si>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</si>
  <si>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</si>
  <si>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</si>
  <si>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</si>
  <si>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</si>
  <si>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</si>
  <si>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</si>
  <si>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</si>
  <si>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</si>
  <si>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</si>
  <si>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</si>
  <si>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</si>
  <si>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</si>
  <si>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</si>
  <si>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</si>
  <si>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</si>
  <si>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</si>
  <si>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</si>
  <si>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</si>
  <si>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</si>
  <si>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</si>
  <si>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</si>
  <si>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</si>
  <si>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</si>
  <si>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</si>
  <si>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</si>
  <si>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</si>
  <si>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</si>
  <si>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</si>
  <si>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</si>
  <si>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</si>
  <si>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</si>
  <si>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</si>
  <si>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</si>
  <si>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</si>
  <si>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</si>
  <si>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</si>
  <si>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</si>
  <si>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</si>
  <si>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</si>
  <si>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</si>
  <si>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</si>
  <si>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</si>
  <si>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</si>
  <si>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</si>
  <si>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</si>
  <si>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</si>
  <si>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</si>
  <si>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</si>
  <si>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</si>
  <si>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</si>
  <si>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</si>
  <si>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</si>
  <si>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</si>
  <si>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</si>
  <si>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</si>
  <si>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</si>
  <si>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</si>
  <si>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</si>
  <si>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</si>
  <si>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</si>
  <si>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</si>
  <si>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</si>
  <si>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</si>
  <si>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</si>
  <si>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</si>
  <si>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</si>
  <si>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</si>
  <si>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</si>
  <si>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</si>
  <si>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</si>
  <si>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</si>
  <si>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</si>
  <si>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</si>
  <si>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</si>
  <si>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</si>
  <si>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</si>
  <si>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</si>
  <si>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</si>
  <si>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</si>
  <si>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</si>
  <si>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</si>
  <si>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</si>
  <si>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</si>
  <si>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</si>
  <si>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</si>
  <si>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</si>
  <si>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</si>
  <si>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</si>
  <si>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</si>
  <si>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</si>
  <si>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</si>
  <si>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</si>
  <si>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</si>
  <si>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</si>
  <si>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</si>
  <si>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</si>
  <si>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</si>
  <si>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</si>
  <si>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</si>
  <si>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</si>
  <si>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</si>
  <si>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</si>
  <si>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</si>
  <si>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</si>
  <si>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</si>
  <si>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</si>
  <si>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</si>
  <si>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</si>
  <si>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</si>
  <si>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</si>
  <si>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</si>
  <si>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</si>
  <si>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</si>
  <si>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</si>
  <si>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</si>
  <si>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</si>
  <si>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</si>
  <si>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</si>
  <si>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</si>
  <si>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</si>
  <si>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</si>
  <si>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</si>
  <si>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</si>
  <si>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</si>
  <si>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</si>
  <si>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</si>
  <si>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</si>
  <si>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</si>
  <si>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</si>
  <si>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</si>
  <si>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</si>
  <si>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</si>
  <si>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</si>
  <si>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</si>
  <si>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</si>
  <si>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</si>
  <si>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</si>
  <si>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</si>
  <si>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</si>
  <si>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</si>
  <si>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</si>
  <si>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</si>
  <si>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</si>
  <si>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</si>
  <si>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</si>
  <si>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</si>
  <si>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</si>
  <si>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</si>
  <si>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</si>
  <si>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</si>
  <si>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</si>
  <si>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</si>
  <si>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</si>
  <si>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</si>
  <si>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</si>
  <si>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</si>
  <si>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</si>
  <si>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</si>
  <si>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</si>
  <si>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</si>
  <si>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</si>
  <si>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</si>
  <si>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</si>
  <si>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</si>
  <si>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</si>
  <si>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</si>
  <si>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</si>
  <si>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</si>
  <si>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</si>
  <si>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</si>
  <si>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</si>
  <si>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</si>
  <si>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</si>
  <si>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</si>
  <si>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</si>
  <si>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</si>
  <si>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</si>
  <si>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</si>
  <si>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</si>
  <si>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</si>
  <si>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</si>
  <si>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</si>
  <si>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</si>
  <si>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</si>
  <si>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</si>
  <si>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</si>
  <si>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</si>
  <si>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</si>
  <si>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</si>
  <si>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</si>
  <si>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</si>
  <si>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</si>
  <si>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</si>
  <si>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</si>
  <si>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</si>
  <si>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</si>
  <si>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</si>
  <si>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</si>
  <si>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</si>
  <si>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</si>
  <si>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</si>
  <si>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</si>
  <si>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</si>
  <si>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</si>
  <si>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</si>
  <si>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</si>
  <si>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</si>
  <si>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</si>
  <si>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</si>
  <si>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</si>
  <si>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</si>
  <si>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</si>
  <si>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</si>
  <si>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</si>
  <si>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</si>
  <si>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</si>
  <si>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</si>
  <si>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</si>
  <si>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</si>
  <si>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</si>
  <si>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</si>
  <si>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</si>
  <si>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</si>
  <si>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</si>
  <si>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</si>
  <si>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</si>
  <si>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</si>
  <si>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</si>
  <si>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</si>
  <si>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</si>
  <si>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</si>
  <si>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</si>
  <si>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</si>
  <si>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</si>
  <si>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</si>
  <si>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</si>
  <si>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</si>
  <si>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</si>
  <si>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</si>
  <si>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</si>
  <si>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</si>
  <si>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</si>
  <si>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</si>
  <si>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</si>
  <si>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</si>
  <si>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</si>
  <si>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</si>
  <si>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</si>
  <si>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</si>
  <si>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</si>
  <si>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</si>
  <si>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</si>
  <si>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</si>
  <si>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</si>
  <si>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</si>
  <si>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</si>
  <si>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</si>
  <si>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</si>
  <si>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</si>
  <si>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</si>
  <si>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</si>
  <si>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</si>
  <si>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</si>
  <si>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</si>
  <si>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</si>
  <si>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</si>
  <si>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</si>
  <si>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</si>
  <si>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</si>
  <si>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</si>
  <si>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</si>
  <si>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</si>
  <si>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</si>
  <si>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</si>
  <si>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</si>
  <si>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</si>
  <si>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</si>
  <si>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</si>
  <si>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</si>
  <si>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</si>
  <si>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</si>
  <si>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</si>
  <si>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</si>
  <si>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</si>
  <si>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</si>
  <si>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</si>
  <si>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</si>
  <si>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</si>
  <si>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</si>
  <si>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</si>
  <si>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</si>
  <si>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</si>
  <si>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</si>
  <si>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</si>
  <si>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</si>
  <si>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</si>
  <si>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</si>
  <si>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</si>
  <si>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</si>
  <si>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</si>
  <si>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</si>
  <si>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</si>
  <si>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</si>
  <si>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</si>
  <si>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</si>
  <si>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</si>
  <si>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</si>
  <si>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</si>
  <si>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</si>
  <si>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</si>
  <si>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</si>
  <si>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</si>
  <si>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</si>
  <si>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</si>
  <si>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</si>
  <si>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</si>
  <si>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</si>
  <si>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</si>
  <si>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</si>
  <si>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</si>
  <si>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</si>
  <si>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</si>
  <si>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</si>
  <si>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</si>
  <si>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</si>
  <si>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</si>
  <si>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</si>
  <si>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</si>
  <si>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</si>
  <si>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</si>
  <si>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</si>
  <si>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</si>
  <si>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</si>
  <si>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</si>
  <si>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</si>
  <si>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</si>
  <si>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</si>
  <si>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</si>
  <si>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</si>
  <si>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</si>
  <si>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</si>
  <si>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</si>
  <si>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</si>
  <si>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</si>
  <si>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</si>
  <si>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</si>
  <si>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</si>
  <si>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</si>
  <si>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</si>
  <si>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</si>
  <si>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</si>
  <si>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</si>
  <si>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</si>
  <si>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</si>
  <si>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</si>
  <si>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</si>
  <si>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</si>
  <si>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</si>
  <si>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</si>
  <si>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</si>
  <si>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</si>
  <si>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</si>
  <si>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</si>
  <si>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</si>
  <si>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</si>
  <si>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</si>
  <si>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</si>
  <si>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</si>
  <si>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</si>
  <si>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</si>
  <si>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</si>
  <si>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</si>
  <si>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</si>
  <si>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</si>
  <si>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</si>
  <si>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</si>
  <si>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</si>
  <si>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</si>
  <si>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</si>
  <si>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</si>
  <si>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</si>
  <si>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</si>
  <si>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</si>
  <si>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</si>
  <si>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</si>
  <si>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</si>
  <si>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</si>
  <si>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</si>
  <si>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</si>
  <si>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</si>
  <si>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</si>
  <si>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</si>
  <si>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</si>
  <si>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</si>
  <si>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</si>
  <si>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</si>
  <si>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</si>
  <si>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</si>
  <si>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</si>
  <si>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</si>
  <si>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</si>
  <si>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</si>
  <si>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</si>
  <si>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</si>
  <si>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</si>
  <si>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</si>
  <si>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</si>
  <si>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</si>
  <si>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</si>
  <si>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</si>
  <si>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</si>
  <si>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</si>
  <si>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</si>
  <si>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</si>
  <si>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</si>
  <si>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</si>
  <si>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</si>
  <si>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</si>
  <si>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</si>
  <si>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</si>
  <si>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</si>
  <si>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</si>
  <si>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</si>
  <si>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</si>
  <si>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</si>
  <si>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</si>
  <si>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</si>
  <si>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</si>
  <si>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</si>
  <si>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</si>
  <si>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</si>
  <si>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</si>
  <si>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</si>
  <si>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</si>
  <si>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</si>
  <si>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</si>
  <si>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</si>
  <si>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</si>
  <si>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</si>
  <si>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</si>
  <si>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</si>
  <si>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</si>
  <si>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</si>
  <si>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</si>
  <si>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</si>
  <si>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</si>
  <si>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</si>
  <si>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</si>
  <si>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</si>
  <si>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</si>
  <si>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</si>
  <si>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</si>
  <si>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</si>
  <si>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</si>
  <si>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</si>
  <si>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</si>
  <si>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</si>
  <si>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</si>
  <si>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</si>
  <si>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</si>
  <si>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</si>
  <si>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</si>
  <si>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</si>
  <si>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</si>
  <si>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</si>
  <si>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</si>
  <si>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</si>
  <si>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</si>
  <si>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</si>
  <si>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</si>
  <si>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</si>
  <si>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</si>
  <si>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</si>
  <si>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</si>
  <si>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</si>
  <si>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</si>
  <si>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</si>
  <si>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</si>
  <si>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</si>
  <si>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</si>
  <si>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</si>
  <si>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</si>
  <si>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</si>
  <si>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</si>
  <si>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</si>
  <si>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</si>
  <si>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</si>
  <si>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</si>
  <si>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</si>
  <si>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</si>
  <si>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</si>
  <si>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</si>
  <si>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</si>
  <si>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</si>
  <si>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</si>
  <si>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</si>
  <si>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</si>
  <si>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</si>
  <si>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</si>
  <si>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</si>
  <si>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</si>
  <si>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</si>
  <si>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</si>
  <si>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</si>
  <si>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</si>
  <si>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</si>
  <si>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</si>
  <si>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</si>
  <si>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</si>
  <si>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</si>
  <si>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</si>
  <si>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</si>
  <si>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</si>
  <si>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</si>
  <si>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</si>
  <si>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</si>
  <si>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</si>
  <si>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</si>
  <si>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</si>
  <si>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</si>
  <si>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</si>
  <si>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</si>
  <si>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</si>
  <si>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</si>
  <si>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</si>
  <si>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</si>
  <si>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</si>
  <si>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</si>
  <si>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</si>
  <si>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</si>
  <si>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</si>
  <si>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</si>
  <si>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</si>
  <si>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</si>
  <si>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</si>
  <si>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</si>
  <si>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</si>
  <si>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</si>
  <si>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</si>
  <si>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</si>
  <si>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</si>
  <si>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</si>
  <si>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</si>
  <si>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</si>
  <si>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</si>
  <si>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</si>
  <si>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</si>
  <si>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</si>
  <si>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</si>
  <si>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</si>
  <si>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</si>
  <si>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</si>
  <si>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</si>
  <si>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</si>
  <si>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</si>
  <si>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</si>
  <si>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</si>
  <si>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</si>
  <si>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</si>
  <si>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</si>
  <si>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</si>
  <si>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</si>
  <si>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</si>
  <si>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</si>
  <si>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</si>
  <si>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</si>
  <si>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</si>
  <si>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</si>
  <si>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</si>
  <si>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</si>
  <si>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</si>
  <si>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</si>
  <si>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</si>
  <si>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</si>
  <si>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</si>
  <si>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</si>
  <si>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</si>
  <si>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</si>
  <si>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</si>
  <si>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</si>
  <si>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</si>
  <si>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</si>
  <si>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</si>
  <si>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</si>
  <si>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</si>
  <si>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</si>
  <si>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</si>
  <si>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</si>
  <si>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</si>
  <si>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</si>
  <si>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</si>
  <si>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</si>
  <si>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</si>
  <si>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</si>
  <si>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</si>
  <si>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</si>
  <si>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</si>
  <si>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</si>
  <si>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</si>
  <si>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</si>
  <si>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</si>
  <si>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</si>
  <si>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</si>
  <si>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</si>
  <si>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</si>
  <si>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</si>
  <si>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</si>
  <si>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</si>
  <si>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</si>
  <si>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</si>
  <si>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</si>
  <si>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</si>
  <si>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</si>
  <si>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</si>
  <si>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</si>
  <si>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</si>
  <si>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</si>
  <si>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</si>
  <si>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</si>
  <si>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</si>
  <si>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</si>
  <si>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</si>
  <si>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</si>
  <si>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</si>
  <si>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</si>
  <si>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</si>
  <si>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</si>
  <si>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</si>
  <si>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</si>
  <si>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</si>
  <si>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</si>
  <si>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</si>
  <si>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</si>
  <si>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</si>
  <si>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</si>
  <si>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</si>
  <si>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</si>
  <si>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</si>
  <si>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</si>
  <si>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</si>
  <si>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</si>
  <si>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</si>
  <si>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</si>
  <si>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</si>
  <si>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</si>
  <si>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</si>
  <si>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</si>
  <si>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</si>
  <si>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</si>
  <si>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</si>
  <si>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</si>
  <si>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</si>
  <si>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</si>
  <si>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</si>
  <si>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</si>
  <si>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</si>
  <si>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</si>
  <si>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</si>
  <si>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</si>
  <si>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</si>
  <si>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</si>
  <si>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</si>
  <si>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</si>
  <si>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</si>
  <si>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</si>
  <si>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</si>
  <si>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</si>
  <si>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</si>
  <si>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</si>
  <si>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</si>
  <si>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</si>
  <si>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</si>
  <si>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</si>
  <si>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</si>
  <si>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</si>
  <si>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</si>
  <si>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</si>
  <si>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</si>
  <si>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</si>
  <si>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</si>
  <si>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</si>
  <si>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</si>
  <si>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</si>
  <si>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</si>
  <si>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</si>
  <si>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</si>
  <si>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</si>
  <si>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</si>
  <si>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</si>
  <si>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</si>
  <si>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</si>
  <si>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</si>
  <si>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</si>
  <si>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</si>
  <si>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</si>
  <si>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</si>
  <si>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</si>
  <si>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</si>
  <si>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</si>
  <si>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</si>
  <si>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</si>
  <si>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</si>
  <si>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</si>
  <si>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</si>
  <si>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</si>
  <si>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</si>
  <si>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</si>
  <si>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</si>
  <si>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</si>
  <si>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</si>
  <si>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</si>
  <si>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</si>
  <si>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</si>
  <si>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</si>
  <si>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</si>
  <si>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</si>
  <si>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</si>
  <si>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</si>
  <si>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</si>
  <si>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</si>
  <si>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</si>
  <si>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</si>
  <si>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</si>
  <si>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</si>
  <si>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</si>
  <si>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</si>
  <si>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</si>
  <si>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</si>
  <si>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</si>
  <si>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</si>
  <si>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</si>
  <si>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</si>
  <si>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</si>
  <si>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</si>
  <si>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</si>
  <si>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</si>
  <si>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</si>
  <si>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</si>
  <si>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</si>
  <si>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</si>
  <si>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</si>
  <si>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</si>
  <si>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</si>
  <si>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</si>
  <si>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</si>
  <si>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</si>
  <si>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</si>
  <si>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</si>
  <si>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</si>
  <si>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</si>
  <si>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</si>
  <si>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</si>
  <si>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</si>
  <si>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</si>
  <si>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</si>
  <si>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</si>
  <si>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</si>
  <si>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</si>
  <si>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</si>
  <si>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</si>
  <si>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</si>
  <si>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</si>
  <si>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</si>
  <si>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</si>
  <si>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</si>
  <si>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</si>
  <si>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</si>
  <si>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</si>
  <si>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</si>
  <si>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</si>
  <si>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</si>
  <si>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</si>
  <si>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</si>
  <si>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</si>
  <si>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</si>
  <si>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</si>
  <si>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</si>
  <si>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</si>
  <si>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</si>
  <si>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</si>
  <si>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</si>
  <si>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</si>
  <si>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</si>
  <si>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</si>
  <si>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</si>
  <si>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</si>
  <si>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</si>
  <si>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</si>
  <si>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</si>
  <si>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</si>
  <si>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</si>
  <si>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</si>
  <si>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</si>
  <si>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</si>
  <si>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</si>
  <si>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</si>
  <si>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</si>
  <si>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</si>
  <si>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</si>
  <si>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</si>
  <si>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</si>
  <si>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</si>
  <si>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</si>
  <si>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</si>
  <si>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</si>
  <si>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</si>
  <si>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</si>
  <si>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</si>
  <si>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</si>
  <si>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</si>
  <si>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</si>
  <si>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</si>
  <si>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</si>
  <si>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</si>
  <si>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</si>
  <si>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</si>
  <si>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</si>
  <si>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</si>
  <si>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</si>
  <si>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</si>
  <si>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</si>
  <si>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</si>
  <si>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</si>
  <si>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</si>
  <si>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</si>
  <si>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</si>
  <si>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</si>
  <si>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</si>
  <si>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</si>
  <si>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</si>
  <si>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</si>
  <si>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</si>
  <si>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</si>
  <si>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</si>
  <si>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</si>
  <si>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</si>
  <si>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</si>
  <si>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</si>
  <si>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</si>
  <si>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</si>
  <si>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</si>
  <si>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</si>
  <si>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</si>
  <si>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</si>
  <si>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</si>
  <si>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</si>
  <si>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</si>
  <si>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</si>
  <si>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</si>
  <si>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</si>
  <si>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</si>
  <si>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</si>
  <si>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</si>
  <si>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</si>
  <si>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</si>
  <si>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</si>
  <si>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</si>
  <si>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</si>
  <si>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</si>
  <si>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</si>
  <si>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</si>
  <si>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</si>
  <si>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</si>
  <si>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</si>
  <si>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</si>
  <si>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</si>
  <si>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</si>
  <si>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</si>
  <si>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</si>
  <si>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</si>
  <si>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</si>
  <si>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</si>
  <si>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</si>
  <si>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</si>
  <si>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</si>
  <si>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</si>
  <si>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</si>
  <si>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</si>
  <si>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</si>
  <si>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</si>
  <si>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</si>
  <si>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</si>
  <si>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</si>
  <si>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</si>
  <si>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</si>
  <si>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</si>
  <si>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</si>
  <si>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</si>
  <si>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</si>
  <si>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</si>
  <si>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</si>
  <si>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</si>
  <si>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</si>
  <si>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</si>
  <si>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</si>
  <si>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</si>
  <si>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</si>
  <si>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</si>
  <si>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</si>
  <si>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</si>
  <si>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</si>
  <si>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</si>
  <si>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</si>
  <si>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</si>
  <si>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</si>
  <si>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</si>
  <si>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</si>
  <si>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</si>
  <si>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</si>
  <si>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</si>
  <si>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</si>
  <si>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</si>
  <si>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</si>
  <si>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</si>
  <si>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</si>
  <si>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</si>
  <si>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</si>
  <si>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</si>
  <si>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</si>
  <si>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</si>
  <si>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</si>
  <si>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</si>
  <si>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</si>
  <si>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</si>
  <si>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</si>
  <si>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</si>
  <si>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</si>
  <si>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</si>
  <si>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</si>
  <si>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</si>
  <si>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</si>
  <si>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</si>
  <si>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</si>
  <si>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</si>
  <si>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</si>
  <si>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</si>
  <si>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</si>
  <si>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</si>
  <si>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</si>
  <si>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</si>
  <si>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</si>
  <si>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</si>
  <si>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</si>
  <si>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</si>
  <si>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</si>
  <si>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</si>
  <si>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</si>
  <si>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</si>
  <si>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</si>
  <si>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</si>
  <si>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</si>
  <si>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</si>
  <si>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</si>
  <si>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</si>
  <si>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</si>
  <si>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</si>
  <si>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</si>
  <si>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</si>
  <si>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</si>
  <si>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</si>
  <si>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</si>
  <si>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</si>
  <si>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</si>
  <si>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</si>
  <si>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</si>
  <si>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</si>
  <si>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</si>
  <si>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</si>
  <si>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</si>
  <si>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</si>
  <si>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</si>
  <si>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</si>
  <si>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</si>
  <si>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</si>
  <si>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</si>
  <si>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</si>
  <si>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</si>
  <si>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</si>
  <si>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</si>
  <si>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</si>
  <si>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</si>
  <si>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</si>
  <si>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</si>
  <si>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</si>
  <si>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</si>
  <si>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</si>
  <si>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</si>
  <si>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</si>
  <si>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</si>
  <si>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</si>
  <si>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</si>
  <si>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</si>
  <si>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</si>
  <si>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</si>
  <si>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</si>
  <si>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</si>
  <si>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</si>
  <si>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</si>
  <si>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</si>
  <si>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</si>
  <si>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</si>
  <si>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</si>
  <si>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</si>
  <si>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</si>
  <si>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</si>
  <si>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</si>
  <si>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</si>
  <si>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</si>
  <si>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</si>
  <si>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</si>
  <si>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</si>
  <si>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</si>
  <si>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</si>
  <si>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</si>
  <si>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</si>
  <si>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</si>
  <si>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</si>
  <si>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</si>
  <si>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</si>
  <si>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</si>
  <si>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</si>
  <si>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</si>
  <si>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</si>
  <si>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</si>
  <si>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</si>
  <si>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</si>
  <si>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</si>
  <si>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</si>
  <si>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</si>
  <si>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</si>
  <si>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</si>
  <si>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</si>
  <si>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</si>
  <si>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</si>
  <si>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</si>
  <si>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</si>
  <si>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</si>
  <si>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</si>
  <si>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</si>
  <si>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</si>
  <si>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</si>
  <si>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</si>
  <si>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</si>
  <si>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</si>
  <si>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</si>
  <si>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</si>
  <si>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</si>
  <si>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</si>
  <si>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</si>
  <si>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</si>
  <si>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</si>
  <si>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</si>
  <si>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</si>
  <si>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</si>
  <si>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</si>
  <si>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</si>
  <si>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</si>
  <si>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</si>
  <si>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</si>
  <si>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</si>
  <si>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</si>
  <si>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</si>
  <si>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</si>
  <si>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</si>
  <si>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</si>
  <si>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</si>
  <si>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</si>
  <si>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</si>
  <si>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</si>
  <si>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</si>
  <si>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</si>
  <si>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</si>
  <si>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</si>
  <si>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</si>
  <si>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</si>
  <si>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</si>
  <si>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</si>
  <si>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</si>
  <si>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</si>
  <si>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</si>
  <si>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</si>
  <si>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</si>
  <si>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</si>
  <si>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</si>
  <si>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</si>
  <si>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</si>
  <si>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</si>
  <si>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</si>
  <si>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</si>
  <si>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</si>
  <si>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</si>
  <si>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</si>
  <si>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</si>
  <si>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</si>
  <si>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</si>
  <si>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</si>
  <si>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</si>
  <si>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</si>
  <si>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</si>
  <si>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</si>
  <si>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</si>
  <si>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</si>
  <si>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</si>
  <si>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</si>
  <si>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</si>
  <si>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</si>
  <si>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</si>
  <si>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</si>
  <si>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</si>
  <si>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</si>
  <si>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</si>
  <si>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</si>
  <si>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</si>
  <si>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</si>
  <si>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</si>
  <si>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</si>
  <si>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</si>
  <si>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</si>
  <si>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</si>
  <si>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</si>
  <si>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</si>
  <si>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</si>
  <si>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</si>
  <si>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</si>
  <si>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</si>
  <si>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</si>
  <si>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</si>
  <si>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</si>
  <si>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</si>
  <si>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</si>
  <si>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</si>
  <si>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</si>
  <si>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</si>
  <si>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</si>
  <si>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</si>
  <si>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</si>
  <si>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</si>
  <si>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</si>
  <si>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</si>
  <si>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</si>
  <si>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</si>
  <si>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</si>
  <si>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</si>
  <si>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</si>
  <si>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</si>
  <si>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</si>
  <si>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</si>
  <si>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</si>
  <si>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</si>
  <si>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</si>
  <si>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</si>
  <si>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</si>
  <si>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</si>
  <si>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</si>
  <si>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</si>
  <si>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</si>
  <si>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</si>
  <si>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</si>
  <si>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</si>
  <si>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</si>
  <si>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</si>
  <si>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</si>
  <si>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</si>
  <si>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</si>
  <si>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</si>
  <si>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</si>
  <si>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</si>
  <si>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</si>
  <si>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</si>
  <si>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</si>
  <si>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</si>
  <si>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</si>
  <si>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</si>
  <si>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</si>
  <si>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</si>
  <si>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</si>
  <si>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</si>
  <si>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</si>
  <si>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</si>
  <si>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</si>
  <si>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</si>
  <si>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</si>
  <si>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</si>
  <si>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</si>
  <si>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</si>
  <si>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</si>
  <si>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</si>
  <si>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</si>
  <si>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</si>
  <si>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</si>
  <si>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</si>
  <si>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</si>
  <si>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</si>
  <si>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</si>
  <si>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</si>
  <si>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</si>
  <si>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</si>
  <si>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</si>
  <si>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</si>
  <si>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</si>
  <si>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</si>
  <si>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</si>
  <si>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</si>
  <si>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</si>
  <si>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</si>
  <si>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</si>
  <si>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</si>
  <si>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</si>
  <si>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</si>
  <si>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</si>
  <si>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</si>
  <si>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</si>
  <si>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</si>
  <si>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</si>
  <si>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</si>
  <si>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</si>
  <si>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</si>
  <si>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</si>
  <si>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</si>
  <si>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</si>
  <si>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</si>
  <si>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</si>
  <si>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</si>
  <si>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</si>
  <si>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</si>
  <si>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</si>
  <si>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</si>
  <si>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</si>
  <si>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</si>
  <si>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</si>
  <si>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</si>
  <si>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</si>
  <si>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</si>
  <si>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</si>
  <si>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</si>
  <si>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</si>
  <si>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</si>
  <si>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</si>
  <si>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</si>
  <si>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</si>
  <si>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</si>
  <si>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</si>
  <si>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</si>
  <si>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</si>
  <si>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</si>
  <si>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</si>
  <si>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</si>
  <si>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</si>
  <si>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</si>
  <si>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</si>
  <si>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</si>
  <si>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</si>
  <si>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</si>
  <si>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</si>
  <si>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</si>
  <si>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</si>
  <si>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</si>
  <si>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</si>
  <si>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</si>
  <si>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</si>
  <si>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</si>
  <si>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</si>
  <si>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</si>
  <si>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</si>
  <si>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</si>
  <si>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</si>
  <si>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</si>
  <si>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</si>
  <si>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</si>
  <si>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</si>
  <si>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</si>
  <si>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</si>
  <si>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</si>
  <si>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</si>
  <si>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</si>
  <si>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</si>
  <si>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</si>
  <si>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</si>
  <si>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</si>
  <si>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</si>
  <si>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</si>
  <si>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</si>
  <si>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</si>
  <si>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</si>
  <si>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</si>
  <si>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</si>
  <si>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</si>
  <si>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</si>
  <si>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</si>
  <si>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</si>
  <si>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</si>
  <si>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</si>
  <si>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</si>
  <si>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</si>
  <si>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</si>
  <si>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</si>
  <si>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</si>
  <si>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</si>
  <si>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</si>
  <si>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</si>
  <si>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</si>
  <si>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</si>
  <si>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</si>
  <si>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</si>
  <si>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</si>
  <si>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</si>
  <si>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</si>
  <si>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</si>
  <si>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</si>
  <si>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</si>
  <si>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</si>
  <si>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</si>
  <si>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</si>
  <si>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</si>
  <si>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</si>
  <si>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</si>
  <si>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</si>
  <si>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</si>
  <si>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</si>
  <si>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</si>
  <si>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</si>
  <si>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</si>
  <si>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</si>
  <si>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</si>
  <si>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</si>
  <si>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</si>
  <si>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</si>
  <si>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</si>
  <si>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</si>
  <si>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</si>
  <si>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</si>
  <si>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</si>
  <si>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</si>
  <si>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</si>
  <si>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</si>
  <si>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</si>
  <si>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</si>
  <si>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</si>
  <si>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</si>
  <si>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</si>
  <si>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</si>
  <si>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</si>
  <si>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</si>
  <si>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</si>
  <si>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</si>
  <si>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</si>
  <si>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</si>
  <si>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</si>
  <si>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</si>
  <si>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</si>
  <si>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</si>
  <si>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</si>
  <si>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</si>
  <si>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</si>
  <si>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</si>
  <si>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</si>
  <si>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</si>
  <si>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</si>
  <si>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</si>
  <si>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</si>
  <si>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</si>
  <si>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</si>
  <si>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</si>
  <si>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</si>
  <si>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</si>
  <si>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</si>
  <si>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</si>
  <si>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</si>
  <si>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</si>
  <si>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</si>
  <si>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</si>
  <si>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</si>
  <si>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</si>
  <si>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</si>
  <si>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</si>
  <si>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</si>
  <si>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</si>
  <si>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</si>
  <si>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</si>
  <si>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</si>
  <si>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</si>
  <si>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</si>
  <si>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</si>
  <si>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</si>
  <si>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</si>
  <si>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</si>
  <si>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</si>
  <si>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</si>
  <si>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</si>
  <si>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</si>
  <si>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</si>
  <si>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</si>
  <si>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</si>
  <si>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</si>
  <si>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</si>
  <si>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</si>
  <si>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</si>
  <si>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</si>
  <si>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</si>
  <si>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</si>
  <si>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</si>
  <si>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</si>
  <si>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</si>
  <si>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</si>
  <si>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</si>
  <si>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</si>
  <si>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</si>
  <si>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</si>
  <si>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</si>
  <si>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</si>
  <si>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</si>
  <si>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</si>
  <si>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</si>
  <si>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</si>
  <si>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</si>
  <si>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</si>
  <si>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</si>
  <si>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</si>
  <si>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</si>
  <si>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</si>
  <si>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</si>
  <si>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</si>
  <si>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</si>
  <si>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</si>
  <si>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</si>
  <si>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</si>
  <si>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</si>
  <si>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</si>
  <si>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</si>
  <si>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</si>
  <si>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</si>
  <si>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</si>
  <si>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</si>
  <si>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</si>
  <si>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</si>
  <si>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</si>
  <si>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</si>
  <si>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</si>
  <si>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</si>
  <si>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</si>
  <si>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</si>
  <si>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</si>
  <si>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</si>
  <si>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</si>
  <si>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</si>
  <si>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</si>
  <si>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</si>
  <si>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</si>
  <si>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</si>
  <si>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</si>
  <si>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</si>
  <si>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</si>
  <si>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</si>
  <si>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</si>
  <si>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</si>
  <si>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</si>
  <si>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</si>
  <si>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</si>
  <si>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</si>
  <si>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</si>
  <si>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</si>
  <si>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</si>
  <si>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</si>
  <si>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</si>
  <si>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</si>
  <si>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</si>
  <si>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</si>
  <si>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</si>
  <si>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</si>
  <si>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</si>
  <si>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</si>
  <si>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</si>
  <si>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</si>
  <si>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</si>
  <si>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</si>
  <si>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</si>
  <si>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</si>
  <si>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</si>
  <si>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</si>
  <si>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</si>
  <si>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</si>
  <si>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</si>
  <si>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</si>
  <si>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</si>
  <si>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</si>
  <si>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</si>
  <si>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</si>
  <si>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</si>
  <si>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</si>
  <si>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</si>
  <si>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</si>
  <si>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</si>
  <si>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</si>
  <si>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</si>
  <si>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</si>
  <si>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</si>
  <si>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</si>
  <si>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</si>
  <si>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</si>
  <si>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</si>
  <si>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</si>
  <si>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</si>
  <si>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</si>
  <si>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</si>
  <si>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</si>
  <si>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</si>
  <si>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</si>
  <si>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</si>
  <si>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</si>
  <si>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</si>
  <si>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</si>
  <si>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</si>
  <si>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</si>
  <si>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</si>
  <si>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</si>
  <si>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</si>
  <si>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</si>
  <si>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</si>
  <si>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</si>
  <si>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</si>
  <si>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</si>
  <si>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</si>
  <si>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</si>
  <si>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</si>
  <si>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</si>
  <si>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</si>
  <si>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</si>
  <si>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</si>
  <si>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</si>
  <si>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</si>
  <si>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</si>
  <si>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</si>
  <si>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</si>
  <si>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</si>
  <si>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</si>
  <si>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</si>
  <si>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</si>
  <si>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</si>
  <si>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</si>
  <si>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</si>
  <si>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</si>
  <si>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</si>
  <si>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</si>
  <si>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</si>
  <si>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</si>
  <si>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</si>
  <si>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</si>
  <si>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</si>
  <si>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</si>
  <si>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</si>
  <si>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</si>
  <si>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</si>
  <si>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</si>
  <si>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</si>
  <si>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</si>
  <si>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</si>
  <si>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</si>
  <si>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</si>
  <si>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</si>
  <si>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</si>
  <si>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</si>
  <si>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</si>
  <si>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</si>
  <si>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</si>
  <si>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</si>
  <si>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</si>
  <si>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</si>
  <si>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</si>
  <si>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</si>
  <si>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</si>
  <si>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</si>
  <si>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</si>
  <si>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</si>
  <si>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</si>
  <si>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</si>
  <si>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</si>
  <si>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</si>
  <si>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</si>
  <si>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</si>
  <si>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</si>
  <si>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</si>
  <si>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</si>
  <si>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</si>
  <si>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</si>
  <si>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</si>
  <si>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</si>
  <si>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</si>
  <si>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</si>
  <si>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</si>
  <si>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</si>
  <si>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</si>
  <si>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</si>
  <si>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</si>
  <si>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</si>
  <si>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</si>
  <si>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</si>
  <si>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</si>
  <si>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</si>
  <si>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</si>
  <si>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</si>
  <si>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</si>
  <si>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</si>
  <si>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</si>
  <si>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</si>
  <si>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</si>
  <si>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</si>
  <si>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</si>
  <si>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</si>
  <si>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</si>
  <si>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</si>
  <si>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</si>
  <si>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</si>
  <si>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</si>
  <si>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</si>
  <si>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</si>
  <si>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</si>
  <si>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</si>
  <si>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</si>
  <si>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</si>
  <si>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</si>
  <si>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</si>
  <si>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</si>
  <si>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</si>
  <si>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</si>
  <si>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</si>
  <si>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</si>
  <si>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</si>
  <si>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</si>
  <si>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</si>
  <si>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</si>
  <si>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</si>
  <si>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</si>
  <si>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</si>
  <si>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</si>
  <si>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</si>
  <si>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</si>
  <si>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</si>
  <si>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</si>
  <si>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</si>
  <si>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</si>
  <si>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</si>
  <si>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</si>
  <si>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</si>
  <si>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</si>
  <si>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</si>
  <si>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</si>
  <si>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</si>
  <si>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</si>
  <si>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</si>
  <si>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</si>
  <si>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</si>
  <si>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</si>
  <si>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</si>
  <si>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</si>
  <si>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</si>
  <si>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</si>
  <si>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</si>
  <si>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</si>
  <si>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</si>
  <si>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</si>
  <si>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</si>
  <si>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</si>
  <si>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</si>
  <si>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</si>
  <si>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</si>
  <si>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</si>
  <si>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</si>
  <si>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</si>
  <si>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</si>
  <si>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</si>
  <si>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</si>
  <si>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</si>
  <si>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</si>
  <si>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</si>
  <si>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</si>
  <si>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</si>
  <si>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</si>
  <si>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</si>
  <si>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</si>
  <si>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</si>
  <si>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</si>
  <si>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</si>
  <si>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</si>
  <si>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</si>
  <si>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</si>
  <si>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</si>
  <si>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</si>
  <si>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</si>
  <si>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</si>
  <si>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</si>
  <si>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</si>
  <si>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</si>
  <si>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</si>
  <si>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</si>
  <si>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</si>
  <si>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</si>
  <si>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</si>
  <si>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</si>
  <si>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</si>
  <si>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</si>
  <si>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</si>
  <si>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</si>
  <si>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</si>
  <si>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</si>
  <si>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</si>
  <si>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</si>
  <si>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</si>
  <si>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</si>
  <si>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</si>
  <si>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</si>
  <si>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</si>
  <si>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</si>
  <si>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</si>
  <si>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</si>
  <si>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</si>
  <si>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</si>
  <si>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</si>
  <si>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</si>
  <si>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</si>
  <si>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</si>
  <si>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</si>
  <si>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</si>
  <si>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</si>
  <si>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</si>
  <si>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</si>
  <si>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</si>
  <si>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</si>
  <si>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</si>
  <si>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</si>
  <si>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</si>
  <si>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</si>
  <si>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</si>
  <si>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</si>
  <si>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</si>
  <si>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</si>
  <si>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</si>
  <si>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</si>
  <si>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</si>
  <si>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</si>
  <si>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</si>
  <si>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</si>
  <si>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</si>
  <si>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</si>
  <si>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</si>
  <si>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</si>
  <si>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</si>
  <si>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</si>
  <si>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</si>
  <si>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</si>
  <si>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</si>
  <si>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</si>
  <si>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</si>
  <si>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</si>
  <si>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</si>
  <si>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</si>
  <si>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</si>
  <si>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</si>
  <si>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</si>
  <si>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</si>
  <si>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</si>
  <si>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</si>
  <si>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</si>
  <si>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</si>
  <si>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</si>
  <si>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</si>
  <si>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</si>
  <si>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</si>
  <si>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</si>
  <si>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</si>
  <si>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</si>
  <si>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</si>
  <si>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</si>
  <si>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</si>
  <si>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</si>
  <si>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</si>
  <si>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</si>
  <si>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</si>
  <si>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</si>
  <si>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</si>
  <si>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</si>
  <si>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</si>
  <si>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</si>
  <si>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</si>
  <si>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</si>
  <si>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</si>
  <si>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</si>
  <si>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</si>
  <si>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</si>
  <si>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</si>
  <si>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</si>
  <si>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</si>
  <si>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</si>
  <si>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</si>
  <si>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</si>
  <si>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</si>
  <si>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</si>
  <si>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</si>
  <si>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</si>
  <si>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</si>
  <si>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</si>
  <si>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</si>
  <si>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</si>
  <si>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</si>
  <si>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</si>
  <si>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</si>
  <si>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</si>
  <si>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</si>
  <si>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</si>
  <si>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</si>
  <si>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</si>
  <si>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</si>
  <si>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</si>
  <si>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</si>
  <si>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</si>
  <si>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</si>
  <si>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</si>
  <si>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</si>
  <si>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</si>
  <si>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</si>
  <si>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</si>
  <si>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</si>
  <si>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</si>
  <si>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</si>
  <si>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</si>
  <si>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</si>
  <si>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</si>
  <si>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</si>
  <si>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</si>
  <si>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</si>
  <si>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</si>
  <si>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</si>
  <si>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</si>
  <si>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</si>
  <si>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</si>
  <si>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</si>
  <si>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</si>
  <si>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</si>
  <si>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</si>
  <si>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</si>
  <si>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</si>
  <si>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</si>
  <si>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</si>
  <si>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</si>
  <si>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</si>
  <si>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</si>
  <si>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</si>
  <si>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</si>
  <si>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</si>
  <si>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</si>
  <si>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</si>
  <si>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</si>
  <si>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</si>
  <si>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</si>
  <si>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</si>
  <si>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</si>
  <si>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</si>
  <si>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</si>
  <si>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</si>
  <si>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</si>
  <si>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</si>
  <si>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</si>
  <si>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</si>
  <si>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</si>
  <si>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</si>
  <si>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</si>
  <si>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</si>
  <si>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</si>
  <si>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</si>
  <si>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</si>
  <si>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</si>
  <si>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</si>
  <si>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</si>
  <si>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</si>
  <si>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</si>
  <si>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</si>
  <si>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</si>
  <si>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</si>
  <si>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</si>
  <si>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</si>
  <si>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</si>
  <si>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</si>
  <si>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</si>
  <si>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</si>
  <si>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</si>
  <si>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</si>
  <si>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</si>
  <si>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</si>
  <si>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</si>
  <si>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</si>
  <si>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</si>
  <si>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</si>
  <si>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</si>
  <si>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</si>
  <si>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</si>
  <si>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</si>
  <si>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</si>
  <si>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</si>
  <si>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</si>
  <si>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</si>
  <si>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</si>
  <si>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</si>
  <si>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</si>
  <si>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</si>
  <si>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</si>
  <si>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</si>
  <si>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</si>
  <si>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</si>
  <si>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</si>
  <si>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</si>
  <si>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</si>
  <si>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</si>
  <si>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</si>
  <si>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</si>
  <si>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</si>
  <si>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</si>
  <si>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</si>
  <si>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</si>
  <si>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</si>
  <si>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</si>
  <si>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</si>
  <si>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</si>
  <si>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</si>
  <si>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</si>
  <si>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</si>
  <si>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</si>
  <si>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</si>
  <si>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</si>
  <si>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</si>
  <si>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</si>
  <si>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</si>
  <si>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</si>
  <si>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</si>
  <si>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</si>
  <si>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</si>
  <si>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</si>
  <si>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</si>
  <si>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</si>
  <si>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</si>
  <si>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</si>
  <si>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</si>
  <si>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</si>
  <si>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</si>
  <si>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</si>
  <si>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</si>
  <si>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</si>
  <si>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</si>
  <si>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</si>
  <si>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</si>
  <si>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</si>
  <si>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</si>
  <si>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</si>
  <si>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</si>
  <si>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</si>
  <si>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</si>
  <si>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</si>
  <si>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</si>
  <si>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</si>
  <si>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</si>
  <si>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</si>
  <si>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</si>
  <si>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</si>
  <si>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</si>
  <si>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</si>
  <si>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</si>
  <si>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</si>
  <si>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</si>
  <si>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</si>
  <si>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</si>
  <si>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</si>
  <si>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</si>
  <si>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</si>
  <si>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</si>
  <si>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</si>
  <si>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</si>
  <si>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</si>
  <si>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</si>
  <si>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</si>
  <si>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</si>
  <si>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</si>
  <si>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</si>
  <si>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</si>
  <si>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</si>
  <si>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</si>
  <si>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</si>
  <si>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</si>
  <si>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</si>
  <si>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</si>
  <si>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</si>
  <si>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</si>
  <si>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</si>
  <si>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</si>
  <si>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</si>
  <si>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</si>
  <si>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</si>
  <si>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</si>
  <si>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</si>
  <si>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</si>
  <si>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</si>
  <si>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</si>
  <si>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</si>
  <si>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</si>
  <si>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</si>
  <si>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</si>
  <si>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</si>
  <si>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</si>
  <si>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</si>
  <si>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</si>
  <si>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</si>
  <si>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</si>
  <si>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</si>
  <si>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</si>
  <si>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</si>
  <si>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</si>
  <si>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</si>
  <si>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</si>
  <si>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</si>
  <si>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</si>
  <si>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</si>
  <si>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</si>
  <si>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</si>
  <si>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</si>
  <si>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</si>
  <si>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</si>
  <si>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</si>
  <si>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</si>
  <si>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</si>
  <si>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</si>
  <si>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</si>
  <si>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</si>
  <si>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</si>
  <si>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</si>
  <si>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</si>
  <si>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</si>
  <si>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</si>
  <si>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</si>
  <si>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</si>
  <si>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</si>
  <si>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</si>
  <si>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</si>
  <si>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</si>
  <si>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</si>
  <si>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</si>
  <si>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</si>
  <si>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</si>
  <si>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</si>
  <si>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</si>
  <si>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</si>
  <si>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</si>
  <si>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</si>
  <si>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</si>
  <si>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</si>
  <si>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</si>
  <si>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</si>
  <si>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</si>
  <si>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</si>
  <si>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</si>
  <si>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</si>
  <si>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</si>
  <si>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</si>
  <si>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</si>
  <si>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</si>
  <si>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</si>
  <si>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 - EAD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</si>
  <si>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</si>
  <si>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</si>
  <si>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</si>
  <si>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</si>
  <si>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</si>
  <si>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</si>
  <si>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</si>
  <si>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</si>
  <si>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</si>
  <si>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</si>
  <si>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</si>
  <si>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</si>
  <si>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</si>
  <si>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</si>
  <si>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</si>
  <si>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</si>
  <si>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</si>
  <si>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</si>
  <si>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</si>
  <si>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</si>
  <si>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</si>
  <si>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</si>
  <si>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</si>
  <si>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</si>
  <si>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</si>
  <si>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</si>
  <si>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</si>
  <si>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</si>
  <si>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</si>
  <si>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</si>
  <si>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</si>
  <si>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</si>
  <si>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</si>
  <si>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</si>
  <si>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</si>
  <si>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</si>
  <si>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</si>
  <si>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</si>
  <si>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</si>
  <si>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</si>
  <si>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</si>
  <si>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</si>
  <si>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</si>
  <si>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</si>
  <si>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</si>
  <si>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</si>
  <si>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</si>
  <si>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</si>
  <si>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</si>
  <si>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</si>
  <si>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</si>
  <si>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</si>
  <si>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</si>
  <si>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</si>
  <si>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</si>
  <si>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</si>
  <si>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Felipe da Costa Malaquias</t>
  </si>
  <si>
    <t>2026-048</t>
  </si>
  <si>
    <t>2026-045</t>
  </si>
  <si>
    <t>José Roberto Alcuri Júnior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</si>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</sst>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6" fontId="33" fillId="4" borderId="23" xfId="0" applyNumberFormat="1" applyFont="1" applyFill="1" applyBorder="1" applyAlignment="1">
      <alignment horizontal="center" vertical="center"/>
    </xf>
    <xf numFmtId="164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6" fontId="33" fillId="3" borderId="23" xfId="0" applyNumberFormat="1" applyFont="1" applyFill="1" applyBorder="1" applyAlignment="1">
      <alignment horizontal="center" vertical="center"/>
    </xf>
    <xf numFmtId="165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7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7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3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  <xf numFmtId="0" fontId="0" fillId="0" borderId="0" xfId="0" applyAlignment="1"/>
    <xf numFmtId="0" fontId="14" fillId="0" borderId="0" xfId="0" applyFont="1" applyAlignment="1"/>
    <xf numFmtId="0" fontId="15" fillId="0" borderId="0" xfId="0" applyFont="1" applyAlignment="1"/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16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461</c:v>
                </c:pt>
                <c:pt idx="1">
                  <c:v>447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42" dataDxfId="41" totalsRowDxfId="40" totalsRowBorderDxfId="39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37" totalsRowDxfId="38"/>
    <tableColumn id="3" xr3:uid="{8DE0B36A-F0DC-47A1-A74E-F4BE63A4FB1D}" name="Status Evento" dataDxfId="35" totalsRowDxfId="36"/>
    <tableColumn id="4" xr3:uid="{C1159FBD-CCD0-4CA2-BB8C-598E3AB5DDD8}" name="Processo" dataDxfId="33" totalsRowDxfId="34"/>
    <tableColumn id="5" xr3:uid="{A32670A4-BE4F-480D-8DE9-8FF18024C829}" name="Curso" dataDxfId="31" totalsRowDxfId="32"/>
    <tableColumn id="8" xr3:uid="{905DEA0A-D099-47EA-972D-1012D71C7792}" name="Público-Alvo" dataDxfId="29" totalsRowDxfId="30"/>
    <tableColumn id="9" xr3:uid="{7DC0A0BE-8030-47CA-AF56-2C13C9FF7AE5}" name="Programa" dataDxfId="27" totalsRowDxfId="28"/>
    <tableColumn id="11" xr3:uid="{2B799ACD-69E4-46A5-9A4F-F7E3D7A47CE9}" name="Data TXT" dataDxfId="25" totalsRowDxfId="26"/>
    <tableColumn id="12" xr3:uid="{62016C67-3729-4C41-B72D-09D6616B7474}" name="Início" dataDxfId="23" totalsRowDxfId="24"/>
    <tableColumn id="13" xr3:uid="{E4F20518-0042-40C0-B590-B7616F2843A5}" name="Término" dataDxfId="21" totalsRowDxfId="22"/>
    <tableColumn id="14" xr3:uid="{4D6C4412-CFEE-4506-830E-F79FD008371B}" name="Modalidade" dataDxfId="19" totalsRowDxfId="20"/>
    <tableColumn id="15" xr3:uid="{12EC931A-E71B-4AEB-B20B-0F9EA63D0C71}" name="Valor instrutoria" dataDxfId="17" totalsRowDxfId="18" dataCellStyle="Moeda"/>
    <tableColumn id="17" xr3:uid="{8FCDFADA-4FA3-41E0-86FF-E623116BAFEB}" name="Nota Av. Reação" dataDxfId="15" totalsRowDxfId="16"/>
    <tableColumn id="19" xr3:uid="{316EB379-BB97-4F60-9566-576B25A26B0E}" name="Qtd Vagas" dataDxfId="13" totalsRowDxfId="14"/>
    <tableColumn id="20" xr3:uid="{59A9FB16-6726-411C-88B5-8165DD520DA3}" name="P. Servidores" dataDxfId="11" totalsRowDxfId="12"/>
    <tableColumn id="21" xr3:uid="{0246E091-ADCD-4F62-8F95-84B21E8A7BE1}" name="P. Jurisdicionados" dataDxfId="9" totalsRowDxfId="10"/>
    <tableColumn id="22" xr3:uid="{1B6DBD6D-C072-4600-81C1-69D6F4422D7D}" name="P. Sociedade" dataDxfId="7" totalsRowDxfId="8"/>
    <tableColumn id="23" xr3:uid="{109F7E4E-776C-4249-88BE-FEC3A375D7D9}" name="Total Part." dataDxfId="5" totalsRowDxfId="6"/>
    <tableColumn id="24" xr3:uid="{C67AA4C6-834C-4EBB-839B-EF0CDD50F649}" name="C.H." dataDxfId="3" totalsRowDxfId="4"/>
    <tableColumn id="26" xr3:uid="{973608F6-3E97-493C-AC61-980F73C13CD6}" name="Instrutor" dataDxfId="1" totalsRowDxfId="2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679" zoomScaleNormal="100" workbookViewId="0">
      <pane xSplit="3" topLeftCell="D1" activePane="topRight" state="frozen"/>
      <selection pane="topRight" activeCell="D708" sqref="D708"/>
    </sheetView>
  </sheetViews>
  <sheetFormatPr defaultColWidth="9.140625" defaultRowHeight="23.25" customHeight="1"/>
  <cols>
    <col min="1" max="1" width="10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2" ht="23.25" customHeight="1">
      <c r="A3" s="21" t="s">
        <v>27</v>
      </c>
      <c r="B3" s="24">
        <v>2014</v>
      </c>
      <c r="C3" s="90" t="s">
        <v>21</v>
      </c>
      <c r="D3" s="24" t="s">
        <v>28</v>
      </c>
      <c r="E3" s="30" t="s">
        <v>29</v>
      </c>
      <c r="F3" s="31" t="s">
        <v>23</v>
      </c>
      <c r="G3" s="21" t="s">
        <v>24</v>
      </c>
      <c r="H3" s="38" t="s">
        <v>30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2" ht="23.25" customHeight="1">
      <c r="A4" s="20" t="s">
        <v>31</v>
      </c>
      <c r="B4" s="22">
        <v>2014</v>
      </c>
      <c r="C4" s="90" t="s">
        <v>21</v>
      </c>
      <c r="D4" s="22"/>
      <c r="E4" s="27" t="s">
        <v>32</v>
      </c>
      <c r="F4" s="29" t="s">
        <v>23</v>
      </c>
      <c r="G4" s="20" t="s">
        <v>33</v>
      </c>
      <c r="H4" s="36" t="s">
        <v>34</v>
      </c>
      <c r="I4" s="37">
        <v>41792</v>
      </c>
      <c r="J4" s="37">
        <v>41799</v>
      </c>
      <c r="K4" s="22" t="s">
        <v>35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2" ht="23.25" customHeight="1">
      <c r="A5" s="21" t="s">
        <v>36</v>
      </c>
      <c r="B5" s="24">
        <v>2014</v>
      </c>
      <c r="C5" s="90" t="s">
        <v>21</v>
      </c>
      <c r="D5" s="24"/>
      <c r="E5" s="30" t="s">
        <v>37</v>
      </c>
      <c r="F5" s="31" t="s">
        <v>23</v>
      </c>
      <c r="G5" s="21" t="s">
        <v>38</v>
      </c>
      <c r="H5" s="38" t="s">
        <v>39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2" ht="23.25" customHeight="1">
      <c r="A6" s="20" t="s">
        <v>40</v>
      </c>
      <c r="B6" s="22">
        <v>2014</v>
      </c>
      <c r="C6" s="90" t="s">
        <v>21</v>
      </c>
      <c r="D6" s="22"/>
      <c r="E6" s="27" t="s">
        <v>41</v>
      </c>
      <c r="F6" s="29" t="s">
        <v>23</v>
      </c>
      <c r="G6" s="20" t="s">
        <v>24</v>
      </c>
      <c r="H6" s="36" t="s">
        <v>42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2" ht="23.25" customHeight="1">
      <c r="A7" s="21" t="s">
        <v>43</v>
      </c>
      <c r="B7" s="24">
        <v>2014</v>
      </c>
      <c r="C7" s="90" t="s">
        <v>21</v>
      </c>
      <c r="D7" s="24"/>
      <c r="E7" s="30" t="s">
        <v>44</v>
      </c>
      <c r="F7" s="31" t="s">
        <v>23</v>
      </c>
      <c r="G7" s="21" t="s">
        <v>24</v>
      </c>
      <c r="H7" s="38" t="s">
        <v>45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2" ht="23.25" customHeight="1">
      <c r="A8" s="20" t="s">
        <v>46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47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2" ht="23.25" customHeight="1">
      <c r="A9" s="21" t="s">
        <v>48</v>
      </c>
      <c r="B9" s="24">
        <v>2014</v>
      </c>
      <c r="C9" s="90" t="s">
        <v>21</v>
      </c>
      <c r="D9" s="24"/>
      <c r="E9" s="30" t="s">
        <v>49</v>
      </c>
      <c r="F9" s="31" t="s">
        <v>23</v>
      </c>
      <c r="G9" s="21" t="s">
        <v>38</v>
      </c>
      <c r="H9" s="38" t="s">
        <v>50</v>
      </c>
      <c r="I9" s="39">
        <v>41953</v>
      </c>
      <c r="J9" s="39">
        <v>41957</v>
      </c>
      <c r="K9" s="24" t="s">
        <v>35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2" ht="23.25" customHeight="1">
      <c r="A10" s="20" t="s">
        <v>51</v>
      </c>
      <c r="B10" s="22">
        <v>2014</v>
      </c>
      <c r="C10" s="90" t="s">
        <v>21</v>
      </c>
      <c r="D10" s="22"/>
      <c r="E10" s="27" t="s">
        <v>52</v>
      </c>
      <c r="F10" s="29" t="s">
        <v>23</v>
      </c>
      <c r="G10" s="20" t="s">
        <v>24</v>
      </c>
      <c r="H10" s="36" t="s">
        <v>53</v>
      </c>
      <c r="I10" s="37">
        <v>41967</v>
      </c>
      <c r="J10" s="37">
        <v>41971</v>
      </c>
      <c r="K10" s="22" t="s">
        <v>35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2" ht="23.25" customHeight="1">
      <c r="A11" s="21" t="s">
        <v>54</v>
      </c>
      <c r="B11" s="24">
        <v>2015</v>
      </c>
      <c r="C11" s="90" t="s">
        <v>21</v>
      </c>
      <c r="D11" s="24" t="s">
        <v>55</v>
      </c>
      <c r="E11" s="30" t="s">
        <v>56</v>
      </c>
      <c r="F11" s="31" t="s">
        <v>23</v>
      </c>
      <c r="G11" s="21" t="s">
        <v>24</v>
      </c>
      <c r="H11" s="38" t="s">
        <v>57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58</v>
      </c>
    </row>
    <row r="12" spans="1:22" ht="23.25" customHeight="1">
      <c r="A12" s="20" t="s">
        <v>59</v>
      </c>
      <c r="B12" s="22">
        <v>2015</v>
      </c>
      <c r="C12" s="90" t="s">
        <v>21</v>
      </c>
      <c r="D12" s="22" t="s">
        <v>60</v>
      </c>
      <c r="E12" s="27" t="s">
        <v>61</v>
      </c>
      <c r="F12" s="29" t="s">
        <v>62</v>
      </c>
      <c r="G12" s="20" t="s">
        <v>38</v>
      </c>
      <c r="H12" s="36" t="s">
        <v>63</v>
      </c>
      <c r="I12" s="37">
        <v>42100</v>
      </c>
      <c r="J12" s="37">
        <v>42104</v>
      </c>
      <c r="K12" s="22" t="s">
        <v>35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64</v>
      </c>
    </row>
    <row r="13" spans="1:22" ht="23.25" customHeight="1">
      <c r="A13" s="21" t="s">
        <v>65</v>
      </c>
      <c r="B13" s="24">
        <v>2015</v>
      </c>
      <c r="C13" s="90" t="s">
        <v>21</v>
      </c>
      <c r="D13" s="24" t="s">
        <v>66</v>
      </c>
      <c r="E13" s="30" t="s">
        <v>67</v>
      </c>
      <c r="F13" s="31" t="s">
        <v>23</v>
      </c>
      <c r="G13" s="21" t="s">
        <v>68</v>
      </c>
      <c r="H13" s="38" t="s">
        <v>63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69</v>
      </c>
    </row>
    <row r="14" spans="1:22" ht="23.25" customHeight="1">
      <c r="A14" s="20" t="s">
        <v>70</v>
      </c>
      <c r="B14" s="22">
        <v>2015</v>
      </c>
      <c r="C14" s="90" t="s">
        <v>21</v>
      </c>
      <c r="D14" s="22" t="s">
        <v>71</v>
      </c>
      <c r="E14" s="27" t="s">
        <v>52</v>
      </c>
      <c r="F14" s="29" t="s">
        <v>62</v>
      </c>
      <c r="G14" s="20" t="s">
        <v>72</v>
      </c>
      <c r="H14" s="36" t="s">
        <v>73</v>
      </c>
      <c r="I14" s="37">
        <v>42107</v>
      </c>
      <c r="J14" s="37">
        <v>42111</v>
      </c>
      <c r="K14" s="22" t="s">
        <v>35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74</v>
      </c>
    </row>
    <row r="15" spans="1:22" ht="23.25" customHeight="1">
      <c r="A15" s="21" t="s">
        <v>75</v>
      </c>
      <c r="B15" s="24">
        <v>2015</v>
      </c>
      <c r="C15" s="90" t="s">
        <v>21</v>
      </c>
      <c r="D15" s="24" t="s">
        <v>76</v>
      </c>
      <c r="E15" s="30" t="s">
        <v>77</v>
      </c>
      <c r="F15" s="31" t="s">
        <v>23</v>
      </c>
      <c r="G15" s="21" t="s">
        <v>38</v>
      </c>
      <c r="H15" s="38" t="s">
        <v>78</v>
      </c>
      <c r="I15" s="39">
        <v>42110</v>
      </c>
      <c r="J15" s="39">
        <v>42118</v>
      </c>
      <c r="K15" s="24" t="s">
        <v>35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74</v>
      </c>
    </row>
    <row r="16" spans="1:22" ht="23.25" customHeight="1">
      <c r="A16" s="20" t="s">
        <v>79</v>
      </c>
      <c r="B16" s="22">
        <v>2015</v>
      </c>
      <c r="C16" s="90" t="s">
        <v>21</v>
      </c>
      <c r="D16" s="22"/>
      <c r="E16" s="27" t="s">
        <v>80</v>
      </c>
      <c r="F16" s="29" t="s">
        <v>81</v>
      </c>
      <c r="G16" s="20" t="s">
        <v>82</v>
      </c>
      <c r="H16" s="36" t="s">
        <v>83</v>
      </c>
      <c r="I16" s="37">
        <v>42122</v>
      </c>
      <c r="J16" s="37">
        <v>42122</v>
      </c>
      <c r="K16" s="22" t="s">
        <v>35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>
      <c r="A17" s="21" t="s">
        <v>84</v>
      </c>
      <c r="B17" s="24">
        <v>2015</v>
      </c>
      <c r="C17" s="90" t="s">
        <v>21</v>
      </c>
      <c r="D17" s="24" t="s">
        <v>85</v>
      </c>
      <c r="E17" s="30" t="s">
        <v>86</v>
      </c>
      <c r="F17" s="31" t="s">
        <v>23</v>
      </c>
      <c r="G17" s="21" t="s">
        <v>24</v>
      </c>
      <c r="H17" s="38" t="s">
        <v>87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88</v>
      </c>
    </row>
    <row r="18" spans="1:20" ht="23.25" customHeight="1">
      <c r="A18" s="20" t="s">
        <v>89</v>
      </c>
      <c r="B18" s="22">
        <v>2015</v>
      </c>
      <c r="C18" s="90" t="s">
        <v>21</v>
      </c>
      <c r="D18" s="22" t="s">
        <v>90</v>
      </c>
      <c r="E18" s="27" t="s">
        <v>91</v>
      </c>
      <c r="F18" s="29" t="s">
        <v>23</v>
      </c>
      <c r="G18" s="20" t="s">
        <v>38</v>
      </c>
      <c r="H18" s="36" t="s">
        <v>92</v>
      </c>
      <c r="I18" s="37">
        <v>42135</v>
      </c>
      <c r="J18" s="37">
        <v>42139</v>
      </c>
      <c r="K18" s="22" t="s">
        <v>35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93</v>
      </c>
    </row>
    <row r="19" spans="1:20" ht="23.25" customHeight="1">
      <c r="A19" s="21" t="s">
        <v>94</v>
      </c>
      <c r="B19" s="24">
        <v>2015</v>
      </c>
      <c r="C19" s="90" t="s">
        <v>21</v>
      </c>
      <c r="D19" s="24" t="s">
        <v>95</v>
      </c>
      <c r="E19" s="30" t="s">
        <v>96</v>
      </c>
      <c r="F19" s="31" t="s">
        <v>23</v>
      </c>
      <c r="G19" s="21" t="s">
        <v>38</v>
      </c>
      <c r="H19" s="38" t="s">
        <v>97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98</v>
      </c>
    </row>
    <row r="20" spans="1:20" ht="23.25" customHeight="1">
      <c r="A20" s="20" t="s">
        <v>99</v>
      </c>
      <c r="B20" s="22">
        <v>2015</v>
      </c>
      <c r="C20" s="90" t="s">
        <v>21</v>
      </c>
      <c r="D20" s="22" t="s">
        <v>100</v>
      </c>
      <c r="E20" s="27" t="s">
        <v>101</v>
      </c>
      <c r="F20" s="29" t="s">
        <v>23</v>
      </c>
      <c r="G20" s="20" t="s">
        <v>33</v>
      </c>
      <c r="H20" s="36" t="s">
        <v>102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103</v>
      </c>
    </row>
    <row r="21" spans="1:20" ht="23.25" customHeight="1">
      <c r="A21" s="21" t="s">
        <v>104</v>
      </c>
      <c r="B21" s="24">
        <v>2015</v>
      </c>
      <c r="C21" s="90" t="s">
        <v>21</v>
      </c>
      <c r="D21" s="24" t="s">
        <v>105</v>
      </c>
      <c r="E21" s="30" t="s">
        <v>106</v>
      </c>
      <c r="F21" s="31" t="s">
        <v>23</v>
      </c>
      <c r="G21" s="21" t="s">
        <v>38</v>
      </c>
      <c r="H21" s="38" t="s">
        <v>107</v>
      </c>
      <c r="I21" s="39">
        <v>42163</v>
      </c>
      <c r="J21" s="39">
        <v>42167</v>
      </c>
      <c r="K21" s="24" t="s">
        <v>35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108</v>
      </c>
    </row>
    <row r="22" spans="1:20" ht="23.25" customHeight="1">
      <c r="A22" s="20" t="s">
        <v>109</v>
      </c>
      <c r="B22" s="22">
        <v>2015</v>
      </c>
      <c r="C22" s="90" t="s">
        <v>21</v>
      </c>
      <c r="D22" s="22" t="s">
        <v>110</v>
      </c>
      <c r="E22" s="27" t="s">
        <v>111</v>
      </c>
      <c r="F22" s="29" t="s">
        <v>62</v>
      </c>
      <c r="G22" s="20" t="s">
        <v>72</v>
      </c>
      <c r="H22" s="36" t="s">
        <v>112</v>
      </c>
      <c r="I22" s="37">
        <v>42170</v>
      </c>
      <c r="J22" s="37">
        <v>42174</v>
      </c>
      <c r="K22" s="22" t="s">
        <v>35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113</v>
      </c>
    </row>
    <row r="23" spans="1:20" ht="23.25" customHeight="1">
      <c r="A23" s="21" t="s">
        <v>114</v>
      </c>
      <c r="B23" s="24">
        <v>2015</v>
      </c>
      <c r="C23" s="90" t="s">
        <v>21</v>
      </c>
      <c r="D23" s="24" t="s">
        <v>115</v>
      </c>
      <c r="E23" s="30" t="s">
        <v>116</v>
      </c>
      <c r="F23" s="31" t="s">
        <v>23</v>
      </c>
      <c r="G23" s="21" t="s">
        <v>38</v>
      </c>
      <c r="H23" s="38" t="s">
        <v>117</v>
      </c>
      <c r="I23" s="39">
        <v>42221</v>
      </c>
      <c r="J23" s="39">
        <v>42223</v>
      </c>
      <c r="K23" s="24" t="s">
        <v>35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118</v>
      </c>
    </row>
    <row r="24" spans="1:20" ht="23.25" customHeight="1">
      <c r="A24" s="20" t="s">
        <v>119</v>
      </c>
      <c r="B24" s="22">
        <v>2015</v>
      </c>
      <c r="C24" s="90" t="s">
        <v>21</v>
      </c>
      <c r="D24" s="22" t="s">
        <v>120</v>
      </c>
      <c r="E24" s="27" t="s">
        <v>121</v>
      </c>
      <c r="F24" s="29" t="s">
        <v>23</v>
      </c>
      <c r="G24" s="20" t="s">
        <v>33</v>
      </c>
      <c r="H24" s="36" t="s">
        <v>122</v>
      </c>
      <c r="I24" s="37">
        <v>42240</v>
      </c>
      <c r="J24" s="37">
        <v>42244</v>
      </c>
      <c r="K24" s="22" t="s">
        <v>35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123</v>
      </c>
    </row>
    <row r="25" spans="1:20" ht="23.25" customHeight="1">
      <c r="A25" s="21" t="s">
        <v>124</v>
      </c>
      <c r="B25" s="24">
        <v>2015</v>
      </c>
      <c r="C25" s="90" t="s">
        <v>21</v>
      </c>
      <c r="D25" s="24" t="s">
        <v>125</v>
      </c>
      <c r="E25" s="30" t="s">
        <v>126</v>
      </c>
      <c r="F25" s="31" t="s">
        <v>23</v>
      </c>
      <c r="G25" s="21" t="s">
        <v>72</v>
      </c>
      <c r="H25" s="38" t="s">
        <v>127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128</v>
      </c>
    </row>
    <row r="26" spans="1:20" ht="23.25" customHeight="1">
      <c r="A26" s="20" t="s">
        <v>129</v>
      </c>
      <c r="B26" s="22">
        <v>2015</v>
      </c>
      <c r="C26" s="90" t="s">
        <v>21</v>
      </c>
      <c r="D26" s="22" t="s">
        <v>130</v>
      </c>
      <c r="E26" s="27" t="s">
        <v>131</v>
      </c>
      <c r="F26" s="29" t="s">
        <v>23</v>
      </c>
      <c r="G26" s="20" t="s">
        <v>24</v>
      </c>
      <c r="H26" s="36" t="s">
        <v>132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133</v>
      </c>
    </row>
    <row r="27" spans="1:20" ht="23.25" customHeight="1">
      <c r="A27" s="21" t="s">
        <v>134</v>
      </c>
      <c r="B27" s="24">
        <v>2015</v>
      </c>
      <c r="C27" s="90" t="s">
        <v>21</v>
      </c>
      <c r="D27" s="24"/>
      <c r="E27" s="30" t="s">
        <v>135</v>
      </c>
      <c r="F27" s="31" t="s">
        <v>62</v>
      </c>
      <c r="G27" s="21" t="s">
        <v>82</v>
      </c>
      <c r="H27" s="38" t="s">
        <v>83</v>
      </c>
      <c r="I27" s="39">
        <v>42268</v>
      </c>
      <c r="J27" s="39">
        <v>42272</v>
      </c>
      <c r="K27" s="24" t="s">
        <v>35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>
      <c r="A28" s="20" t="s">
        <v>136</v>
      </c>
      <c r="B28" s="22">
        <v>2015</v>
      </c>
      <c r="C28" s="90" t="s">
        <v>21</v>
      </c>
      <c r="D28" s="22" t="s">
        <v>137</v>
      </c>
      <c r="E28" s="27" t="s">
        <v>138</v>
      </c>
      <c r="F28" s="29" t="s">
        <v>81</v>
      </c>
      <c r="G28" s="20" t="s">
        <v>72</v>
      </c>
      <c r="H28" s="36" t="s">
        <v>139</v>
      </c>
      <c r="I28" s="37">
        <v>42276</v>
      </c>
      <c r="J28" s="37">
        <v>42279</v>
      </c>
      <c r="K28" s="22" t="s">
        <v>35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140</v>
      </c>
    </row>
    <row r="29" spans="1:20" ht="23.25" customHeight="1">
      <c r="A29" s="21" t="s">
        <v>141</v>
      </c>
      <c r="B29" s="24">
        <v>2015</v>
      </c>
      <c r="C29" s="90" t="s">
        <v>21</v>
      </c>
      <c r="D29" s="24" t="s">
        <v>142</v>
      </c>
      <c r="E29" s="30" t="s">
        <v>143</v>
      </c>
      <c r="F29" s="31" t="s">
        <v>23</v>
      </c>
      <c r="G29" s="21" t="s">
        <v>33</v>
      </c>
      <c r="H29" s="38" t="s">
        <v>144</v>
      </c>
      <c r="I29" s="39">
        <v>42282</v>
      </c>
      <c r="J29" s="39">
        <v>42286</v>
      </c>
      <c r="K29" s="24" t="s">
        <v>35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145</v>
      </c>
    </row>
    <row r="30" spans="1:20" ht="23.25" customHeight="1">
      <c r="A30" s="20" t="s">
        <v>146</v>
      </c>
      <c r="B30" s="22">
        <v>2015</v>
      </c>
      <c r="C30" s="90" t="s">
        <v>21</v>
      </c>
      <c r="D30" s="22" t="s">
        <v>110</v>
      </c>
      <c r="E30" s="27" t="s">
        <v>147</v>
      </c>
      <c r="F30" s="29" t="s">
        <v>62</v>
      </c>
      <c r="G30" s="20" t="s">
        <v>72</v>
      </c>
      <c r="H30" s="36" t="s">
        <v>148</v>
      </c>
      <c r="I30" s="37">
        <v>42296</v>
      </c>
      <c r="J30" s="37">
        <v>42300</v>
      </c>
      <c r="K30" s="22" t="s">
        <v>35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113</v>
      </c>
    </row>
    <row r="31" spans="1:20" ht="23.25" customHeight="1">
      <c r="A31" s="21" t="s">
        <v>149</v>
      </c>
      <c r="B31" s="24">
        <v>2015</v>
      </c>
      <c r="C31" s="90" t="s">
        <v>21</v>
      </c>
      <c r="D31" s="24"/>
      <c r="E31" s="30" t="s">
        <v>150</v>
      </c>
      <c r="F31" s="31" t="s">
        <v>62</v>
      </c>
      <c r="G31" s="21" t="s">
        <v>82</v>
      </c>
      <c r="H31" s="38" t="s">
        <v>83</v>
      </c>
      <c r="I31" s="39">
        <v>42303</v>
      </c>
      <c r="J31" s="39">
        <v>42305</v>
      </c>
      <c r="K31" s="24" t="s">
        <v>35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>
      <c r="A32" s="20" t="s">
        <v>151</v>
      </c>
      <c r="B32" s="22">
        <v>2015</v>
      </c>
      <c r="C32" s="90" t="s">
        <v>21</v>
      </c>
      <c r="D32" s="22" t="s">
        <v>137</v>
      </c>
      <c r="E32" s="27" t="s">
        <v>152</v>
      </c>
      <c r="F32" s="29" t="s">
        <v>81</v>
      </c>
      <c r="G32" s="20" t="s">
        <v>72</v>
      </c>
      <c r="H32" s="36" t="s">
        <v>153</v>
      </c>
      <c r="I32" s="37">
        <v>42325</v>
      </c>
      <c r="J32" s="37">
        <v>42328</v>
      </c>
      <c r="K32" s="22" t="s">
        <v>35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140</v>
      </c>
    </row>
    <row r="33" spans="1:20" ht="23.25" customHeight="1">
      <c r="A33" s="21" t="s">
        <v>154</v>
      </c>
      <c r="B33" s="24">
        <v>2016</v>
      </c>
      <c r="C33" s="90" t="s">
        <v>21</v>
      </c>
      <c r="D33" s="24" t="s">
        <v>155</v>
      </c>
      <c r="E33" s="30" t="s">
        <v>156</v>
      </c>
      <c r="F33" s="31" t="s">
        <v>23</v>
      </c>
      <c r="G33" s="21" t="s">
        <v>82</v>
      </c>
      <c r="H33" s="38" t="s">
        <v>83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157</v>
      </c>
    </row>
    <row r="34" spans="1:20" ht="23.25" customHeight="1">
      <c r="A34" s="20" t="s">
        <v>158</v>
      </c>
      <c r="B34" s="22">
        <v>2016</v>
      </c>
      <c r="C34" s="90" t="s">
        <v>21</v>
      </c>
      <c r="D34" s="22"/>
      <c r="E34" s="27" t="s">
        <v>159</v>
      </c>
      <c r="F34" s="29" t="s">
        <v>23</v>
      </c>
      <c r="G34" s="20" t="s">
        <v>82</v>
      </c>
      <c r="H34" s="36" t="s">
        <v>83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>
      <c r="A35" s="21" t="s">
        <v>160</v>
      </c>
      <c r="B35" s="24">
        <v>2016</v>
      </c>
      <c r="C35" s="90" t="s">
        <v>21</v>
      </c>
      <c r="D35" s="24" t="s">
        <v>161</v>
      </c>
      <c r="E35" s="30" t="s">
        <v>162</v>
      </c>
      <c r="F35" s="31" t="s">
        <v>23</v>
      </c>
      <c r="G35" s="21" t="s">
        <v>82</v>
      </c>
      <c r="H35" s="38" t="s">
        <v>83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163</v>
      </c>
    </row>
    <row r="36" spans="1:20" ht="23.25" customHeight="1">
      <c r="A36" s="20" t="s">
        <v>164</v>
      </c>
      <c r="B36" s="22">
        <v>2016</v>
      </c>
      <c r="C36" s="90" t="s">
        <v>21</v>
      </c>
      <c r="D36" s="22" t="s">
        <v>165</v>
      </c>
      <c r="E36" s="27" t="s">
        <v>166</v>
      </c>
      <c r="F36" s="29" t="s">
        <v>62</v>
      </c>
      <c r="G36" s="20" t="s">
        <v>72</v>
      </c>
      <c r="H36" s="36" t="s">
        <v>167</v>
      </c>
      <c r="I36" s="37">
        <v>42506</v>
      </c>
      <c r="J36" s="37">
        <v>42510</v>
      </c>
      <c r="K36" s="22" t="s">
        <v>35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74</v>
      </c>
    </row>
    <row r="37" spans="1:20" ht="23.25" customHeight="1">
      <c r="A37" s="21" t="s">
        <v>168</v>
      </c>
      <c r="B37" s="24">
        <v>2016</v>
      </c>
      <c r="C37" s="90" t="s">
        <v>21</v>
      </c>
      <c r="D37" s="24" t="s">
        <v>169</v>
      </c>
      <c r="E37" s="30" t="s">
        <v>170</v>
      </c>
      <c r="F37" s="31" t="s">
        <v>81</v>
      </c>
      <c r="G37" s="21" t="s">
        <v>72</v>
      </c>
      <c r="H37" s="38" t="s">
        <v>171</v>
      </c>
      <c r="I37" s="39">
        <v>42534</v>
      </c>
      <c r="J37" s="39">
        <v>42534</v>
      </c>
      <c r="K37" s="24" t="s">
        <v>35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172</v>
      </c>
    </row>
    <row r="38" spans="1:20" ht="23.25" customHeight="1">
      <c r="A38" s="20" t="s">
        <v>173</v>
      </c>
      <c r="B38" s="22">
        <v>2016</v>
      </c>
      <c r="C38" s="90" t="s">
        <v>21</v>
      </c>
      <c r="D38" s="22" t="s">
        <v>174</v>
      </c>
      <c r="E38" s="27" t="s">
        <v>175</v>
      </c>
      <c r="F38" s="29" t="s">
        <v>81</v>
      </c>
      <c r="G38" s="20" t="s">
        <v>72</v>
      </c>
      <c r="H38" s="36" t="s">
        <v>176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177</v>
      </c>
    </row>
    <row r="39" spans="1:20" ht="23.25" customHeight="1">
      <c r="A39" s="21" t="s">
        <v>178</v>
      </c>
      <c r="B39" s="24">
        <v>2016</v>
      </c>
      <c r="C39" s="90" t="s">
        <v>21</v>
      </c>
      <c r="D39" s="24" t="s">
        <v>179</v>
      </c>
      <c r="E39" s="30" t="s">
        <v>180</v>
      </c>
      <c r="F39" s="31" t="s">
        <v>62</v>
      </c>
      <c r="G39" s="21" t="s">
        <v>72</v>
      </c>
      <c r="H39" s="38" t="s">
        <v>181</v>
      </c>
      <c r="I39" s="39">
        <v>42534</v>
      </c>
      <c r="J39" s="39">
        <v>42538</v>
      </c>
      <c r="K39" s="24" t="s">
        <v>35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113</v>
      </c>
    </row>
    <row r="40" spans="1:20" ht="23.25" customHeight="1">
      <c r="A40" s="20" t="s">
        <v>182</v>
      </c>
      <c r="B40" s="22">
        <v>2016</v>
      </c>
      <c r="C40" s="90" t="s">
        <v>21</v>
      </c>
      <c r="D40" s="22" t="s">
        <v>183</v>
      </c>
      <c r="E40" s="27" t="s">
        <v>184</v>
      </c>
      <c r="F40" s="29" t="s">
        <v>81</v>
      </c>
      <c r="G40" s="20" t="s">
        <v>24</v>
      </c>
      <c r="H40" s="36" t="s">
        <v>185</v>
      </c>
      <c r="I40" s="37">
        <v>42548</v>
      </c>
      <c r="J40" s="37">
        <v>42552</v>
      </c>
      <c r="K40" s="22" t="s">
        <v>35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186</v>
      </c>
    </row>
    <row r="41" spans="1:20" ht="23.25" customHeight="1">
      <c r="A41" s="21" t="s">
        <v>187</v>
      </c>
      <c r="B41" s="24">
        <v>2016</v>
      </c>
      <c r="C41" s="90" t="s">
        <v>21</v>
      </c>
      <c r="D41" s="24" t="s">
        <v>188</v>
      </c>
      <c r="E41" s="30" t="s">
        <v>189</v>
      </c>
      <c r="F41" s="31" t="s">
        <v>23</v>
      </c>
      <c r="G41" s="21" t="s">
        <v>33</v>
      </c>
      <c r="H41" s="38" t="s">
        <v>185</v>
      </c>
      <c r="I41" s="39">
        <v>42548</v>
      </c>
      <c r="J41" s="39">
        <v>42552</v>
      </c>
      <c r="K41" s="24" t="s">
        <v>35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190</v>
      </c>
    </row>
    <row r="42" spans="1:20" ht="23.25" customHeight="1">
      <c r="A42" s="20" t="s">
        <v>191</v>
      </c>
      <c r="B42" s="22">
        <v>2016</v>
      </c>
      <c r="C42" s="90" t="s">
        <v>21</v>
      </c>
      <c r="D42" s="22" t="s">
        <v>192</v>
      </c>
      <c r="E42" s="27" t="s">
        <v>193</v>
      </c>
      <c r="F42" s="29" t="s">
        <v>81</v>
      </c>
      <c r="G42" s="20" t="s">
        <v>72</v>
      </c>
      <c r="H42" s="36" t="s">
        <v>194</v>
      </c>
      <c r="I42" s="37">
        <v>42549</v>
      </c>
      <c r="J42" s="37">
        <v>42551</v>
      </c>
      <c r="K42" s="22" t="s">
        <v>35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195</v>
      </c>
    </row>
    <row r="43" spans="1:20" ht="23.25" customHeight="1">
      <c r="A43" s="21" t="s">
        <v>196</v>
      </c>
      <c r="B43" s="24">
        <v>2016</v>
      </c>
      <c r="C43" s="90" t="s">
        <v>21</v>
      </c>
      <c r="D43" s="24" t="s">
        <v>197</v>
      </c>
      <c r="E43" s="30" t="s">
        <v>198</v>
      </c>
      <c r="F43" s="31" t="s">
        <v>23</v>
      </c>
      <c r="G43" s="21" t="s">
        <v>199</v>
      </c>
      <c r="H43" s="38" t="s">
        <v>200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201</v>
      </c>
    </row>
    <row r="44" spans="1:20" ht="23.25" customHeight="1">
      <c r="A44" s="20" t="s">
        <v>202</v>
      </c>
      <c r="B44" s="22">
        <v>2016</v>
      </c>
      <c r="C44" s="90" t="s">
        <v>21</v>
      </c>
      <c r="D44" s="22" t="s">
        <v>203</v>
      </c>
      <c r="E44" s="27" t="s">
        <v>204</v>
      </c>
      <c r="F44" s="29" t="s">
        <v>62</v>
      </c>
      <c r="G44" s="20" t="s">
        <v>72</v>
      </c>
      <c r="H44" s="36" t="s">
        <v>205</v>
      </c>
      <c r="I44" s="37">
        <v>42583</v>
      </c>
      <c r="J44" s="37">
        <v>42584</v>
      </c>
      <c r="K44" s="22" t="s">
        <v>35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206</v>
      </c>
    </row>
    <row r="45" spans="1:20" ht="23.25" customHeight="1">
      <c r="A45" s="21" t="s">
        <v>207</v>
      </c>
      <c r="B45" s="24">
        <v>2016</v>
      </c>
      <c r="C45" s="90" t="s">
        <v>21</v>
      </c>
      <c r="D45" s="24" t="s">
        <v>208</v>
      </c>
      <c r="E45" s="30" t="s">
        <v>209</v>
      </c>
      <c r="F45" s="31" t="s">
        <v>23</v>
      </c>
      <c r="G45" s="21" t="s">
        <v>33</v>
      </c>
      <c r="H45" s="38" t="s">
        <v>210</v>
      </c>
      <c r="I45" s="39">
        <v>42590</v>
      </c>
      <c r="J45" s="39">
        <v>42594</v>
      </c>
      <c r="K45" s="24" t="s">
        <v>35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211</v>
      </c>
    </row>
    <row r="46" spans="1:20" ht="23.25" customHeight="1">
      <c r="A46" s="20" t="s">
        <v>212</v>
      </c>
      <c r="B46" s="22">
        <v>2016</v>
      </c>
      <c r="C46" s="90" t="s">
        <v>21</v>
      </c>
      <c r="D46" s="22" t="s">
        <v>213</v>
      </c>
      <c r="E46" s="27" t="s">
        <v>214</v>
      </c>
      <c r="F46" s="29" t="s">
        <v>23</v>
      </c>
      <c r="G46" s="20" t="s">
        <v>199</v>
      </c>
      <c r="H46" s="36" t="s">
        <v>215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216</v>
      </c>
    </row>
    <row r="47" spans="1:20" ht="23.25" customHeight="1">
      <c r="A47" s="21" t="s">
        <v>217</v>
      </c>
      <c r="B47" s="24">
        <v>2016</v>
      </c>
      <c r="C47" s="90" t="s">
        <v>21</v>
      </c>
      <c r="D47" s="24" t="s">
        <v>218</v>
      </c>
      <c r="E47" s="30" t="s">
        <v>219</v>
      </c>
      <c r="F47" s="31" t="s">
        <v>62</v>
      </c>
      <c r="G47" s="21" t="s">
        <v>72</v>
      </c>
      <c r="H47" s="38" t="s">
        <v>215</v>
      </c>
      <c r="I47" s="39">
        <v>42597</v>
      </c>
      <c r="J47" s="39">
        <v>42601</v>
      </c>
      <c r="K47" s="24" t="s">
        <v>220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221</v>
      </c>
    </row>
    <row r="48" spans="1:20" ht="23.25" customHeight="1">
      <c r="A48" s="20" t="s">
        <v>222</v>
      </c>
      <c r="B48" s="22">
        <v>2016</v>
      </c>
      <c r="C48" s="90" t="s">
        <v>21</v>
      </c>
      <c r="D48" s="22" t="s">
        <v>223</v>
      </c>
      <c r="E48" s="27" t="s">
        <v>224</v>
      </c>
      <c r="F48" s="29" t="s">
        <v>225</v>
      </c>
      <c r="G48" s="20" t="s">
        <v>72</v>
      </c>
      <c r="H48" s="36" t="s">
        <v>226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227</v>
      </c>
    </row>
    <row r="49" spans="1:20" ht="23.25" customHeight="1">
      <c r="A49" s="21" t="s">
        <v>228</v>
      </c>
      <c r="B49" s="24">
        <v>2016</v>
      </c>
      <c r="C49" s="90" t="s">
        <v>21</v>
      </c>
      <c r="D49" s="24" t="s">
        <v>229</v>
      </c>
      <c r="E49" s="30" t="s">
        <v>230</v>
      </c>
      <c r="F49" s="31" t="s">
        <v>23</v>
      </c>
      <c r="G49" s="21" t="s">
        <v>38</v>
      </c>
      <c r="H49" s="38" t="s">
        <v>231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232</v>
      </c>
    </row>
    <row r="50" spans="1:20" ht="23.25" customHeight="1">
      <c r="A50" s="20" t="s">
        <v>233</v>
      </c>
      <c r="B50" s="22">
        <v>2016</v>
      </c>
      <c r="C50" s="90" t="s">
        <v>21</v>
      </c>
      <c r="D50" s="22" t="s">
        <v>234</v>
      </c>
      <c r="E50" s="27" t="s">
        <v>235</v>
      </c>
      <c r="F50" s="29" t="s">
        <v>23</v>
      </c>
      <c r="G50" s="20" t="s">
        <v>38</v>
      </c>
      <c r="H50" s="36" t="s">
        <v>236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237</v>
      </c>
    </row>
    <row r="51" spans="1:20" ht="23.25" customHeight="1">
      <c r="A51" s="21" t="s">
        <v>238</v>
      </c>
      <c r="B51" s="24">
        <v>2016</v>
      </c>
      <c r="C51" s="90" t="s">
        <v>21</v>
      </c>
      <c r="D51" s="24" t="s">
        <v>239</v>
      </c>
      <c r="E51" s="30" t="s">
        <v>240</v>
      </c>
      <c r="F51" s="31" t="s">
        <v>62</v>
      </c>
      <c r="G51" s="21" t="s">
        <v>72</v>
      </c>
      <c r="H51" s="38" t="s">
        <v>236</v>
      </c>
      <c r="I51" s="39">
        <v>42632</v>
      </c>
      <c r="J51" s="39">
        <v>42636</v>
      </c>
      <c r="K51" s="24" t="s">
        <v>35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113</v>
      </c>
    </row>
    <row r="52" spans="1:20" ht="23.25" customHeight="1">
      <c r="A52" s="20" t="s">
        <v>241</v>
      </c>
      <c r="B52" s="22">
        <v>2016</v>
      </c>
      <c r="C52" s="90" t="s">
        <v>21</v>
      </c>
      <c r="D52" s="22" t="s">
        <v>239</v>
      </c>
      <c r="E52" s="27" t="s">
        <v>242</v>
      </c>
      <c r="F52" s="29" t="s">
        <v>62</v>
      </c>
      <c r="G52" s="20" t="s">
        <v>72</v>
      </c>
      <c r="H52" s="36" t="s">
        <v>236</v>
      </c>
      <c r="I52" s="37">
        <v>42632</v>
      </c>
      <c r="J52" s="37">
        <v>42636</v>
      </c>
      <c r="K52" s="22" t="s">
        <v>35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113</v>
      </c>
    </row>
    <row r="53" spans="1:20" ht="23.25" customHeight="1">
      <c r="A53" s="21" t="s">
        <v>243</v>
      </c>
      <c r="B53" s="24">
        <v>2016</v>
      </c>
      <c r="C53" s="90" t="s">
        <v>21</v>
      </c>
      <c r="D53" s="24" t="s">
        <v>244</v>
      </c>
      <c r="E53" s="30" t="s">
        <v>245</v>
      </c>
      <c r="F53" s="31" t="s">
        <v>23</v>
      </c>
      <c r="G53" s="21" t="s">
        <v>199</v>
      </c>
      <c r="H53" s="38" t="s">
        <v>246</v>
      </c>
      <c r="I53" s="39">
        <v>42646</v>
      </c>
      <c r="J53" s="39">
        <v>42650</v>
      </c>
      <c r="K53" s="24" t="s">
        <v>35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247</v>
      </c>
    </row>
    <row r="54" spans="1:20" ht="23.25" customHeight="1">
      <c r="A54" s="20" t="s">
        <v>248</v>
      </c>
      <c r="B54" s="22">
        <v>2016</v>
      </c>
      <c r="C54" s="90" t="s">
        <v>21</v>
      </c>
      <c r="D54" s="22" t="s">
        <v>249</v>
      </c>
      <c r="E54" s="27" t="s">
        <v>250</v>
      </c>
      <c r="F54" s="29" t="s">
        <v>23</v>
      </c>
      <c r="G54" s="20" t="s">
        <v>24</v>
      </c>
      <c r="H54" s="36" t="s">
        <v>251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252</v>
      </c>
    </row>
    <row r="55" spans="1:20" ht="23.25" customHeight="1">
      <c r="A55" s="21" t="s">
        <v>253</v>
      </c>
      <c r="B55" s="24">
        <v>2016</v>
      </c>
      <c r="C55" s="90" t="s">
        <v>21</v>
      </c>
      <c r="D55" s="24" t="s">
        <v>254</v>
      </c>
      <c r="E55" s="34" t="s">
        <v>255</v>
      </c>
      <c r="F55" s="31" t="s">
        <v>23</v>
      </c>
      <c r="G55" s="21" t="s">
        <v>38</v>
      </c>
      <c r="H55" s="38" t="s">
        <v>256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163</v>
      </c>
    </row>
    <row r="56" spans="1:20" ht="23.25" customHeight="1">
      <c r="A56" s="20" t="s">
        <v>257</v>
      </c>
      <c r="B56" s="22">
        <v>2016</v>
      </c>
      <c r="C56" s="90" t="s">
        <v>21</v>
      </c>
      <c r="D56" s="22" t="s">
        <v>258</v>
      </c>
      <c r="E56" s="27" t="s">
        <v>259</v>
      </c>
      <c r="F56" s="29" t="s">
        <v>62</v>
      </c>
      <c r="G56" s="20" t="s">
        <v>72</v>
      </c>
      <c r="H56" s="36" t="s">
        <v>260</v>
      </c>
      <c r="I56" s="37">
        <v>42667</v>
      </c>
      <c r="J56" s="37">
        <v>42669</v>
      </c>
      <c r="K56" s="22" t="s">
        <v>35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261</v>
      </c>
    </row>
    <row r="57" spans="1:20" ht="23.25" customHeight="1">
      <c r="A57" s="21" t="s">
        <v>262</v>
      </c>
      <c r="B57" s="24">
        <v>2016</v>
      </c>
      <c r="C57" s="90" t="s">
        <v>21</v>
      </c>
      <c r="D57" s="24" t="s">
        <v>263</v>
      </c>
      <c r="E57" s="30" t="s">
        <v>264</v>
      </c>
      <c r="F57" s="31" t="s">
        <v>23</v>
      </c>
      <c r="G57" s="21" t="s">
        <v>33</v>
      </c>
      <c r="H57" s="38" t="s">
        <v>265</v>
      </c>
      <c r="I57" s="39">
        <v>42681</v>
      </c>
      <c r="J57" s="39">
        <v>42685</v>
      </c>
      <c r="K57" s="24" t="s">
        <v>35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211</v>
      </c>
    </row>
    <row r="58" spans="1:20" ht="23.25" customHeight="1">
      <c r="A58" s="20" t="s">
        <v>266</v>
      </c>
      <c r="B58" s="22">
        <v>2016</v>
      </c>
      <c r="C58" s="90" t="s">
        <v>21</v>
      </c>
      <c r="D58" s="22" t="s">
        <v>267</v>
      </c>
      <c r="E58" s="27" t="s">
        <v>268</v>
      </c>
      <c r="F58" s="29" t="s">
        <v>62</v>
      </c>
      <c r="G58" s="20" t="s">
        <v>72</v>
      </c>
      <c r="H58" s="36" t="s">
        <v>265</v>
      </c>
      <c r="I58" s="37">
        <v>42681</v>
      </c>
      <c r="J58" s="37">
        <v>42685</v>
      </c>
      <c r="K58" s="22" t="s">
        <v>35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269</v>
      </c>
    </row>
    <row r="59" spans="1:20" ht="23.25" customHeight="1">
      <c r="A59" s="21" t="s">
        <v>270</v>
      </c>
      <c r="B59" s="24">
        <v>2016</v>
      </c>
      <c r="C59" s="90" t="s">
        <v>21</v>
      </c>
      <c r="D59" s="24" t="s">
        <v>271</v>
      </c>
      <c r="E59" s="30" t="s">
        <v>272</v>
      </c>
      <c r="F59" s="31" t="s">
        <v>23</v>
      </c>
      <c r="G59" s="21" t="s">
        <v>199</v>
      </c>
      <c r="H59" s="38" t="s">
        <v>273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274</v>
      </c>
    </row>
    <row r="60" spans="1:20" ht="23.25" customHeight="1">
      <c r="A60" s="20" t="s">
        <v>275</v>
      </c>
      <c r="B60" s="22">
        <v>2016</v>
      </c>
      <c r="C60" s="90" t="s">
        <v>21</v>
      </c>
      <c r="D60" s="22" t="s">
        <v>276</v>
      </c>
      <c r="E60" s="27" t="s">
        <v>277</v>
      </c>
      <c r="F60" s="29" t="s">
        <v>62</v>
      </c>
      <c r="G60" s="20" t="s">
        <v>72</v>
      </c>
      <c r="H60" s="36" t="s">
        <v>278</v>
      </c>
      <c r="I60" s="37">
        <v>42695</v>
      </c>
      <c r="J60" s="37">
        <v>42699</v>
      </c>
      <c r="K60" s="22" t="s">
        <v>35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113</v>
      </c>
    </row>
    <row r="61" spans="1:20" ht="23.25" customHeight="1">
      <c r="A61" s="21" t="s">
        <v>279</v>
      </c>
      <c r="B61" s="24">
        <v>2016</v>
      </c>
      <c r="C61" s="90" t="s">
        <v>21</v>
      </c>
      <c r="D61" s="24" t="s">
        <v>276</v>
      </c>
      <c r="E61" s="30" t="s">
        <v>280</v>
      </c>
      <c r="F61" s="31" t="s">
        <v>62</v>
      </c>
      <c r="G61" s="21" t="s">
        <v>72</v>
      </c>
      <c r="H61" s="38" t="s">
        <v>278</v>
      </c>
      <c r="I61" s="39">
        <v>42695</v>
      </c>
      <c r="J61" s="39">
        <v>42699</v>
      </c>
      <c r="K61" s="24" t="s">
        <v>35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113</v>
      </c>
    </row>
    <row r="62" spans="1:20" ht="23.25" customHeight="1">
      <c r="A62" s="20" t="s">
        <v>281</v>
      </c>
      <c r="B62" s="22">
        <v>2016</v>
      </c>
      <c r="C62" s="90" t="s">
        <v>21</v>
      </c>
      <c r="D62" s="22" t="s">
        <v>282</v>
      </c>
      <c r="E62" s="27" t="s">
        <v>283</v>
      </c>
      <c r="F62" s="29" t="s">
        <v>62</v>
      </c>
      <c r="G62" s="20" t="s">
        <v>72</v>
      </c>
      <c r="H62" s="36" t="s">
        <v>284</v>
      </c>
      <c r="I62" s="37">
        <v>42709</v>
      </c>
      <c r="J62" s="37">
        <v>42711</v>
      </c>
      <c r="K62" s="22" t="s">
        <v>35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285</v>
      </c>
    </row>
    <row r="63" spans="1:20" ht="23.25" customHeight="1">
      <c r="A63" s="21" t="s">
        <v>286</v>
      </c>
      <c r="B63" s="24">
        <v>2017</v>
      </c>
      <c r="C63" s="90" t="s">
        <v>21</v>
      </c>
      <c r="D63" s="24" t="s">
        <v>254</v>
      </c>
      <c r="E63" s="30" t="s">
        <v>287</v>
      </c>
      <c r="F63" s="31" t="s">
        <v>23</v>
      </c>
      <c r="G63" s="21" t="s">
        <v>38</v>
      </c>
      <c r="H63" s="38" t="s">
        <v>288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289</v>
      </c>
    </row>
    <row r="64" spans="1:20" ht="23.25" customHeight="1">
      <c r="A64" s="20" t="s">
        <v>290</v>
      </c>
      <c r="B64" s="22">
        <v>2017</v>
      </c>
      <c r="C64" s="90" t="s">
        <v>21</v>
      </c>
      <c r="D64" s="22" t="s">
        <v>254</v>
      </c>
      <c r="E64" s="27" t="s">
        <v>291</v>
      </c>
      <c r="F64" s="29" t="s">
        <v>23</v>
      </c>
      <c r="G64" s="20" t="s">
        <v>38</v>
      </c>
      <c r="H64" s="36" t="s">
        <v>292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163</v>
      </c>
    </row>
    <row r="65" spans="1:20" ht="23.25" customHeight="1">
      <c r="A65" s="21" t="s">
        <v>293</v>
      </c>
      <c r="B65" s="24">
        <v>2017</v>
      </c>
      <c r="C65" s="90" t="s">
        <v>21</v>
      </c>
      <c r="D65" s="24" t="s">
        <v>294</v>
      </c>
      <c r="E65" s="30" t="s">
        <v>295</v>
      </c>
      <c r="F65" s="31" t="s">
        <v>62</v>
      </c>
      <c r="G65" s="21" t="s">
        <v>72</v>
      </c>
      <c r="H65" s="38" t="s">
        <v>296</v>
      </c>
      <c r="I65" s="39">
        <v>42807</v>
      </c>
      <c r="J65" s="39">
        <v>42811</v>
      </c>
      <c r="K65" s="24" t="s">
        <v>35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113</v>
      </c>
    </row>
    <row r="66" spans="1:20" ht="23.25" customHeight="1">
      <c r="A66" s="20" t="s">
        <v>297</v>
      </c>
      <c r="B66" s="22">
        <v>2017</v>
      </c>
      <c r="C66" s="90" t="s">
        <v>21</v>
      </c>
      <c r="D66" s="22" t="s">
        <v>298</v>
      </c>
      <c r="E66" s="27" t="s">
        <v>299</v>
      </c>
      <c r="F66" s="29" t="s">
        <v>23</v>
      </c>
      <c r="G66" s="20" t="s">
        <v>33</v>
      </c>
      <c r="H66" s="36" t="s">
        <v>300</v>
      </c>
      <c r="I66" s="37">
        <v>42814</v>
      </c>
      <c r="J66" s="37">
        <v>42818</v>
      </c>
      <c r="K66" s="22" t="s">
        <v>35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211</v>
      </c>
    </row>
    <row r="67" spans="1:20" ht="23.25" customHeight="1">
      <c r="A67" s="21" t="s">
        <v>301</v>
      </c>
      <c r="B67" s="24">
        <v>2017</v>
      </c>
      <c r="C67" s="90" t="s">
        <v>21</v>
      </c>
      <c r="D67" s="24" t="s">
        <v>302</v>
      </c>
      <c r="E67" s="30" t="s">
        <v>303</v>
      </c>
      <c r="F67" s="31" t="s">
        <v>62</v>
      </c>
      <c r="G67" s="21" t="s">
        <v>72</v>
      </c>
      <c r="H67" s="38" t="s">
        <v>304</v>
      </c>
      <c r="I67" s="39">
        <v>42821</v>
      </c>
      <c r="J67" s="39">
        <v>42825</v>
      </c>
      <c r="K67" s="24" t="s">
        <v>35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74</v>
      </c>
    </row>
    <row r="68" spans="1:20" ht="23.25" customHeight="1">
      <c r="A68" s="20" t="s">
        <v>305</v>
      </c>
      <c r="B68" s="22">
        <v>2017</v>
      </c>
      <c r="C68" s="90" t="s">
        <v>21</v>
      </c>
      <c r="D68" s="22" t="s">
        <v>306</v>
      </c>
      <c r="E68" s="27" t="s">
        <v>307</v>
      </c>
      <c r="F68" s="29" t="s">
        <v>23</v>
      </c>
      <c r="G68" s="20" t="s">
        <v>199</v>
      </c>
      <c r="H68" s="36" t="s">
        <v>304</v>
      </c>
      <c r="I68" s="37">
        <v>42821</v>
      </c>
      <c r="J68" s="37">
        <v>42825</v>
      </c>
      <c r="K68" s="22" t="s">
        <v>35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247</v>
      </c>
    </row>
    <row r="69" spans="1:20" ht="23.25" customHeight="1">
      <c r="A69" s="21" t="s">
        <v>308</v>
      </c>
      <c r="B69" s="24">
        <v>2017</v>
      </c>
      <c r="C69" s="90" t="s">
        <v>21</v>
      </c>
      <c r="D69" s="24" t="s">
        <v>309</v>
      </c>
      <c r="E69" s="30" t="s">
        <v>310</v>
      </c>
      <c r="F69" s="31" t="s">
        <v>23</v>
      </c>
      <c r="G69" s="21" t="s">
        <v>68</v>
      </c>
      <c r="H69" s="38" t="s">
        <v>311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312</v>
      </c>
    </row>
    <row r="70" spans="1:20" ht="23.25" customHeight="1">
      <c r="A70" s="20" t="s">
        <v>313</v>
      </c>
      <c r="B70" s="22">
        <v>2017</v>
      </c>
      <c r="C70" s="90" t="s">
        <v>21</v>
      </c>
      <c r="D70" s="22" t="s">
        <v>294</v>
      </c>
      <c r="E70" s="27" t="s">
        <v>314</v>
      </c>
      <c r="F70" s="29" t="s">
        <v>62</v>
      </c>
      <c r="G70" s="20" t="s">
        <v>72</v>
      </c>
      <c r="H70" s="36" t="s">
        <v>315</v>
      </c>
      <c r="I70" s="37">
        <v>42849</v>
      </c>
      <c r="J70" s="37">
        <v>42853</v>
      </c>
      <c r="K70" s="22" t="s">
        <v>35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113</v>
      </c>
    </row>
    <row r="71" spans="1:20" ht="23.25" customHeight="1">
      <c r="A71" s="21" t="s">
        <v>316</v>
      </c>
      <c r="B71" s="24">
        <v>2017</v>
      </c>
      <c r="C71" s="90" t="s">
        <v>21</v>
      </c>
      <c r="D71" s="24" t="s">
        <v>317</v>
      </c>
      <c r="E71" s="30" t="s">
        <v>318</v>
      </c>
      <c r="F71" s="31" t="s">
        <v>23</v>
      </c>
      <c r="G71" s="21" t="s">
        <v>82</v>
      </c>
      <c r="H71" s="38" t="s">
        <v>83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319</v>
      </c>
    </row>
    <row r="72" spans="1:20" ht="23.25" customHeight="1">
      <c r="A72" s="20" t="s">
        <v>320</v>
      </c>
      <c r="B72" s="22">
        <v>2017</v>
      </c>
      <c r="C72" s="90" t="s">
        <v>21</v>
      </c>
      <c r="D72" s="22" t="s">
        <v>321</v>
      </c>
      <c r="E72" s="27" t="s">
        <v>322</v>
      </c>
      <c r="F72" s="29" t="s">
        <v>23</v>
      </c>
      <c r="G72" s="20" t="s">
        <v>82</v>
      </c>
      <c r="H72" s="36" t="s">
        <v>83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157</v>
      </c>
    </row>
    <row r="73" spans="1:20" ht="23.25" customHeight="1">
      <c r="A73" s="21" t="s">
        <v>323</v>
      </c>
      <c r="B73" s="24">
        <v>2017</v>
      </c>
      <c r="C73" s="90" t="s">
        <v>21</v>
      </c>
      <c r="D73" s="24" t="s">
        <v>324</v>
      </c>
      <c r="E73" s="30" t="s">
        <v>325</v>
      </c>
      <c r="F73" s="31" t="s">
        <v>23</v>
      </c>
      <c r="G73" s="21" t="s">
        <v>33</v>
      </c>
      <c r="H73" s="38" t="s">
        <v>326</v>
      </c>
      <c r="I73" s="39">
        <v>42863</v>
      </c>
      <c r="J73" s="39">
        <v>42867</v>
      </c>
      <c r="K73" s="24" t="s">
        <v>35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211</v>
      </c>
    </row>
    <row r="74" spans="1:20" ht="23.25" customHeight="1">
      <c r="A74" s="20" t="s">
        <v>327</v>
      </c>
      <c r="B74" s="22">
        <v>2017</v>
      </c>
      <c r="C74" s="90" t="s">
        <v>21</v>
      </c>
      <c r="D74" s="22" t="s">
        <v>328</v>
      </c>
      <c r="E74" s="27" t="s">
        <v>329</v>
      </c>
      <c r="F74" s="29" t="s">
        <v>23</v>
      </c>
      <c r="G74" s="20" t="s">
        <v>24</v>
      </c>
      <c r="H74" s="36" t="s">
        <v>330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88</v>
      </c>
    </row>
    <row r="75" spans="1:20" ht="23.25" customHeight="1">
      <c r="A75" s="21" t="s">
        <v>331</v>
      </c>
      <c r="B75" s="24">
        <v>2017</v>
      </c>
      <c r="C75" s="90" t="s">
        <v>21</v>
      </c>
      <c r="D75" s="24" t="s">
        <v>332</v>
      </c>
      <c r="E75" s="30" t="s">
        <v>333</v>
      </c>
      <c r="F75" s="31" t="s">
        <v>81</v>
      </c>
      <c r="G75" s="21" t="s">
        <v>72</v>
      </c>
      <c r="H75" s="38" t="s">
        <v>334</v>
      </c>
      <c r="I75" s="39">
        <v>42877</v>
      </c>
      <c r="J75" s="39">
        <v>42881</v>
      </c>
      <c r="K75" s="24" t="s">
        <v>35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335</v>
      </c>
    </row>
    <row r="76" spans="1:20" ht="23.25" customHeight="1">
      <c r="A76" s="20" t="s">
        <v>336</v>
      </c>
      <c r="B76" s="22">
        <v>2017</v>
      </c>
      <c r="C76" s="90" t="s">
        <v>21</v>
      </c>
      <c r="D76" s="22" t="s">
        <v>337</v>
      </c>
      <c r="E76" s="27" t="s">
        <v>338</v>
      </c>
      <c r="F76" s="29" t="s">
        <v>62</v>
      </c>
      <c r="G76" s="20" t="s">
        <v>72</v>
      </c>
      <c r="H76" s="36" t="s">
        <v>334</v>
      </c>
      <c r="I76" s="37">
        <v>42877</v>
      </c>
      <c r="J76" s="37">
        <v>42881</v>
      </c>
      <c r="K76" s="22" t="s">
        <v>35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269</v>
      </c>
    </row>
    <row r="77" spans="1:20" ht="23.25" customHeight="1">
      <c r="A77" s="21" t="s">
        <v>339</v>
      </c>
      <c r="B77" s="24">
        <v>2017</v>
      </c>
      <c r="C77" s="90" t="s">
        <v>21</v>
      </c>
      <c r="D77" s="24" t="s">
        <v>340</v>
      </c>
      <c r="E77" s="30" t="s">
        <v>341</v>
      </c>
      <c r="F77" s="31" t="s">
        <v>23</v>
      </c>
      <c r="G77" s="21" t="s">
        <v>24</v>
      </c>
      <c r="H77" s="38" t="s">
        <v>342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343</v>
      </c>
    </row>
    <row r="78" spans="1:20" ht="23.25" customHeight="1">
      <c r="A78" s="20" t="s">
        <v>344</v>
      </c>
      <c r="B78" s="22">
        <v>2017</v>
      </c>
      <c r="C78" s="90" t="s">
        <v>21</v>
      </c>
      <c r="D78" s="22" t="s">
        <v>345</v>
      </c>
      <c r="E78" s="27" t="s">
        <v>346</v>
      </c>
      <c r="F78" s="29" t="s">
        <v>23</v>
      </c>
      <c r="G78" s="20" t="s">
        <v>199</v>
      </c>
      <c r="H78" s="36" t="s">
        <v>347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274</v>
      </c>
    </row>
    <row r="79" spans="1:20" ht="23.25" customHeight="1">
      <c r="A79" s="21" t="s">
        <v>348</v>
      </c>
      <c r="B79" s="24">
        <v>2017</v>
      </c>
      <c r="C79" s="90" t="s">
        <v>21</v>
      </c>
      <c r="D79" s="24" t="s">
        <v>349</v>
      </c>
      <c r="E79" s="30" t="s">
        <v>350</v>
      </c>
      <c r="F79" s="31" t="s">
        <v>62</v>
      </c>
      <c r="G79" s="21" t="s">
        <v>72</v>
      </c>
      <c r="H79" s="38" t="s">
        <v>351</v>
      </c>
      <c r="I79" s="39">
        <v>42881</v>
      </c>
      <c r="J79" s="39">
        <v>42884</v>
      </c>
      <c r="K79" s="24" t="s">
        <v>35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352</v>
      </c>
    </row>
    <row r="80" spans="1:20" ht="23.25" customHeight="1">
      <c r="A80" s="20" t="s">
        <v>353</v>
      </c>
      <c r="B80" s="22">
        <v>2017</v>
      </c>
      <c r="C80" s="90" t="s">
        <v>21</v>
      </c>
      <c r="D80" s="22" t="s">
        <v>345</v>
      </c>
      <c r="E80" s="27" t="s">
        <v>354</v>
      </c>
      <c r="F80" s="29" t="s">
        <v>23</v>
      </c>
      <c r="G80" s="20" t="s">
        <v>199</v>
      </c>
      <c r="H80" s="36" t="s">
        <v>355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274</v>
      </c>
    </row>
    <row r="81" spans="1:20" ht="23.25" customHeight="1">
      <c r="A81" s="21" t="s">
        <v>356</v>
      </c>
      <c r="B81" s="24">
        <v>2017</v>
      </c>
      <c r="C81" s="90" t="s">
        <v>21</v>
      </c>
      <c r="D81" s="24" t="s">
        <v>357</v>
      </c>
      <c r="E81" s="30" t="s">
        <v>358</v>
      </c>
      <c r="F81" s="31" t="s">
        <v>23</v>
      </c>
      <c r="G81" s="21" t="s">
        <v>33</v>
      </c>
      <c r="H81" s="38" t="s">
        <v>359</v>
      </c>
      <c r="I81" s="39">
        <v>42905</v>
      </c>
      <c r="J81" s="39">
        <v>42909</v>
      </c>
      <c r="K81" s="24" t="s">
        <v>35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360</v>
      </c>
    </row>
    <row r="82" spans="1:20" ht="23.25" customHeight="1">
      <c r="A82" s="20" t="s">
        <v>361</v>
      </c>
      <c r="B82" s="22">
        <v>2017</v>
      </c>
      <c r="C82" s="90" t="s">
        <v>21</v>
      </c>
      <c r="D82" s="22" t="s">
        <v>362</v>
      </c>
      <c r="E82" s="27" t="s">
        <v>363</v>
      </c>
      <c r="F82" s="29" t="s">
        <v>23</v>
      </c>
      <c r="G82" s="20" t="s">
        <v>364</v>
      </c>
      <c r="H82" s="36" t="s">
        <v>365</v>
      </c>
      <c r="I82" s="37">
        <v>42909</v>
      </c>
      <c r="J82" s="37">
        <v>42963</v>
      </c>
      <c r="K82" s="22" t="s">
        <v>35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366</v>
      </c>
    </row>
    <row r="83" spans="1:20" ht="23.25" customHeight="1">
      <c r="A83" s="21" t="s">
        <v>367</v>
      </c>
      <c r="B83" s="24">
        <v>2017</v>
      </c>
      <c r="C83" s="90" t="s">
        <v>21</v>
      </c>
      <c r="D83" s="24" t="s">
        <v>368</v>
      </c>
      <c r="E83" s="30" t="s">
        <v>230</v>
      </c>
      <c r="F83" s="31" t="s">
        <v>23</v>
      </c>
      <c r="G83" s="21" t="s">
        <v>38</v>
      </c>
      <c r="H83" s="38" t="s">
        <v>369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232</v>
      </c>
    </row>
    <row r="84" spans="1:20" ht="23.25" customHeight="1">
      <c r="A84" s="20" t="s">
        <v>370</v>
      </c>
      <c r="B84" s="22">
        <v>2017</v>
      </c>
      <c r="C84" s="90" t="s">
        <v>21</v>
      </c>
      <c r="D84" s="22" t="s">
        <v>371</v>
      </c>
      <c r="E84" s="27" t="s">
        <v>372</v>
      </c>
      <c r="F84" s="29" t="s">
        <v>62</v>
      </c>
      <c r="G84" s="20" t="s">
        <v>72</v>
      </c>
      <c r="H84" s="36" t="s">
        <v>369</v>
      </c>
      <c r="I84" s="37">
        <v>42912</v>
      </c>
      <c r="J84" s="37">
        <v>42916</v>
      </c>
      <c r="K84" s="22" t="s">
        <v>35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74</v>
      </c>
    </row>
    <row r="85" spans="1:20" ht="23.25" customHeight="1">
      <c r="A85" s="21" t="s">
        <v>373</v>
      </c>
      <c r="B85" s="24">
        <v>2017</v>
      </c>
      <c r="C85" s="90" t="s">
        <v>21</v>
      </c>
      <c r="D85" s="24" t="s">
        <v>374</v>
      </c>
      <c r="E85" s="30" t="s">
        <v>184</v>
      </c>
      <c r="F85" s="31" t="s">
        <v>81</v>
      </c>
      <c r="G85" s="21" t="s">
        <v>72</v>
      </c>
      <c r="H85" s="38" t="s">
        <v>375</v>
      </c>
      <c r="I85" s="39">
        <v>42919</v>
      </c>
      <c r="J85" s="39">
        <v>42923</v>
      </c>
      <c r="K85" s="24" t="s">
        <v>35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140</v>
      </c>
    </row>
    <row r="86" spans="1:20" ht="23.25" customHeight="1">
      <c r="A86" s="20" t="s">
        <v>376</v>
      </c>
      <c r="B86" s="22">
        <v>2017</v>
      </c>
      <c r="C86" s="90" t="s">
        <v>21</v>
      </c>
      <c r="D86" s="22" t="s">
        <v>377</v>
      </c>
      <c r="E86" s="27" t="s">
        <v>378</v>
      </c>
      <c r="F86" s="29" t="s">
        <v>62</v>
      </c>
      <c r="G86" s="20" t="s">
        <v>72</v>
      </c>
      <c r="H86" s="36" t="s">
        <v>379</v>
      </c>
      <c r="I86" s="37">
        <v>42940</v>
      </c>
      <c r="J86" s="37">
        <v>42944</v>
      </c>
      <c r="K86" s="22" t="s">
        <v>35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74</v>
      </c>
    </row>
    <row r="87" spans="1:20" ht="23.25" customHeight="1">
      <c r="A87" s="21" t="s">
        <v>380</v>
      </c>
      <c r="B87" s="24">
        <v>2017</v>
      </c>
      <c r="C87" s="90" t="s">
        <v>21</v>
      </c>
      <c r="D87" s="24" t="s">
        <v>381</v>
      </c>
      <c r="E87" s="30" t="s">
        <v>382</v>
      </c>
      <c r="F87" s="31" t="s">
        <v>23</v>
      </c>
      <c r="G87" s="21" t="s">
        <v>33</v>
      </c>
      <c r="H87" s="38" t="s">
        <v>383</v>
      </c>
      <c r="I87" s="39">
        <v>42968</v>
      </c>
      <c r="J87" s="39">
        <v>42972</v>
      </c>
      <c r="K87" s="24" t="s">
        <v>35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211</v>
      </c>
    </row>
    <row r="88" spans="1:20" ht="23.25" customHeight="1">
      <c r="A88" s="20" t="s">
        <v>384</v>
      </c>
      <c r="B88" s="22">
        <v>2017</v>
      </c>
      <c r="C88" s="90" t="s">
        <v>21</v>
      </c>
      <c r="D88" s="22" t="s">
        <v>385</v>
      </c>
      <c r="E88" s="27" t="s">
        <v>386</v>
      </c>
      <c r="F88" s="29" t="s">
        <v>62</v>
      </c>
      <c r="G88" s="20" t="s">
        <v>72</v>
      </c>
      <c r="H88" s="36" t="s">
        <v>387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388</v>
      </c>
    </row>
    <row r="89" spans="1:20" ht="23.25" customHeight="1">
      <c r="A89" s="21" t="s">
        <v>389</v>
      </c>
      <c r="B89" s="24">
        <v>2017</v>
      </c>
      <c r="C89" s="90" t="s">
        <v>21</v>
      </c>
      <c r="D89" s="24" t="s">
        <v>390</v>
      </c>
      <c r="E89" s="30" t="s">
        <v>391</v>
      </c>
      <c r="F89" s="31" t="s">
        <v>62</v>
      </c>
      <c r="G89" s="21" t="s">
        <v>72</v>
      </c>
      <c r="H89" s="38" t="s">
        <v>392</v>
      </c>
      <c r="I89" s="39">
        <v>42989</v>
      </c>
      <c r="J89" s="39">
        <v>42993</v>
      </c>
      <c r="K89" s="24" t="s">
        <v>35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113</v>
      </c>
    </row>
    <row r="90" spans="1:20" ht="23.25" customHeight="1">
      <c r="A90" s="20" t="s">
        <v>393</v>
      </c>
      <c r="B90" s="22">
        <v>2017</v>
      </c>
      <c r="C90" s="90" t="s">
        <v>21</v>
      </c>
      <c r="D90" s="22" t="s">
        <v>394</v>
      </c>
      <c r="E90" s="27" t="s">
        <v>395</v>
      </c>
      <c r="F90" s="29" t="s">
        <v>62</v>
      </c>
      <c r="G90" s="20" t="s">
        <v>72</v>
      </c>
      <c r="H90" s="36" t="s">
        <v>396</v>
      </c>
      <c r="I90" s="37">
        <v>43003</v>
      </c>
      <c r="J90" s="37">
        <v>43007</v>
      </c>
      <c r="K90" s="22" t="s">
        <v>35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113</v>
      </c>
    </row>
    <row r="91" spans="1:20" ht="23.25" customHeight="1">
      <c r="A91" s="21" t="s">
        <v>397</v>
      </c>
      <c r="B91" s="24">
        <v>2017</v>
      </c>
      <c r="C91" s="90" t="s">
        <v>21</v>
      </c>
      <c r="D91" s="24" t="s">
        <v>398</v>
      </c>
      <c r="E91" s="30" t="s">
        <v>399</v>
      </c>
      <c r="F91" s="31" t="s">
        <v>23</v>
      </c>
      <c r="G91" s="21" t="s">
        <v>68</v>
      </c>
      <c r="H91" s="38" t="s">
        <v>400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69</v>
      </c>
    </row>
    <row r="92" spans="1:20" ht="23.25" customHeight="1">
      <c r="A92" s="20" t="s">
        <v>401</v>
      </c>
      <c r="B92" s="22">
        <v>2017</v>
      </c>
      <c r="C92" s="90" t="s">
        <v>21</v>
      </c>
      <c r="D92" s="22" t="s">
        <v>402</v>
      </c>
      <c r="E92" s="27" t="s">
        <v>403</v>
      </c>
      <c r="F92" s="29" t="s">
        <v>23</v>
      </c>
      <c r="G92" s="20" t="s">
        <v>38</v>
      </c>
      <c r="H92" s="36" t="s">
        <v>404</v>
      </c>
      <c r="I92" s="37">
        <v>43031</v>
      </c>
      <c r="J92" s="37">
        <v>43035</v>
      </c>
      <c r="K92" s="22" t="s">
        <v>35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405</v>
      </c>
    </row>
    <row r="93" spans="1:20" ht="23.25" customHeight="1">
      <c r="A93" s="21" t="s">
        <v>406</v>
      </c>
      <c r="B93" s="24">
        <v>2017</v>
      </c>
      <c r="C93" s="90" t="s">
        <v>21</v>
      </c>
      <c r="D93" s="24" t="s">
        <v>407</v>
      </c>
      <c r="E93" s="30" t="s">
        <v>408</v>
      </c>
      <c r="F93" s="31" t="s">
        <v>62</v>
      </c>
      <c r="G93" s="21" t="s">
        <v>72</v>
      </c>
      <c r="H93" s="38" t="s">
        <v>404</v>
      </c>
      <c r="I93" s="39">
        <v>43031</v>
      </c>
      <c r="J93" s="39">
        <v>43035</v>
      </c>
      <c r="K93" s="24" t="s">
        <v>220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409</v>
      </c>
    </row>
    <row r="94" spans="1:20" ht="23.25" customHeight="1">
      <c r="A94" s="20" t="s">
        <v>410</v>
      </c>
      <c r="B94" s="22">
        <v>2017</v>
      </c>
      <c r="C94" s="90" t="s">
        <v>21</v>
      </c>
      <c r="D94" s="22" t="s">
        <v>411</v>
      </c>
      <c r="E94" s="27" t="s">
        <v>412</v>
      </c>
      <c r="F94" s="29" t="s">
        <v>62</v>
      </c>
      <c r="G94" s="20" t="s">
        <v>72</v>
      </c>
      <c r="H94" s="36" t="s">
        <v>413</v>
      </c>
      <c r="I94" s="37">
        <v>43045</v>
      </c>
      <c r="J94" s="37">
        <v>43048</v>
      </c>
      <c r="K94" s="22" t="s">
        <v>35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414</v>
      </c>
    </row>
    <row r="95" spans="1:20" ht="23.25" customHeight="1">
      <c r="A95" s="21" t="s">
        <v>415</v>
      </c>
      <c r="B95" s="24">
        <v>2018</v>
      </c>
      <c r="C95" s="90" t="s">
        <v>21</v>
      </c>
      <c r="D95" s="24" t="s">
        <v>416</v>
      </c>
      <c r="E95" s="30" t="s">
        <v>184</v>
      </c>
      <c r="F95" s="31" t="s">
        <v>81</v>
      </c>
      <c r="G95" s="21" t="s">
        <v>72</v>
      </c>
      <c r="H95" s="38" t="s">
        <v>417</v>
      </c>
      <c r="I95" s="39">
        <v>43179</v>
      </c>
      <c r="J95" s="39">
        <v>43180</v>
      </c>
      <c r="K95" s="24" t="s">
        <v>35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418</v>
      </c>
    </row>
    <row r="96" spans="1:20" ht="23.25" customHeight="1">
      <c r="A96" s="20" t="s">
        <v>419</v>
      </c>
      <c r="B96" s="22">
        <v>2018</v>
      </c>
      <c r="C96" s="90" t="s">
        <v>21</v>
      </c>
      <c r="D96" s="22" t="s">
        <v>420</v>
      </c>
      <c r="E96" s="27" t="s">
        <v>421</v>
      </c>
      <c r="F96" s="29" t="s">
        <v>23</v>
      </c>
      <c r="G96" s="20" t="s">
        <v>33</v>
      </c>
      <c r="H96" s="36" t="s">
        <v>422</v>
      </c>
      <c r="I96" s="37">
        <v>43192</v>
      </c>
      <c r="J96" s="37">
        <v>43196</v>
      </c>
      <c r="K96" s="22" t="s">
        <v>35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108</v>
      </c>
    </row>
    <row r="97" spans="1:20" ht="23.25" customHeight="1">
      <c r="A97" s="21" t="s">
        <v>423</v>
      </c>
      <c r="B97" s="24">
        <v>2018</v>
      </c>
      <c r="C97" s="90" t="s">
        <v>21</v>
      </c>
      <c r="D97" s="24" t="s">
        <v>424</v>
      </c>
      <c r="E97" s="30" t="s">
        <v>425</v>
      </c>
      <c r="F97" s="31" t="s">
        <v>62</v>
      </c>
      <c r="G97" s="21" t="s">
        <v>72</v>
      </c>
      <c r="H97" s="38" t="s">
        <v>426</v>
      </c>
      <c r="I97" s="39">
        <v>43199</v>
      </c>
      <c r="J97" s="39">
        <v>43203</v>
      </c>
      <c r="K97" s="24" t="s">
        <v>35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113</v>
      </c>
    </row>
    <row r="98" spans="1:20" ht="23.25" customHeight="1">
      <c r="A98" s="20" t="s">
        <v>427</v>
      </c>
      <c r="B98" s="22">
        <v>2018</v>
      </c>
      <c r="C98" s="90" t="s">
        <v>21</v>
      </c>
      <c r="D98" s="22" t="s">
        <v>428</v>
      </c>
      <c r="E98" s="27" t="s">
        <v>429</v>
      </c>
      <c r="F98" s="29" t="s">
        <v>23</v>
      </c>
      <c r="G98" s="20" t="s">
        <v>82</v>
      </c>
      <c r="H98" s="36" t="s">
        <v>83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108</v>
      </c>
    </row>
    <row r="99" spans="1:20" ht="23.25" customHeight="1">
      <c r="A99" s="21" t="s">
        <v>430</v>
      </c>
      <c r="B99" s="24">
        <v>2018</v>
      </c>
      <c r="C99" s="90" t="s">
        <v>21</v>
      </c>
      <c r="D99" s="24" t="s">
        <v>431</v>
      </c>
      <c r="E99" s="30" t="s">
        <v>432</v>
      </c>
      <c r="F99" s="31" t="s">
        <v>23</v>
      </c>
      <c r="G99" s="21" t="s">
        <v>199</v>
      </c>
      <c r="H99" s="38" t="s">
        <v>433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274</v>
      </c>
    </row>
    <row r="100" spans="1:20" ht="23.25" customHeight="1">
      <c r="A100" s="20" t="s">
        <v>434</v>
      </c>
      <c r="B100" s="22">
        <v>2018</v>
      </c>
      <c r="C100" s="90" t="s">
        <v>21</v>
      </c>
      <c r="D100" s="22" t="s">
        <v>435</v>
      </c>
      <c r="E100" s="27" t="s">
        <v>436</v>
      </c>
      <c r="F100" s="29" t="s">
        <v>23</v>
      </c>
      <c r="G100" s="20" t="s">
        <v>33</v>
      </c>
      <c r="H100" s="36" t="s">
        <v>437</v>
      </c>
      <c r="I100" s="37">
        <v>43234</v>
      </c>
      <c r="J100" s="37">
        <v>43238</v>
      </c>
      <c r="K100" s="22" t="s">
        <v>35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108</v>
      </c>
    </row>
    <row r="101" spans="1:20" ht="23.25" customHeight="1">
      <c r="A101" s="21" t="s">
        <v>438</v>
      </c>
      <c r="B101" s="24">
        <v>2018</v>
      </c>
      <c r="C101" s="90" t="s">
        <v>21</v>
      </c>
      <c r="D101" s="24" t="s">
        <v>439</v>
      </c>
      <c r="E101" s="30" t="s">
        <v>440</v>
      </c>
      <c r="F101" s="31" t="s">
        <v>62</v>
      </c>
      <c r="G101" s="21" t="s">
        <v>72</v>
      </c>
      <c r="H101" s="38" t="s">
        <v>441</v>
      </c>
      <c r="I101" s="39">
        <v>43255</v>
      </c>
      <c r="J101" s="39">
        <v>43259</v>
      </c>
      <c r="K101" s="24" t="s">
        <v>220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442</v>
      </c>
    </row>
    <row r="102" spans="1:20" ht="23.25" customHeight="1">
      <c r="A102" s="20" t="s">
        <v>443</v>
      </c>
      <c r="B102" s="22">
        <v>2018</v>
      </c>
      <c r="C102" s="90" t="s">
        <v>21</v>
      </c>
      <c r="D102" s="22" t="s">
        <v>420</v>
      </c>
      <c r="E102" s="27" t="s">
        <v>444</v>
      </c>
      <c r="F102" s="35" t="s">
        <v>23</v>
      </c>
      <c r="G102" s="20" t="s">
        <v>33</v>
      </c>
      <c r="H102" s="36" t="s">
        <v>441</v>
      </c>
      <c r="I102" s="37">
        <v>43255</v>
      </c>
      <c r="J102" s="37">
        <v>43259</v>
      </c>
      <c r="K102" s="22" t="s">
        <v>35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190</v>
      </c>
    </row>
    <row r="103" spans="1:20" ht="23.25" customHeight="1">
      <c r="A103" s="21" t="s">
        <v>445</v>
      </c>
      <c r="B103" s="24">
        <v>2018</v>
      </c>
      <c r="C103" s="90" t="s">
        <v>21</v>
      </c>
      <c r="D103" s="24" t="s">
        <v>446</v>
      </c>
      <c r="E103" s="30" t="s">
        <v>447</v>
      </c>
      <c r="F103" s="31" t="s">
        <v>23</v>
      </c>
      <c r="G103" s="21" t="s">
        <v>38</v>
      </c>
      <c r="H103" s="38" t="s">
        <v>448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449</v>
      </c>
    </row>
    <row r="104" spans="1:20" ht="23.25" customHeight="1">
      <c r="A104" s="20" t="s">
        <v>450</v>
      </c>
      <c r="B104" s="22">
        <v>2018</v>
      </c>
      <c r="C104" s="90" t="s">
        <v>21</v>
      </c>
      <c r="D104" s="22" t="s">
        <v>451</v>
      </c>
      <c r="E104" s="27" t="s">
        <v>452</v>
      </c>
      <c r="F104" s="29" t="s">
        <v>62</v>
      </c>
      <c r="G104" s="20" t="s">
        <v>72</v>
      </c>
      <c r="H104" s="36" t="s">
        <v>453</v>
      </c>
      <c r="I104" s="37">
        <v>43269</v>
      </c>
      <c r="J104" s="37">
        <v>43273</v>
      </c>
      <c r="K104" s="22" t="s">
        <v>35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269</v>
      </c>
    </row>
    <row r="105" spans="1:20" ht="23.25" customHeight="1">
      <c r="A105" s="21" t="s">
        <v>454</v>
      </c>
      <c r="B105" s="24">
        <v>2018</v>
      </c>
      <c r="C105" s="90" t="s">
        <v>21</v>
      </c>
      <c r="D105" s="24" t="s">
        <v>455</v>
      </c>
      <c r="E105" s="30" t="s">
        <v>456</v>
      </c>
      <c r="F105" s="31" t="s">
        <v>23</v>
      </c>
      <c r="G105" s="21" t="s">
        <v>457</v>
      </c>
      <c r="H105" s="38" t="s">
        <v>458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459</v>
      </c>
    </row>
    <row r="106" spans="1:20" ht="23.25" customHeight="1">
      <c r="A106" s="20" t="s">
        <v>460</v>
      </c>
      <c r="B106" s="22">
        <v>2018</v>
      </c>
      <c r="C106" s="90" t="s">
        <v>21</v>
      </c>
      <c r="D106" s="22" t="s">
        <v>461</v>
      </c>
      <c r="E106" s="27" t="s">
        <v>462</v>
      </c>
      <c r="F106" s="29" t="s">
        <v>62</v>
      </c>
      <c r="G106" s="20" t="s">
        <v>72</v>
      </c>
      <c r="H106" s="36" t="s">
        <v>463</v>
      </c>
      <c r="I106" s="37">
        <v>43297</v>
      </c>
      <c r="J106" s="37">
        <v>43301</v>
      </c>
      <c r="K106" s="22" t="s">
        <v>35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464</v>
      </c>
    </row>
    <row r="107" spans="1:20" ht="23.25" customHeight="1">
      <c r="A107" s="21" t="s">
        <v>465</v>
      </c>
      <c r="B107" s="24">
        <v>2018</v>
      </c>
      <c r="C107" s="90" t="s">
        <v>21</v>
      </c>
      <c r="D107" s="24" t="s">
        <v>431</v>
      </c>
      <c r="E107" s="30" t="s">
        <v>466</v>
      </c>
      <c r="F107" s="31" t="s">
        <v>23</v>
      </c>
      <c r="G107" s="21" t="s">
        <v>199</v>
      </c>
      <c r="H107" s="38" t="s">
        <v>467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274</v>
      </c>
    </row>
    <row r="108" spans="1:20" ht="23.25" customHeight="1">
      <c r="A108" s="20" t="s">
        <v>468</v>
      </c>
      <c r="B108" s="22">
        <v>2018</v>
      </c>
      <c r="C108" s="90" t="s">
        <v>21</v>
      </c>
      <c r="D108" s="22" t="s">
        <v>469</v>
      </c>
      <c r="E108" s="27" t="s">
        <v>470</v>
      </c>
      <c r="F108" s="29" t="s">
        <v>23</v>
      </c>
      <c r="G108" s="20" t="s">
        <v>72</v>
      </c>
      <c r="H108" s="36" t="s">
        <v>471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472</v>
      </c>
    </row>
    <row r="109" spans="1:20" ht="23.25" customHeight="1">
      <c r="A109" s="21" t="s">
        <v>473</v>
      </c>
      <c r="B109" s="24">
        <v>2018</v>
      </c>
      <c r="C109" s="90" t="s">
        <v>21</v>
      </c>
      <c r="D109" s="24" t="s">
        <v>446</v>
      </c>
      <c r="E109" s="30" t="s">
        <v>474</v>
      </c>
      <c r="F109" s="31" t="s">
        <v>23</v>
      </c>
      <c r="G109" s="21" t="s">
        <v>38</v>
      </c>
      <c r="H109" s="38" t="s">
        <v>475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449</v>
      </c>
    </row>
    <row r="110" spans="1:20" ht="23.25" customHeight="1">
      <c r="A110" s="20" t="s">
        <v>476</v>
      </c>
      <c r="B110" s="22">
        <v>2018</v>
      </c>
      <c r="C110" s="90" t="s">
        <v>21</v>
      </c>
      <c r="D110" s="22" t="s">
        <v>477</v>
      </c>
      <c r="E110" s="27" t="s">
        <v>478</v>
      </c>
      <c r="F110" s="29" t="s">
        <v>23</v>
      </c>
      <c r="G110" s="20" t="s">
        <v>457</v>
      </c>
      <c r="H110" s="36" t="s">
        <v>479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480</v>
      </c>
    </row>
    <row r="111" spans="1:20" ht="23.25" customHeight="1">
      <c r="A111" s="21" t="s">
        <v>481</v>
      </c>
      <c r="B111" s="24">
        <v>2018</v>
      </c>
      <c r="C111" s="90" t="s">
        <v>21</v>
      </c>
      <c r="D111" s="24" t="s">
        <v>482</v>
      </c>
      <c r="E111" s="30" t="s">
        <v>483</v>
      </c>
      <c r="F111" s="31" t="s">
        <v>23</v>
      </c>
      <c r="G111" s="21" t="s">
        <v>457</v>
      </c>
      <c r="H111" s="38" t="s">
        <v>484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485</v>
      </c>
    </row>
    <row r="112" spans="1:20" ht="23.25" customHeight="1">
      <c r="A112" s="20" t="s">
        <v>486</v>
      </c>
      <c r="B112" s="22">
        <v>2018</v>
      </c>
      <c r="C112" s="90" t="s">
        <v>21</v>
      </c>
      <c r="D112" s="22" t="s">
        <v>487</v>
      </c>
      <c r="E112" s="27" t="s">
        <v>488</v>
      </c>
      <c r="F112" s="29" t="s">
        <v>23</v>
      </c>
      <c r="G112" s="20" t="s">
        <v>457</v>
      </c>
      <c r="H112" s="36" t="s">
        <v>489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490</v>
      </c>
    </row>
    <row r="113" spans="1:20" ht="23.25" customHeight="1">
      <c r="A113" s="21" t="s">
        <v>491</v>
      </c>
      <c r="B113" s="24">
        <v>2018</v>
      </c>
      <c r="C113" s="90" t="s">
        <v>21</v>
      </c>
      <c r="D113" s="24" t="s">
        <v>492</v>
      </c>
      <c r="E113" s="30" t="s">
        <v>493</v>
      </c>
      <c r="F113" s="31" t="s">
        <v>23</v>
      </c>
      <c r="G113" s="21" t="s">
        <v>38</v>
      </c>
      <c r="H113" s="38" t="s">
        <v>494</v>
      </c>
      <c r="I113" s="39">
        <v>43423</v>
      </c>
      <c r="J113" s="39">
        <v>43425</v>
      </c>
      <c r="K113" s="24" t="s">
        <v>35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495</v>
      </c>
    </row>
    <row r="114" spans="1:20" ht="23.25" customHeight="1">
      <c r="A114" s="20" t="s">
        <v>496</v>
      </c>
      <c r="B114" s="22">
        <v>2018</v>
      </c>
      <c r="C114" s="90" t="s">
        <v>21</v>
      </c>
      <c r="D114" s="22" t="s">
        <v>487</v>
      </c>
      <c r="E114" s="27" t="s">
        <v>497</v>
      </c>
      <c r="F114" s="29" t="s">
        <v>23</v>
      </c>
      <c r="G114" s="20" t="s">
        <v>457</v>
      </c>
      <c r="H114" s="36" t="s">
        <v>498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499</v>
      </c>
    </row>
    <row r="115" spans="1:20" ht="23.25" customHeight="1">
      <c r="A115" s="21" t="s">
        <v>500</v>
      </c>
      <c r="B115" s="24">
        <v>2018</v>
      </c>
      <c r="C115" s="90" t="s">
        <v>21</v>
      </c>
      <c r="D115" s="24" t="s">
        <v>501</v>
      </c>
      <c r="E115" s="30" t="s">
        <v>502</v>
      </c>
      <c r="F115" s="31" t="s">
        <v>23</v>
      </c>
      <c r="G115" s="21" t="s">
        <v>38</v>
      </c>
      <c r="H115" s="38" t="s">
        <v>503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504</v>
      </c>
    </row>
    <row r="116" spans="1:20" ht="23.25" customHeight="1">
      <c r="A116" s="20" t="s">
        <v>505</v>
      </c>
      <c r="B116" s="22">
        <v>2019</v>
      </c>
      <c r="C116" s="90" t="s">
        <v>21</v>
      </c>
      <c r="D116" s="22" t="s">
        <v>506</v>
      </c>
      <c r="E116" s="27" t="s">
        <v>507</v>
      </c>
      <c r="F116" s="29" t="s">
        <v>23</v>
      </c>
      <c r="G116" s="20" t="s">
        <v>364</v>
      </c>
      <c r="H116" s="36" t="s">
        <v>508</v>
      </c>
      <c r="I116" s="37">
        <v>43542</v>
      </c>
      <c r="J116" s="37">
        <v>43717</v>
      </c>
      <c r="K116" s="22" t="s">
        <v>35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509</v>
      </c>
    </row>
    <row r="117" spans="1:20" ht="23.25" customHeight="1">
      <c r="A117" s="21" t="s">
        <v>510</v>
      </c>
      <c r="B117" s="24">
        <v>2019</v>
      </c>
      <c r="C117" s="90" t="s">
        <v>21</v>
      </c>
      <c r="D117" s="24" t="s">
        <v>511</v>
      </c>
      <c r="E117" s="30" t="s">
        <v>512</v>
      </c>
      <c r="F117" s="31" t="s">
        <v>62</v>
      </c>
      <c r="G117" s="21" t="s">
        <v>72</v>
      </c>
      <c r="H117" s="38" t="s">
        <v>513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514</v>
      </c>
    </row>
    <row r="118" spans="1:20" ht="23.25" customHeight="1">
      <c r="A118" s="20" t="s">
        <v>515</v>
      </c>
      <c r="B118" s="22">
        <v>2019</v>
      </c>
      <c r="C118" s="90" t="s">
        <v>21</v>
      </c>
      <c r="D118" s="22" t="s">
        <v>516</v>
      </c>
      <c r="E118" s="27" t="s">
        <v>517</v>
      </c>
      <c r="F118" s="29" t="s">
        <v>23</v>
      </c>
      <c r="G118" s="20" t="s">
        <v>364</v>
      </c>
      <c r="H118" s="36" t="s">
        <v>518</v>
      </c>
      <c r="I118" s="37">
        <v>43549</v>
      </c>
      <c r="J118" s="37">
        <v>43728</v>
      </c>
      <c r="K118" s="22" t="s">
        <v>35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519</v>
      </c>
    </row>
    <row r="119" spans="1:20" ht="23.25" customHeight="1">
      <c r="A119" s="21" t="s">
        <v>520</v>
      </c>
      <c r="B119" s="24">
        <v>2019</v>
      </c>
      <c r="C119" s="90" t="s">
        <v>21</v>
      </c>
      <c r="D119" s="24" t="s">
        <v>521</v>
      </c>
      <c r="E119" s="30" t="s">
        <v>522</v>
      </c>
      <c r="F119" s="31" t="s">
        <v>23</v>
      </c>
      <c r="G119" s="21" t="s">
        <v>24</v>
      </c>
      <c r="H119" s="38" t="s">
        <v>523</v>
      </c>
      <c r="I119" s="39">
        <v>43577</v>
      </c>
      <c r="J119" s="39">
        <v>43585</v>
      </c>
      <c r="K119" s="24" t="s">
        <v>35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524</v>
      </c>
    </row>
    <row r="120" spans="1:20" ht="23.25" customHeight="1">
      <c r="A120" s="20" t="s">
        <v>525</v>
      </c>
      <c r="B120" s="22">
        <v>2019</v>
      </c>
      <c r="C120" s="90" t="s">
        <v>21</v>
      </c>
      <c r="D120" s="22" t="s">
        <v>526</v>
      </c>
      <c r="E120" s="27" t="s">
        <v>527</v>
      </c>
      <c r="F120" s="29" t="s">
        <v>62</v>
      </c>
      <c r="G120" s="20" t="s">
        <v>72</v>
      </c>
      <c r="H120" s="36" t="s">
        <v>528</v>
      </c>
      <c r="I120" s="37">
        <v>43578</v>
      </c>
      <c r="J120" s="37">
        <v>43578</v>
      </c>
      <c r="K120" s="22" t="s">
        <v>35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529</v>
      </c>
    </row>
    <row r="121" spans="1:20" ht="23.25" customHeight="1">
      <c r="A121" s="21" t="s">
        <v>530</v>
      </c>
      <c r="B121" s="24">
        <v>2019</v>
      </c>
      <c r="C121" s="90" t="s">
        <v>21</v>
      </c>
      <c r="D121" s="24" t="s">
        <v>521</v>
      </c>
      <c r="E121" s="30" t="s">
        <v>531</v>
      </c>
      <c r="F121" s="31" t="s">
        <v>23</v>
      </c>
      <c r="G121" s="21" t="s">
        <v>24</v>
      </c>
      <c r="H121" s="38" t="s">
        <v>532</v>
      </c>
      <c r="I121" s="39">
        <v>43598</v>
      </c>
      <c r="J121" s="39">
        <v>43602</v>
      </c>
      <c r="K121" s="24" t="s">
        <v>35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533</v>
      </c>
    </row>
    <row r="122" spans="1:20" ht="23.25" customHeight="1">
      <c r="A122" s="20" t="s">
        <v>534</v>
      </c>
      <c r="B122" s="22">
        <v>2019</v>
      </c>
      <c r="C122" s="90" t="s">
        <v>21</v>
      </c>
      <c r="D122" s="22" t="s">
        <v>526</v>
      </c>
      <c r="E122" s="27" t="s">
        <v>535</v>
      </c>
      <c r="F122" s="29" t="s">
        <v>62</v>
      </c>
      <c r="G122" s="20" t="s">
        <v>72</v>
      </c>
      <c r="H122" s="36" t="s">
        <v>536</v>
      </c>
      <c r="I122" s="37">
        <v>43605</v>
      </c>
      <c r="J122" s="37">
        <v>43605</v>
      </c>
      <c r="K122" s="22" t="s">
        <v>35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529</v>
      </c>
    </row>
    <row r="123" spans="1:20" ht="23.25" customHeight="1">
      <c r="A123" s="21" t="s">
        <v>537</v>
      </c>
      <c r="B123" s="24">
        <v>2019</v>
      </c>
      <c r="C123" s="90" t="s">
        <v>21</v>
      </c>
      <c r="D123" s="24" t="s">
        <v>526</v>
      </c>
      <c r="E123" s="30" t="s">
        <v>538</v>
      </c>
      <c r="F123" s="31" t="s">
        <v>62</v>
      </c>
      <c r="G123" s="21" t="s">
        <v>72</v>
      </c>
      <c r="H123" s="38" t="s">
        <v>539</v>
      </c>
      <c r="I123" s="39">
        <v>43606</v>
      </c>
      <c r="J123" s="39">
        <v>43606</v>
      </c>
      <c r="K123" s="24" t="s">
        <v>35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529</v>
      </c>
    </row>
    <row r="124" spans="1:20" ht="23.25" customHeight="1">
      <c r="A124" s="20" t="s">
        <v>540</v>
      </c>
      <c r="B124" s="22">
        <v>2019</v>
      </c>
      <c r="C124" s="90" t="s">
        <v>21</v>
      </c>
      <c r="D124" s="22" t="s">
        <v>541</v>
      </c>
      <c r="E124" s="27" t="s">
        <v>542</v>
      </c>
      <c r="F124" s="29" t="s">
        <v>23</v>
      </c>
      <c r="G124" s="20" t="s">
        <v>24</v>
      </c>
      <c r="H124" s="36" t="s">
        <v>543</v>
      </c>
      <c r="I124" s="37">
        <v>43606</v>
      </c>
      <c r="J124" s="37">
        <v>43608</v>
      </c>
      <c r="K124" s="22" t="s">
        <v>35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544</v>
      </c>
    </row>
    <row r="125" spans="1:20" ht="23.25" customHeight="1">
      <c r="A125" s="21" t="s">
        <v>545</v>
      </c>
      <c r="B125" s="24">
        <v>2019</v>
      </c>
      <c r="C125" s="90" t="s">
        <v>21</v>
      </c>
      <c r="D125" s="24" t="s">
        <v>546</v>
      </c>
      <c r="E125" s="30" t="s">
        <v>547</v>
      </c>
      <c r="F125" s="31" t="s">
        <v>23</v>
      </c>
      <c r="G125" s="21" t="s">
        <v>68</v>
      </c>
      <c r="H125" s="38" t="s">
        <v>548</v>
      </c>
      <c r="I125" s="39">
        <v>43607</v>
      </c>
      <c r="J125" s="39">
        <v>43614</v>
      </c>
      <c r="K125" s="24" t="s">
        <v>35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549</v>
      </c>
    </row>
    <row r="126" spans="1:20" ht="23.25" customHeight="1">
      <c r="A126" s="20" t="s">
        <v>550</v>
      </c>
      <c r="B126" s="22">
        <v>2019</v>
      </c>
      <c r="C126" s="90" t="s">
        <v>21</v>
      </c>
      <c r="D126" s="22" t="s">
        <v>551</v>
      </c>
      <c r="E126" s="27" t="s">
        <v>552</v>
      </c>
      <c r="F126" s="29" t="s">
        <v>23</v>
      </c>
      <c r="G126" s="20" t="s">
        <v>33</v>
      </c>
      <c r="H126" s="36" t="s">
        <v>553</v>
      </c>
      <c r="I126" s="37">
        <v>43612</v>
      </c>
      <c r="J126" s="37">
        <v>43619</v>
      </c>
      <c r="K126" s="22" t="s">
        <v>35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554</v>
      </c>
    </row>
    <row r="127" spans="1:20" ht="23.25" customHeight="1">
      <c r="A127" s="21" t="s">
        <v>555</v>
      </c>
      <c r="B127" s="24">
        <v>2019</v>
      </c>
      <c r="C127" s="90" t="s">
        <v>21</v>
      </c>
      <c r="D127" s="24" t="s">
        <v>546</v>
      </c>
      <c r="E127" s="30" t="s">
        <v>556</v>
      </c>
      <c r="F127" s="31" t="s">
        <v>23</v>
      </c>
      <c r="G127" s="21" t="s">
        <v>68</v>
      </c>
      <c r="H127" s="38" t="s">
        <v>557</v>
      </c>
      <c r="I127" s="39">
        <v>43622</v>
      </c>
      <c r="J127" s="39">
        <v>43626</v>
      </c>
      <c r="K127" s="24" t="s">
        <v>35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549</v>
      </c>
    </row>
    <row r="128" spans="1:20" ht="23.25" customHeight="1">
      <c r="A128" s="20" t="s">
        <v>558</v>
      </c>
      <c r="B128" s="22">
        <v>2019</v>
      </c>
      <c r="C128" s="90" t="s">
        <v>21</v>
      </c>
      <c r="D128" s="22" t="s">
        <v>541</v>
      </c>
      <c r="E128" s="27" t="s">
        <v>559</v>
      </c>
      <c r="F128" s="29" t="s">
        <v>23</v>
      </c>
      <c r="G128" s="20" t="s">
        <v>24</v>
      </c>
      <c r="H128" s="36" t="s">
        <v>560</v>
      </c>
      <c r="I128" s="37">
        <v>43633</v>
      </c>
      <c r="J128" s="37">
        <v>43635</v>
      </c>
      <c r="K128" s="22" t="s">
        <v>35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544</v>
      </c>
    </row>
    <row r="129" spans="1:20" ht="23.25" customHeight="1">
      <c r="A129" s="21" t="s">
        <v>561</v>
      </c>
      <c r="B129" s="24">
        <v>2019</v>
      </c>
      <c r="C129" s="90" t="s">
        <v>21</v>
      </c>
      <c r="D129" s="24" t="s">
        <v>526</v>
      </c>
      <c r="E129" s="30" t="s">
        <v>562</v>
      </c>
      <c r="F129" s="31" t="s">
        <v>62</v>
      </c>
      <c r="G129" s="21" t="s">
        <v>72</v>
      </c>
      <c r="H129" s="38" t="s">
        <v>563</v>
      </c>
      <c r="I129" s="39">
        <v>43634</v>
      </c>
      <c r="J129" s="39">
        <v>43634</v>
      </c>
      <c r="K129" s="24" t="s">
        <v>35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529</v>
      </c>
    </row>
    <row r="130" spans="1:20" ht="23.25" customHeight="1">
      <c r="A130" s="20" t="s">
        <v>564</v>
      </c>
      <c r="B130" s="22">
        <v>2019</v>
      </c>
      <c r="C130" s="90" t="s">
        <v>21</v>
      </c>
      <c r="D130" s="22" t="s">
        <v>546</v>
      </c>
      <c r="E130" s="27" t="s">
        <v>565</v>
      </c>
      <c r="F130" s="29" t="s">
        <v>62</v>
      </c>
      <c r="G130" s="20" t="s">
        <v>68</v>
      </c>
      <c r="H130" s="36" t="s">
        <v>566</v>
      </c>
      <c r="I130" s="37">
        <v>43643</v>
      </c>
      <c r="J130" s="37">
        <v>43651</v>
      </c>
      <c r="K130" s="22" t="s">
        <v>35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549</v>
      </c>
    </row>
    <row r="131" spans="1:20" ht="23.25" customHeight="1">
      <c r="A131" s="21" t="s">
        <v>567</v>
      </c>
      <c r="B131" s="24">
        <v>2019</v>
      </c>
      <c r="C131" s="90" t="s">
        <v>21</v>
      </c>
      <c r="D131" s="24" t="s">
        <v>568</v>
      </c>
      <c r="E131" s="30" t="s">
        <v>569</v>
      </c>
      <c r="F131" s="31" t="s">
        <v>23</v>
      </c>
      <c r="G131" s="21" t="s">
        <v>24</v>
      </c>
      <c r="H131" s="38" t="s">
        <v>570</v>
      </c>
      <c r="I131" s="39">
        <v>43647</v>
      </c>
      <c r="J131" s="39">
        <v>43654</v>
      </c>
      <c r="K131" s="24" t="s">
        <v>35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571</v>
      </c>
    </row>
    <row r="132" spans="1:20" ht="23.25" customHeight="1">
      <c r="A132" s="20" t="s">
        <v>572</v>
      </c>
      <c r="B132" s="22">
        <v>2019</v>
      </c>
      <c r="C132" s="90" t="s">
        <v>21</v>
      </c>
      <c r="D132" s="22" t="s">
        <v>573</v>
      </c>
      <c r="E132" s="27" t="s">
        <v>574</v>
      </c>
      <c r="F132" s="29" t="s">
        <v>62</v>
      </c>
      <c r="G132" s="20" t="s">
        <v>68</v>
      </c>
      <c r="H132" s="36" t="s">
        <v>575</v>
      </c>
      <c r="I132" s="37">
        <v>43654</v>
      </c>
      <c r="J132" s="37">
        <v>43657</v>
      </c>
      <c r="K132" s="22" t="s">
        <v>35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464</v>
      </c>
    </row>
    <row r="133" spans="1:20" ht="23.25" customHeight="1">
      <c r="A133" s="21" t="s">
        <v>576</v>
      </c>
      <c r="B133" s="24">
        <v>2019</v>
      </c>
      <c r="C133" s="90" t="s">
        <v>21</v>
      </c>
      <c r="D133" s="24" t="s">
        <v>577</v>
      </c>
      <c r="E133" s="30" t="s">
        <v>578</v>
      </c>
      <c r="F133" s="31" t="s">
        <v>23</v>
      </c>
      <c r="G133" s="21" t="s">
        <v>24</v>
      </c>
      <c r="H133" s="38" t="s">
        <v>579</v>
      </c>
      <c r="I133" s="39">
        <v>43658</v>
      </c>
      <c r="J133" s="39">
        <v>43661</v>
      </c>
      <c r="K133" s="24" t="s">
        <v>35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580</v>
      </c>
    </row>
    <row r="134" spans="1:20" ht="23.25" customHeight="1">
      <c r="A134" s="20" t="s">
        <v>581</v>
      </c>
      <c r="B134" s="22">
        <v>2019</v>
      </c>
      <c r="C134" s="90" t="s">
        <v>21</v>
      </c>
      <c r="D134" s="22" t="s">
        <v>577</v>
      </c>
      <c r="E134" s="27" t="s">
        <v>582</v>
      </c>
      <c r="F134" s="29" t="s">
        <v>23</v>
      </c>
      <c r="G134" s="20" t="s">
        <v>24</v>
      </c>
      <c r="H134" s="36" t="s">
        <v>583</v>
      </c>
      <c r="I134" s="37">
        <v>43678</v>
      </c>
      <c r="J134" s="37">
        <v>43683</v>
      </c>
      <c r="K134" s="22" t="s">
        <v>35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584</v>
      </c>
    </row>
    <row r="135" spans="1:20" ht="23.25" customHeight="1">
      <c r="A135" s="21" t="s">
        <v>585</v>
      </c>
      <c r="B135" s="24">
        <v>2019</v>
      </c>
      <c r="C135" s="90" t="s">
        <v>21</v>
      </c>
      <c r="D135" s="24" t="s">
        <v>568</v>
      </c>
      <c r="E135" s="30" t="s">
        <v>586</v>
      </c>
      <c r="F135" s="31" t="s">
        <v>23</v>
      </c>
      <c r="G135" s="21" t="s">
        <v>24</v>
      </c>
      <c r="H135" s="38" t="s">
        <v>587</v>
      </c>
      <c r="I135" s="39">
        <v>43690</v>
      </c>
      <c r="J135" s="39">
        <v>43697</v>
      </c>
      <c r="K135" s="24" t="s">
        <v>35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571</v>
      </c>
    </row>
    <row r="136" spans="1:20" ht="23.25" customHeight="1">
      <c r="A136" s="20" t="s">
        <v>588</v>
      </c>
      <c r="B136" s="22">
        <v>2019</v>
      </c>
      <c r="C136" s="90" t="s">
        <v>21</v>
      </c>
      <c r="D136" s="22" t="s">
        <v>589</v>
      </c>
      <c r="E136" s="27" t="s">
        <v>590</v>
      </c>
      <c r="F136" s="29" t="s">
        <v>62</v>
      </c>
      <c r="G136" s="20" t="s">
        <v>72</v>
      </c>
      <c r="H136" s="36" t="s">
        <v>591</v>
      </c>
      <c r="I136" s="37">
        <v>43696</v>
      </c>
      <c r="J136" s="37">
        <v>43698</v>
      </c>
      <c r="K136" s="22" t="s">
        <v>35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592</v>
      </c>
    </row>
    <row r="137" spans="1:20" ht="23.25" customHeight="1">
      <c r="A137" s="21" t="s">
        <v>593</v>
      </c>
      <c r="B137" s="24">
        <v>2019</v>
      </c>
      <c r="C137" s="90" t="s">
        <v>21</v>
      </c>
      <c r="D137" s="24" t="s">
        <v>573</v>
      </c>
      <c r="E137" s="30" t="s">
        <v>594</v>
      </c>
      <c r="F137" s="31" t="s">
        <v>62</v>
      </c>
      <c r="G137" s="21" t="s">
        <v>68</v>
      </c>
      <c r="H137" s="38" t="s">
        <v>595</v>
      </c>
      <c r="I137" s="39">
        <v>43703</v>
      </c>
      <c r="J137" s="39">
        <v>43706</v>
      </c>
      <c r="K137" s="24" t="s">
        <v>35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464</v>
      </c>
    </row>
    <row r="138" spans="1:20" ht="23.25" customHeight="1">
      <c r="A138" s="20" t="s">
        <v>596</v>
      </c>
      <c r="B138" s="22">
        <v>2019</v>
      </c>
      <c r="C138" s="90" t="s">
        <v>21</v>
      </c>
      <c r="D138" s="22" t="s">
        <v>597</v>
      </c>
      <c r="E138" s="27" t="s">
        <v>598</v>
      </c>
      <c r="F138" s="29" t="s">
        <v>23</v>
      </c>
      <c r="G138" s="20" t="s">
        <v>199</v>
      </c>
      <c r="H138" s="36" t="s">
        <v>599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600</v>
      </c>
    </row>
    <row r="139" spans="1:20" ht="23.25" customHeight="1">
      <c r="A139" s="21" t="s">
        <v>601</v>
      </c>
      <c r="B139" s="24">
        <v>2019</v>
      </c>
      <c r="C139" s="90" t="s">
        <v>21</v>
      </c>
      <c r="D139" s="24" t="s">
        <v>506</v>
      </c>
      <c r="E139" s="30" t="s">
        <v>602</v>
      </c>
      <c r="F139" s="31" t="s">
        <v>23</v>
      </c>
      <c r="G139" s="21" t="s">
        <v>364</v>
      </c>
      <c r="H139" s="38" t="s">
        <v>603</v>
      </c>
      <c r="I139" s="39">
        <v>43710</v>
      </c>
      <c r="J139" s="39">
        <v>43717</v>
      </c>
      <c r="K139" s="24" t="s">
        <v>35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509</v>
      </c>
    </row>
    <row r="140" spans="1:20" ht="23.25" customHeight="1">
      <c r="A140" s="20" t="s">
        <v>604</v>
      </c>
      <c r="B140" s="22">
        <v>2019</v>
      </c>
      <c r="C140" s="90" t="s">
        <v>21</v>
      </c>
      <c r="D140" s="22" t="s">
        <v>516</v>
      </c>
      <c r="E140" s="27" t="s">
        <v>605</v>
      </c>
      <c r="F140" s="29" t="s">
        <v>23</v>
      </c>
      <c r="G140" s="20" t="s">
        <v>364</v>
      </c>
      <c r="H140" s="36" t="s">
        <v>606</v>
      </c>
      <c r="I140" s="37">
        <v>43719</v>
      </c>
      <c r="J140" s="37">
        <v>43728</v>
      </c>
      <c r="K140" s="22" t="s">
        <v>35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607</v>
      </c>
    </row>
    <row r="141" spans="1:20" ht="23.25" customHeight="1">
      <c r="A141" s="21" t="s">
        <v>608</v>
      </c>
      <c r="B141" s="24">
        <v>2019</v>
      </c>
      <c r="C141" s="90" t="s">
        <v>21</v>
      </c>
      <c r="D141" s="24" t="s">
        <v>609</v>
      </c>
      <c r="E141" s="30" t="s">
        <v>610</v>
      </c>
      <c r="F141" s="31" t="s">
        <v>23</v>
      </c>
      <c r="G141" s="21" t="s">
        <v>199</v>
      </c>
      <c r="H141" s="38" t="s">
        <v>611</v>
      </c>
      <c r="I141" s="39">
        <v>43719</v>
      </c>
      <c r="J141" s="39">
        <v>43747</v>
      </c>
      <c r="K141" s="24" t="s">
        <v>35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612</v>
      </c>
    </row>
    <row r="142" spans="1:20" ht="23.25" customHeight="1">
      <c r="A142" s="20" t="s">
        <v>613</v>
      </c>
      <c r="B142" s="22">
        <v>2019</v>
      </c>
      <c r="C142" s="90" t="s">
        <v>21</v>
      </c>
      <c r="D142" s="22" t="s">
        <v>614</v>
      </c>
      <c r="E142" s="27" t="s">
        <v>615</v>
      </c>
      <c r="F142" s="29" t="s">
        <v>23</v>
      </c>
      <c r="G142" s="20" t="s">
        <v>82</v>
      </c>
      <c r="H142" s="36" t="s">
        <v>616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617</v>
      </c>
    </row>
    <row r="143" spans="1:20" ht="23.25" customHeight="1">
      <c r="A143" s="21" t="s">
        <v>618</v>
      </c>
      <c r="B143" s="24">
        <v>2019</v>
      </c>
      <c r="C143" s="90" t="s">
        <v>21</v>
      </c>
      <c r="D143" s="24" t="s">
        <v>546</v>
      </c>
      <c r="E143" s="30" t="s">
        <v>619</v>
      </c>
      <c r="F143" s="31" t="s">
        <v>23</v>
      </c>
      <c r="G143" s="21" t="s">
        <v>68</v>
      </c>
      <c r="H143" s="38" t="s">
        <v>620</v>
      </c>
      <c r="I143" s="39">
        <v>43726</v>
      </c>
      <c r="J143" s="39">
        <v>43731</v>
      </c>
      <c r="K143" s="24" t="s">
        <v>35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549</v>
      </c>
    </row>
    <row r="144" spans="1:20" ht="23.25" customHeight="1">
      <c r="A144" s="20" t="s">
        <v>621</v>
      </c>
      <c r="B144" s="22">
        <v>2019</v>
      </c>
      <c r="C144" s="90" t="s">
        <v>21</v>
      </c>
      <c r="D144" s="22" t="s">
        <v>622</v>
      </c>
      <c r="E144" s="27" t="s">
        <v>623</v>
      </c>
      <c r="F144" s="29" t="s">
        <v>23</v>
      </c>
      <c r="G144" s="20" t="s">
        <v>68</v>
      </c>
      <c r="H144" s="36" t="s">
        <v>624</v>
      </c>
      <c r="I144" s="37">
        <v>43731</v>
      </c>
      <c r="J144" s="37">
        <v>43735</v>
      </c>
      <c r="K144" s="22" t="s">
        <v>35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74</v>
      </c>
    </row>
    <row r="145" spans="1:20" ht="23.25" customHeight="1">
      <c r="A145" s="21" t="s">
        <v>625</v>
      </c>
      <c r="B145" s="24">
        <v>2019</v>
      </c>
      <c r="C145" s="90" t="s">
        <v>21</v>
      </c>
      <c r="D145" s="24" t="s">
        <v>626</v>
      </c>
      <c r="E145" s="30" t="s">
        <v>627</v>
      </c>
      <c r="F145" s="31" t="s">
        <v>23</v>
      </c>
      <c r="G145" s="21" t="s">
        <v>199</v>
      </c>
      <c r="H145" s="38" t="s">
        <v>628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629</v>
      </c>
    </row>
    <row r="146" spans="1:20" ht="23.25" customHeight="1">
      <c r="A146" s="20" t="s">
        <v>630</v>
      </c>
      <c r="B146" s="22">
        <v>2019</v>
      </c>
      <c r="C146" s="90" t="s">
        <v>21</v>
      </c>
      <c r="D146" s="22" t="s">
        <v>573</v>
      </c>
      <c r="E146" s="27" t="s">
        <v>631</v>
      </c>
      <c r="F146" s="29" t="s">
        <v>62</v>
      </c>
      <c r="G146" s="20" t="s">
        <v>68</v>
      </c>
      <c r="H146" s="36" t="s">
        <v>632</v>
      </c>
      <c r="I146" s="37">
        <v>43745</v>
      </c>
      <c r="J146" s="37">
        <v>43748</v>
      </c>
      <c r="K146" s="22" t="s">
        <v>35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464</v>
      </c>
    </row>
    <row r="147" spans="1:20" ht="23.25" customHeight="1">
      <c r="A147" s="21" t="s">
        <v>633</v>
      </c>
      <c r="B147" s="24">
        <v>2019</v>
      </c>
      <c r="C147" s="90" t="s">
        <v>21</v>
      </c>
      <c r="D147" s="24"/>
      <c r="E147" s="30" t="s">
        <v>634</v>
      </c>
      <c r="F147" s="31" t="s">
        <v>23</v>
      </c>
      <c r="G147" s="21" t="s">
        <v>68</v>
      </c>
      <c r="H147" s="38" t="s">
        <v>635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636</v>
      </c>
    </row>
    <row r="148" spans="1:20" ht="23.25" customHeight="1">
      <c r="A148" s="20" t="s">
        <v>637</v>
      </c>
      <c r="B148" s="22">
        <v>2019</v>
      </c>
      <c r="C148" s="90" t="s">
        <v>21</v>
      </c>
      <c r="D148" s="22" t="s">
        <v>638</v>
      </c>
      <c r="E148" s="27" t="s">
        <v>639</v>
      </c>
      <c r="F148" s="29" t="s">
        <v>23</v>
      </c>
      <c r="G148" s="20" t="s">
        <v>33</v>
      </c>
      <c r="H148" s="36" t="s">
        <v>640</v>
      </c>
      <c r="I148" s="37">
        <v>43752</v>
      </c>
      <c r="J148" s="37">
        <v>43756</v>
      </c>
      <c r="K148" s="22" t="s">
        <v>35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641</v>
      </c>
    </row>
    <row r="149" spans="1:20" ht="23.25" customHeight="1">
      <c r="A149" s="21" t="s">
        <v>642</v>
      </c>
      <c r="B149" s="24">
        <v>2019</v>
      </c>
      <c r="C149" s="90" t="s">
        <v>21</v>
      </c>
      <c r="D149" s="24" t="s">
        <v>526</v>
      </c>
      <c r="E149" s="30" t="s">
        <v>643</v>
      </c>
      <c r="F149" s="31" t="s">
        <v>62</v>
      </c>
      <c r="G149" s="21" t="s">
        <v>72</v>
      </c>
      <c r="H149" s="38" t="s">
        <v>644</v>
      </c>
      <c r="I149" s="39">
        <v>43767</v>
      </c>
      <c r="J149" s="39">
        <v>43767</v>
      </c>
      <c r="K149" s="24" t="s">
        <v>35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645</v>
      </c>
    </row>
    <row r="150" spans="1:20" ht="23.25" customHeight="1">
      <c r="A150" s="20" t="s">
        <v>646</v>
      </c>
      <c r="B150" s="22">
        <v>2019</v>
      </c>
      <c r="C150" s="90" t="s">
        <v>21</v>
      </c>
      <c r="D150" s="22" t="s">
        <v>526</v>
      </c>
      <c r="E150" s="27" t="s">
        <v>647</v>
      </c>
      <c r="F150" s="29" t="s">
        <v>62</v>
      </c>
      <c r="G150" s="20" t="s">
        <v>72</v>
      </c>
      <c r="H150" s="36" t="s">
        <v>648</v>
      </c>
      <c r="I150" s="37">
        <v>43774</v>
      </c>
      <c r="J150" s="37">
        <v>43774</v>
      </c>
      <c r="K150" s="22" t="s">
        <v>35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645</v>
      </c>
    </row>
    <row r="151" spans="1:20" ht="23.25" customHeight="1">
      <c r="A151" s="21" t="s">
        <v>649</v>
      </c>
      <c r="B151" s="24">
        <v>2019</v>
      </c>
      <c r="C151" s="90" t="s">
        <v>21</v>
      </c>
      <c r="D151" s="24" t="s">
        <v>568</v>
      </c>
      <c r="E151" s="30" t="s">
        <v>650</v>
      </c>
      <c r="F151" s="31" t="s">
        <v>62</v>
      </c>
      <c r="G151" s="21" t="s">
        <v>24</v>
      </c>
      <c r="H151" s="38" t="s">
        <v>651</v>
      </c>
      <c r="I151" s="39">
        <v>43774</v>
      </c>
      <c r="J151" s="39">
        <v>43788</v>
      </c>
      <c r="K151" s="24" t="s">
        <v>35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571</v>
      </c>
    </row>
    <row r="152" spans="1:20" ht="23.25" customHeight="1">
      <c r="A152" s="20" t="s">
        <v>652</v>
      </c>
      <c r="B152" s="22">
        <v>2019</v>
      </c>
      <c r="C152" s="90" t="s">
        <v>21</v>
      </c>
      <c r="D152" s="22" t="s">
        <v>638</v>
      </c>
      <c r="E152" s="27" t="s">
        <v>653</v>
      </c>
      <c r="F152" s="29" t="s">
        <v>23</v>
      </c>
      <c r="G152" s="20" t="s">
        <v>33</v>
      </c>
      <c r="H152" s="36" t="s">
        <v>654</v>
      </c>
      <c r="I152" s="37">
        <v>43787</v>
      </c>
      <c r="J152" s="37">
        <v>43791</v>
      </c>
      <c r="K152" s="22" t="s">
        <v>35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641</v>
      </c>
    </row>
    <row r="153" spans="1:20" ht="23.25" customHeight="1">
      <c r="A153" s="21" t="s">
        <v>655</v>
      </c>
      <c r="B153" s="24">
        <v>2019</v>
      </c>
      <c r="C153" s="90" t="s">
        <v>21</v>
      </c>
      <c r="D153" s="24" t="s">
        <v>656</v>
      </c>
      <c r="E153" s="30" t="s">
        <v>657</v>
      </c>
      <c r="F153" s="31" t="s">
        <v>23</v>
      </c>
      <c r="G153" s="21" t="s">
        <v>68</v>
      </c>
      <c r="H153" s="38" t="s">
        <v>658</v>
      </c>
      <c r="I153" s="39">
        <v>43788</v>
      </c>
      <c r="J153" s="39">
        <v>43798</v>
      </c>
      <c r="K153" s="24" t="s">
        <v>35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659</v>
      </c>
    </row>
    <row r="154" spans="1:20" ht="23.25" customHeight="1">
      <c r="A154" s="20" t="s">
        <v>660</v>
      </c>
      <c r="B154" s="22">
        <v>2019</v>
      </c>
      <c r="C154" s="90" t="s">
        <v>21</v>
      </c>
      <c r="D154" s="22" t="s">
        <v>661</v>
      </c>
      <c r="E154" s="27" t="s">
        <v>662</v>
      </c>
      <c r="F154" s="29" t="s">
        <v>23</v>
      </c>
      <c r="G154" s="20" t="s">
        <v>199</v>
      </c>
      <c r="H154" s="36" t="s">
        <v>663</v>
      </c>
      <c r="I154" s="37">
        <v>43795</v>
      </c>
      <c r="J154" s="37">
        <v>43795</v>
      </c>
      <c r="K154" s="22" t="s">
        <v>35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664</v>
      </c>
    </row>
    <row r="155" spans="1:20" ht="23.25" customHeight="1">
      <c r="A155" s="21" t="s">
        <v>665</v>
      </c>
      <c r="B155" s="24">
        <v>2019</v>
      </c>
      <c r="C155" s="90" t="s">
        <v>21</v>
      </c>
      <c r="D155" s="24" t="s">
        <v>656</v>
      </c>
      <c r="E155" s="30" t="s">
        <v>666</v>
      </c>
      <c r="F155" s="31" t="s">
        <v>23</v>
      </c>
      <c r="G155" s="21" t="s">
        <v>68</v>
      </c>
      <c r="H155" s="38" t="s">
        <v>667</v>
      </c>
      <c r="I155" s="39">
        <v>43801</v>
      </c>
      <c r="J155" s="39">
        <v>43811</v>
      </c>
      <c r="K155" s="24" t="s">
        <v>35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659</v>
      </c>
    </row>
    <row r="156" spans="1:20" ht="23.25" customHeight="1">
      <c r="A156" s="20" t="s">
        <v>668</v>
      </c>
      <c r="B156" s="22">
        <v>2020</v>
      </c>
      <c r="C156" s="90" t="s">
        <v>21</v>
      </c>
      <c r="D156" s="22" t="s">
        <v>669</v>
      </c>
      <c r="E156" s="27" t="s">
        <v>670</v>
      </c>
      <c r="F156" s="29" t="s">
        <v>23</v>
      </c>
      <c r="G156" s="20" t="s">
        <v>38</v>
      </c>
      <c r="H156" s="36" t="s">
        <v>671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672</v>
      </c>
    </row>
    <row r="157" spans="1:20" ht="23.25" customHeight="1">
      <c r="A157" s="21" t="s">
        <v>673</v>
      </c>
      <c r="B157" s="24">
        <v>2020</v>
      </c>
      <c r="C157" s="90" t="s">
        <v>21</v>
      </c>
      <c r="D157" s="24" t="s">
        <v>674</v>
      </c>
      <c r="E157" s="30" t="s">
        <v>675</v>
      </c>
      <c r="F157" s="31" t="s">
        <v>23</v>
      </c>
      <c r="G157" s="21" t="s">
        <v>33</v>
      </c>
      <c r="H157" s="38" t="s">
        <v>676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677</v>
      </c>
    </row>
    <row r="158" spans="1:20" ht="23.25" customHeight="1">
      <c r="A158" s="20" t="s">
        <v>678</v>
      </c>
      <c r="B158" s="22">
        <v>2020</v>
      </c>
      <c r="C158" s="90" t="s">
        <v>21</v>
      </c>
      <c r="D158" s="22" t="s">
        <v>679</v>
      </c>
      <c r="E158" s="27" t="s">
        <v>680</v>
      </c>
      <c r="F158" s="29" t="s">
        <v>23</v>
      </c>
      <c r="G158" s="20" t="s">
        <v>38</v>
      </c>
      <c r="H158" s="36" t="s">
        <v>681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682</v>
      </c>
    </row>
    <row r="159" spans="1:20" ht="23.25" customHeight="1">
      <c r="A159" s="21" t="s">
        <v>683</v>
      </c>
      <c r="B159" s="24">
        <v>2020</v>
      </c>
      <c r="C159" s="90" t="s">
        <v>21</v>
      </c>
      <c r="D159" s="24" t="s">
        <v>684</v>
      </c>
      <c r="E159" s="30" t="s">
        <v>685</v>
      </c>
      <c r="F159" s="31" t="s">
        <v>23</v>
      </c>
      <c r="G159" s="21" t="s">
        <v>24</v>
      </c>
      <c r="H159" s="38" t="s">
        <v>686</v>
      </c>
      <c r="I159" s="39">
        <v>43894</v>
      </c>
      <c r="J159" s="39">
        <v>43895</v>
      </c>
      <c r="K159" s="24" t="s">
        <v>35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472</v>
      </c>
    </row>
    <row r="160" spans="1:20" ht="23.25" customHeight="1">
      <c r="A160" s="20" t="s">
        <v>687</v>
      </c>
      <c r="B160" s="22">
        <v>2020</v>
      </c>
      <c r="C160" s="90" t="s">
        <v>21</v>
      </c>
      <c r="D160" s="22" t="s">
        <v>674</v>
      </c>
      <c r="E160" s="27" t="s">
        <v>688</v>
      </c>
      <c r="F160" s="29" t="s">
        <v>23</v>
      </c>
      <c r="G160" s="20" t="s">
        <v>33</v>
      </c>
      <c r="H160" s="36" t="s">
        <v>689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677</v>
      </c>
    </row>
    <row r="161" spans="1:20" ht="23.25" customHeight="1">
      <c r="A161" s="21" t="s">
        <v>690</v>
      </c>
      <c r="B161" s="24">
        <v>2020</v>
      </c>
      <c r="C161" s="90" t="s">
        <v>21</v>
      </c>
      <c r="D161" s="24" t="s">
        <v>691</v>
      </c>
      <c r="E161" s="30" t="s">
        <v>692</v>
      </c>
      <c r="F161" s="31" t="s">
        <v>23</v>
      </c>
      <c r="G161" s="21" t="s">
        <v>68</v>
      </c>
      <c r="H161" s="38" t="s">
        <v>693</v>
      </c>
      <c r="I161" s="39">
        <v>43927</v>
      </c>
      <c r="J161" s="39">
        <v>43943</v>
      </c>
      <c r="K161" s="24" t="s">
        <v>35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694</v>
      </c>
    </row>
    <row r="162" spans="1:20" ht="23.25" customHeight="1">
      <c r="A162" s="20" t="s">
        <v>695</v>
      </c>
      <c r="B162" s="22">
        <v>2020</v>
      </c>
      <c r="C162" s="90" t="s">
        <v>21</v>
      </c>
      <c r="D162" s="22" t="s">
        <v>696</v>
      </c>
      <c r="E162" s="27" t="s">
        <v>697</v>
      </c>
      <c r="F162" s="29" t="s">
        <v>23</v>
      </c>
      <c r="G162" s="20" t="s">
        <v>33</v>
      </c>
      <c r="H162" s="36" t="s">
        <v>698</v>
      </c>
      <c r="I162" s="37">
        <v>43941</v>
      </c>
      <c r="J162" s="37">
        <v>43945</v>
      </c>
      <c r="K162" s="22" t="s">
        <v>35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211</v>
      </c>
    </row>
    <row r="163" spans="1:20" ht="23.25" customHeight="1">
      <c r="A163" s="21" t="s">
        <v>699</v>
      </c>
      <c r="B163" s="24">
        <v>2020</v>
      </c>
      <c r="C163" s="90" t="s">
        <v>21</v>
      </c>
      <c r="D163" s="24" t="s">
        <v>700</v>
      </c>
      <c r="E163" s="30" t="s">
        <v>701</v>
      </c>
      <c r="F163" s="31" t="s">
        <v>23</v>
      </c>
      <c r="G163" s="21" t="s">
        <v>199</v>
      </c>
      <c r="H163" s="38" t="s">
        <v>702</v>
      </c>
      <c r="I163" s="39">
        <v>43966</v>
      </c>
      <c r="J163" s="39">
        <v>43966</v>
      </c>
      <c r="K163" s="24" t="s">
        <v>35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612</v>
      </c>
    </row>
    <row r="164" spans="1:20" ht="23.25" customHeight="1">
      <c r="A164" s="20" t="s">
        <v>703</v>
      </c>
      <c r="B164" s="22">
        <v>2020</v>
      </c>
      <c r="C164" s="90" t="s">
        <v>21</v>
      </c>
      <c r="D164" s="22" t="s">
        <v>704</v>
      </c>
      <c r="E164" s="27" t="s">
        <v>705</v>
      </c>
      <c r="F164" s="29" t="s">
        <v>23</v>
      </c>
      <c r="G164" s="20" t="s">
        <v>33</v>
      </c>
      <c r="H164" s="36" t="s">
        <v>706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677</v>
      </c>
    </row>
    <row r="165" spans="1:20" ht="23.25" customHeight="1">
      <c r="A165" s="21" t="s">
        <v>707</v>
      </c>
      <c r="B165" s="24">
        <v>2020</v>
      </c>
      <c r="C165" s="90" t="s">
        <v>21</v>
      </c>
      <c r="D165" s="24" t="s">
        <v>700</v>
      </c>
      <c r="E165" s="30" t="s">
        <v>708</v>
      </c>
      <c r="F165" s="31" t="s">
        <v>23</v>
      </c>
      <c r="G165" s="21" t="s">
        <v>199</v>
      </c>
      <c r="H165" s="38" t="s">
        <v>709</v>
      </c>
      <c r="I165" s="39">
        <v>43980</v>
      </c>
      <c r="J165" s="39">
        <v>43980</v>
      </c>
      <c r="K165" s="24" t="s">
        <v>35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710</v>
      </c>
    </row>
    <row r="166" spans="1:20" ht="23.25" customHeight="1">
      <c r="A166" s="20" t="s">
        <v>711</v>
      </c>
      <c r="B166" s="22">
        <v>2020</v>
      </c>
      <c r="C166" s="90" t="s">
        <v>21</v>
      </c>
      <c r="D166" s="22" t="s">
        <v>669</v>
      </c>
      <c r="E166" s="27" t="s">
        <v>712</v>
      </c>
      <c r="F166" s="29" t="s">
        <v>23</v>
      </c>
      <c r="G166" s="20" t="s">
        <v>457</v>
      </c>
      <c r="H166" s="36" t="s">
        <v>713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672</v>
      </c>
    </row>
    <row r="167" spans="1:20" ht="23.25" customHeight="1">
      <c r="A167" s="21" t="s">
        <v>714</v>
      </c>
      <c r="B167" s="24">
        <v>2020</v>
      </c>
      <c r="C167" s="90" t="s">
        <v>21</v>
      </c>
      <c r="D167" s="24" t="s">
        <v>715</v>
      </c>
      <c r="E167" s="30" t="s">
        <v>716</v>
      </c>
      <c r="F167" s="31" t="s">
        <v>23</v>
      </c>
      <c r="G167" s="21" t="s">
        <v>24</v>
      </c>
      <c r="H167" s="38" t="s">
        <v>717</v>
      </c>
      <c r="I167" s="39">
        <v>43990</v>
      </c>
      <c r="J167" s="39">
        <v>43994</v>
      </c>
      <c r="K167" s="24" t="s">
        <v>35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571</v>
      </c>
    </row>
    <row r="168" spans="1:20" ht="23.25" customHeight="1">
      <c r="A168" s="20" t="s">
        <v>718</v>
      </c>
      <c r="B168" s="22">
        <v>2020</v>
      </c>
      <c r="C168" s="90" t="s">
        <v>21</v>
      </c>
      <c r="D168" s="22" t="s">
        <v>719</v>
      </c>
      <c r="E168" s="27" t="s">
        <v>720</v>
      </c>
      <c r="F168" s="29" t="s">
        <v>23</v>
      </c>
      <c r="G168" s="20" t="s">
        <v>33</v>
      </c>
      <c r="H168" s="36" t="s">
        <v>721</v>
      </c>
      <c r="I168" s="37">
        <v>43997</v>
      </c>
      <c r="J168" s="37">
        <v>44006</v>
      </c>
      <c r="K168" s="22" t="s">
        <v>35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211</v>
      </c>
    </row>
    <row r="169" spans="1:20" ht="23.25" customHeight="1">
      <c r="A169" s="21" t="s">
        <v>722</v>
      </c>
      <c r="B169" s="24">
        <v>2020</v>
      </c>
      <c r="C169" s="90" t="s">
        <v>21</v>
      </c>
      <c r="D169" s="24" t="s">
        <v>723</v>
      </c>
      <c r="E169" s="30" t="s">
        <v>724</v>
      </c>
      <c r="F169" s="31" t="s">
        <v>23</v>
      </c>
      <c r="G169" s="21" t="s">
        <v>68</v>
      </c>
      <c r="H169" s="38" t="s">
        <v>725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726</v>
      </c>
    </row>
    <row r="170" spans="1:20" ht="23.25" customHeight="1">
      <c r="A170" s="20" t="s">
        <v>727</v>
      </c>
      <c r="B170" s="22">
        <v>2020</v>
      </c>
      <c r="C170" s="90" t="s">
        <v>21</v>
      </c>
      <c r="D170" s="22" t="s">
        <v>723</v>
      </c>
      <c r="E170" s="27" t="s">
        <v>728</v>
      </c>
      <c r="F170" s="29" t="s">
        <v>23</v>
      </c>
      <c r="G170" s="20" t="s">
        <v>68</v>
      </c>
      <c r="H170" s="36" t="s">
        <v>729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726</v>
      </c>
    </row>
    <row r="171" spans="1:20" ht="23.25" customHeight="1">
      <c r="A171" s="21" t="s">
        <v>730</v>
      </c>
      <c r="B171" s="24">
        <v>2020</v>
      </c>
      <c r="C171" s="90" t="s">
        <v>21</v>
      </c>
      <c r="D171" s="24" t="s">
        <v>723</v>
      </c>
      <c r="E171" s="30" t="s">
        <v>731</v>
      </c>
      <c r="F171" s="31" t="s">
        <v>23</v>
      </c>
      <c r="G171" s="21" t="s">
        <v>68</v>
      </c>
      <c r="H171" s="38" t="s">
        <v>732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733</v>
      </c>
    </row>
    <row r="172" spans="1:20" ht="23.25" customHeight="1">
      <c r="A172" s="20" t="s">
        <v>734</v>
      </c>
      <c r="B172" s="22">
        <v>2020</v>
      </c>
      <c r="C172" s="90" t="s">
        <v>21</v>
      </c>
      <c r="D172" s="22" t="s">
        <v>723</v>
      </c>
      <c r="E172" s="27" t="s">
        <v>735</v>
      </c>
      <c r="F172" s="29" t="s">
        <v>23</v>
      </c>
      <c r="G172" s="20" t="s">
        <v>68</v>
      </c>
      <c r="H172" s="36" t="s">
        <v>736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737</v>
      </c>
    </row>
    <row r="173" spans="1:20" ht="23.25" customHeight="1">
      <c r="A173" s="21" t="s">
        <v>738</v>
      </c>
      <c r="B173" s="24">
        <v>2020</v>
      </c>
      <c r="C173" s="90" t="s">
        <v>21</v>
      </c>
      <c r="D173" s="24" t="s">
        <v>723</v>
      </c>
      <c r="E173" s="30" t="s">
        <v>739</v>
      </c>
      <c r="F173" s="31" t="s">
        <v>23</v>
      </c>
      <c r="G173" s="21" t="s">
        <v>68</v>
      </c>
      <c r="H173" s="38" t="s">
        <v>740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741</v>
      </c>
    </row>
    <row r="174" spans="1:20" ht="23.25" customHeight="1">
      <c r="A174" s="20" t="s">
        <v>742</v>
      </c>
      <c r="B174" s="22">
        <v>2020</v>
      </c>
      <c r="C174" s="90" t="s">
        <v>21</v>
      </c>
      <c r="D174" s="22" t="s">
        <v>743</v>
      </c>
      <c r="E174" s="27" t="s">
        <v>744</v>
      </c>
      <c r="F174" s="29" t="s">
        <v>23</v>
      </c>
      <c r="G174" s="20" t="s">
        <v>68</v>
      </c>
      <c r="H174" s="36" t="s">
        <v>745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746</v>
      </c>
    </row>
    <row r="175" spans="1:20" ht="23.25" customHeight="1">
      <c r="A175" s="21" t="s">
        <v>747</v>
      </c>
      <c r="B175" s="24">
        <v>2020</v>
      </c>
      <c r="C175" s="90" t="s">
        <v>21</v>
      </c>
      <c r="D175" s="24" t="s">
        <v>748</v>
      </c>
      <c r="E175" s="30" t="s">
        <v>749</v>
      </c>
      <c r="F175" s="31" t="s">
        <v>23</v>
      </c>
      <c r="G175" s="21" t="s">
        <v>38</v>
      </c>
      <c r="H175" s="38" t="s">
        <v>750</v>
      </c>
      <c r="I175" s="39">
        <v>44102</v>
      </c>
      <c r="J175" s="39">
        <v>44112</v>
      </c>
      <c r="K175" s="24" t="s">
        <v>35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74</v>
      </c>
    </row>
    <row r="176" spans="1:20" ht="23.25" customHeight="1">
      <c r="A176" s="20" t="s">
        <v>751</v>
      </c>
      <c r="B176" s="22">
        <v>2020</v>
      </c>
      <c r="C176" s="90" t="s">
        <v>21</v>
      </c>
      <c r="D176" s="22" t="s">
        <v>752</v>
      </c>
      <c r="E176" s="27" t="s">
        <v>753</v>
      </c>
      <c r="F176" s="29" t="s">
        <v>81</v>
      </c>
      <c r="G176" s="20" t="s">
        <v>68</v>
      </c>
      <c r="H176" s="36" t="s">
        <v>754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472</v>
      </c>
    </row>
    <row r="177" spans="1:20" ht="23.25" customHeight="1">
      <c r="A177" s="21" t="s">
        <v>755</v>
      </c>
      <c r="B177" s="24">
        <v>2021</v>
      </c>
      <c r="C177" s="90" t="s">
        <v>21</v>
      </c>
      <c r="D177" s="24" t="s">
        <v>756</v>
      </c>
      <c r="E177" s="30" t="s">
        <v>757</v>
      </c>
      <c r="F177" s="31" t="s">
        <v>225</v>
      </c>
      <c r="G177" s="21" t="s">
        <v>24</v>
      </c>
      <c r="H177" s="38" t="s">
        <v>758</v>
      </c>
      <c r="I177" s="39">
        <v>44229</v>
      </c>
      <c r="J177" s="39">
        <v>44229</v>
      </c>
      <c r="K177" s="24" t="s">
        <v>35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759</v>
      </c>
    </row>
    <row r="178" spans="1:20" ht="23.25" customHeight="1">
      <c r="A178" s="20" t="s">
        <v>760</v>
      </c>
      <c r="B178" s="22">
        <v>2021</v>
      </c>
      <c r="C178" s="90" t="s">
        <v>21</v>
      </c>
      <c r="D178" s="22" t="s">
        <v>756</v>
      </c>
      <c r="E178" s="27" t="s">
        <v>761</v>
      </c>
      <c r="F178" s="29" t="s">
        <v>225</v>
      </c>
      <c r="G178" s="20" t="s">
        <v>24</v>
      </c>
      <c r="H178" s="36" t="s">
        <v>762</v>
      </c>
      <c r="I178" s="37">
        <v>44236</v>
      </c>
      <c r="J178" s="37">
        <v>44236</v>
      </c>
      <c r="K178" s="22" t="s">
        <v>35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759</v>
      </c>
    </row>
    <row r="179" spans="1:20" ht="23.25" customHeight="1">
      <c r="A179" s="21" t="s">
        <v>763</v>
      </c>
      <c r="B179" s="24">
        <v>2021</v>
      </c>
      <c r="C179" s="90" t="s">
        <v>21</v>
      </c>
      <c r="D179" s="24" t="s">
        <v>756</v>
      </c>
      <c r="E179" s="30" t="s">
        <v>764</v>
      </c>
      <c r="F179" s="31" t="s">
        <v>225</v>
      </c>
      <c r="G179" s="21" t="s">
        <v>24</v>
      </c>
      <c r="H179" s="38" t="s">
        <v>765</v>
      </c>
      <c r="I179" s="39">
        <v>44250</v>
      </c>
      <c r="J179" s="39">
        <v>44250</v>
      </c>
      <c r="K179" s="24" t="s">
        <v>35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766</v>
      </c>
    </row>
    <row r="180" spans="1:20" ht="23.25" customHeight="1">
      <c r="A180" s="20" t="s">
        <v>767</v>
      </c>
      <c r="B180" s="22">
        <v>2021</v>
      </c>
      <c r="C180" s="90" t="s">
        <v>21</v>
      </c>
      <c r="D180" s="22" t="s">
        <v>756</v>
      </c>
      <c r="E180" s="27" t="s">
        <v>768</v>
      </c>
      <c r="F180" s="29" t="s">
        <v>225</v>
      </c>
      <c r="G180" s="20" t="s">
        <v>24</v>
      </c>
      <c r="H180" s="36" t="s">
        <v>769</v>
      </c>
      <c r="I180" s="37">
        <v>44257</v>
      </c>
      <c r="J180" s="37">
        <v>44257</v>
      </c>
      <c r="K180" s="22" t="s">
        <v>35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759</v>
      </c>
    </row>
    <row r="181" spans="1:20" ht="23.25" customHeight="1">
      <c r="A181" s="21" t="s">
        <v>770</v>
      </c>
      <c r="B181" s="24">
        <v>2021</v>
      </c>
      <c r="C181" s="90" t="s">
        <v>21</v>
      </c>
      <c r="D181" s="24" t="s">
        <v>771</v>
      </c>
      <c r="E181" s="30" t="s">
        <v>772</v>
      </c>
      <c r="F181" s="31" t="s">
        <v>23</v>
      </c>
      <c r="G181" s="21" t="s">
        <v>68</v>
      </c>
      <c r="H181" s="38" t="s">
        <v>773</v>
      </c>
      <c r="I181" s="39">
        <v>44259</v>
      </c>
      <c r="J181" s="39">
        <v>44260</v>
      </c>
      <c r="K181" s="24" t="s">
        <v>35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774</v>
      </c>
    </row>
    <row r="182" spans="1:20" ht="23.25" customHeight="1">
      <c r="A182" s="20" t="s">
        <v>775</v>
      </c>
      <c r="B182" s="22">
        <v>2021</v>
      </c>
      <c r="C182" s="90" t="s">
        <v>21</v>
      </c>
      <c r="D182" s="22" t="s">
        <v>669</v>
      </c>
      <c r="E182" s="27" t="s">
        <v>776</v>
      </c>
      <c r="F182" s="29" t="s">
        <v>23</v>
      </c>
      <c r="G182" s="20" t="s">
        <v>33</v>
      </c>
      <c r="H182" s="36" t="s">
        <v>777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778</v>
      </c>
    </row>
    <row r="183" spans="1:20" ht="23.25" customHeight="1">
      <c r="A183" s="21" t="s">
        <v>779</v>
      </c>
      <c r="B183" s="24">
        <v>2021</v>
      </c>
      <c r="C183" s="90" t="s">
        <v>21</v>
      </c>
      <c r="D183" s="24" t="s">
        <v>780</v>
      </c>
      <c r="E183" s="30" t="s">
        <v>781</v>
      </c>
      <c r="F183" s="31" t="s">
        <v>81</v>
      </c>
      <c r="G183" s="21" t="s">
        <v>72</v>
      </c>
      <c r="H183" s="38" t="s">
        <v>782</v>
      </c>
      <c r="I183" s="39">
        <v>44280</v>
      </c>
      <c r="J183" s="39">
        <v>44280</v>
      </c>
      <c r="K183" s="24" t="s">
        <v>35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93</v>
      </c>
    </row>
    <row r="184" spans="1:20" ht="23.25" customHeight="1">
      <c r="A184" s="20" t="s">
        <v>783</v>
      </c>
      <c r="B184" s="22">
        <v>2021</v>
      </c>
      <c r="C184" s="90" t="s">
        <v>21</v>
      </c>
      <c r="D184" s="22" t="s">
        <v>784</v>
      </c>
      <c r="E184" s="27" t="s">
        <v>785</v>
      </c>
      <c r="F184" s="29" t="s">
        <v>23</v>
      </c>
      <c r="G184" s="20" t="s">
        <v>457</v>
      </c>
      <c r="H184" s="36" t="s">
        <v>786</v>
      </c>
      <c r="I184" s="37">
        <v>44285</v>
      </c>
      <c r="J184" s="37">
        <v>44286</v>
      </c>
      <c r="K184" s="22" t="s">
        <v>35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787</v>
      </c>
    </row>
    <row r="185" spans="1:20" ht="23.25" customHeight="1">
      <c r="A185" s="21" t="s">
        <v>788</v>
      </c>
      <c r="B185" s="24">
        <v>2021</v>
      </c>
      <c r="C185" s="90" t="s">
        <v>21</v>
      </c>
      <c r="D185" s="24" t="s">
        <v>789</v>
      </c>
      <c r="E185" s="30" t="s">
        <v>363</v>
      </c>
      <c r="F185" s="31" t="s">
        <v>23</v>
      </c>
      <c r="G185" s="21" t="s">
        <v>364</v>
      </c>
      <c r="H185" s="38" t="s">
        <v>790</v>
      </c>
      <c r="I185" s="39">
        <v>44298</v>
      </c>
      <c r="J185" s="39">
        <v>44308</v>
      </c>
      <c r="K185" s="24" t="s">
        <v>35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791</v>
      </c>
    </row>
    <row r="186" spans="1:20" ht="23.25" customHeight="1">
      <c r="A186" s="20" t="s">
        <v>792</v>
      </c>
      <c r="B186" s="22">
        <v>2021</v>
      </c>
      <c r="C186" s="90" t="s">
        <v>21</v>
      </c>
      <c r="D186" s="22" t="s">
        <v>793</v>
      </c>
      <c r="E186" s="27" t="s">
        <v>794</v>
      </c>
      <c r="F186" s="29" t="s">
        <v>23</v>
      </c>
      <c r="G186" s="20" t="s">
        <v>199</v>
      </c>
      <c r="H186" s="36" t="s">
        <v>795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796</v>
      </c>
    </row>
    <row r="187" spans="1:20" ht="23.25" customHeight="1">
      <c r="A187" s="21" t="s">
        <v>797</v>
      </c>
      <c r="B187" s="24">
        <v>2021</v>
      </c>
      <c r="C187" s="90" t="s">
        <v>21</v>
      </c>
      <c r="D187" s="24" t="s">
        <v>798</v>
      </c>
      <c r="E187" s="30" t="s">
        <v>799</v>
      </c>
      <c r="F187" s="31" t="s">
        <v>23</v>
      </c>
      <c r="G187" s="21" t="s">
        <v>68</v>
      </c>
      <c r="H187" s="38" t="s">
        <v>800</v>
      </c>
      <c r="I187" s="39">
        <v>44312</v>
      </c>
      <c r="J187" s="39">
        <v>44316</v>
      </c>
      <c r="K187" s="24" t="s">
        <v>35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549</v>
      </c>
    </row>
    <row r="188" spans="1:20" ht="23.25" customHeight="1">
      <c r="A188" s="20" t="s">
        <v>801</v>
      </c>
      <c r="B188" s="22">
        <v>2021</v>
      </c>
      <c r="C188" s="90" t="s">
        <v>21</v>
      </c>
      <c r="D188" s="22" t="s">
        <v>802</v>
      </c>
      <c r="E188" s="27" t="s">
        <v>803</v>
      </c>
      <c r="F188" s="29" t="s">
        <v>62</v>
      </c>
      <c r="G188" s="20" t="s">
        <v>72</v>
      </c>
      <c r="H188" s="36" t="s">
        <v>804</v>
      </c>
      <c r="I188" s="37">
        <v>44313</v>
      </c>
      <c r="J188" s="37">
        <v>44322</v>
      </c>
      <c r="K188" s="22" t="s">
        <v>35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805</v>
      </c>
    </row>
    <row r="189" spans="1:20" ht="23.25" customHeight="1">
      <c r="A189" s="21" t="s">
        <v>806</v>
      </c>
      <c r="B189" s="24">
        <v>2021</v>
      </c>
      <c r="C189" s="90" t="s">
        <v>21</v>
      </c>
      <c r="D189" s="24" t="s">
        <v>807</v>
      </c>
      <c r="E189" s="30" t="s">
        <v>657</v>
      </c>
      <c r="F189" s="31" t="s">
        <v>23</v>
      </c>
      <c r="G189" s="21" t="s">
        <v>68</v>
      </c>
      <c r="H189" s="38" t="s">
        <v>808</v>
      </c>
      <c r="I189" s="39">
        <v>44319</v>
      </c>
      <c r="J189" s="39">
        <v>44344</v>
      </c>
      <c r="K189" s="24" t="s">
        <v>35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809</v>
      </c>
    </row>
    <row r="190" spans="1:20" ht="23.25" customHeight="1">
      <c r="A190" s="20" t="s">
        <v>810</v>
      </c>
      <c r="B190" s="22">
        <v>2021</v>
      </c>
      <c r="C190" s="90" t="s">
        <v>21</v>
      </c>
      <c r="D190" s="22" t="s">
        <v>811</v>
      </c>
      <c r="E190" s="27" t="s">
        <v>812</v>
      </c>
      <c r="F190" s="29" t="s">
        <v>23</v>
      </c>
      <c r="G190" s="20" t="s">
        <v>457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813</v>
      </c>
    </row>
    <row r="191" spans="1:20" ht="23.25" customHeight="1">
      <c r="A191" s="21" t="s">
        <v>814</v>
      </c>
      <c r="B191" s="24">
        <v>2021</v>
      </c>
      <c r="C191" s="90" t="s">
        <v>21</v>
      </c>
      <c r="D191" s="24" t="s">
        <v>815</v>
      </c>
      <c r="E191" s="30" t="s">
        <v>816</v>
      </c>
      <c r="F191" s="31" t="s">
        <v>81</v>
      </c>
      <c r="G191" s="21" t="s">
        <v>72</v>
      </c>
      <c r="H191" s="38" t="s">
        <v>817</v>
      </c>
      <c r="I191" s="39">
        <v>44325</v>
      </c>
      <c r="J191" s="39">
        <v>44325</v>
      </c>
      <c r="K191" s="24" t="s">
        <v>35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818</v>
      </c>
    </row>
    <row r="192" spans="1:20" ht="23.25" customHeight="1">
      <c r="A192" s="20" t="s">
        <v>819</v>
      </c>
      <c r="B192" s="22">
        <v>2021</v>
      </c>
      <c r="C192" s="90" t="s">
        <v>21</v>
      </c>
      <c r="D192" s="22" t="s">
        <v>820</v>
      </c>
      <c r="E192" s="27" t="s">
        <v>821</v>
      </c>
      <c r="F192" s="29" t="s">
        <v>23</v>
      </c>
      <c r="G192" s="20" t="s">
        <v>38</v>
      </c>
      <c r="H192" s="36" t="s">
        <v>822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823</v>
      </c>
    </row>
    <row r="193" spans="1:20" ht="23.25" customHeight="1">
      <c r="A193" s="21" t="s">
        <v>824</v>
      </c>
      <c r="B193" s="24">
        <v>2021</v>
      </c>
      <c r="C193" s="90" t="s">
        <v>21</v>
      </c>
      <c r="D193" s="24" t="s">
        <v>825</v>
      </c>
      <c r="E193" s="30" t="s">
        <v>826</v>
      </c>
      <c r="F193" s="31" t="s">
        <v>23</v>
      </c>
      <c r="G193" s="21" t="s">
        <v>199</v>
      </c>
      <c r="H193" s="38" t="s">
        <v>827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828</v>
      </c>
    </row>
    <row r="194" spans="1:20" ht="23.25" customHeight="1">
      <c r="A194" s="20" t="s">
        <v>829</v>
      </c>
      <c r="B194" s="22">
        <v>2021</v>
      </c>
      <c r="C194" s="90" t="s">
        <v>21</v>
      </c>
      <c r="D194" s="22" t="s">
        <v>811</v>
      </c>
      <c r="E194" s="27" t="s">
        <v>830</v>
      </c>
      <c r="F194" s="29" t="s">
        <v>23</v>
      </c>
      <c r="G194" s="20" t="s">
        <v>38</v>
      </c>
      <c r="H194" s="36" t="s">
        <v>831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813</v>
      </c>
    </row>
    <row r="195" spans="1:20" ht="23.25" customHeight="1">
      <c r="A195" s="21" t="s">
        <v>832</v>
      </c>
      <c r="B195" s="24">
        <v>2021</v>
      </c>
      <c r="C195" s="90" t="s">
        <v>21</v>
      </c>
      <c r="D195" s="24" t="s">
        <v>807</v>
      </c>
      <c r="E195" s="30" t="s">
        <v>666</v>
      </c>
      <c r="F195" s="31" t="s">
        <v>23</v>
      </c>
      <c r="G195" s="21" t="s">
        <v>68</v>
      </c>
      <c r="H195" s="38" t="s">
        <v>833</v>
      </c>
      <c r="I195" s="39">
        <v>44340</v>
      </c>
      <c r="J195" s="39">
        <v>44344</v>
      </c>
      <c r="K195" s="24" t="s">
        <v>35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809</v>
      </c>
    </row>
    <row r="196" spans="1:20" ht="23.25" customHeight="1">
      <c r="A196" s="20" t="s">
        <v>834</v>
      </c>
      <c r="B196" s="22">
        <v>2021</v>
      </c>
      <c r="C196" s="90" t="s">
        <v>21</v>
      </c>
      <c r="D196" s="22" t="s">
        <v>835</v>
      </c>
      <c r="E196" s="27" t="s">
        <v>692</v>
      </c>
      <c r="F196" s="29" t="s">
        <v>23</v>
      </c>
      <c r="G196" s="20" t="s">
        <v>68</v>
      </c>
      <c r="H196" s="36" t="s">
        <v>836</v>
      </c>
      <c r="I196" s="37">
        <v>44341</v>
      </c>
      <c r="J196" s="37">
        <v>44357</v>
      </c>
      <c r="K196" s="22" t="s">
        <v>35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837</v>
      </c>
    </row>
    <row r="197" spans="1:20" ht="23.25" customHeight="1">
      <c r="A197" s="21" t="s">
        <v>838</v>
      </c>
      <c r="B197" s="24">
        <v>2021</v>
      </c>
      <c r="C197" s="90" t="s">
        <v>21</v>
      </c>
      <c r="D197" s="24" t="s">
        <v>839</v>
      </c>
      <c r="E197" s="30" t="s">
        <v>840</v>
      </c>
      <c r="F197" s="31" t="s">
        <v>23</v>
      </c>
      <c r="G197" s="21" t="s">
        <v>38</v>
      </c>
      <c r="H197" s="38" t="s">
        <v>841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842</v>
      </c>
    </row>
    <row r="198" spans="1:20" ht="23.25" customHeight="1">
      <c r="A198" s="20" t="s">
        <v>843</v>
      </c>
      <c r="B198" s="22">
        <v>2021</v>
      </c>
      <c r="C198" s="90" t="s">
        <v>21</v>
      </c>
      <c r="D198" s="22" t="s">
        <v>844</v>
      </c>
      <c r="E198" s="27" t="s">
        <v>845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35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584</v>
      </c>
    </row>
    <row r="199" spans="1:20" ht="23.25" customHeight="1">
      <c r="A199" s="21" t="s">
        <v>846</v>
      </c>
      <c r="B199" s="24">
        <v>2021</v>
      </c>
      <c r="C199" s="90" t="s">
        <v>21</v>
      </c>
      <c r="D199" s="24" t="s">
        <v>847</v>
      </c>
      <c r="E199" s="30" t="s">
        <v>848</v>
      </c>
      <c r="F199" s="31" t="s">
        <v>23</v>
      </c>
      <c r="G199" s="21" t="s">
        <v>199</v>
      </c>
      <c r="H199" s="38" t="s">
        <v>849</v>
      </c>
      <c r="I199" s="39">
        <v>44358</v>
      </c>
      <c r="J199" s="39">
        <v>44358</v>
      </c>
      <c r="K199" s="24" t="s">
        <v>35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850</v>
      </c>
    </row>
    <row r="200" spans="1:20" ht="23.25" customHeight="1">
      <c r="A200" s="20" t="s">
        <v>851</v>
      </c>
      <c r="B200" s="22">
        <v>2021</v>
      </c>
      <c r="C200" s="90" t="s">
        <v>21</v>
      </c>
      <c r="D200" s="22" t="s">
        <v>852</v>
      </c>
      <c r="E200" s="27" t="s">
        <v>853</v>
      </c>
      <c r="F200" s="29" t="s">
        <v>81</v>
      </c>
      <c r="G200" s="20" t="s">
        <v>72</v>
      </c>
      <c r="H200" s="36" t="s">
        <v>854</v>
      </c>
      <c r="I200" s="37">
        <v>44361</v>
      </c>
      <c r="J200" s="37">
        <v>44365</v>
      </c>
      <c r="K200" s="22" t="s">
        <v>35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855</v>
      </c>
    </row>
    <row r="201" spans="1:20" ht="23.25" customHeight="1">
      <c r="A201" s="21" t="s">
        <v>856</v>
      </c>
      <c r="B201" s="24">
        <v>2021</v>
      </c>
      <c r="C201" s="90" t="s">
        <v>21</v>
      </c>
      <c r="D201" s="24" t="s">
        <v>793</v>
      </c>
      <c r="E201" s="30" t="s">
        <v>857</v>
      </c>
      <c r="F201" s="31" t="s">
        <v>23</v>
      </c>
      <c r="G201" s="21" t="s">
        <v>199</v>
      </c>
      <c r="H201" s="38" t="s">
        <v>858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796</v>
      </c>
    </row>
    <row r="202" spans="1:20" ht="23.25" customHeight="1">
      <c r="A202" s="20" t="s">
        <v>859</v>
      </c>
      <c r="B202" s="22">
        <v>2021</v>
      </c>
      <c r="C202" s="90" t="s">
        <v>21</v>
      </c>
      <c r="D202" s="22" t="s">
        <v>860</v>
      </c>
      <c r="E202" s="27" t="s">
        <v>861</v>
      </c>
      <c r="F202" s="29" t="s">
        <v>23</v>
      </c>
      <c r="G202" s="20" t="s">
        <v>38</v>
      </c>
      <c r="H202" s="36" t="s">
        <v>862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863</v>
      </c>
    </row>
    <row r="203" spans="1:20" ht="23.25" customHeight="1">
      <c r="A203" s="21" t="s">
        <v>864</v>
      </c>
      <c r="B203" s="24">
        <v>2021</v>
      </c>
      <c r="C203" s="90" t="s">
        <v>21</v>
      </c>
      <c r="D203" s="24" t="s">
        <v>825</v>
      </c>
      <c r="E203" s="30" t="s">
        <v>865</v>
      </c>
      <c r="F203" s="31" t="s">
        <v>23</v>
      </c>
      <c r="G203" s="21" t="s">
        <v>199</v>
      </c>
      <c r="H203" s="38" t="s">
        <v>866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828</v>
      </c>
    </row>
    <row r="204" spans="1:20" ht="23.25" customHeight="1">
      <c r="A204" s="20" t="s">
        <v>867</v>
      </c>
      <c r="B204" s="22">
        <v>2021</v>
      </c>
      <c r="C204" s="90" t="s">
        <v>21</v>
      </c>
      <c r="D204" s="22" t="s">
        <v>868</v>
      </c>
      <c r="E204" s="27" t="s">
        <v>869</v>
      </c>
      <c r="F204" s="29" t="s">
        <v>81</v>
      </c>
      <c r="G204" s="20" t="s">
        <v>72</v>
      </c>
      <c r="H204" s="36" t="s">
        <v>870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335</v>
      </c>
    </row>
    <row r="205" spans="1:20" ht="23.25" customHeight="1">
      <c r="A205" s="21" t="s">
        <v>871</v>
      </c>
      <c r="B205" s="24">
        <v>2021</v>
      </c>
      <c r="C205" s="90" t="s">
        <v>21</v>
      </c>
      <c r="D205" s="24" t="s">
        <v>847</v>
      </c>
      <c r="E205" s="30" t="s">
        <v>872</v>
      </c>
      <c r="F205" s="31" t="s">
        <v>23</v>
      </c>
      <c r="G205" s="21" t="s">
        <v>199</v>
      </c>
      <c r="H205" s="38" t="s">
        <v>873</v>
      </c>
      <c r="I205" s="39">
        <v>44400</v>
      </c>
      <c r="J205" s="39">
        <v>44400</v>
      </c>
      <c r="K205" s="24" t="s">
        <v>35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850</v>
      </c>
    </row>
    <row r="206" spans="1:20" ht="23.25" customHeight="1">
      <c r="A206" s="20" t="s">
        <v>874</v>
      </c>
      <c r="B206" s="22">
        <v>2021</v>
      </c>
      <c r="C206" s="90" t="s">
        <v>21</v>
      </c>
      <c r="D206" s="22" t="s">
        <v>875</v>
      </c>
      <c r="E206" s="27" t="s">
        <v>876</v>
      </c>
      <c r="F206" s="29" t="s">
        <v>23</v>
      </c>
      <c r="G206" s="20" t="s">
        <v>24</v>
      </c>
      <c r="H206" s="50" t="s">
        <v>877</v>
      </c>
      <c r="I206" s="37">
        <v>44407</v>
      </c>
      <c r="J206" s="37">
        <v>44407</v>
      </c>
      <c r="K206" s="22" t="s">
        <v>35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211</v>
      </c>
    </row>
    <row r="207" spans="1:20" ht="23.25" customHeight="1">
      <c r="A207" s="21" t="s">
        <v>878</v>
      </c>
      <c r="B207" s="24">
        <v>2021</v>
      </c>
      <c r="C207" s="90" t="s">
        <v>21</v>
      </c>
      <c r="D207" s="24" t="s">
        <v>879</v>
      </c>
      <c r="E207" s="30" t="s">
        <v>880</v>
      </c>
      <c r="F207" s="31" t="s">
        <v>23</v>
      </c>
      <c r="G207" s="21" t="s">
        <v>38</v>
      </c>
      <c r="H207" s="38" t="s">
        <v>881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882</v>
      </c>
    </row>
    <row r="208" spans="1:20" ht="23.25" customHeight="1">
      <c r="A208" s="20" t="s">
        <v>883</v>
      </c>
      <c r="B208" s="22">
        <v>2021</v>
      </c>
      <c r="C208" s="90" t="s">
        <v>21</v>
      </c>
      <c r="D208" s="22" t="s">
        <v>852</v>
      </c>
      <c r="E208" s="27" t="s">
        <v>884</v>
      </c>
      <c r="F208" s="29" t="s">
        <v>81</v>
      </c>
      <c r="G208" s="20" t="s">
        <v>72</v>
      </c>
      <c r="H208" s="36" t="s">
        <v>885</v>
      </c>
      <c r="I208" s="37">
        <v>44417</v>
      </c>
      <c r="J208" s="37">
        <v>44421</v>
      </c>
      <c r="K208" s="22" t="s">
        <v>35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855</v>
      </c>
    </row>
    <row r="209" spans="1:20" ht="23.25" customHeight="1">
      <c r="A209" s="21" t="s">
        <v>886</v>
      </c>
      <c r="B209" s="24">
        <v>2021</v>
      </c>
      <c r="C209" s="90" t="s">
        <v>21</v>
      </c>
      <c r="D209" s="24" t="s">
        <v>887</v>
      </c>
      <c r="E209" s="30" t="s">
        <v>888</v>
      </c>
      <c r="F209" s="31" t="s">
        <v>23</v>
      </c>
      <c r="G209" s="21" t="s">
        <v>33</v>
      </c>
      <c r="H209" s="38" t="s">
        <v>889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677</v>
      </c>
    </row>
    <row r="210" spans="1:20" ht="23.25" customHeight="1">
      <c r="A210" s="20" t="s">
        <v>890</v>
      </c>
      <c r="B210" s="22">
        <v>2021</v>
      </c>
      <c r="C210" s="90" t="s">
        <v>21</v>
      </c>
      <c r="D210" s="22" t="s">
        <v>891</v>
      </c>
      <c r="E210" s="27" t="s">
        <v>892</v>
      </c>
      <c r="F210" s="29" t="s">
        <v>23</v>
      </c>
      <c r="G210" s="20" t="s">
        <v>33</v>
      </c>
      <c r="H210" s="36" t="s">
        <v>893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894</v>
      </c>
    </row>
    <row r="211" spans="1:20" ht="23.25" customHeight="1">
      <c r="A211" s="21" t="s">
        <v>895</v>
      </c>
      <c r="B211" s="24">
        <v>2021</v>
      </c>
      <c r="C211" s="90" t="s">
        <v>21</v>
      </c>
      <c r="D211" s="24" t="s">
        <v>896</v>
      </c>
      <c r="E211" s="30" t="s">
        <v>897</v>
      </c>
      <c r="F211" s="31" t="s">
        <v>62</v>
      </c>
      <c r="G211" s="21" t="s">
        <v>72</v>
      </c>
      <c r="H211" s="38" t="s">
        <v>898</v>
      </c>
      <c r="I211" s="39">
        <v>44424</v>
      </c>
      <c r="J211" s="39">
        <v>44427</v>
      </c>
      <c r="K211" s="24" t="s">
        <v>35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414</v>
      </c>
    </row>
    <row r="212" spans="1:20" ht="23.25" customHeight="1">
      <c r="A212" s="20" t="s">
        <v>899</v>
      </c>
      <c r="B212" s="22">
        <v>2021</v>
      </c>
      <c r="C212" s="90" t="s">
        <v>21</v>
      </c>
      <c r="D212" s="22" t="s">
        <v>900</v>
      </c>
      <c r="E212" s="27" t="s">
        <v>901</v>
      </c>
      <c r="F212" s="29" t="s">
        <v>23</v>
      </c>
      <c r="G212" s="20" t="s">
        <v>38</v>
      </c>
      <c r="H212" s="36" t="s">
        <v>902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903</v>
      </c>
    </row>
    <row r="213" spans="1:20" ht="23.25" customHeight="1">
      <c r="A213" s="21" t="s">
        <v>904</v>
      </c>
      <c r="B213" s="24">
        <v>2021</v>
      </c>
      <c r="C213" s="90" t="s">
        <v>21</v>
      </c>
      <c r="D213" s="24" t="s">
        <v>905</v>
      </c>
      <c r="E213" s="30" t="s">
        <v>906</v>
      </c>
      <c r="F213" s="31" t="s">
        <v>62</v>
      </c>
      <c r="G213" s="21" t="s">
        <v>72</v>
      </c>
      <c r="H213" s="38" t="s">
        <v>907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908</v>
      </c>
    </row>
    <row r="214" spans="1:20" ht="23.25" customHeight="1">
      <c r="A214" s="20" t="s">
        <v>909</v>
      </c>
      <c r="B214" s="22">
        <v>2021</v>
      </c>
      <c r="C214" s="90" t="s">
        <v>21</v>
      </c>
      <c r="D214" s="22" t="s">
        <v>910</v>
      </c>
      <c r="E214" s="27" t="s">
        <v>911</v>
      </c>
      <c r="F214" s="29" t="s">
        <v>62</v>
      </c>
      <c r="G214" s="20" t="s">
        <v>72</v>
      </c>
      <c r="H214" s="36" t="s">
        <v>912</v>
      </c>
      <c r="I214" s="37">
        <v>44440</v>
      </c>
      <c r="J214" s="37">
        <v>44440</v>
      </c>
      <c r="K214" s="22" t="s">
        <v>35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913</v>
      </c>
    </row>
    <row r="215" spans="1:20" ht="23.25" customHeight="1">
      <c r="A215" s="21" t="s">
        <v>914</v>
      </c>
      <c r="B215" s="24">
        <v>2021</v>
      </c>
      <c r="C215" s="90" t="s">
        <v>21</v>
      </c>
      <c r="D215" s="24" t="s">
        <v>915</v>
      </c>
      <c r="E215" s="30" t="s">
        <v>916</v>
      </c>
      <c r="F215" s="31" t="s">
        <v>62</v>
      </c>
      <c r="G215" s="21" t="s">
        <v>72</v>
      </c>
      <c r="H215" s="38" t="s">
        <v>912</v>
      </c>
      <c r="I215" s="39">
        <v>44440</v>
      </c>
      <c r="J215" s="39">
        <v>44440</v>
      </c>
      <c r="K215" s="24" t="s">
        <v>35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917</v>
      </c>
    </row>
    <row r="216" spans="1:20" ht="23.25" customHeight="1">
      <c r="A216" s="20" t="s">
        <v>918</v>
      </c>
      <c r="B216" s="22">
        <v>2021</v>
      </c>
      <c r="C216" s="90" t="s">
        <v>21</v>
      </c>
      <c r="D216" s="22" t="s">
        <v>919</v>
      </c>
      <c r="E216" s="27" t="s">
        <v>920</v>
      </c>
      <c r="F216" s="29" t="s">
        <v>23</v>
      </c>
      <c r="G216" s="20" t="s">
        <v>364</v>
      </c>
      <c r="H216" s="36" t="s">
        <v>921</v>
      </c>
      <c r="I216" s="37">
        <v>44449</v>
      </c>
      <c r="J216" s="37">
        <v>44453</v>
      </c>
      <c r="K216" s="22" t="s">
        <v>35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922</v>
      </c>
    </row>
    <row r="217" spans="1:20" ht="23.25" customHeight="1">
      <c r="A217" s="21" t="s">
        <v>923</v>
      </c>
      <c r="B217" s="24">
        <v>2021</v>
      </c>
      <c r="C217" s="90" t="s">
        <v>21</v>
      </c>
      <c r="D217" s="24" t="s">
        <v>887</v>
      </c>
      <c r="E217" s="30" t="s">
        <v>924</v>
      </c>
      <c r="F217" s="31" t="s">
        <v>23</v>
      </c>
      <c r="G217" s="21" t="s">
        <v>33</v>
      </c>
      <c r="H217" s="38" t="s">
        <v>925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677</v>
      </c>
    </row>
    <row r="218" spans="1:20" ht="23.25" customHeight="1">
      <c r="A218" s="20" t="s">
        <v>926</v>
      </c>
      <c r="B218" s="22">
        <v>2021</v>
      </c>
      <c r="C218" s="90" t="s">
        <v>21</v>
      </c>
      <c r="D218" s="22" t="s">
        <v>927</v>
      </c>
      <c r="E218" s="27" t="s">
        <v>928</v>
      </c>
      <c r="F218" s="29" t="s">
        <v>23</v>
      </c>
      <c r="G218" s="20" t="s">
        <v>457</v>
      </c>
      <c r="H218" s="36" t="s">
        <v>929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930</v>
      </c>
    </row>
    <row r="219" spans="1:20" ht="23.25" customHeight="1">
      <c r="A219" s="21" t="s">
        <v>931</v>
      </c>
      <c r="B219" s="24">
        <v>2021</v>
      </c>
      <c r="C219" s="90" t="s">
        <v>21</v>
      </c>
      <c r="D219" s="24" t="s">
        <v>932</v>
      </c>
      <c r="E219" s="30" t="s">
        <v>933</v>
      </c>
      <c r="F219" s="31" t="s">
        <v>81</v>
      </c>
      <c r="G219" s="21" t="s">
        <v>72</v>
      </c>
      <c r="H219" s="38" t="s">
        <v>934</v>
      </c>
      <c r="I219" s="39">
        <v>44461</v>
      </c>
      <c r="J219" s="39">
        <v>44461</v>
      </c>
      <c r="K219" s="24" t="s">
        <v>35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935</v>
      </c>
    </row>
    <row r="220" spans="1:20" ht="23.25" customHeight="1">
      <c r="A220" s="20" t="s">
        <v>936</v>
      </c>
      <c r="B220" s="22">
        <v>2021</v>
      </c>
      <c r="C220" s="90" t="s">
        <v>21</v>
      </c>
      <c r="D220" s="22" t="s">
        <v>847</v>
      </c>
      <c r="E220" s="27" t="s">
        <v>937</v>
      </c>
      <c r="F220" s="29" t="s">
        <v>23</v>
      </c>
      <c r="G220" s="20" t="s">
        <v>199</v>
      </c>
      <c r="H220" s="36" t="s">
        <v>938</v>
      </c>
      <c r="I220" s="37">
        <v>44463</v>
      </c>
      <c r="J220" s="37">
        <v>44463</v>
      </c>
      <c r="K220" s="22" t="s">
        <v>35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850</v>
      </c>
    </row>
    <row r="221" spans="1:20" ht="23.25" customHeight="1">
      <c r="A221" s="21" t="s">
        <v>939</v>
      </c>
      <c r="B221" s="24">
        <v>2021</v>
      </c>
      <c r="C221" s="90" t="s">
        <v>21</v>
      </c>
      <c r="D221" s="24" t="s">
        <v>932</v>
      </c>
      <c r="E221" s="30" t="s">
        <v>940</v>
      </c>
      <c r="F221" s="31" t="s">
        <v>81</v>
      </c>
      <c r="G221" s="21" t="s">
        <v>72</v>
      </c>
      <c r="H221" s="38" t="s">
        <v>941</v>
      </c>
      <c r="I221" s="39">
        <v>44473</v>
      </c>
      <c r="J221" s="39">
        <v>44473</v>
      </c>
      <c r="K221" s="24" t="s">
        <v>35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935</v>
      </c>
    </row>
    <row r="222" spans="1:20" ht="23.25" customHeight="1">
      <c r="A222" s="20" t="s">
        <v>942</v>
      </c>
      <c r="B222" s="22">
        <v>2021</v>
      </c>
      <c r="C222" s="90" t="s">
        <v>21</v>
      </c>
      <c r="D222" s="22" t="s">
        <v>943</v>
      </c>
      <c r="E222" s="27" t="s">
        <v>944</v>
      </c>
      <c r="F222" s="29" t="s">
        <v>23</v>
      </c>
      <c r="G222" s="20" t="s">
        <v>38</v>
      </c>
      <c r="H222" s="36" t="s">
        <v>945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946</v>
      </c>
    </row>
    <row r="223" spans="1:20" ht="23.25" customHeight="1">
      <c r="A223" s="21" t="s">
        <v>947</v>
      </c>
      <c r="B223" s="24">
        <v>2021</v>
      </c>
      <c r="C223" s="90" t="s">
        <v>21</v>
      </c>
      <c r="D223" s="24" t="s">
        <v>948</v>
      </c>
      <c r="E223" s="30" t="s">
        <v>949</v>
      </c>
      <c r="F223" s="31" t="s">
        <v>225</v>
      </c>
      <c r="G223" s="21" t="s">
        <v>72</v>
      </c>
      <c r="H223" s="38" t="s">
        <v>950</v>
      </c>
      <c r="I223" s="39">
        <v>44487</v>
      </c>
      <c r="J223" s="39">
        <v>44491</v>
      </c>
      <c r="K223" s="24" t="s">
        <v>35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951</v>
      </c>
    </row>
    <row r="224" spans="1:20" ht="23.25" customHeight="1">
      <c r="A224" s="20" t="s">
        <v>952</v>
      </c>
      <c r="B224" s="22">
        <v>2021</v>
      </c>
      <c r="C224" s="90" t="s">
        <v>21</v>
      </c>
      <c r="D224" s="22" t="s">
        <v>953</v>
      </c>
      <c r="E224" s="27" t="s">
        <v>954</v>
      </c>
      <c r="F224" s="29" t="s">
        <v>23</v>
      </c>
      <c r="G224" s="20" t="s">
        <v>199</v>
      </c>
      <c r="H224" s="36" t="s">
        <v>955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956</v>
      </c>
    </row>
    <row r="225" spans="1:20" ht="23.25" customHeight="1">
      <c r="A225" s="21" t="s">
        <v>957</v>
      </c>
      <c r="B225" s="24">
        <v>2021</v>
      </c>
      <c r="C225" s="90" t="s">
        <v>21</v>
      </c>
      <c r="D225" s="24" t="s">
        <v>958</v>
      </c>
      <c r="E225" s="30" t="s">
        <v>959</v>
      </c>
      <c r="F225" s="31" t="s">
        <v>62</v>
      </c>
      <c r="G225" s="21" t="s">
        <v>72</v>
      </c>
      <c r="H225" s="38" t="s">
        <v>960</v>
      </c>
      <c r="I225" s="39">
        <v>44503</v>
      </c>
      <c r="J225" s="39">
        <v>44512</v>
      </c>
      <c r="K225" s="24" t="s">
        <v>35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961</v>
      </c>
    </row>
    <row r="226" spans="1:20" ht="23.25" customHeight="1">
      <c r="A226" s="20" t="s">
        <v>962</v>
      </c>
      <c r="B226" s="22">
        <v>2021</v>
      </c>
      <c r="C226" s="90" t="s">
        <v>21</v>
      </c>
      <c r="D226" s="22" t="s">
        <v>963</v>
      </c>
      <c r="E226" s="27" t="s">
        <v>964</v>
      </c>
      <c r="F226" s="29" t="s">
        <v>23</v>
      </c>
      <c r="G226" s="20" t="s">
        <v>457</v>
      </c>
      <c r="H226" s="36" t="s">
        <v>965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966</v>
      </c>
    </row>
    <row r="227" spans="1:20" ht="23.25" customHeight="1">
      <c r="A227" s="21" t="s">
        <v>967</v>
      </c>
      <c r="B227" s="24">
        <v>2021</v>
      </c>
      <c r="C227" s="90" t="s">
        <v>21</v>
      </c>
      <c r="D227" s="24" t="s">
        <v>943</v>
      </c>
      <c r="E227" s="30" t="s">
        <v>968</v>
      </c>
      <c r="F227" s="31" t="s">
        <v>23</v>
      </c>
      <c r="G227" s="21" t="s">
        <v>38</v>
      </c>
      <c r="H227" s="38" t="s">
        <v>969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970</v>
      </c>
    </row>
    <row r="228" spans="1:20" ht="23.25" customHeight="1">
      <c r="A228" s="20" t="s">
        <v>971</v>
      </c>
      <c r="B228" s="22">
        <v>2021</v>
      </c>
      <c r="C228" s="90" t="s">
        <v>21</v>
      </c>
      <c r="D228" s="22" t="s">
        <v>963</v>
      </c>
      <c r="E228" s="27" t="s">
        <v>972</v>
      </c>
      <c r="F228" s="29" t="s">
        <v>23</v>
      </c>
      <c r="G228" s="20" t="s">
        <v>457</v>
      </c>
      <c r="H228" s="36" t="s">
        <v>973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966</v>
      </c>
    </row>
    <row r="229" spans="1:20" ht="23.25" customHeight="1">
      <c r="A229" s="21" t="s">
        <v>974</v>
      </c>
      <c r="B229" s="24">
        <v>2021</v>
      </c>
      <c r="C229" s="90" t="s">
        <v>21</v>
      </c>
      <c r="D229" s="24" t="s">
        <v>975</v>
      </c>
      <c r="E229" s="30" t="s">
        <v>976</v>
      </c>
      <c r="F229" s="31" t="s">
        <v>62</v>
      </c>
      <c r="G229" s="21" t="s">
        <v>72</v>
      </c>
      <c r="H229" s="38" t="s">
        <v>977</v>
      </c>
      <c r="I229" s="39">
        <v>44518</v>
      </c>
      <c r="J229" s="39">
        <v>44518</v>
      </c>
      <c r="K229" s="24" t="s">
        <v>35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549</v>
      </c>
    </row>
    <row r="230" spans="1:20" ht="23.25" customHeight="1">
      <c r="A230" s="20" t="s">
        <v>978</v>
      </c>
      <c r="B230" s="22">
        <v>2021</v>
      </c>
      <c r="C230" s="90" t="s">
        <v>21</v>
      </c>
      <c r="D230" s="22" t="s">
        <v>896</v>
      </c>
      <c r="E230" s="27" t="s">
        <v>979</v>
      </c>
      <c r="F230" s="29" t="s">
        <v>62</v>
      </c>
      <c r="G230" s="20" t="s">
        <v>72</v>
      </c>
      <c r="H230" s="36" t="s">
        <v>980</v>
      </c>
      <c r="I230" s="37">
        <v>44522</v>
      </c>
      <c r="J230" s="37">
        <v>44525</v>
      </c>
      <c r="K230" s="22" t="s">
        <v>35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414</v>
      </c>
    </row>
    <row r="231" spans="1:20" ht="23.25" customHeight="1">
      <c r="A231" s="21" t="s">
        <v>981</v>
      </c>
      <c r="B231" s="24">
        <v>2021</v>
      </c>
      <c r="C231" s="90" t="s">
        <v>21</v>
      </c>
      <c r="D231" s="24" t="s">
        <v>847</v>
      </c>
      <c r="E231" s="30" t="s">
        <v>982</v>
      </c>
      <c r="F231" s="31" t="s">
        <v>23</v>
      </c>
      <c r="G231" s="21" t="s">
        <v>199</v>
      </c>
      <c r="H231" s="38" t="s">
        <v>983</v>
      </c>
      <c r="I231" s="39">
        <v>44540</v>
      </c>
      <c r="J231" s="39">
        <v>44540</v>
      </c>
      <c r="K231" s="24" t="s">
        <v>35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850</v>
      </c>
    </row>
    <row r="232" spans="1:20" ht="23.25" customHeight="1">
      <c r="A232" s="20" t="s">
        <v>984</v>
      </c>
      <c r="B232" s="22">
        <v>2022</v>
      </c>
      <c r="C232" s="90" t="s">
        <v>21</v>
      </c>
      <c r="D232" s="22" t="s">
        <v>985</v>
      </c>
      <c r="E232" s="27" t="s">
        <v>986</v>
      </c>
      <c r="F232" s="29" t="s">
        <v>23</v>
      </c>
      <c r="G232" s="20" t="s">
        <v>38</v>
      </c>
      <c r="H232" s="36" t="s">
        <v>987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988</v>
      </c>
    </row>
    <row r="233" spans="1:20" ht="23.25" customHeight="1">
      <c r="A233" s="21" t="s">
        <v>989</v>
      </c>
      <c r="B233" s="24">
        <v>2022</v>
      </c>
      <c r="C233" s="90" t="s">
        <v>21</v>
      </c>
      <c r="D233" s="24" t="s">
        <v>990</v>
      </c>
      <c r="E233" s="30" t="s">
        <v>991</v>
      </c>
      <c r="F233" s="31" t="s">
        <v>23</v>
      </c>
      <c r="G233" s="21" t="s">
        <v>24</v>
      </c>
      <c r="H233" s="38" t="s">
        <v>992</v>
      </c>
      <c r="I233" s="39">
        <v>44600</v>
      </c>
      <c r="J233" s="39">
        <v>44600</v>
      </c>
      <c r="K233" s="24" t="s">
        <v>35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584</v>
      </c>
    </row>
    <row r="234" spans="1:20" ht="23.25" customHeight="1">
      <c r="A234" s="20" t="s">
        <v>993</v>
      </c>
      <c r="B234" s="22">
        <v>2022</v>
      </c>
      <c r="C234" s="90" t="s">
        <v>21</v>
      </c>
      <c r="D234" s="22" t="s">
        <v>994</v>
      </c>
      <c r="E234" s="27" t="s">
        <v>995</v>
      </c>
      <c r="F234" s="29" t="s">
        <v>23</v>
      </c>
      <c r="G234" s="20" t="s">
        <v>199</v>
      </c>
      <c r="H234" s="36" t="s">
        <v>996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997</v>
      </c>
    </row>
    <row r="235" spans="1:20" ht="23.25" customHeight="1">
      <c r="A235" s="21" t="s">
        <v>998</v>
      </c>
      <c r="B235" s="24">
        <v>2022</v>
      </c>
      <c r="C235" s="90" t="s">
        <v>21</v>
      </c>
      <c r="D235" s="24" t="s">
        <v>999</v>
      </c>
      <c r="E235" s="30" t="s">
        <v>976</v>
      </c>
      <c r="F235" s="31" t="s">
        <v>62</v>
      </c>
      <c r="G235" s="21" t="s">
        <v>72</v>
      </c>
      <c r="H235" s="38" t="s">
        <v>1000</v>
      </c>
      <c r="I235" s="39">
        <v>44614</v>
      </c>
      <c r="J235" s="39">
        <v>44614</v>
      </c>
      <c r="K235" s="24" t="s">
        <v>35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549</v>
      </c>
    </row>
    <row r="236" spans="1:20" ht="23.25" customHeight="1">
      <c r="A236" s="20" t="s">
        <v>1001</v>
      </c>
      <c r="B236" s="22">
        <v>2022</v>
      </c>
      <c r="C236" s="90" t="s">
        <v>21</v>
      </c>
      <c r="D236" s="22" t="s">
        <v>1002</v>
      </c>
      <c r="E236" s="27" t="s">
        <v>1003</v>
      </c>
      <c r="F236" s="29" t="s">
        <v>81</v>
      </c>
      <c r="G236" s="20" t="s">
        <v>72</v>
      </c>
      <c r="H236" s="36" t="s">
        <v>1004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1005</v>
      </c>
    </row>
    <row r="237" spans="1:20" ht="23.25" customHeight="1">
      <c r="A237" s="21" t="s">
        <v>1006</v>
      </c>
      <c r="B237" s="24">
        <v>2022</v>
      </c>
      <c r="C237" s="90" t="s">
        <v>21</v>
      </c>
      <c r="D237" s="24" t="s">
        <v>847</v>
      </c>
      <c r="E237" s="30" t="s">
        <v>1007</v>
      </c>
      <c r="F237" s="31" t="s">
        <v>23</v>
      </c>
      <c r="G237" s="21" t="s">
        <v>199</v>
      </c>
      <c r="H237" s="38" t="s">
        <v>1008</v>
      </c>
      <c r="I237" s="39">
        <v>44631</v>
      </c>
      <c r="J237" s="39">
        <v>44631</v>
      </c>
      <c r="K237" s="24" t="s">
        <v>35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710</v>
      </c>
    </row>
    <row r="238" spans="1:20" ht="23.25" customHeight="1">
      <c r="A238" s="20" t="s">
        <v>1009</v>
      </c>
      <c r="B238" s="22">
        <v>2022</v>
      </c>
      <c r="C238" s="90" t="s">
        <v>21</v>
      </c>
      <c r="D238" s="22" t="s">
        <v>1010</v>
      </c>
      <c r="E238" s="27" t="s">
        <v>1011</v>
      </c>
      <c r="F238" s="29" t="s">
        <v>23</v>
      </c>
      <c r="G238" s="20" t="s">
        <v>38</v>
      </c>
      <c r="H238" s="36" t="s">
        <v>1012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1013</v>
      </c>
    </row>
    <row r="239" spans="1:20" ht="23.25" customHeight="1">
      <c r="A239" s="21" t="s">
        <v>1014</v>
      </c>
      <c r="B239" s="24">
        <v>2022</v>
      </c>
      <c r="C239" s="90" t="s">
        <v>21</v>
      </c>
      <c r="D239" s="24" t="s">
        <v>1015</v>
      </c>
      <c r="E239" s="30" t="s">
        <v>1016</v>
      </c>
      <c r="F239" s="31" t="s">
        <v>81</v>
      </c>
      <c r="G239" s="21" t="s">
        <v>72</v>
      </c>
      <c r="H239" s="38" t="s">
        <v>1017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1018</v>
      </c>
    </row>
    <row r="240" spans="1:20" ht="23.25" customHeight="1">
      <c r="A240" s="20" t="s">
        <v>1019</v>
      </c>
      <c r="B240" s="22">
        <v>2022</v>
      </c>
      <c r="C240" s="90" t="s">
        <v>21</v>
      </c>
      <c r="D240" s="22" t="s">
        <v>1020</v>
      </c>
      <c r="E240" s="27" t="s">
        <v>1021</v>
      </c>
      <c r="F240" s="29" t="s">
        <v>81</v>
      </c>
      <c r="G240" s="20" t="s">
        <v>72</v>
      </c>
      <c r="H240" s="36" t="s">
        <v>1022</v>
      </c>
      <c r="I240" s="37">
        <v>44655</v>
      </c>
      <c r="J240" s="37">
        <v>44655</v>
      </c>
      <c r="K240" s="22" t="s">
        <v>35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1023</v>
      </c>
    </row>
    <row r="241" spans="1:20" ht="23.25" customHeight="1">
      <c r="A241" s="21" t="s">
        <v>1024</v>
      </c>
      <c r="B241" s="24">
        <v>2022</v>
      </c>
      <c r="C241" s="90" t="s">
        <v>21</v>
      </c>
      <c r="D241" s="24" t="s">
        <v>1025</v>
      </c>
      <c r="E241" s="30" t="s">
        <v>1026</v>
      </c>
      <c r="F241" s="31" t="s">
        <v>23</v>
      </c>
      <c r="G241" s="21" t="s">
        <v>38</v>
      </c>
      <c r="H241" s="38" t="s">
        <v>1027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1028</v>
      </c>
    </row>
    <row r="242" spans="1:20" ht="23.25" customHeight="1">
      <c r="A242" s="20" t="s">
        <v>1029</v>
      </c>
      <c r="B242" s="22">
        <v>2022</v>
      </c>
      <c r="C242" s="90" t="s">
        <v>21</v>
      </c>
      <c r="D242" s="22" t="s">
        <v>1030</v>
      </c>
      <c r="E242" s="27" t="s">
        <v>1031</v>
      </c>
      <c r="F242" s="29" t="s">
        <v>23</v>
      </c>
      <c r="G242" s="20" t="s">
        <v>199</v>
      </c>
      <c r="H242" s="36" t="s">
        <v>1032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828</v>
      </c>
    </row>
    <row r="243" spans="1:20" ht="23.25" customHeight="1">
      <c r="A243" s="21" t="s">
        <v>1033</v>
      </c>
      <c r="B243" s="24">
        <v>2022</v>
      </c>
      <c r="C243" s="90" t="s">
        <v>21</v>
      </c>
      <c r="D243" s="24" t="s">
        <v>1034</v>
      </c>
      <c r="E243" s="30" t="s">
        <v>1035</v>
      </c>
      <c r="F243" s="31" t="s">
        <v>23</v>
      </c>
      <c r="G243" s="21" t="s">
        <v>199</v>
      </c>
      <c r="H243" s="38" t="s">
        <v>1036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930</v>
      </c>
    </row>
    <row r="244" spans="1:20" ht="23.25" customHeight="1">
      <c r="A244" s="20" t="s">
        <v>1037</v>
      </c>
      <c r="B244" s="22">
        <v>2022</v>
      </c>
      <c r="C244" s="90" t="s">
        <v>21</v>
      </c>
      <c r="D244" s="22" t="s">
        <v>847</v>
      </c>
      <c r="E244" s="27" t="s">
        <v>1007</v>
      </c>
      <c r="F244" s="29" t="s">
        <v>23</v>
      </c>
      <c r="G244" s="20" t="s">
        <v>199</v>
      </c>
      <c r="H244" s="36" t="s">
        <v>1038</v>
      </c>
      <c r="I244" s="37">
        <v>44694</v>
      </c>
      <c r="J244" s="37">
        <v>44694</v>
      </c>
      <c r="K244" s="22" t="s">
        <v>35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710</v>
      </c>
    </row>
    <row r="245" spans="1:20" ht="23.25" customHeight="1">
      <c r="A245" s="21" t="s">
        <v>1039</v>
      </c>
      <c r="B245" s="24">
        <v>2022</v>
      </c>
      <c r="C245" s="90" t="s">
        <v>21</v>
      </c>
      <c r="D245" s="24" t="s">
        <v>1020</v>
      </c>
      <c r="E245" s="30" t="s">
        <v>1040</v>
      </c>
      <c r="F245" s="31" t="s">
        <v>81</v>
      </c>
      <c r="G245" s="21" t="s">
        <v>72</v>
      </c>
      <c r="H245" s="38" t="s">
        <v>1041</v>
      </c>
      <c r="I245" s="39">
        <v>44697</v>
      </c>
      <c r="J245" s="39">
        <v>44697</v>
      </c>
      <c r="K245" s="24" t="s">
        <v>35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1042</v>
      </c>
    </row>
    <row r="246" spans="1:20" ht="23.25" customHeight="1">
      <c r="A246" s="20" t="s">
        <v>1043</v>
      </c>
      <c r="B246" s="22">
        <v>2022</v>
      </c>
      <c r="C246" s="90" t="s">
        <v>21</v>
      </c>
      <c r="D246" s="22" t="s">
        <v>1044</v>
      </c>
      <c r="E246" s="27" t="s">
        <v>959</v>
      </c>
      <c r="F246" s="29" t="s">
        <v>81</v>
      </c>
      <c r="G246" s="20" t="s">
        <v>72</v>
      </c>
      <c r="H246" s="36" t="s">
        <v>1045</v>
      </c>
      <c r="I246" s="37">
        <v>44697</v>
      </c>
      <c r="J246" s="37">
        <v>44713</v>
      </c>
      <c r="K246" s="22" t="s">
        <v>35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1046</v>
      </c>
    </row>
    <row r="247" spans="1:20" ht="23.25" customHeight="1">
      <c r="A247" s="21" t="s">
        <v>1047</v>
      </c>
      <c r="B247" s="24">
        <v>2022</v>
      </c>
      <c r="C247" s="90" t="s">
        <v>21</v>
      </c>
      <c r="D247" s="24" t="s">
        <v>1048</v>
      </c>
      <c r="E247" s="30" t="s">
        <v>1049</v>
      </c>
      <c r="F247" s="31" t="s">
        <v>62</v>
      </c>
      <c r="G247" s="21" t="s">
        <v>72</v>
      </c>
      <c r="H247" s="38" t="s">
        <v>1050</v>
      </c>
      <c r="I247" s="39">
        <v>44698</v>
      </c>
      <c r="J247" s="39">
        <v>44698</v>
      </c>
      <c r="K247" s="24" t="s">
        <v>35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549</v>
      </c>
    </row>
    <row r="248" spans="1:20" ht="23.25" customHeight="1">
      <c r="A248" s="20" t="s">
        <v>1051</v>
      </c>
      <c r="B248" s="22">
        <v>2022</v>
      </c>
      <c r="C248" s="90" t="s">
        <v>21</v>
      </c>
      <c r="D248" s="22" t="s">
        <v>1052</v>
      </c>
      <c r="E248" s="27" t="s">
        <v>1053</v>
      </c>
      <c r="F248" s="29" t="s">
        <v>62</v>
      </c>
      <c r="G248" s="20" t="s">
        <v>72</v>
      </c>
      <c r="H248" s="36" t="s">
        <v>1054</v>
      </c>
      <c r="I248" s="37">
        <v>44700</v>
      </c>
      <c r="J248" s="37">
        <v>44700</v>
      </c>
      <c r="K248" s="22" t="s">
        <v>35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1055</v>
      </c>
    </row>
    <row r="249" spans="1:20" ht="23.25" customHeight="1">
      <c r="A249" s="21" t="s">
        <v>1056</v>
      </c>
      <c r="B249" s="24">
        <v>2022</v>
      </c>
      <c r="C249" s="90" t="s">
        <v>21</v>
      </c>
      <c r="D249" s="24" t="s">
        <v>1057</v>
      </c>
      <c r="E249" s="30" t="s">
        <v>1058</v>
      </c>
      <c r="F249" s="31" t="s">
        <v>23</v>
      </c>
      <c r="G249" s="21" t="s">
        <v>199</v>
      </c>
      <c r="H249" s="38" t="s">
        <v>1059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1060</v>
      </c>
    </row>
    <row r="250" spans="1:20" ht="23.25" customHeight="1">
      <c r="A250" s="20" t="s">
        <v>1061</v>
      </c>
      <c r="B250" s="22">
        <v>2022</v>
      </c>
      <c r="C250" s="90" t="s">
        <v>21</v>
      </c>
      <c r="D250" s="22" t="s">
        <v>1062</v>
      </c>
      <c r="E250" s="27" t="s">
        <v>1063</v>
      </c>
      <c r="F250" s="29" t="s">
        <v>23</v>
      </c>
      <c r="G250" s="20" t="s">
        <v>364</v>
      </c>
      <c r="H250" s="36" t="s">
        <v>1064</v>
      </c>
      <c r="I250" s="37">
        <v>44708</v>
      </c>
      <c r="J250" s="37">
        <v>44714</v>
      </c>
      <c r="K250" s="22" t="s">
        <v>35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1065</v>
      </c>
    </row>
    <row r="251" spans="1:20" ht="23.25" customHeight="1">
      <c r="A251" s="21" t="s">
        <v>1066</v>
      </c>
      <c r="B251" s="24">
        <v>2022</v>
      </c>
      <c r="C251" s="90" t="s">
        <v>21</v>
      </c>
      <c r="D251" s="24" t="s">
        <v>1067</v>
      </c>
      <c r="E251" s="30" t="s">
        <v>1068</v>
      </c>
      <c r="F251" s="31" t="s">
        <v>81</v>
      </c>
      <c r="G251" s="21" t="s">
        <v>72</v>
      </c>
      <c r="H251" s="38" t="s">
        <v>1069</v>
      </c>
      <c r="I251" s="39">
        <v>44712</v>
      </c>
      <c r="J251" s="39">
        <v>44712</v>
      </c>
      <c r="K251" s="24" t="s">
        <v>35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549</v>
      </c>
    </row>
    <row r="252" spans="1:20" ht="23.25" customHeight="1">
      <c r="A252" s="20" t="s">
        <v>1070</v>
      </c>
      <c r="B252" s="22">
        <v>2022</v>
      </c>
      <c r="C252" s="90" t="s">
        <v>21</v>
      </c>
      <c r="D252" s="22" t="s">
        <v>1071</v>
      </c>
      <c r="E252" s="27" t="s">
        <v>1072</v>
      </c>
      <c r="F252" s="29" t="s">
        <v>23</v>
      </c>
      <c r="G252" s="20" t="s">
        <v>364</v>
      </c>
      <c r="H252" s="36" t="s">
        <v>1073</v>
      </c>
      <c r="I252" s="37">
        <v>44715</v>
      </c>
      <c r="J252" s="37">
        <v>44715</v>
      </c>
      <c r="K252" s="22" t="s">
        <v>35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1074</v>
      </c>
    </row>
    <row r="253" spans="1:20" ht="23.25" customHeight="1">
      <c r="A253" s="21" t="s">
        <v>1075</v>
      </c>
      <c r="B253" s="24">
        <v>2022</v>
      </c>
      <c r="C253" s="90" t="s">
        <v>21</v>
      </c>
      <c r="D253" s="24" t="s">
        <v>1076</v>
      </c>
      <c r="E253" s="30" t="s">
        <v>1077</v>
      </c>
      <c r="F253" s="31" t="s">
        <v>23</v>
      </c>
      <c r="G253" s="21" t="s">
        <v>24</v>
      </c>
      <c r="H253" s="38" t="s">
        <v>1078</v>
      </c>
      <c r="I253" s="39">
        <v>44718</v>
      </c>
      <c r="J253" s="39">
        <v>44718</v>
      </c>
      <c r="K253" s="24" t="s">
        <v>35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584</v>
      </c>
    </row>
    <row r="254" spans="1:20" ht="23.25" customHeight="1">
      <c r="A254" s="20" t="s">
        <v>1079</v>
      </c>
      <c r="B254" s="22">
        <v>2022</v>
      </c>
      <c r="C254" s="90" t="s">
        <v>21</v>
      </c>
      <c r="D254" s="22" t="s">
        <v>1080</v>
      </c>
      <c r="E254" s="27" t="s">
        <v>1081</v>
      </c>
      <c r="F254" s="29" t="s">
        <v>23</v>
      </c>
      <c r="G254" s="20" t="s">
        <v>38</v>
      </c>
      <c r="H254" s="36" t="s">
        <v>1082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1083</v>
      </c>
    </row>
    <row r="255" spans="1:20" ht="23.25" customHeight="1">
      <c r="A255" s="21" t="s">
        <v>1084</v>
      </c>
      <c r="B255" s="24">
        <v>2022</v>
      </c>
      <c r="C255" s="90" t="s">
        <v>21</v>
      </c>
      <c r="D255" s="24" t="s">
        <v>1085</v>
      </c>
      <c r="E255" s="30" t="s">
        <v>1086</v>
      </c>
      <c r="F255" s="31" t="s">
        <v>23</v>
      </c>
      <c r="G255" s="21" t="s">
        <v>38</v>
      </c>
      <c r="H255" s="38" t="s">
        <v>817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1087</v>
      </c>
    </row>
    <row r="256" spans="1:20" ht="23.25" customHeight="1">
      <c r="A256" s="20" t="s">
        <v>1088</v>
      </c>
      <c r="B256" s="22">
        <v>2022</v>
      </c>
      <c r="C256" s="90" t="s">
        <v>21</v>
      </c>
      <c r="D256" s="22" t="s">
        <v>1089</v>
      </c>
      <c r="E256" s="27" t="s">
        <v>1090</v>
      </c>
      <c r="F256" s="29" t="s">
        <v>81</v>
      </c>
      <c r="G256" s="20" t="s">
        <v>72</v>
      </c>
      <c r="H256" s="36" t="s">
        <v>1091</v>
      </c>
      <c r="I256" s="37">
        <v>44753</v>
      </c>
      <c r="J256" s="37">
        <v>44757</v>
      </c>
      <c r="K256" s="22" t="s">
        <v>35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855</v>
      </c>
    </row>
    <row r="257" spans="1:20" ht="23.25" customHeight="1">
      <c r="A257" s="21" t="s">
        <v>1092</v>
      </c>
      <c r="B257" s="24">
        <v>2022</v>
      </c>
      <c r="C257" s="90" t="s">
        <v>21</v>
      </c>
      <c r="D257" s="24" t="s">
        <v>1093</v>
      </c>
      <c r="E257" s="30" t="s">
        <v>1094</v>
      </c>
      <c r="F257" s="31" t="s">
        <v>23</v>
      </c>
      <c r="G257" s="21" t="s">
        <v>24</v>
      </c>
      <c r="H257" s="38" t="s">
        <v>1095</v>
      </c>
      <c r="I257" s="39">
        <v>44762</v>
      </c>
      <c r="J257" s="39">
        <v>44764</v>
      </c>
      <c r="K257" s="24" t="s">
        <v>35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1096</v>
      </c>
    </row>
    <row r="258" spans="1:20" ht="23.25" customHeight="1">
      <c r="A258" s="20" t="s">
        <v>1097</v>
      </c>
      <c r="B258" s="22">
        <v>2022</v>
      </c>
      <c r="C258" s="90" t="s">
        <v>21</v>
      </c>
      <c r="D258" s="22" t="s">
        <v>1098</v>
      </c>
      <c r="E258" s="27" t="s">
        <v>1099</v>
      </c>
      <c r="F258" s="29" t="s">
        <v>23</v>
      </c>
      <c r="G258" s="20" t="s">
        <v>33</v>
      </c>
      <c r="H258" s="36" t="s">
        <v>1100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894</v>
      </c>
    </row>
    <row r="259" spans="1:20" ht="23.25" customHeight="1">
      <c r="A259" s="21" t="s">
        <v>1101</v>
      </c>
      <c r="B259" s="24">
        <v>2022</v>
      </c>
      <c r="C259" s="90" t="s">
        <v>21</v>
      </c>
      <c r="D259" s="24" t="s">
        <v>1102</v>
      </c>
      <c r="E259" s="30" t="s">
        <v>1103</v>
      </c>
      <c r="F259" s="31" t="s">
        <v>23</v>
      </c>
      <c r="G259" s="21" t="s">
        <v>24</v>
      </c>
      <c r="H259" s="38" t="s">
        <v>1104</v>
      </c>
      <c r="I259" s="39">
        <v>44775</v>
      </c>
      <c r="J259" s="39">
        <v>44777</v>
      </c>
      <c r="K259" s="24" t="s">
        <v>35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1105</v>
      </c>
    </row>
    <row r="260" spans="1:20" ht="23.25" customHeight="1">
      <c r="A260" s="20" t="s">
        <v>1106</v>
      </c>
      <c r="B260" s="22">
        <v>2022</v>
      </c>
      <c r="C260" s="90" t="s">
        <v>21</v>
      </c>
      <c r="D260" s="22" t="s">
        <v>1107</v>
      </c>
      <c r="E260" s="27" t="s">
        <v>1108</v>
      </c>
      <c r="F260" s="29" t="s">
        <v>81</v>
      </c>
      <c r="G260" s="20" t="s">
        <v>72</v>
      </c>
      <c r="H260" s="36" t="s">
        <v>1109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1110</v>
      </c>
    </row>
    <row r="261" spans="1:20" ht="23.25" customHeight="1">
      <c r="A261" s="21" t="s">
        <v>1111</v>
      </c>
      <c r="B261" s="24">
        <v>2022</v>
      </c>
      <c r="C261" s="90" t="s">
        <v>21</v>
      </c>
      <c r="D261" s="24" t="s">
        <v>1112</v>
      </c>
      <c r="E261" s="30" t="s">
        <v>1113</v>
      </c>
      <c r="F261" s="31" t="s">
        <v>23</v>
      </c>
      <c r="G261" s="21" t="s">
        <v>68</v>
      </c>
      <c r="H261" s="38" t="s">
        <v>1114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726</v>
      </c>
    </row>
    <row r="262" spans="1:20" ht="23.25" customHeight="1">
      <c r="A262" s="20" t="s">
        <v>1115</v>
      </c>
      <c r="B262" s="22">
        <v>2022</v>
      </c>
      <c r="C262" s="90" t="s">
        <v>21</v>
      </c>
      <c r="D262" s="22" t="s">
        <v>1116</v>
      </c>
      <c r="E262" s="27" t="s">
        <v>675</v>
      </c>
      <c r="F262" s="29" t="s">
        <v>23</v>
      </c>
      <c r="G262" s="20" t="s">
        <v>33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677</v>
      </c>
    </row>
    <row r="263" spans="1:20" ht="23.25" customHeight="1">
      <c r="A263" s="21" t="s">
        <v>1117</v>
      </c>
      <c r="B263" s="24">
        <v>2022</v>
      </c>
      <c r="C263" s="90" t="s">
        <v>21</v>
      </c>
      <c r="D263" s="24" t="s">
        <v>1102</v>
      </c>
      <c r="E263" s="30" t="s">
        <v>1118</v>
      </c>
      <c r="F263" s="31" t="s">
        <v>23</v>
      </c>
      <c r="G263" s="21" t="s">
        <v>24</v>
      </c>
      <c r="H263" s="38" t="s">
        <v>1119</v>
      </c>
      <c r="I263" s="39">
        <v>44789</v>
      </c>
      <c r="J263" s="39">
        <v>44791</v>
      </c>
      <c r="K263" s="24" t="s">
        <v>35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1120</v>
      </c>
    </row>
    <row r="264" spans="1:20" ht="23.25" customHeight="1">
      <c r="A264" s="20" t="s">
        <v>1121</v>
      </c>
      <c r="B264" s="22">
        <v>2022</v>
      </c>
      <c r="C264" s="90" t="s">
        <v>21</v>
      </c>
      <c r="D264" s="22" t="s">
        <v>1122</v>
      </c>
      <c r="E264" s="27" t="s">
        <v>1123</v>
      </c>
      <c r="F264" s="29" t="s">
        <v>81</v>
      </c>
      <c r="G264" s="20" t="s">
        <v>72</v>
      </c>
      <c r="H264" s="36" t="s">
        <v>1124</v>
      </c>
      <c r="I264" s="37">
        <v>44795</v>
      </c>
      <c r="J264" s="37">
        <v>44795</v>
      </c>
      <c r="K264" s="22" t="s">
        <v>35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1023</v>
      </c>
    </row>
    <row r="265" spans="1:20" ht="23.25" customHeight="1">
      <c r="A265" s="21" t="s">
        <v>1125</v>
      </c>
      <c r="B265" s="24">
        <v>2022</v>
      </c>
      <c r="C265" s="90" t="s">
        <v>21</v>
      </c>
      <c r="D265" s="24" t="s">
        <v>1126</v>
      </c>
      <c r="E265" s="30" t="s">
        <v>1127</v>
      </c>
      <c r="F265" s="31" t="s">
        <v>81</v>
      </c>
      <c r="G265" s="21" t="s">
        <v>72</v>
      </c>
      <c r="H265" s="38" t="s">
        <v>1128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472</v>
      </c>
    </row>
    <row r="266" spans="1:20" ht="23.25" customHeight="1">
      <c r="A266" s="20" t="s">
        <v>1129</v>
      </c>
      <c r="B266" s="22">
        <v>2022</v>
      </c>
      <c r="C266" s="90" t="s">
        <v>21</v>
      </c>
      <c r="D266" s="22" t="s">
        <v>1130</v>
      </c>
      <c r="E266" s="27" t="s">
        <v>1131</v>
      </c>
      <c r="F266" s="29" t="s">
        <v>23</v>
      </c>
      <c r="G266" s="20" t="s">
        <v>38</v>
      </c>
      <c r="H266" s="36" t="s">
        <v>1132</v>
      </c>
      <c r="I266" s="37">
        <v>44806</v>
      </c>
      <c r="J266" s="37">
        <v>44806</v>
      </c>
      <c r="K266" s="22" t="s">
        <v>35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211</v>
      </c>
    </row>
    <row r="267" spans="1:20" ht="23.25" customHeight="1">
      <c r="A267" s="21" t="s">
        <v>1133</v>
      </c>
      <c r="B267" s="24">
        <v>2022</v>
      </c>
      <c r="C267" s="90" t="s">
        <v>21</v>
      </c>
      <c r="D267" s="24" t="s">
        <v>1134</v>
      </c>
      <c r="E267" s="30" t="s">
        <v>1135</v>
      </c>
      <c r="F267" s="31" t="s">
        <v>81</v>
      </c>
      <c r="G267" s="21" t="s">
        <v>72</v>
      </c>
      <c r="H267" s="38" t="s">
        <v>1136</v>
      </c>
      <c r="I267" s="39">
        <v>44813</v>
      </c>
      <c r="J267" s="39">
        <v>44813</v>
      </c>
      <c r="K267" s="24" t="s">
        <v>35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1042</v>
      </c>
    </row>
    <row r="268" spans="1:20" ht="23.25" customHeight="1">
      <c r="A268" s="20" t="s">
        <v>1137</v>
      </c>
      <c r="B268" s="22">
        <v>2022</v>
      </c>
      <c r="C268" s="90" t="s">
        <v>21</v>
      </c>
      <c r="D268" s="22" t="s">
        <v>1138</v>
      </c>
      <c r="E268" s="27" t="s">
        <v>688</v>
      </c>
      <c r="F268" s="29" t="s">
        <v>23</v>
      </c>
      <c r="G268" s="20" t="s">
        <v>33</v>
      </c>
      <c r="H268" s="36" t="s">
        <v>1139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677</v>
      </c>
    </row>
    <row r="269" spans="1:20" ht="23.25" customHeight="1">
      <c r="A269" s="21" t="s">
        <v>1140</v>
      </c>
      <c r="B269" s="24">
        <v>2022</v>
      </c>
      <c r="C269" s="90" t="s">
        <v>21</v>
      </c>
      <c r="D269" s="24" t="s">
        <v>1141</v>
      </c>
      <c r="E269" s="30" t="s">
        <v>1142</v>
      </c>
      <c r="F269" s="31" t="s">
        <v>23</v>
      </c>
      <c r="G269" s="21" t="s">
        <v>199</v>
      </c>
      <c r="H269" s="38" t="s">
        <v>1143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1060</v>
      </c>
    </row>
    <row r="270" spans="1:20" ht="23.25" customHeight="1">
      <c r="A270" s="20" t="s">
        <v>1144</v>
      </c>
      <c r="B270" s="22">
        <v>2022</v>
      </c>
      <c r="C270" s="90" t="s">
        <v>21</v>
      </c>
      <c r="D270" s="22" t="s">
        <v>1145</v>
      </c>
      <c r="E270" s="27" t="s">
        <v>1146</v>
      </c>
      <c r="F270" s="29" t="s">
        <v>23</v>
      </c>
      <c r="G270" s="20" t="s">
        <v>457</v>
      </c>
      <c r="H270" s="36" t="s">
        <v>1147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966</v>
      </c>
    </row>
    <row r="271" spans="1:20" ht="23.25" customHeight="1">
      <c r="A271" s="21" t="s">
        <v>1148</v>
      </c>
      <c r="B271" s="24">
        <v>2022</v>
      </c>
      <c r="C271" s="90" t="s">
        <v>21</v>
      </c>
      <c r="D271" s="24" t="s">
        <v>1149</v>
      </c>
      <c r="E271" s="30" t="s">
        <v>1150</v>
      </c>
      <c r="F271" s="31" t="s">
        <v>23</v>
      </c>
      <c r="G271" s="21" t="s">
        <v>24</v>
      </c>
      <c r="H271" s="38" t="s">
        <v>1151</v>
      </c>
      <c r="I271" s="39">
        <v>44823</v>
      </c>
      <c r="J271" s="39">
        <v>44831</v>
      </c>
      <c r="K271" s="24" t="s">
        <v>35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544</v>
      </c>
    </row>
    <row r="272" spans="1:20" ht="23.25" customHeight="1">
      <c r="A272" s="20" t="s">
        <v>1152</v>
      </c>
      <c r="B272" s="22">
        <v>2022</v>
      </c>
      <c r="C272" s="90" t="s">
        <v>21</v>
      </c>
      <c r="D272" s="22" t="s">
        <v>1149</v>
      </c>
      <c r="E272" s="27" t="s">
        <v>1153</v>
      </c>
      <c r="F272" s="29" t="s">
        <v>23</v>
      </c>
      <c r="G272" s="20" t="s">
        <v>24</v>
      </c>
      <c r="H272" s="36" t="s">
        <v>1154</v>
      </c>
      <c r="I272" s="37">
        <v>44823</v>
      </c>
      <c r="J272" s="37">
        <v>44833</v>
      </c>
      <c r="K272" s="22" t="s">
        <v>35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544</v>
      </c>
    </row>
    <row r="273" spans="1:20" ht="23.25" customHeight="1">
      <c r="A273" s="21" t="s">
        <v>1155</v>
      </c>
      <c r="B273" s="24">
        <v>2022</v>
      </c>
      <c r="C273" s="90" t="s">
        <v>21</v>
      </c>
      <c r="D273" s="24" t="s">
        <v>1156</v>
      </c>
      <c r="E273" s="30" t="s">
        <v>1157</v>
      </c>
      <c r="F273" s="31" t="s">
        <v>225</v>
      </c>
      <c r="G273" s="21" t="s">
        <v>72</v>
      </c>
      <c r="H273" s="38" t="s">
        <v>1158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1159</v>
      </c>
    </row>
    <row r="274" spans="1:20" ht="23.25" customHeight="1">
      <c r="A274" s="20" t="s">
        <v>1160</v>
      </c>
      <c r="B274" s="22">
        <v>2022</v>
      </c>
      <c r="C274" s="90" t="s">
        <v>21</v>
      </c>
      <c r="D274" s="22" t="s">
        <v>1161</v>
      </c>
      <c r="E274" s="27" t="s">
        <v>1162</v>
      </c>
      <c r="F274" s="29" t="s">
        <v>23</v>
      </c>
      <c r="G274" s="20" t="s">
        <v>199</v>
      </c>
      <c r="H274" s="36" t="s">
        <v>1163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1164</v>
      </c>
    </row>
    <row r="275" spans="1:20" ht="23.25" customHeight="1">
      <c r="A275" s="21" t="s">
        <v>1165</v>
      </c>
      <c r="B275" s="24">
        <v>2022</v>
      </c>
      <c r="C275" s="90" t="s">
        <v>21</v>
      </c>
      <c r="D275" s="24" t="s">
        <v>1166</v>
      </c>
      <c r="E275" s="30" t="s">
        <v>720</v>
      </c>
      <c r="F275" s="31" t="s">
        <v>23</v>
      </c>
      <c r="G275" s="21" t="s">
        <v>33</v>
      </c>
      <c r="H275" s="38" t="s">
        <v>1167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677</v>
      </c>
    </row>
    <row r="276" spans="1:20" ht="23.25" customHeight="1">
      <c r="A276" s="20" t="s">
        <v>1168</v>
      </c>
      <c r="B276" s="22">
        <v>2022</v>
      </c>
      <c r="C276" s="90" t="s">
        <v>21</v>
      </c>
      <c r="D276" s="22" t="s">
        <v>1169</v>
      </c>
      <c r="E276" s="27" t="s">
        <v>1170</v>
      </c>
      <c r="F276" s="29" t="s">
        <v>81</v>
      </c>
      <c r="G276" s="20" t="s">
        <v>72</v>
      </c>
      <c r="H276" s="36" t="s">
        <v>1171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1172</v>
      </c>
    </row>
    <row r="277" spans="1:20" ht="23.25" customHeight="1">
      <c r="A277" s="21" t="s">
        <v>1173</v>
      </c>
      <c r="B277" s="24">
        <v>2022</v>
      </c>
      <c r="C277" s="90" t="s">
        <v>21</v>
      </c>
      <c r="D277" s="24" t="s">
        <v>1174</v>
      </c>
      <c r="E277" s="30" t="s">
        <v>1175</v>
      </c>
      <c r="F277" s="31" t="s">
        <v>23</v>
      </c>
      <c r="G277" s="21" t="s">
        <v>199</v>
      </c>
      <c r="H277" s="38" t="s">
        <v>1176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1177</v>
      </c>
    </row>
    <row r="278" spans="1:20" ht="23.25" customHeight="1">
      <c r="A278" s="20" t="s">
        <v>1178</v>
      </c>
      <c r="B278" s="22">
        <v>2022</v>
      </c>
      <c r="C278" s="90" t="s">
        <v>21</v>
      </c>
      <c r="D278" s="22" t="s">
        <v>1179</v>
      </c>
      <c r="E278" s="27" t="s">
        <v>1180</v>
      </c>
      <c r="F278" s="29" t="s">
        <v>225</v>
      </c>
      <c r="G278" s="20" t="s">
        <v>72</v>
      </c>
      <c r="H278" s="36" t="s">
        <v>1181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1182</v>
      </c>
    </row>
    <row r="279" spans="1:20" ht="23.25" customHeight="1">
      <c r="A279" s="21" t="s">
        <v>1183</v>
      </c>
      <c r="B279" s="24">
        <v>2022</v>
      </c>
      <c r="C279" s="90" t="s">
        <v>21</v>
      </c>
      <c r="D279" s="24" t="s">
        <v>1184</v>
      </c>
      <c r="E279" s="30" t="s">
        <v>1185</v>
      </c>
      <c r="F279" s="31" t="s">
        <v>225</v>
      </c>
      <c r="G279" s="21" t="s">
        <v>72</v>
      </c>
      <c r="H279" s="38" t="s">
        <v>1186</v>
      </c>
      <c r="I279" s="39">
        <v>44847</v>
      </c>
      <c r="J279" s="39">
        <v>44848</v>
      </c>
      <c r="K279" s="24" t="s">
        <v>35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1187</v>
      </c>
    </row>
    <row r="280" spans="1:20" ht="23.25" customHeight="1">
      <c r="A280" s="20" t="s">
        <v>1188</v>
      </c>
      <c r="B280" s="22">
        <v>2022</v>
      </c>
      <c r="C280" s="90" t="s">
        <v>21</v>
      </c>
      <c r="D280" s="22" t="s">
        <v>1189</v>
      </c>
      <c r="E280" s="27" t="s">
        <v>1190</v>
      </c>
      <c r="F280" s="29" t="s">
        <v>225</v>
      </c>
      <c r="G280" s="20" t="s">
        <v>72</v>
      </c>
      <c r="H280" s="36" t="s">
        <v>1191</v>
      </c>
      <c r="I280" s="37">
        <v>44847</v>
      </c>
      <c r="J280" s="37">
        <v>44847</v>
      </c>
      <c r="K280" s="22" t="s">
        <v>35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1055</v>
      </c>
    </row>
    <row r="281" spans="1:20" ht="23.25" customHeight="1">
      <c r="A281" s="21" t="s">
        <v>1192</v>
      </c>
      <c r="B281" s="24">
        <v>2022</v>
      </c>
      <c r="C281" s="90" t="s">
        <v>21</v>
      </c>
      <c r="D281" s="24" t="s">
        <v>1193</v>
      </c>
      <c r="E281" s="55" t="s">
        <v>1194</v>
      </c>
      <c r="F281" s="31" t="s">
        <v>23</v>
      </c>
      <c r="G281" s="21" t="s">
        <v>199</v>
      </c>
      <c r="H281" s="38" t="s">
        <v>1195</v>
      </c>
      <c r="I281" s="39">
        <v>44848</v>
      </c>
      <c r="J281" s="39">
        <v>44848</v>
      </c>
      <c r="K281" s="24" t="s">
        <v>35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82</v>
      </c>
    </row>
    <row r="282" spans="1:20" ht="23.25" customHeight="1">
      <c r="A282" s="20" t="s">
        <v>1196</v>
      </c>
      <c r="B282" s="22">
        <v>2022</v>
      </c>
      <c r="C282" s="90" t="s">
        <v>21</v>
      </c>
      <c r="D282" s="22" t="s">
        <v>1145</v>
      </c>
      <c r="E282" s="27" t="s">
        <v>1197</v>
      </c>
      <c r="F282" s="29" t="s">
        <v>23</v>
      </c>
      <c r="G282" s="20" t="s">
        <v>457</v>
      </c>
      <c r="H282" s="36" t="s">
        <v>1198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966</v>
      </c>
    </row>
    <row r="283" spans="1:20" ht="23.25" customHeight="1">
      <c r="A283" s="21" t="s">
        <v>1199</v>
      </c>
      <c r="B283" s="24">
        <v>2022</v>
      </c>
      <c r="C283" s="90" t="s">
        <v>21</v>
      </c>
      <c r="D283" s="24" t="s">
        <v>1200</v>
      </c>
      <c r="E283" s="30" t="s">
        <v>1201</v>
      </c>
      <c r="F283" s="31" t="s">
        <v>81</v>
      </c>
      <c r="G283" s="21" t="s">
        <v>72</v>
      </c>
      <c r="H283" s="38" t="s">
        <v>1202</v>
      </c>
      <c r="I283" s="39">
        <v>44852</v>
      </c>
      <c r="J283" s="39">
        <v>44855</v>
      </c>
      <c r="K283" s="24" t="s">
        <v>35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418</v>
      </c>
    </row>
    <row r="284" spans="1:20" ht="23.25" customHeight="1">
      <c r="A284" s="20" t="s">
        <v>1203</v>
      </c>
      <c r="B284" s="22">
        <v>2022</v>
      </c>
      <c r="C284" s="90" t="s">
        <v>21</v>
      </c>
      <c r="D284" s="22" t="s">
        <v>1204</v>
      </c>
      <c r="E284" s="27" t="s">
        <v>1205</v>
      </c>
      <c r="F284" s="29" t="s">
        <v>23</v>
      </c>
      <c r="G284" s="20" t="s">
        <v>24</v>
      </c>
      <c r="H284" s="36" t="s">
        <v>1206</v>
      </c>
      <c r="I284" s="37">
        <v>44854</v>
      </c>
      <c r="J284" s="37">
        <v>44854</v>
      </c>
      <c r="K284" s="22" t="s">
        <v>35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1207</v>
      </c>
    </row>
    <row r="285" spans="1:20" ht="23.25" customHeight="1">
      <c r="A285" s="21" t="s">
        <v>1208</v>
      </c>
      <c r="B285" s="24">
        <v>2022</v>
      </c>
      <c r="C285" s="90" t="s">
        <v>21</v>
      </c>
      <c r="D285" s="24" t="s">
        <v>1209</v>
      </c>
      <c r="E285" s="30" t="s">
        <v>1210</v>
      </c>
      <c r="F285" s="31" t="s">
        <v>81</v>
      </c>
      <c r="G285" s="21" t="s">
        <v>72</v>
      </c>
      <c r="H285" s="38" t="s">
        <v>1211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82</v>
      </c>
    </row>
    <row r="286" spans="1:20" ht="23.25" customHeight="1">
      <c r="A286" s="20" t="s">
        <v>1212</v>
      </c>
      <c r="B286" s="22">
        <v>2022</v>
      </c>
      <c r="C286" s="90" t="s">
        <v>21</v>
      </c>
      <c r="D286" s="22" t="s">
        <v>1213</v>
      </c>
      <c r="E286" s="27" t="s">
        <v>1214</v>
      </c>
      <c r="F286" s="29" t="s">
        <v>23</v>
      </c>
      <c r="G286" s="20" t="s">
        <v>38</v>
      </c>
      <c r="H286" s="36" t="s">
        <v>1215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1216</v>
      </c>
    </row>
    <row r="287" spans="1:20" ht="23.25" customHeight="1">
      <c r="A287" s="21" t="s">
        <v>1217</v>
      </c>
      <c r="B287" s="24">
        <v>2022</v>
      </c>
      <c r="C287" s="90" t="s">
        <v>21</v>
      </c>
      <c r="D287" s="24" t="s">
        <v>1218</v>
      </c>
      <c r="E287" s="30" t="s">
        <v>1219</v>
      </c>
      <c r="F287" s="31" t="s">
        <v>81</v>
      </c>
      <c r="G287" s="21" t="s">
        <v>72</v>
      </c>
      <c r="H287" s="38" t="s">
        <v>1220</v>
      </c>
      <c r="I287" s="39">
        <v>44869</v>
      </c>
      <c r="J287" s="39">
        <v>44869</v>
      </c>
      <c r="K287" s="24" t="s">
        <v>35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1042</v>
      </c>
    </row>
    <row r="288" spans="1:20" ht="23.25" customHeight="1">
      <c r="A288" s="20" t="s">
        <v>1221</v>
      </c>
      <c r="B288" s="22">
        <v>2022</v>
      </c>
      <c r="C288" s="90" t="s">
        <v>21</v>
      </c>
      <c r="D288" s="22"/>
      <c r="E288" s="27" t="s">
        <v>1222</v>
      </c>
      <c r="F288" s="29" t="s">
        <v>23</v>
      </c>
      <c r="G288" s="20" t="s">
        <v>199</v>
      </c>
      <c r="H288" s="36" t="s">
        <v>1220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>
      <c r="A289" s="21" t="s">
        <v>1223</v>
      </c>
      <c r="B289" s="24">
        <v>2022</v>
      </c>
      <c r="C289" s="90" t="s">
        <v>21</v>
      </c>
      <c r="D289" s="24" t="s">
        <v>1224</v>
      </c>
      <c r="E289" s="30" t="s">
        <v>1225</v>
      </c>
      <c r="F289" s="31" t="s">
        <v>225</v>
      </c>
      <c r="G289" s="21" t="s">
        <v>72</v>
      </c>
      <c r="H289" s="38" t="s">
        <v>1226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1227</v>
      </c>
    </row>
    <row r="290" spans="1:20" ht="23.25" customHeight="1">
      <c r="A290" s="20" t="s">
        <v>1228</v>
      </c>
      <c r="B290" s="22">
        <v>2022</v>
      </c>
      <c r="C290" s="90" t="s">
        <v>21</v>
      </c>
      <c r="D290" s="22" t="s">
        <v>1229</v>
      </c>
      <c r="E290" s="27" t="s">
        <v>1230</v>
      </c>
      <c r="F290" s="29" t="s">
        <v>23</v>
      </c>
      <c r="G290" s="20" t="s">
        <v>199</v>
      </c>
      <c r="H290" s="36" t="s">
        <v>1231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1232</v>
      </c>
    </row>
    <row r="291" spans="1:20" ht="23.25" customHeight="1">
      <c r="A291" s="21" t="s">
        <v>1233</v>
      </c>
      <c r="B291" s="24">
        <v>2022</v>
      </c>
      <c r="C291" s="90" t="s">
        <v>21</v>
      </c>
      <c r="D291" s="24" t="s">
        <v>1234</v>
      </c>
      <c r="E291" s="30" t="s">
        <v>1235</v>
      </c>
      <c r="F291" s="31" t="s">
        <v>225</v>
      </c>
      <c r="G291" s="21" t="s">
        <v>68</v>
      </c>
      <c r="H291" s="38" t="s">
        <v>1236</v>
      </c>
      <c r="I291" s="39">
        <v>44873</v>
      </c>
      <c r="J291" s="39">
        <v>44883</v>
      </c>
      <c r="K291" s="24" t="s">
        <v>35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418</v>
      </c>
    </row>
    <row r="292" spans="1:20" ht="23.25" customHeight="1">
      <c r="A292" s="20" t="s">
        <v>1237</v>
      </c>
      <c r="B292" s="22">
        <v>2022</v>
      </c>
      <c r="C292" s="90" t="s">
        <v>21</v>
      </c>
      <c r="D292" s="22" t="s">
        <v>1089</v>
      </c>
      <c r="E292" s="27" t="s">
        <v>884</v>
      </c>
      <c r="F292" s="29" t="s">
        <v>81</v>
      </c>
      <c r="G292" s="20" t="s">
        <v>72</v>
      </c>
      <c r="H292" s="36" t="s">
        <v>1238</v>
      </c>
      <c r="I292" s="37">
        <v>44886</v>
      </c>
      <c r="J292" s="37">
        <v>44890</v>
      </c>
      <c r="K292" s="22" t="s">
        <v>35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1239</v>
      </c>
    </row>
    <row r="293" spans="1:20" ht="23.25" customHeight="1">
      <c r="A293" s="21" t="s">
        <v>1240</v>
      </c>
      <c r="B293" s="24">
        <v>2022</v>
      </c>
      <c r="C293" s="90" t="s">
        <v>21</v>
      </c>
      <c r="D293" s="24" t="s">
        <v>1241</v>
      </c>
      <c r="E293" s="30" t="s">
        <v>1242</v>
      </c>
      <c r="F293" s="31" t="s">
        <v>23</v>
      </c>
      <c r="G293" s="21" t="s">
        <v>68</v>
      </c>
      <c r="H293" s="38" t="s">
        <v>1243</v>
      </c>
      <c r="I293" s="39">
        <v>44887</v>
      </c>
      <c r="J293" s="39">
        <v>44890</v>
      </c>
      <c r="K293" s="24" t="s">
        <v>35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549</v>
      </c>
    </row>
    <row r="294" spans="1:20" ht="23.25" customHeight="1">
      <c r="A294" s="20" t="s">
        <v>1244</v>
      </c>
      <c r="B294" s="22">
        <v>2022</v>
      </c>
      <c r="C294" s="90" t="s">
        <v>21</v>
      </c>
      <c r="D294" s="22" t="s">
        <v>1245</v>
      </c>
      <c r="E294" s="27" t="s">
        <v>1246</v>
      </c>
      <c r="F294" s="29" t="s">
        <v>62</v>
      </c>
      <c r="G294" s="20" t="s">
        <v>72</v>
      </c>
      <c r="H294" s="36" t="s">
        <v>1247</v>
      </c>
      <c r="I294" s="37">
        <v>44909</v>
      </c>
      <c r="J294" s="37">
        <v>44909</v>
      </c>
      <c r="K294" s="22" t="s">
        <v>35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1248</v>
      </c>
    </row>
    <row r="295" spans="1:20" ht="23.25" customHeight="1">
      <c r="A295" s="21" t="s">
        <v>1249</v>
      </c>
      <c r="B295" s="24">
        <v>2023</v>
      </c>
      <c r="C295" s="90" t="s">
        <v>21</v>
      </c>
      <c r="D295" s="24" t="s">
        <v>1250</v>
      </c>
      <c r="E295" s="30" t="s">
        <v>1251</v>
      </c>
      <c r="F295" s="31" t="s">
        <v>23</v>
      </c>
      <c r="G295" s="21" t="s">
        <v>38</v>
      </c>
      <c r="H295" s="38" t="s">
        <v>1252</v>
      </c>
      <c r="I295" s="39">
        <v>44952</v>
      </c>
      <c r="J295" s="39">
        <v>44952</v>
      </c>
      <c r="K295" s="24" t="s">
        <v>35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1253</v>
      </c>
    </row>
    <row r="296" spans="1:20" ht="23.25" customHeight="1">
      <c r="A296" s="20" t="s">
        <v>1254</v>
      </c>
      <c r="B296" s="22">
        <v>2023</v>
      </c>
      <c r="C296" s="90" t="s">
        <v>21</v>
      </c>
      <c r="D296" s="22" t="s">
        <v>1255</v>
      </c>
      <c r="E296" s="27" t="s">
        <v>1256</v>
      </c>
      <c r="F296" s="29" t="s">
        <v>23</v>
      </c>
      <c r="G296" s="20" t="s">
        <v>199</v>
      </c>
      <c r="H296" s="36" t="s">
        <v>1257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1258</v>
      </c>
    </row>
    <row r="297" spans="1:20" ht="23.25" customHeight="1">
      <c r="A297" s="21" t="s">
        <v>1259</v>
      </c>
      <c r="B297" s="24">
        <v>2023</v>
      </c>
      <c r="C297" s="90" t="s">
        <v>21</v>
      </c>
      <c r="D297" s="24" t="s">
        <v>1260</v>
      </c>
      <c r="E297" s="30" t="s">
        <v>1261</v>
      </c>
      <c r="F297" s="31" t="s">
        <v>62</v>
      </c>
      <c r="G297" s="21" t="s">
        <v>72</v>
      </c>
      <c r="H297" s="38" t="s">
        <v>1262</v>
      </c>
      <c r="I297" s="39">
        <v>44984</v>
      </c>
      <c r="J297" s="39">
        <v>44988</v>
      </c>
      <c r="K297" s="24" t="s">
        <v>35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74</v>
      </c>
    </row>
    <row r="298" spans="1:20" ht="23.25" customHeight="1">
      <c r="A298" s="20" t="s">
        <v>1263</v>
      </c>
      <c r="B298" s="22">
        <v>2023</v>
      </c>
      <c r="C298" s="90" t="s">
        <v>21</v>
      </c>
      <c r="D298" s="22"/>
      <c r="E298" s="27" t="s">
        <v>1264</v>
      </c>
      <c r="F298" s="29" t="s">
        <v>23</v>
      </c>
      <c r="G298" s="20" t="s">
        <v>199</v>
      </c>
      <c r="H298" s="36" t="s">
        <v>1265</v>
      </c>
      <c r="I298" s="37">
        <v>44985</v>
      </c>
      <c r="J298" s="37">
        <v>44985</v>
      </c>
      <c r="K298" s="22" t="s">
        <v>35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1266</v>
      </c>
    </row>
    <row r="299" spans="1:20" ht="23.25" customHeight="1">
      <c r="A299" s="21" t="s">
        <v>1267</v>
      </c>
      <c r="B299" s="24">
        <v>2023</v>
      </c>
      <c r="C299" s="90" t="s">
        <v>21</v>
      </c>
      <c r="D299" s="24" t="s">
        <v>1268</v>
      </c>
      <c r="E299" s="30" t="s">
        <v>1269</v>
      </c>
      <c r="F299" s="31" t="s">
        <v>23</v>
      </c>
      <c r="G299" s="21" t="s">
        <v>68</v>
      </c>
      <c r="H299" s="38" t="s">
        <v>1265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1270</v>
      </c>
    </row>
    <row r="300" spans="1:20" ht="23.25" customHeight="1">
      <c r="A300" s="20" t="s">
        <v>1271</v>
      </c>
      <c r="B300" s="22">
        <v>2023</v>
      </c>
      <c r="C300" s="90" t="s">
        <v>21</v>
      </c>
      <c r="D300" s="22" t="s">
        <v>1272</v>
      </c>
      <c r="E300" s="27" t="s">
        <v>1273</v>
      </c>
      <c r="F300" s="29" t="s">
        <v>81</v>
      </c>
      <c r="G300" s="20" t="s">
        <v>72</v>
      </c>
      <c r="H300" s="36" t="s">
        <v>1274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1275</v>
      </c>
    </row>
    <row r="301" spans="1:20" ht="23.25" customHeight="1">
      <c r="A301" s="21" t="s">
        <v>1276</v>
      </c>
      <c r="B301" s="24">
        <v>2023</v>
      </c>
      <c r="C301" s="90" t="s">
        <v>21</v>
      </c>
      <c r="D301" s="24" t="s">
        <v>1277</v>
      </c>
      <c r="E301" s="30" t="s">
        <v>1278</v>
      </c>
      <c r="F301" s="31" t="s">
        <v>81</v>
      </c>
      <c r="G301" s="21" t="s">
        <v>199</v>
      </c>
      <c r="H301" s="38" t="s">
        <v>1279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1280</v>
      </c>
    </row>
    <row r="302" spans="1:20" ht="23.25" customHeight="1">
      <c r="A302" s="20" t="s">
        <v>1281</v>
      </c>
      <c r="B302" s="22">
        <v>2023</v>
      </c>
      <c r="C302" s="90" t="s">
        <v>21</v>
      </c>
      <c r="D302" s="22" t="s">
        <v>1282</v>
      </c>
      <c r="E302" s="27" t="s">
        <v>1283</v>
      </c>
      <c r="F302" s="29" t="s">
        <v>23</v>
      </c>
      <c r="G302" s="20" t="s">
        <v>24</v>
      </c>
      <c r="H302" s="36" t="s">
        <v>1284</v>
      </c>
      <c r="I302" s="37">
        <v>44992</v>
      </c>
      <c r="J302" s="37">
        <v>45001</v>
      </c>
      <c r="K302" s="22" t="s">
        <v>35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549</v>
      </c>
    </row>
    <row r="303" spans="1:20" ht="23.25" customHeight="1">
      <c r="A303" s="21" t="s">
        <v>1285</v>
      </c>
      <c r="B303" s="24">
        <v>2023</v>
      </c>
      <c r="C303" s="90" t="s">
        <v>21</v>
      </c>
      <c r="D303" s="24" t="s">
        <v>1286</v>
      </c>
      <c r="E303" s="30" t="s">
        <v>1287</v>
      </c>
      <c r="F303" s="31" t="s">
        <v>23</v>
      </c>
      <c r="G303" s="21" t="s">
        <v>199</v>
      </c>
      <c r="H303" s="38" t="s">
        <v>1288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1289</v>
      </c>
    </row>
    <row r="304" spans="1:20" ht="23.25" customHeight="1">
      <c r="A304" s="20" t="s">
        <v>1290</v>
      </c>
      <c r="B304" s="22">
        <v>2023</v>
      </c>
      <c r="C304" s="90" t="s">
        <v>21</v>
      </c>
      <c r="D304" s="22" t="s">
        <v>1277</v>
      </c>
      <c r="E304" s="27" t="s">
        <v>1291</v>
      </c>
      <c r="F304" s="29" t="s">
        <v>23</v>
      </c>
      <c r="G304" s="20" t="s">
        <v>199</v>
      </c>
      <c r="H304" s="36" t="s">
        <v>1292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1293</v>
      </c>
    </row>
    <row r="305" spans="1:20" ht="23.25" customHeight="1">
      <c r="A305" s="21" t="s">
        <v>1294</v>
      </c>
      <c r="B305" s="24">
        <v>2023</v>
      </c>
      <c r="C305" s="90" t="s">
        <v>21</v>
      </c>
      <c r="D305" s="24" t="s">
        <v>1295</v>
      </c>
      <c r="E305" s="30" t="s">
        <v>1296</v>
      </c>
      <c r="F305" s="31" t="s">
        <v>23</v>
      </c>
      <c r="G305" s="21" t="s">
        <v>199</v>
      </c>
      <c r="H305" s="38" t="s">
        <v>1297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1298</v>
      </c>
    </row>
    <row r="306" spans="1:20" ht="23.25" customHeight="1">
      <c r="A306" s="20" t="s">
        <v>1299</v>
      </c>
      <c r="B306" s="22">
        <v>2023</v>
      </c>
      <c r="C306" s="90" t="s">
        <v>21</v>
      </c>
      <c r="D306" s="22" t="s">
        <v>1300</v>
      </c>
      <c r="E306" s="27" t="s">
        <v>1301</v>
      </c>
      <c r="F306" s="29" t="s">
        <v>23</v>
      </c>
      <c r="G306" s="20" t="s">
        <v>364</v>
      </c>
      <c r="H306" s="36" t="s">
        <v>1302</v>
      </c>
      <c r="I306" s="37">
        <v>45000</v>
      </c>
      <c r="J306" s="37">
        <v>45006</v>
      </c>
      <c r="K306" s="22" t="s">
        <v>35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>
      <c r="A307" s="21" t="s">
        <v>1303</v>
      </c>
      <c r="B307" s="24">
        <v>2023</v>
      </c>
      <c r="C307" s="90" t="s">
        <v>21</v>
      </c>
      <c r="D307" s="24" t="s">
        <v>1304</v>
      </c>
      <c r="E307" s="30" t="s">
        <v>1305</v>
      </c>
      <c r="F307" s="31" t="s">
        <v>23</v>
      </c>
      <c r="G307" s="21" t="s">
        <v>68</v>
      </c>
      <c r="H307" s="38" t="s">
        <v>1306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726</v>
      </c>
    </row>
    <row r="308" spans="1:20" ht="23.25" customHeight="1">
      <c r="A308" s="20" t="s">
        <v>1307</v>
      </c>
      <c r="B308" s="22">
        <v>2023</v>
      </c>
      <c r="C308" s="90" t="s">
        <v>21</v>
      </c>
      <c r="D308" s="22" t="s">
        <v>1308</v>
      </c>
      <c r="E308" s="27" t="s">
        <v>1072</v>
      </c>
      <c r="F308" s="29" t="s">
        <v>23</v>
      </c>
      <c r="G308" s="20" t="s">
        <v>364</v>
      </c>
      <c r="H308" s="36" t="s">
        <v>1309</v>
      </c>
      <c r="I308" s="37">
        <v>45005</v>
      </c>
      <c r="J308" s="37">
        <v>45006</v>
      </c>
      <c r="K308" s="22" t="s">
        <v>35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1310</v>
      </c>
    </row>
    <row r="309" spans="1:20" ht="23.25" customHeight="1">
      <c r="A309" s="21" t="s">
        <v>1311</v>
      </c>
      <c r="B309" s="24">
        <v>2023</v>
      </c>
      <c r="C309" s="90" t="s">
        <v>21</v>
      </c>
      <c r="D309" s="24" t="s">
        <v>1312</v>
      </c>
      <c r="E309" s="30" t="s">
        <v>1313</v>
      </c>
      <c r="F309" s="31" t="s">
        <v>23</v>
      </c>
      <c r="G309" s="21" t="s">
        <v>364</v>
      </c>
      <c r="H309" s="38" t="s">
        <v>1314</v>
      </c>
      <c r="I309" s="39">
        <v>45007</v>
      </c>
      <c r="J309" s="39">
        <v>45008</v>
      </c>
      <c r="K309" s="24" t="s">
        <v>35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549</v>
      </c>
    </row>
    <row r="310" spans="1:20" ht="23.25" customHeight="1">
      <c r="A310" s="20" t="s">
        <v>1315</v>
      </c>
      <c r="B310" s="22">
        <v>2023</v>
      </c>
      <c r="C310" s="90" t="s">
        <v>21</v>
      </c>
      <c r="D310" s="22" t="s">
        <v>1316</v>
      </c>
      <c r="E310" s="35" t="s">
        <v>1317</v>
      </c>
      <c r="F310" s="29" t="s">
        <v>81</v>
      </c>
      <c r="G310" s="20" t="s">
        <v>72</v>
      </c>
      <c r="H310" s="36" t="s">
        <v>1318</v>
      </c>
      <c r="I310" s="37">
        <v>45008</v>
      </c>
      <c r="J310" s="37">
        <v>45008</v>
      </c>
      <c r="K310" s="22" t="s">
        <v>35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145</v>
      </c>
    </row>
    <row r="311" spans="1:20" ht="23.25" customHeight="1">
      <c r="A311" s="21" t="s">
        <v>1319</v>
      </c>
      <c r="B311" s="24">
        <v>2023</v>
      </c>
      <c r="C311" s="90" t="s">
        <v>21</v>
      </c>
      <c r="D311" s="24" t="s">
        <v>1320</v>
      </c>
      <c r="E311" s="34" t="s">
        <v>1321</v>
      </c>
      <c r="F311" s="31" t="s">
        <v>23</v>
      </c>
      <c r="G311" s="21" t="s">
        <v>199</v>
      </c>
      <c r="H311" s="38" t="s">
        <v>1322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1323</v>
      </c>
    </row>
    <row r="312" spans="1:20" ht="23.25" customHeight="1">
      <c r="A312" s="20" t="s">
        <v>1324</v>
      </c>
      <c r="B312" s="22">
        <v>2023</v>
      </c>
      <c r="C312" s="90" t="s">
        <v>21</v>
      </c>
      <c r="D312" s="22" t="s">
        <v>1325</v>
      </c>
      <c r="E312" s="27" t="s">
        <v>1326</v>
      </c>
      <c r="F312" s="29" t="s">
        <v>23</v>
      </c>
      <c r="G312" s="20" t="s">
        <v>68</v>
      </c>
      <c r="H312" s="36" t="s">
        <v>1322</v>
      </c>
      <c r="I312" s="37">
        <v>45009</v>
      </c>
      <c r="J312" s="37">
        <v>45009</v>
      </c>
      <c r="K312" s="22" t="s">
        <v>35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1327</v>
      </c>
    </row>
    <row r="313" spans="1:20" ht="23.25" customHeight="1">
      <c r="A313" s="21" t="s">
        <v>1328</v>
      </c>
      <c r="B313" s="24">
        <v>2023</v>
      </c>
      <c r="C313" s="90" t="s">
        <v>21</v>
      </c>
      <c r="D313" s="24" t="s">
        <v>1329</v>
      </c>
      <c r="E313" s="30" t="s">
        <v>1330</v>
      </c>
      <c r="F313" s="31" t="s">
        <v>23</v>
      </c>
      <c r="G313" s="21" t="s">
        <v>33</v>
      </c>
      <c r="H313" s="38" t="s">
        <v>1322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894</v>
      </c>
    </row>
    <row r="314" spans="1:20" ht="23.25" customHeight="1">
      <c r="A314" s="20" t="s">
        <v>1331</v>
      </c>
      <c r="B314" s="22">
        <v>2023</v>
      </c>
      <c r="C314" s="90" t="s">
        <v>21</v>
      </c>
      <c r="D314" s="22" t="s">
        <v>1260</v>
      </c>
      <c r="E314" s="27" t="s">
        <v>1332</v>
      </c>
      <c r="F314" s="29" t="s">
        <v>62</v>
      </c>
      <c r="G314" s="20" t="s">
        <v>72</v>
      </c>
      <c r="H314" s="36" t="s">
        <v>1333</v>
      </c>
      <c r="I314" s="37">
        <v>45012</v>
      </c>
      <c r="J314" s="37">
        <v>45016</v>
      </c>
      <c r="K314" s="22" t="s">
        <v>35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74</v>
      </c>
    </row>
    <row r="315" spans="1:20" ht="23.25" customHeight="1">
      <c r="A315" s="21" t="s">
        <v>1334</v>
      </c>
      <c r="B315" s="24">
        <v>2023</v>
      </c>
      <c r="C315" s="90" t="s">
        <v>21</v>
      </c>
      <c r="D315" s="24" t="s">
        <v>1335</v>
      </c>
      <c r="E315" s="30" t="s">
        <v>1336</v>
      </c>
      <c r="F315" s="31" t="s">
        <v>81</v>
      </c>
      <c r="G315" s="21" t="s">
        <v>72</v>
      </c>
      <c r="H315" s="38" t="s">
        <v>1337</v>
      </c>
      <c r="I315" s="39">
        <v>45015</v>
      </c>
      <c r="J315" s="39">
        <v>45015</v>
      </c>
      <c r="K315" s="24" t="s">
        <v>35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1338</v>
      </c>
    </row>
    <row r="316" spans="1:20" ht="23.25" customHeight="1">
      <c r="A316" s="20" t="s">
        <v>1339</v>
      </c>
      <c r="B316" s="22">
        <v>2023</v>
      </c>
      <c r="C316" s="90" t="s">
        <v>21</v>
      </c>
      <c r="D316" s="22" t="s">
        <v>1340</v>
      </c>
      <c r="E316" s="27" t="s">
        <v>1341</v>
      </c>
      <c r="F316" s="29" t="s">
        <v>23</v>
      </c>
      <c r="G316" s="20" t="s">
        <v>24</v>
      </c>
      <c r="H316" s="36" t="s">
        <v>1342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1343</v>
      </c>
    </row>
    <row r="317" spans="1:20" ht="23.25" customHeight="1">
      <c r="A317" s="21" t="s">
        <v>1344</v>
      </c>
      <c r="B317" s="24">
        <v>2023</v>
      </c>
      <c r="C317" s="90" t="s">
        <v>21</v>
      </c>
      <c r="D317" s="24" t="s">
        <v>1345</v>
      </c>
      <c r="E317" s="30" t="s">
        <v>1346</v>
      </c>
      <c r="F317" s="31" t="s">
        <v>23</v>
      </c>
      <c r="G317" s="21" t="s">
        <v>38</v>
      </c>
      <c r="H317" s="38" t="s">
        <v>1347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1348</v>
      </c>
    </row>
    <row r="318" spans="1:20" ht="23.25" customHeight="1">
      <c r="A318" s="20" t="s">
        <v>1349</v>
      </c>
      <c r="B318" s="22">
        <v>2023</v>
      </c>
      <c r="C318" s="90" t="s">
        <v>21</v>
      </c>
      <c r="D318" s="22" t="s">
        <v>1350</v>
      </c>
      <c r="E318" s="27" t="s">
        <v>1351</v>
      </c>
      <c r="F318" s="29" t="s">
        <v>81</v>
      </c>
      <c r="G318" s="20" t="s">
        <v>72</v>
      </c>
      <c r="H318" s="36" t="s">
        <v>1352</v>
      </c>
      <c r="I318" s="37">
        <v>45030</v>
      </c>
      <c r="J318" s="37">
        <v>45030</v>
      </c>
      <c r="K318" s="22" t="s">
        <v>35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418</v>
      </c>
    </row>
    <row r="319" spans="1:20" ht="23.25" customHeight="1">
      <c r="A319" s="21" t="s">
        <v>1353</v>
      </c>
      <c r="B319" s="24">
        <v>2023</v>
      </c>
      <c r="C319" s="90" t="s">
        <v>21</v>
      </c>
      <c r="D319" s="24" t="s">
        <v>1354</v>
      </c>
      <c r="E319" s="30" t="s">
        <v>1355</v>
      </c>
      <c r="F319" s="31" t="s">
        <v>23</v>
      </c>
      <c r="G319" s="21" t="s">
        <v>1356</v>
      </c>
      <c r="H319" s="38" t="s">
        <v>1357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1358</v>
      </c>
    </row>
    <row r="320" spans="1:20" ht="23.25" customHeight="1">
      <c r="A320" s="20" t="s">
        <v>1359</v>
      </c>
      <c r="B320" s="22">
        <v>2023</v>
      </c>
      <c r="C320" s="90" t="s">
        <v>21</v>
      </c>
      <c r="D320" s="22" t="s">
        <v>1354</v>
      </c>
      <c r="E320" s="27" t="s">
        <v>1360</v>
      </c>
      <c r="F320" s="29" t="s">
        <v>23</v>
      </c>
      <c r="G320" s="20" t="s">
        <v>1356</v>
      </c>
      <c r="H320" s="36" t="s">
        <v>1361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1358</v>
      </c>
    </row>
    <row r="321" spans="1:20" ht="23.25" customHeight="1">
      <c r="A321" s="21" t="s">
        <v>1362</v>
      </c>
      <c r="B321" s="24">
        <v>2023</v>
      </c>
      <c r="C321" s="90" t="s">
        <v>21</v>
      </c>
      <c r="D321" s="24" t="s">
        <v>1354</v>
      </c>
      <c r="E321" s="30" t="s">
        <v>1363</v>
      </c>
      <c r="F321" s="31" t="s">
        <v>23</v>
      </c>
      <c r="G321" s="21" t="s">
        <v>1356</v>
      </c>
      <c r="H321" s="38" t="s">
        <v>1361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1358</v>
      </c>
    </row>
    <row r="322" spans="1:20" ht="23.25" customHeight="1">
      <c r="A322" s="20" t="s">
        <v>1364</v>
      </c>
      <c r="B322" s="22">
        <v>2023</v>
      </c>
      <c r="C322" s="90" t="s">
        <v>21</v>
      </c>
      <c r="D322" s="22" t="s">
        <v>1365</v>
      </c>
      <c r="E322" s="27" t="s">
        <v>1366</v>
      </c>
      <c r="F322" s="29" t="s">
        <v>81</v>
      </c>
      <c r="G322" s="20" t="s">
        <v>72</v>
      </c>
      <c r="H322" s="36" t="s">
        <v>1361</v>
      </c>
      <c r="I322" s="37">
        <v>45034</v>
      </c>
      <c r="J322" s="37">
        <v>45034</v>
      </c>
      <c r="K322" s="22" t="s">
        <v>35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1367</v>
      </c>
    </row>
    <row r="323" spans="1:20" ht="23.25" customHeight="1">
      <c r="A323" s="21" t="s">
        <v>1368</v>
      </c>
      <c r="B323" s="24">
        <v>2023</v>
      </c>
      <c r="C323" s="90" t="s">
        <v>21</v>
      </c>
      <c r="D323" s="24" t="s">
        <v>1365</v>
      </c>
      <c r="E323" s="30" t="s">
        <v>1369</v>
      </c>
      <c r="F323" s="31" t="s">
        <v>81</v>
      </c>
      <c r="G323" s="21" t="s">
        <v>72</v>
      </c>
      <c r="H323" s="38" t="s">
        <v>1361</v>
      </c>
      <c r="I323" s="39">
        <v>45034</v>
      </c>
      <c r="J323" s="39">
        <v>45034</v>
      </c>
      <c r="K323" s="24" t="s">
        <v>35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1367</v>
      </c>
    </row>
    <row r="324" spans="1:20" ht="23.25" customHeight="1">
      <c r="A324" s="20" t="s">
        <v>1370</v>
      </c>
      <c r="B324" s="22">
        <v>2023</v>
      </c>
      <c r="C324" s="90" t="s">
        <v>21</v>
      </c>
      <c r="D324" s="22" t="s">
        <v>1365</v>
      </c>
      <c r="E324" s="27" t="s">
        <v>1371</v>
      </c>
      <c r="F324" s="29" t="s">
        <v>81</v>
      </c>
      <c r="G324" s="20" t="s">
        <v>72</v>
      </c>
      <c r="H324" s="36" t="s">
        <v>1372</v>
      </c>
      <c r="I324" s="37">
        <v>45035</v>
      </c>
      <c r="J324" s="37">
        <v>45035</v>
      </c>
      <c r="K324" s="22" t="s">
        <v>35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1367</v>
      </c>
    </row>
    <row r="325" spans="1:20" ht="23.25" customHeight="1">
      <c r="A325" s="21" t="s">
        <v>1373</v>
      </c>
      <c r="B325" s="24">
        <v>2023</v>
      </c>
      <c r="C325" s="90" t="s">
        <v>21</v>
      </c>
      <c r="D325" s="24" t="s">
        <v>1365</v>
      </c>
      <c r="E325" s="30" t="s">
        <v>1374</v>
      </c>
      <c r="F325" s="31" t="s">
        <v>81</v>
      </c>
      <c r="G325" s="21" t="s">
        <v>72</v>
      </c>
      <c r="H325" s="38" t="s">
        <v>1372</v>
      </c>
      <c r="I325" s="39">
        <v>45035</v>
      </c>
      <c r="J325" s="39">
        <v>45035</v>
      </c>
      <c r="K325" s="24" t="s">
        <v>35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1367</v>
      </c>
    </row>
    <row r="326" spans="1:20" ht="23.25" customHeight="1">
      <c r="A326" s="20" t="s">
        <v>1375</v>
      </c>
      <c r="B326" s="22">
        <v>2023</v>
      </c>
      <c r="C326" s="90" t="s">
        <v>21</v>
      </c>
      <c r="D326" s="22" t="s">
        <v>1376</v>
      </c>
      <c r="E326" s="27" t="s">
        <v>1377</v>
      </c>
      <c r="F326" s="29" t="s">
        <v>23</v>
      </c>
      <c r="G326" s="20" t="s">
        <v>457</v>
      </c>
      <c r="H326" s="36" t="s">
        <v>1378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966</v>
      </c>
    </row>
    <row r="327" spans="1:20" ht="23.25" customHeight="1">
      <c r="A327" s="21" t="s">
        <v>1379</v>
      </c>
      <c r="B327" s="24">
        <v>2023</v>
      </c>
      <c r="C327" s="90" t="s">
        <v>21</v>
      </c>
      <c r="D327" s="24" t="s">
        <v>1260</v>
      </c>
      <c r="E327" s="30" t="s">
        <v>1380</v>
      </c>
      <c r="F327" s="31" t="s">
        <v>62</v>
      </c>
      <c r="G327" s="21" t="s">
        <v>72</v>
      </c>
      <c r="H327" s="38" t="s">
        <v>1381</v>
      </c>
      <c r="I327" s="39">
        <v>45040</v>
      </c>
      <c r="J327" s="39">
        <v>45044</v>
      </c>
      <c r="K327" s="24" t="s">
        <v>35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74</v>
      </c>
    </row>
    <row r="328" spans="1:20" ht="23.25" customHeight="1">
      <c r="A328" s="20" t="s">
        <v>1382</v>
      </c>
      <c r="B328" s="22">
        <v>2023</v>
      </c>
      <c r="C328" s="90" t="s">
        <v>21</v>
      </c>
      <c r="D328" s="22" t="s">
        <v>1383</v>
      </c>
      <c r="E328" s="27" t="s">
        <v>1384</v>
      </c>
      <c r="F328" s="29" t="s">
        <v>81</v>
      </c>
      <c r="G328" s="20" t="s">
        <v>72</v>
      </c>
      <c r="H328" s="36" t="s">
        <v>1385</v>
      </c>
      <c r="I328" s="37">
        <v>45041</v>
      </c>
      <c r="J328" s="37">
        <v>45043</v>
      </c>
      <c r="K328" s="22" t="s">
        <v>35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1386</v>
      </c>
    </row>
    <row r="329" spans="1:20" ht="23.25" customHeight="1">
      <c r="A329" s="21" t="s">
        <v>1387</v>
      </c>
      <c r="B329" s="24">
        <v>2023</v>
      </c>
      <c r="C329" s="90" t="s">
        <v>21</v>
      </c>
      <c r="D329" s="24" t="s">
        <v>1388</v>
      </c>
      <c r="E329" s="30" t="s">
        <v>1389</v>
      </c>
      <c r="F329" s="31" t="s">
        <v>62</v>
      </c>
      <c r="G329" s="21" t="s">
        <v>72</v>
      </c>
      <c r="H329" s="38" t="s">
        <v>1390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1391</v>
      </c>
    </row>
    <row r="330" spans="1:20" ht="23.25" customHeight="1">
      <c r="A330" s="20" t="s">
        <v>1392</v>
      </c>
      <c r="B330" s="22">
        <v>2023</v>
      </c>
      <c r="C330" s="90" t="s">
        <v>21</v>
      </c>
      <c r="D330" s="22" t="s">
        <v>1393</v>
      </c>
      <c r="E330" s="27" t="s">
        <v>1394</v>
      </c>
      <c r="F330" s="29" t="s">
        <v>23</v>
      </c>
      <c r="G330" s="20" t="s">
        <v>24</v>
      </c>
      <c r="H330" s="36" t="s">
        <v>1395</v>
      </c>
      <c r="I330" s="37">
        <v>45048</v>
      </c>
      <c r="J330" s="37">
        <v>45057</v>
      </c>
      <c r="K330" s="22" t="s">
        <v>35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549</v>
      </c>
    </row>
    <row r="331" spans="1:20" ht="23.25" customHeight="1">
      <c r="A331" s="21" t="s">
        <v>1396</v>
      </c>
      <c r="B331" s="24">
        <v>2023</v>
      </c>
      <c r="C331" s="90" t="s">
        <v>21</v>
      </c>
      <c r="D331" s="24" t="s">
        <v>1397</v>
      </c>
      <c r="E331" s="30" t="s">
        <v>1398</v>
      </c>
      <c r="F331" s="31" t="s">
        <v>23</v>
      </c>
      <c r="G331" s="21" t="s">
        <v>33</v>
      </c>
      <c r="H331" s="38" t="s">
        <v>1399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1400</v>
      </c>
    </row>
    <row r="332" spans="1:20" ht="23.25" customHeight="1">
      <c r="A332" s="20" t="s">
        <v>1401</v>
      </c>
      <c r="B332" s="22">
        <v>2023</v>
      </c>
      <c r="C332" s="90" t="s">
        <v>21</v>
      </c>
      <c r="D332" s="22" t="s">
        <v>1354</v>
      </c>
      <c r="E332" s="27" t="s">
        <v>1402</v>
      </c>
      <c r="F332" s="29" t="s">
        <v>23</v>
      </c>
      <c r="G332" s="20" t="s">
        <v>1356</v>
      </c>
      <c r="H332" s="36" t="s">
        <v>1403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1404</v>
      </c>
    </row>
    <row r="333" spans="1:20" ht="23.25" customHeight="1">
      <c r="A333" s="21" t="s">
        <v>1405</v>
      </c>
      <c r="B333" s="24">
        <v>2023</v>
      </c>
      <c r="C333" s="90" t="s">
        <v>21</v>
      </c>
      <c r="D333" s="24" t="s">
        <v>1406</v>
      </c>
      <c r="E333" s="30" t="s">
        <v>1407</v>
      </c>
      <c r="F333" s="31" t="s">
        <v>23</v>
      </c>
      <c r="G333" s="21" t="s">
        <v>38</v>
      </c>
      <c r="H333" s="38" t="s">
        <v>1408</v>
      </c>
      <c r="I333" s="39">
        <v>45071</v>
      </c>
      <c r="J333" s="39">
        <v>45071</v>
      </c>
      <c r="K333" s="24" t="s">
        <v>35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1409</v>
      </c>
    </row>
    <row r="334" spans="1:20" ht="23.25" customHeight="1">
      <c r="A334" s="20" t="s">
        <v>1410</v>
      </c>
      <c r="B334" s="22">
        <v>2023</v>
      </c>
      <c r="C334" s="90" t="s">
        <v>21</v>
      </c>
      <c r="D334" s="22" t="s">
        <v>1376</v>
      </c>
      <c r="E334" s="27" t="s">
        <v>1411</v>
      </c>
      <c r="F334" s="29" t="s">
        <v>23</v>
      </c>
      <c r="G334" s="20" t="s">
        <v>457</v>
      </c>
      <c r="H334" s="36" t="s">
        <v>1412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966</v>
      </c>
    </row>
    <row r="335" spans="1:20" ht="23.25" customHeight="1">
      <c r="A335" s="21" t="s">
        <v>1413</v>
      </c>
      <c r="B335" s="24">
        <v>2023</v>
      </c>
      <c r="C335" s="90" t="s">
        <v>21</v>
      </c>
      <c r="D335" s="24" t="s">
        <v>1414</v>
      </c>
      <c r="E335" s="30" t="s">
        <v>1415</v>
      </c>
      <c r="F335" s="31" t="s">
        <v>23</v>
      </c>
      <c r="G335" s="21" t="s">
        <v>68</v>
      </c>
      <c r="H335" s="38" t="s">
        <v>1416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1417</v>
      </c>
    </row>
    <row r="336" spans="1:20" ht="23.25" customHeight="1">
      <c r="A336" s="20" t="s">
        <v>1418</v>
      </c>
      <c r="B336" s="22">
        <v>2023</v>
      </c>
      <c r="C336" s="90" t="s">
        <v>21</v>
      </c>
      <c r="D336" s="22" t="s">
        <v>1419</v>
      </c>
      <c r="E336" s="35" t="s">
        <v>1420</v>
      </c>
      <c r="F336" s="29" t="s">
        <v>62</v>
      </c>
      <c r="G336" s="20" t="s">
        <v>72</v>
      </c>
      <c r="H336" s="36" t="s">
        <v>1421</v>
      </c>
      <c r="I336" s="37">
        <v>45096</v>
      </c>
      <c r="J336" s="37">
        <v>45100</v>
      </c>
      <c r="K336" s="22" t="s">
        <v>35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1422</v>
      </c>
    </row>
    <row r="337" spans="1:20" ht="23.25" customHeight="1">
      <c r="A337" s="21" t="s">
        <v>1423</v>
      </c>
      <c r="B337" s="24">
        <v>2023</v>
      </c>
      <c r="C337" s="90" t="s">
        <v>21</v>
      </c>
      <c r="D337" s="24" t="s">
        <v>1414</v>
      </c>
      <c r="E337" s="30" t="s">
        <v>1424</v>
      </c>
      <c r="F337" s="31" t="s">
        <v>23</v>
      </c>
      <c r="G337" s="21" t="s">
        <v>68</v>
      </c>
      <c r="H337" s="38" t="s">
        <v>1425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1426</v>
      </c>
    </row>
    <row r="338" spans="1:20" ht="23.25" customHeight="1">
      <c r="A338" s="20" t="s">
        <v>1427</v>
      </c>
      <c r="B338" s="22">
        <v>2023</v>
      </c>
      <c r="C338" s="90" t="s">
        <v>21</v>
      </c>
      <c r="D338" s="22" t="s">
        <v>1428</v>
      </c>
      <c r="E338" s="27" t="s">
        <v>1429</v>
      </c>
      <c r="F338" s="29" t="s">
        <v>81</v>
      </c>
      <c r="G338" s="20" t="s">
        <v>72</v>
      </c>
      <c r="H338" s="36" t="s">
        <v>1430</v>
      </c>
      <c r="I338" s="37">
        <v>45103</v>
      </c>
      <c r="J338" s="37">
        <v>45107</v>
      </c>
      <c r="K338" s="22" t="s">
        <v>35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418</v>
      </c>
    </row>
    <row r="339" spans="1:20" ht="23.25" customHeight="1">
      <c r="A339" s="21" t="s">
        <v>1431</v>
      </c>
      <c r="B339" s="24">
        <v>2023</v>
      </c>
      <c r="C339" s="90" t="s">
        <v>21</v>
      </c>
      <c r="D339" s="24" t="s">
        <v>1432</v>
      </c>
      <c r="E339" s="30" t="s">
        <v>1433</v>
      </c>
      <c r="F339" s="31" t="s">
        <v>81</v>
      </c>
      <c r="G339" s="21" t="s">
        <v>72</v>
      </c>
      <c r="H339" s="38" t="s">
        <v>1434</v>
      </c>
      <c r="I339" s="39">
        <v>45103</v>
      </c>
      <c r="J339" s="39">
        <v>45103</v>
      </c>
      <c r="K339" s="24" t="s">
        <v>35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1023</v>
      </c>
    </row>
    <row r="340" spans="1:20" ht="23.25" customHeight="1">
      <c r="A340" s="20" t="s">
        <v>1435</v>
      </c>
      <c r="B340" s="22">
        <v>2023</v>
      </c>
      <c r="C340" s="90" t="s">
        <v>21</v>
      </c>
      <c r="D340" s="22" t="s">
        <v>1436</v>
      </c>
      <c r="E340" s="27" t="s">
        <v>1437</v>
      </c>
      <c r="F340" s="29" t="s">
        <v>23</v>
      </c>
      <c r="G340" s="20" t="s">
        <v>38</v>
      </c>
      <c r="H340" s="36" t="s">
        <v>1438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1439</v>
      </c>
    </row>
    <row r="341" spans="1:20" ht="23.25" customHeight="1">
      <c r="A341" s="21" t="s">
        <v>1440</v>
      </c>
      <c r="B341" s="24">
        <v>2023</v>
      </c>
      <c r="C341" s="90" t="s">
        <v>21</v>
      </c>
      <c r="D341" s="24" t="s">
        <v>1441</v>
      </c>
      <c r="E341" s="34" t="s">
        <v>1442</v>
      </c>
      <c r="F341" s="31" t="s">
        <v>23</v>
      </c>
      <c r="G341" s="21" t="s">
        <v>38</v>
      </c>
      <c r="H341" s="24" t="s">
        <v>1443</v>
      </c>
      <c r="I341" s="39">
        <v>45110</v>
      </c>
      <c r="J341" s="39">
        <v>45111</v>
      </c>
      <c r="K341" s="24" t="s">
        <v>35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1055</v>
      </c>
    </row>
    <row r="342" spans="1:20" ht="23.25" customHeight="1">
      <c r="A342" s="20" t="s">
        <v>1444</v>
      </c>
      <c r="B342" s="22">
        <v>2023</v>
      </c>
      <c r="C342" s="90" t="s">
        <v>21</v>
      </c>
      <c r="D342" s="22" t="s">
        <v>1445</v>
      </c>
      <c r="E342" s="27" t="s">
        <v>1446</v>
      </c>
      <c r="F342" s="29" t="s">
        <v>81</v>
      </c>
      <c r="G342" s="20" t="s">
        <v>72</v>
      </c>
      <c r="H342" s="36" t="s">
        <v>1447</v>
      </c>
      <c r="I342" s="37">
        <v>45114</v>
      </c>
      <c r="J342" s="37">
        <v>45114</v>
      </c>
      <c r="K342" s="22" t="s">
        <v>35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1023</v>
      </c>
    </row>
    <row r="343" spans="1:20" ht="23.25" customHeight="1">
      <c r="A343" s="21" t="s">
        <v>1448</v>
      </c>
      <c r="B343" s="24">
        <v>2023</v>
      </c>
      <c r="C343" s="90" t="s">
        <v>21</v>
      </c>
      <c r="D343" s="24" t="s">
        <v>1449</v>
      </c>
      <c r="E343" s="30" t="s">
        <v>1450</v>
      </c>
      <c r="F343" s="31" t="s">
        <v>23</v>
      </c>
      <c r="G343" s="21" t="s">
        <v>364</v>
      </c>
      <c r="H343" s="38" t="s">
        <v>1451</v>
      </c>
      <c r="I343" s="39">
        <v>45131</v>
      </c>
      <c r="J343" s="39">
        <v>45135</v>
      </c>
      <c r="K343" s="24" t="s">
        <v>35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1452</v>
      </c>
    </row>
    <row r="344" spans="1:20" ht="23.25" customHeight="1">
      <c r="A344" s="20" t="s">
        <v>1453</v>
      </c>
      <c r="B344" s="22">
        <v>2023</v>
      </c>
      <c r="C344" s="90" t="s">
        <v>21</v>
      </c>
      <c r="D344" s="22" t="s">
        <v>1454</v>
      </c>
      <c r="E344" s="27" t="s">
        <v>1455</v>
      </c>
      <c r="F344" s="29" t="s">
        <v>23</v>
      </c>
      <c r="G344" s="20" t="s">
        <v>364</v>
      </c>
      <c r="H344" s="36" t="s">
        <v>1451</v>
      </c>
      <c r="I344" s="37">
        <v>45131</v>
      </c>
      <c r="J344" s="37">
        <v>45135</v>
      </c>
      <c r="K344" s="22" t="s">
        <v>35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1456</v>
      </c>
    </row>
    <row r="345" spans="1:20" ht="23.25" customHeight="1">
      <c r="A345" s="21" t="s">
        <v>1457</v>
      </c>
      <c r="B345" s="24">
        <v>2023</v>
      </c>
      <c r="C345" s="90" t="s">
        <v>21</v>
      </c>
      <c r="D345" s="24" t="s">
        <v>1454</v>
      </c>
      <c r="E345" s="30" t="s">
        <v>1458</v>
      </c>
      <c r="F345" s="31" t="s">
        <v>23</v>
      </c>
      <c r="G345" s="21" t="s">
        <v>364</v>
      </c>
      <c r="H345" s="38" t="s">
        <v>1451</v>
      </c>
      <c r="I345" s="39">
        <v>45131</v>
      </c>
      <c r="J345" s="39">
        <v>45135</v>
      </c>
      <c r="K345" s="24" t="s">
        <v>35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1456</v>
      </c>
    </row>
    <row r="346" spans="1:20" ht="23.25" customHeight="1">
      <c r="A346" s="20" t="s">
        <v>1459</v>
      </c>
      <c r="B346" s="22">
        <v>2023</v>
      </c>
      <c r="C346" s="90" t="s">
        <v>21</v>
      </c>
      <c r="D346" s="22" t="s">
        <v>1354</v>
      </c>
      <c r="E346" s="27" t="s">
        <v>1460</v>
      </c>
      <c r="F346" s="29" t="s">
        <v>23</v>
      </c>
      <c r="G346" s="20" t="s">
        <v>1356</v>
      </c>
      <c r="H346" s="36" t="s">
        <v>1461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1462</v>
      </c>
    </row>
    <row r="347" spans="1:20" ht="23.25" customHeight="1">
      <c r="A347" s="21" t="s">
        <v>1463</v>
      </c>
      <c r="B347" s="24">
        <v>2023</v>
      </c>
      <c r="C347" s="90" t="s">
        <v>21</v>
      </c>
      <c r="D347" s="24" t="s">
        <v>1464</v>
      </c>
      <c r="E347" s="30" t="s">
        <v>1465</v>
      </c>
      <c r="F347" s="31" t="s">
        <v>62</v>
      </c>
      <c r="G347" s="21" t="s">
        <v>72</v>
      </c>
      <c r="H347" s="38" t="s">
        <v>1466</v>
      </c>
      <c r="I347" s="39">
        <v>45141</v>
      </c>
      <c r="J347" s="39">
        <v>45142</v>
      </c>
      <c r="K347" s="24" t="s">
        <v>35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1467</v>
      </c>
    </row>
    <row r="348" spans="1:20" ht="23.25" customHeight="1">
      <c r="A348" s="20" t="s">
        <v>1468</v>
      </c>
      <c r="B348" s="22">
        <v>2023</v>
      </c>
      <c r="C348" s="90" t="s">
        <v>21</v>
      </c>
      <c r="D348" s="22" t="s">
        <v>1469</v>
      </c>
      <c r="E348" s="27" t="s">
        <v>1470</v>
      </c>
      <c r="F348" s="29" t="s">
        <v>62</v>
      </c>
      <c r="G348" s="20" t="s">
        <v>72</v>
      </c>
      <c r="H348" s="36" t="s">
        <v>1471</v>
      </c>
      <c r="I348" s="37">
        <v>45145</v>
      </c>
      <c r="J348" s="37">
        <v>45146</v>
      </c>
      <c r="K348" s="22" t="s">
        <v>35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1472</v>
      </c>
    </row>
    <row r="349" spans="1:20" ht="23.25" customHeight="1">
      <c r="A349" s="21" t="s">
        <v>1473</v>
      </c>
      <c r="B349" s="24">
        <v>2023</v>
      </c>
      <c r="C349" s="90" t="s">
        <v>21</v>
      </c>
      <c r="D349" s="24" t="s">
        <v>1474</v>
      </c>
      <c r="E349" s="30" t="s">
        <v>1475</v>
      </c>
      <c r="F349" s="31" t="s">
        <v>23</v>
      </c>
      <c r="G349" s="21" t="s">
        <v>457</v>
      </c>
      <c r="H349" s="38" t="s">
        <v>1476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966</v>
      </c>
    </row>
    <row r="350" spans="1:20" ht="23.25" customHeight="1">
      <c r="A350" s="20" t="s">
        <v>1477</v>
      </c>
      <c r="B350" s="22">
        <v>2023</v>
      </c>
      <c r="C350" s="90" t="s">
        <v>21</v>
      </c>
      <c r="D350" s="22" t="s">
        <v>1478</v>
      </c>
      <c r="E350" s="27" t="s">
        <v>1479</v>
      </c>
      <c r="F350" s="29" t="s">
        <v>62</v>
      </c>
      <c r="G350" s="20" t="s">
        <v>72</v>
      </c>
      <c r="H350" s="36" t="s">
        <v>1480</v>
      </c>
      <c r="I350" s="37">
        <v>45145</v>
      </c>
      <c r="J350" s="37">
        <v>45146</v>
      </c>
      <c r="K350" s="22" t="s">
        <v>35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935</v>
      </c>
    </row>
    <row r="351" spans="1:20" ht="23.25" customHeight="1">
      <c r="A351" s="21" t="s">
        <v>1481</v>
      </c>
      <c r="B351" s="24">
        <v>2023</v>
      </c>
      <c r="C351" s="90" t="s">
        <v>21</v>
      </c>
      <c r="D351" s="24" t="s">
        <v>1482</v>
      </c>
      <c r="E351" s="30" t="s">
        <v>1483</v>
      </c>
      <c r="F351" s="31" t="s">
        <v>62</v>
      </c>
      <c r="G351" s="21" t="s">
        <v>72</v>
      </c>
      <c r="H351" s="38" t="s">
        <v>1484</v>
      </c>
      <c r="I351" s="39">
        <v>45145</v>
      </c>
      <c r="J351" s="39">
        <v>45145</v>
      </c>
      <c r="K351" s="24" t="s">
        <v>35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1485</v>
      </c>
    </row>
    <row r="352" spans="1:20" ht="23.25" customHeight="1">
      <c r="A352" s="20" t="s">
        <v>1486</v>
      </c>
      <c r="B352" s="22">
        <v>2023</v>
      </c>
      <c r="C352" s="90" t="s">
        <v>21</v>
      </c>
      <c r="D352" s="22" t="s">
        <v>1487</v>
      </c>
      <c r="E352" s="27" t="s">
        <v>1488</v>
      </c>
      <c r="F352" s="29" t="s">
        <v>62</v>
      </c>
      <c r="G352" s="20" t="s">
        <v>72</v>
      </c>
      <c r="H352" s="36" t="s">
        <v>1489</v>
      </c>
      <c r="I352" s="37">
        <v>45146</v>
      </c>
      <c r="J352" s="37">
        <v>45146</v>
      </c>
      <c r="K352" s="22" t="s">
        <v>35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1490</v>
      </c>
    </row>
    <row r="353" spans="1:20" ht="23.25" customHeight="1">
      <c r="A353" s="21" t="s">
        <v>1491</v>
      </c>
      <c r="B353" s="24">
        <v>2023</v>
      </c>
      <c r="C353" s="90" t="s">
        <v>21</v>
      </c>
      <c r="D353" s="24" t="s">
        <v>1354</v>
      </c>
      <c r="E353" s="30" t="s">
        <v>1492</v>
      </c>
      <c r="F353" s="31" t="s">
        <v>23</v>
      </c>
      <c r="G353" s="21" t="s">
        <v>1356</v>
      </c>
      <c r="H353" s="38" t="s">
        <v>1493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1404</v>
      </c>
    </row>
    <row r="354" spans="1:20" ht="23.25" customHeight="1">
      <c r="A354" s="20" t="s">
        <v>1494</v>
      </c>
      <c r="B354" s="22">
        <v>2023</v>
      </c>
      <c r="C354" s="90" t="s">
        <v>21</v>
      </c>
      <c r="D354" s="22" t="s">
        <v>1345</v>
      </c>
      <c r="E354" s="27" t="s">
        <v>1495</v>
      </c>
      <c r="F354" s="29" t="s">
        <v>23</v>
      </c>
      <c r="G354" s="20" t="s">
        <v>38</v>
      </c>
      <c r="H354" s="36" t="s">
        <v>1496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1348</v>
      </c>
    </row>
    <row r="355" spans="1:20" ht="23.25" customHeight="1">
      <c r="A355" s="21" t="s">
        <v>1497</v>
      </c>
      <c r="B355" s="24">
        <v>2023</v>
      </c>
      <c r="C355" s="90" t="s">
        <v>21</v>
      </c>
      <c r="D355" s="24" t="s">
        <v>1498</v>
      </c>
      <c r="E355" s="30" t="s">
        <v>1499</v>
      </c>
      <c r="F355" s="31" t="s">
        <v>23</v>
      </c>
      <c r="G355" s="21" t="s">
        <v>38</v>
      </c>
      <c r="H355" s="38" t="s">
        <v>1500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1501</v>
      </c>
    </row>
    <row r="356" spans="1:20" ht="23.25" customHeight="1">
      <c r="A356" s="20" t="s">
        <v>1502</v>
      </c>
      <c r="B356" s="22">
        <v>2023</v>
      </c>
      <c r="C356" s="90" t="s">
        <v>21</v>
      </c>
      <c r="D356" s="22" t="s">
        <v>1503</v>
      </c>
      <c r="E356" s="27" t="s">
        <v>1504</v>
      </c>
      <c r="F356" s="29" t="s">
        <v>23</v>
      </c>
      <c r="G356" s="20" t="s">
        <v>68</v>
      </c>
      <c r="H356" s="36" t="s">
        <v>1505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>
      <c r="A357" s="21" t="s">
        <v>1506</v>
      </c>
      <c r="B357" s="24">
        <v>2023</v>
      </c>
      <c r="C357" s="90" t="s">
        <v>21</v>
      </c>
      <c r="D357" s="24" t="s">
        <v>1449</v>
      </c>
      <c r="E357" s="30" t="s">
        <v>1507</v>
      </c>
      <c r="F357" s="31" t="s">
        <v>23</v>
      </c>
      <c r="G357" s="21" t="s">
        <v>364</v>
      </c>
      <c r="H357" s="38" t="s">
        <v>1508</v>
      </c>
      <c r="I357" s="39">
        <v>45159</v>
      </c>
      <c r="J357" s="39">
        <v>45163</v>
      </c>
      <c r="K357" s="24" t="s">
        <v>35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1452</v>
      </c>
    </row>
    <row r="358" spans="1:20" ht="23.25" customHeight="1">
      <c r="A358" s="20" t="s">
        <v>1509</v>
      </c>
      <c r="B358" s="22">
        <v>2023</v>
      </c>
      <c r="C358" s="90" t="s">
        <v>21</v>
      </c>
      <c r="D358" s="22" t="s">
        <v>1510</v>
      </c>
      <c r="E358" s="27" t="s">
        <v>1511</v>
      </c>
      <c r="F358" s="29" t="s">
        <v>23</v>
      </c>
      <c r="G358" s="20" t="s">
        <v>68</v>
      </c>
      <c r="H358" s="36" t="s">
        <v>1512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1513</v>
      </c>
    </row>
    <row r="359" spans="1:20" ht="23.25" customHeight="1">
      <c r="A359" s="21" t="s">
        <v>1514</v>
      </c>
      <c r="B359" s="24">
        <v>2023</v>
      </c>
      <c r="C359" s="90" t="s">
        <v>21</v>
      </c>
      <c r="D359" s="24" t="s">
        <v>1515</v>
      </c>
      <c r="E359" s="30" t="s">
        <v>1516</v>
      </c>
      <c r="F359" s="31" t="s">
        <v>23</v>
      </c>
      <c r="G359" s="21" t="s">
        <v>24</v>
      </c>
      <c r="H359" s="38" t="s">
        <v>1517</v>
      </c>
      <c r="I359" s="39">
        <v>45174</v>
      </c>
      <c r="J359" s="39">
        <v>45196</v>
      </c>
      <c r="K359" s="24" t="s">
        <v>35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571</v>
      </c>
    </row>
    <row r="360" spans="1:20" ht="23.25" customHeight="1">
      <c r="A360" s="20" t="s">
        <v>1518</v>
      </c>
      <c r="B360" s="22">
        <v>2023</v>
      </c>
      <c r="C360" s="90" t="s">
        <v>21</v>
      </c>
      <c r="D360" s="22" t="s">
        <v>1519</v>
      </c>
      <c r="E360" s="35" t="s">
        <v>1520</v>
      </c>
      <c r="F360" s="29" t="s">
        <v>62</v>
      </c>
      <c r="G360" s="20" t="s">
        <v>72</v>
      </c>
      <c r="H360" s="36" t="s">
        <v>1521</v>
      </c>
      <c r="I360" s="37">
        <v>45180</v>
      </c>
      <c r="J360" s="37">
        <v>45184</v>
      </c>
      <c r="K360" s="22" t="s">
        <v>35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1422</v>
      </c>
    </row>
    <row r="361" spans="1:20" ht="23.25" customHeight="1">
      <c r="A361" s="21" t="s">
        <v>1522</v>
      </c>
      <c r="B361" s="24">
        <v>2023</v>
      </c>
      <c r="C361" s="90" t="s">
        <v>21</v>
      </c>
      <c r="D361" s="24" t="s">
        <v>1523</v>
      </c>
      <c r="E361" s="30" t="s">
        <v>1524</v>
      </c>
      <c r="F361" s="31" t="s">
        <v>62</v>
      </c>
      <c r="G361" s="21" t="s">
        <v>72</v>
      </c>
      <c r="H361" s="38" t="s">
        <v>1525</v>
      </c>
      <c r="I361" s="39">
        <v>45181</v>
      </c>
      <c r="J361" s="39">
        <v>45190</v>
      </c>
      <c r="K361" s="24" t="s">
        <v>35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1526</v>
      </c>
    </row>
    <row r="362" spans="1:20" ht="23.25" customHeight="1">
      <c r="A362" s="20" t="s">
        <v>1527</v>
      </c>
      <c r="B362" s="22">
        <v>2023</v>
      </c>
      <c r="C362" s="90" t="s">
        <v>21</v>
      </c>
      <c r="D362" s="22" t="s">
        <v>1376</v>
      </c>
      <c r="E362" s="27" t="s">
        <v>1528</v>
      </c>
      <c r="F362" s="29" t="s">
        <v>23</v>
      </c>
      <c r="G362" s="20" t="s">
        <v>457</v>
      </c>
      <c r="H362" s="36" t="s">
        <v>1529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966</v>
      </c>
    </row>
    <row r="363" spans="1:20" ht="23.25" customHeight="1">
      <c r="A363" s="21" t="s">
        <v>1530</v>
      </c>
      <c r="B363" s="24">
        <v>2023</v>
      </c>
      <c r="C363" s="90" t="s">
        <v>21</v>
      </c>
      <c r="D363" s="24" t="s">
        <v>1531</v>
      </c>
      <c r="E363" s="30" t="s">
        <v>1170</v>
      </c>
      <c r="F363" s="31" t="s">
        <v>81</v>
      </c>
      <c r="G363" s="21" t="s">
        <v>72</v>
      </c>
      <c r="H363" s="38" t="s">
        <v>1532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1172</v>
      </c>
    </row>
    <row r="364" spans="1:20" ht="23.25" customHeight="1">
      <c r="A364" s="20" t="s">
        <v>1533</v>
      </c>
      <c r="B364" s="22">
        <v>2023</v>
      </c>
      <c r="C364" s="90" t="s">
        <v>21</v>
      </c>
      <c r="D364" s="22" t="s">
        <v>1534</v>
      </c>
      <c r="E364" s="35" t="s">
        <v>1535</v>
      </c>
      <c r="F364" s="29" t="s">
        <v>23</v>
      </c>
      <c r="G364" s="20" t="s">
        <v>38</v>
      </c>
      <c r="H364" s="36" t="s">
        <v>1536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1348</v>
      </c>
    </row>
    <row r="365" spans="1:20" ht="23.25" customHeight="1">
      <c r="A365" s="21" t="s">
        <v>1537</v>
      </c>
      <c r="B365" s="24">
        <v>2023</v>
      </c>
      <c r="C365" s="90" t="s">
        <v>21</v>
      </c>
      <c r="D365" s="24" t="s">
        <v>1345</v>
      </c>
      <c r="E365" s="30" t="s">
        <v>1538</v>
      </c>
      <c r="F365" s="31" t="s">
        <v>23</v>
      </c>
      <c r="G365" s="21" t="s">
        <v>38</v>
      </c>
      <c r="H365" s="38" t="s">
        <v>1539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1540</v>
      </c>
    </row>
    <row r="366" spans="1:20" ht="23.25" customHeight="1">
      <c r="A366" s="20" t="s">
        <v>1541</v>
      </c>
      <c r="B366" s="22">
        <v>2023</v>
      </c>
      <c r="C366" s="90" t="s">
        <v>21</v>
      </c>
      <c r="D366" s="22" t="s">
        <v>1542</v>
      </c>
      <c r="E366" s="27" t="s">
        <v>1543</v>
      </c>
      <c r="F366" s="29" t="s">
        <v>81</v>
      </c>
      <c r="G366" s="20" t="s">
        <v>72</v>
      </c>
      <c r="H366" s="36" t="s">
        <v>1544</v>
      </c>
      <c r="I366" s="37">
        <v>45202</v>
      </c>
      <c r="J366" s="37">
        <v>45203</v>
      </c>
      <c r="K366" s="22" t="s">
        <v>35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418</v>
      </c>
    </row>
    <row r="367" spans="1:20" ht="23.25" customHeight="1">
      <c r="A367" s="21" t="s">
        <v>1545</v>
      </c>
      <c r="B367" s="24">
        <v>2023</v>
      </c>
      <c r="C367" s="90" t="s">
        <v>21</v>
      </c>
      <c r="D367" s="24" t="s">
        <v>1354</v>
      </c>
      <c r="E367" s="30" t="s">
        <v>1546</v>
      </c>
      <c r="F367" s="31" t="s">
        <v>23</v>
      </c>
      <c r="G367" s="21" t="s">
        <v>1356</v>
      </c>
      <c r="H367" s="38" t="s">
        <v>1547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1548</v>
      </c>
    </row>
    <row r="368" spans="1:20" ht="23.25" customHeight="1">
      <c r="A368" s="20" t="s">
        <v>1549</v>
      </c>
      <c r="B368" s="22">
        <v>2023</v>
      </c>
      <c r="C368" s="90" t="s">
        <v>21</v>
      </c>
      <c r="D368" s="22" t="s">
        <v>1550</v>
      </c>
      <c r="E368" s="27" t="s">
        <v>1551</v>
      </c>
      <c r="F368" s="29" t="s">
        <v>23</v>
      </c>
      <c r="G368" s="20" t="s">
        <v>199</v>
      </c>
      <c r="H368" s="36" t="s">
        <v>1547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>
      <c r="A369" s="21" t="s">
        <v>1552</v>
      </c>
      <c r="B369" s="24">
        <v>2023</v>
      </c>
      <c r="C369" s="90" t="s">
        <v>21</v>
      </c>
      <c r="D369" s="21" t="s">
        <v>1553</v>
      </c>
      <c r="E369" s="30" t="s">
        <v>1554</v>
      </c>
      <c r="F369" s="31" t="s">
        <v>23</v>
      </c>
      <c r="G369" s="21" t="s">
        <v>199</v>
      </c>
      <c r="H369" s="38" t="s">
        <v>1555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1556</v>
      </c>
    </row>
    <row r="370" spans="1:20" ht="23.25" customHeight="1">
      <c r="A370" s="20" t="s">
        <v>1557</v>
      </c>
      <c r="B370" s="22">
        <v>2023</v>
      </c>
      <c r="C370" s="90" t="s">
        <v>21</v>
      </c>
      <c r="D370" s="22" t="s">
        <v>1558</v>
      </c>
      <c r="E370" s="42" t="s">
        <v>1559</v>
      </c>
      <c r="F370" s="29" t="s">
        <v>62</v>
      </c>
      <c r="G370" s="20" t="s">
        <v>72</v>
      </c>
      <c r="H370" s="36" t="s">
        <v>1560</v>
      </c>
      <c r="I370" s="37">
        <v>45207</v>
      </c>
      <c r="J370" s="37">
        <v>45208</v>
      </c>
      <c r="K370" s="22" t="s">
        <v>35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1561</v>
      </c>
    </row>
    <row r="371" spans="1:20" ht="23.25" customHeight="1">
      <c r="A371" s="21" t="s">
        <v>1562</v>
      </c>
      <c r="B371" s="24">
        <v>2023</v>
      </c>
      <c r="C371" s="90" t="s">
        <v>21</v>
      </c>
      <c r="D371" s="24" t="s">
        <v>1563</v>
      </c>
      <c r="E371" s="30" t="s">
        <v>1564</v>
      </c>
      <c r="F371" s="31" t="s">
        <v>81</v>
      </c>
      <c r="G371" s="21" t="s">
        <v>72</v>
      </c>
      <c r="H371" s="38" t="s">
        <v>1565</v>
      </c>
      <c r="I371" s="39">
        <v>45209</v>
      </c>
      <c r="J371" s="39">
        <v>45209</v>
      </c>
      <c r="K371" s="24" t="s">
        <v>35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664</v>
      </c>
    </row>
    <row r="372" spans="1:20" ht="23.25" customHeight="1">
      <c r="A372" s="20" t="s">
        <v>1566</v>
      </c>
      <c r="B372" s="22">
        <v>2023</v>
      </c>
      <c r="C372" s="90" t="s">
        <v>21</v>
      </c>
      <c r="D372" s="22" t="s">
        <v>1567</v>
      </c>
      <c r="E372" s="27" t="s">
        <v>1568</v>
      </c>
      <c r="F372" s="29" t="s">
        <v>23</v>
      </c>
      <c r="G372" s="20" t="s">
        <v>33</v>
      </c>
      <c r="H372" s="50">
        <v>45209</v>
      </c>
      <c r="I372" s="37">
        <v>45209</v>
      </c>
      <c r="J372" s="37">
        <v>45209</v>
      </c>
      <c r="K372" s="22" t="s">
        <v>35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>
      <c r="A373" s="21" t="s">
        <v>1569</v>
      </c>
      <c r="B373" s="24">
        <v>2023</v>
      </c>
      <c r="C373" s="90" t="s">
        <v>21</v>
      </c>
      <c r="D373" s="24" t="s">
        <v>1542</v>
      </c>
      <c r="E373" s="30" t="s">
        <v>1570</v>
      </c>
      <c r="F373" s="31" t="s">
        <v>81</v>
      </c>
      <c r="G373" s="21" t="s">
        <v>72</v>
      </c>
      <c r="H373" s="38" t="s">
        <v>1571</v>
      </c>
      <c r="I373" s="39">
        <v>45216</v>
      </c>
      <c r="J373" s="39">
        <v>45217</v>
      </c>
      <c r="K373" s="24" t="s">
        <v>35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418</v>
      </c>
    </row>
    <row r="374" spans="1:20" ht="23.25" customHeight="1">
      <c r="A374" s="20" t="s">
        <v>1572</v>
      </c>
      <c r="B374" s="22">
        <v>2023</v>
      </c>
      <c r="C374" s="90" t="s">
        <v>21</v>
      </c>
      <c r="D374" s="22" t="s">
        <v>1567</v>
      </c>
      <c r="E374" s="27" t="s">
        <v>1573</v>
      </c>
      <c r="F374" s="29" t="s">
        <v>23</v>
      </c>
      <c r="G374" s="20" t="s">
        <v>33</v>
      </c>
      <c r="H374" s="50" t="s">
        <v>1574</v>
      </c>
      <c r="I374" s="37">
        <v>45216</v>
      </c>
      <c r="J374" s="37">
        <v>45216</v>
      </c>
      <c r="K374" s="22" t="s">
        <v>35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1540</v>
      </c>
    </row>
    <row r="375" spans="1:20" ht="23.25" customHeight="1">
      <c r="A375" s="21" t="s">
        <v>1575</v>
      </c>
      <c r="B375" s="24">
        <v>2023</v>
      </c>
      <c r="C375" s="90" t="s">
        <v>21</v>
      </c>
      <c r="D375" s="24" t="s">
        <v>1354</v>
      </c>
      <c r="E375" s="30" t="s">
        <v>1576</v>
      </c>
      <c r="F375" s="31" t="s">
        <v>23</v>
      </c>
      <c r="G375" s="21" t="s">
        <v>1356</v>
      </c>
      <c r="H375" s="38" t="s">
        <v>1577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1548</v>
      </c>
    </row>
    <row r="376" spans="1:20" ht="23.25" customHeight="1">
      <c r="A376" s="20" t="s">
        <v>1578</v>
      </c>
      <c r="B376" s="22">
        <v>2023</v>
      </c>
      <c r="C376" s="90" t="s">
        <v>21</v>
      </c>
      <c r="D376" s="22" t="s">
        <v>1542</v>
      </c>
      <c r="E376" s="27" t="s">
        <v>1579</v>
      </c>
      <c r="F376" s="29" t="s">
        <v>81</v>
      </c>
      <c r="G376" s="20" t="s">
        <v>72</v>
      </c>
      <c r="H376" s="36" t="s">
        <v>1580</v>
      </c>
      <c r="I376" s="37">
        <v>45218</v>
      </c>
      <c r="J376" s="37">
        <v>45219</v>
      </c>
      <c r="K376" s="22" t="s">
        <v>35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418</v>
      </c>
    </row>
    <row r="377" spans="1:20" ht="23.25" customHeight="1">
      <c r="A377" s="21" t="s">
        <v>1581</v>
      </c>
      <c r="B377" s="24">
        <v>2023</v>
      </c>
      <c r="C377" s="90" t="s">
        <v>21</v>
      </c>
      <c r="D377" s="24" t="s">
        <v>1354</v>
      </c>
      <c r="E377" s="30" t="s">
        <v>1582</v>
      </c>
      <c r="F377" s="31" t="s">
        <v>23</v>
      </c>
      <c r="G377" s="21" t="s">
        <v>1356</v>
      </c>
      <c r="H377" s="38" t="s">
        <v>1583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1548</v>
      </c>
    </row>
    <row r="378" spans="1:20" ht="23.25" customHeight="1">
      <c r="A378" s="20" t="s">
        <v>1584</v>
      </c>
      <c r="B378" s="22">
        <v>2023</v>
      </c>
      <c r="C378" s="90" t="s">
        <v>21</v>
      </c>
      <c r="D378" s="22" t="s">
        <v>1354</v>
      </c>
      <c r="E378" s="27" t="s">
        <v>1585</v>
      </c>
      <c r="F378" s="29" t="s">
        <v>23</v>
      </c>
      <c r="G378" s="20" t="s">
        <v>1356</v>
      </c>
      <c r="H378" s="36" t="s">
        <v>1586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1548</v>
      </c>
    </row>
    <row r="379" spans="1:20" ht="23.25" customHeight="1">
      <c r="A379" s="21" t="s">
        <v>1587</v>
      </c>
      <c r="B379" s="24">
        <v>2023</v>
      </c>
      <c r="C379" s="90" t="s">
        <v>21</v>
      </c>
      <c r="D379" s="24" t="s">
        <v>1588</v>
      </c>
      <c r="E379" s="30" t="s">
        <v>1589</v>
      </c>
      <c r="F379" s="31" t="s">
        <v>23</v>
      </c>
      <c r="G379" s="21" t="s">
        <v>199</v>
      </c>
      <c r="H379" s="38" t="s">
        <v>1590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>
      <c r="A380" s="20" t="s">
        <v>1591</v>
      </c>
      <c r="B380" s="22">
        <v>2023</v>
      </c>
      <c r="C380" s="90" t="s">
        <v>21</v>
      </c>
      <c r="D380" s="22" t="s">
        <v>1592</v>
      </c>
      <c r="E380" s="27" t="s">
        <v>1593</v>
      </c>
      <c r="F380" s="29" t="s">
        <v>23</v>
      </c>
      <c r="G380" s="20" t="s">
        <v>24</v>
      </c>
      <c r="H380" s="36" t="s">
        <v>1594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1595</v>
      </c>
    </row>
    <row r="381" spans="1:20" ht="23.25" customHeight="1">
      <c r="A381" s="21" t="s">
        <v>1596</v>
      </c>
      <c r="B381" s="24">
        <v>2023</v>
      </c>
      <c r="C381" s="90" t="s">
        <v>21</v>
      </c>
      <c r="D381" s="24" t="s">
        <v>1597</v>
      </c>
      <c r="E381" s="30" t="s">
        <v>1598</v>
      </c>
      <c r="F381" s="31" t="s">
        <v>23</v>
      </c>
      <c r="G381" s="21" t="s">
        <v>199</v>
      </c>
      <c r="H381" s="38" t="s">
        <v>1599</v>
      </c>
      <c r="I381" s="39">
        <v>45224</v>
      </c>
      <c r="J381" s="39">
        <v>45224</v>
      </c>
      <c r="K381" s="24" t="s">
        <v>35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>
      <c r="A382" s="20" t="s">
        <v>1600</v>
      </c>
      <c r="B382" s="22">
        <v>2023</v>
      </c>
      <c r="C382" s="90" t="s">
        <v>21</v>
      </c>
      <c r="D382" s="22" t="s">
        <v>1542</v>
      </c>
      <c r="E382" s="27" t="s">
        <v>1601</v>
      </c>
      <c r="F382" s="29" t="s">
        <v>81</v>
      </c>
      <c r="G382" s="20" t="s">
        <v>72</v>
      </c>
      <c r="H382" s="36" t="s">
        <v>1602</v>
      </c>
      <c r="I382" s="37">
        <v>45225</v>
      </c>
      <c r="J382" s="37">
        <v>45226</v>
      </c>
      <c r="K382" s="22" t="s">
        <v>35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418</v>
      </c>
    </row>
    <row r="383" spans="1:20" ht="23.25" customHeight="1">
      <c r="A383" s="21" t="s">
        <v>1603</v>
      </c>
      <c r="B383" s="24">
        <v>2023</v>
      </c>
      <c r="C383" s="90" t="s">
        <v>21</v>
      </c>
      <c r="D383" s="24" t="s">
        <v>1354</v>
      </c>
      <c r="E383" s="30" t="s">
        <v>1604</v>
      </c>
      <c r="F383" s="31" t="s">
        <v>23</v>
      </c>
      <c r="G383" s="21" t="s">
        <v>1356</v>
      </c>
      <c r="H383" s="38" t="s">
        <v>1602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1548</v>
      </c>
    </row>
    <row r="384" spans="1:20" ht="23.25" customHeight="1">
      <c r="A384" s="20" t="s">
        <v>1605</v>
      </c>
      <c r="B384" s="22">
        <v>2023</v>
      </c>
      <c r="C384" s="90" t="s">
        <v>21</v>
      </c>
      <c r="D384" s="22" t="s">
        <v>1606</v>
      </c>
      <c r="E384" s="27" t="s">
        <v>1607</v>
      </c>
      <c r="F384" s="29" t="s">
        <v>23</v>
      </c>
      <c r="G384" s="20" t="s">
        <v>199</v>
      </c>
      <c r="H384" s="36" t="s">
        <v>1608</v>
      </c>
      <c r="I384" s="37">
        <v>45226</v>
      </c>
      <c r="J384" s="37">
        <v>45226</v>
      </c>
      <c r="K384" s="22" t="s">
        <v>35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>
      <c r="A385" s="21" t="s">
        <v>1609</v>
      </c>
      <c r="B385" s="24">
        <v>2023</v>
      </c>
      <c r="C385" s="90" t="s">
        <v>21</v>
      </c>
      <c r="D385" s="24" t="s">
        <v>1397</v>
      </c>
      <c r="E385" s="30" t="s">
        <v>1610</v>
      </c>
      <c r="F385" s="31" t="s">
        <v>23</v>
      </c>
      <c r="G385" s="21" t="s">
        <v>33</v>
      </c>
      <c r="H385" s="38" t="s">
        <v>1611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1400</v>
      </c>
    </row>
    <row r="386" spans="1:20" ht="23.25" customHeight="1">
      <c r="A386" s="20" t="s">
        <v>1612</v>
      </c>
      <c r="B386" s="22">
        <v>2023</v>
      </c>
      <c r="C386" s="90" t="s">
        <v>21</v>
      </c>
      <c r="D386" s="22" t="s">
        <v>1567</v>
      </c>
      <c r="E386" s="27" t="s">
        <v>1613</v>
      </c>
      <c r="F386" s="29" t="s">
        <v>23</v>
      </c>
      <c r="G386" s="20" t="s">
        <v>33</v>
      </c>
      <c r="H386" s="50" t="s">
        <v>1614</v>
      </c>
      <c r="I386" s="37">
        <v>45230</v>
      </c>
      <c r="J386" s="37">
        <v>45230</v>
      </c>
      <c r="K386" s="22" t="s">
        <v>35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1615</v>
      </c>
    </row>
    <row r="387" spans="1:20" ht="23.25" customHeight="1">
      <c r="A387" s="21" t="s">
        <v>1616</v>
      </c>
      <c r="B387" s="24">
        <v>2023</v>
      </c>
      <c r="C387" s="90" t="s">
        <v>21</v>
      </c>
      <c r="D387" s="24" t="s">
        <v>1567</v>
      </c>
      <c r="E387" s="30" t="s">
        <v>1617</v>
      </c>
      <c r="F387" s="31" t="s">
        <v>23</v>
      </c>
      <c r="G387" s="21" t="s">
        <v>33</v>
      </c>
      <c r="H387" s="38" t="s">
        <v>1618</v>
      </c>
      <c r="I387" s="39">
        <v>45237</v>
      </c>
      <c r="J387" s="39">
        <v>45237</v>
      </c>
      <c r="K387" s="24" t="s">
        <v>35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472</v>
      </c>
    </row>
    <row r="388" spans="1:20" ht="23.25" customHeight="1">
      <c r="A388" s="20" t="s">
        <v>1619</v>
      </c>
      <c r="B388" s="22">
        <v>2023</v>
      </c>
      <c r="C388" s="90" t="s">
        <v>21</v>
      </c>
      <c r="D388" s="22" t="s">
        <v>1620</v>
      </c>
      <c r="E388" s="27" t="s">
        <v>1621</v>
      </c>
      <c r="F388" s="29" t="s">
        <v>81</v>
      </c>
      <c r="G388" s="20" t="s">
        <v>68</v>
      </c>
      <c r="H388" s="36" t="s">
        <v>1622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472</v>
      </c>
    </row>
    <row r="389" spans="1:20" ht="23.25" customHeight="1">
      <c r="A389" s="21" t="s">
        <v>1623</v>
      </c>
      <c r="B389" s="24">
        <v>2023</v>
      </c>
      <c r="C389" s="90" t="s">
        <v>21</v>
      </c>
      <c r="D389" s="24" t="s">
        <v>1542</v>
      </c>
      <c r="E389" s="30" t="s">
        <v>1624</v>
      </c>
      <c r="F389" s="31" t="s">
        <v>81</v>
      </c>
      <c r="G389" s="21" t="s">
        <v>72</v>
      </c>
      <c r="H389" s="38" t="s">
        <v>1625</v>
      </c>
      <c r="I389" s="39">
        <v>45243</v>
      </c>
      <c r="J389" s="39">
        <v>45244</v>
      </c>
      <c r="K389" s="24" t="s">
        <v>35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418</v>
      </c>
    </row>
    <row r="390" spans="1:20" ht="23.25" customHeight="1">
      <c r="A390" s="20" t="s">
        <v>1626</v>
      </c>
      <c r="B390" s="22">
        <v>2023</v>
      </c>
      <c r="C390" s="90" t="s">
        <v>21</v>
      </c>
      <c r="D390" s="22" t="s">
        <v>1627</v>
      </c>
      <c r="E390" s="27" t="s">
        <v>1628</v>
      </c>
      <c r="F390" s="29" t="s">
        <v>62</v>
      </c>
      <c r="G390" s="20" t="s">
        <v>72</v>
      </c>
      <c r="H390" s="36" t="s">
        <v>1629</v>
      </c>
      <c r="I390" s="37">
        <v>45243</v>
      </c>
      <c r="J390" s="37">
        <v>45243</v>
      </c>
      <c r="K390" s="22" t="s">
        <v>35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74</v>
      </c>
    </row>
    <row r="391" spans="1:20" ht="23.25" customHeight="1">
      <c r="A391" s="21" t="s">
        <v>1630</v>
      </c>
      <c r="B391" s="24">
        <v>2023</v>
      </c>
      <c r="C391" s="90" t="s">
        <v>21</v>
      </c>
      <c r="D391" s="24" t="s">
        <v>1542</v>
      </c>
      <c r="E391" s="30" t="s">
        <v>1631</v>
      </c>
      <c r="F391" s="31" t="s">
        <v>81</v>
      </c>
      <c r="G391" s="21" t="s">
        <v>72</v>
      </c>
      <c r="H391" s="38" t="s">
        <v>1632</v>
      </c>
      <c r="I391" s="39">
        <v>45246</v>
      </c>
      <c r="J391" s="39">
        <v>45247</v>
      </c>
      <c r="K391" s="24" t="s">
        <v>35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418</v>
      </c>
    </row>
    <row r="392" spans="1:20" ht="23.25" customHeight="1">
      <c r="A392" s="20" t="s">
        <v>1633</v>
      </c>
      <c r="B392" s="22">
        <v>2023</v>
      </c>
      <c r="C392" s="90" t="s">
        <v>21</v>
      </c>
      <c r="D392" s="22" t="s">
        <v>1634</v>
      </c>
      <c r="E392" s="27" t="s">
        <v>1635</v>
      </c>
      <c r="F392" s="29" t="s">
        <v>23</v>
      </c>
      <c r="G392" s="20" t="s">
        <v>38</v>
      </c>
      <c r="H392" s="36" t="s">
        <v>1636</v>
      </c>
      <c r="I392" s="37">
        <v>45247</v>
      </c>
      <c r="J392" s="37">
        <v>45268</v>
      </c>
      <c r="K392" s="22" t="s">
        <v>35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1637</v>
      </c>
    </row>
    <row r="393" spans="1:20" ht="23.25" customHeight="1">
      <c r="A393" s="21" t="s">
        <v>1638</v>
      </c>
      <c r="B393" s="24">
        <v>2023</v>
      </c>
      <c r="C393" s="90" t="s">
        <v>21</v>
      </c>
      <c r="D393" s="24" t="s">
        <v>1639</v>
      </c>
      <c r="E393" s="30" t="s">
        <v>1635</v>
      </c>
      <c r="F393" s="31" t="s">
        <v>23</v>
      </c>
      <c r="G393" s="21" t="s">
        <v>38</v>
      </c>
      <c r="H393" s="38" t="s">
        <v>1636</v>
      </c>
      <c r="I393" s="39">
        <v>45247</v>
      </c>
      <c r="J393" s="39">
        <v>45268</v>
      </c>
      <c r="K393" s="24" t="s">
        <v>35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1637</v>
      </c>
    </row>
    <row r="394" spans="1:20" ht="23.25" customHeight="1">
      <c r="A394" s="20" t="s">
        <v>1640</v>
      </c>
      <c r="B394" s="22">
        <v>2023</v>
      </c>
      <c r="C394" s="90" t="s">
        <v>21</v>
      </c>
      <c r="D394" s="22" t="s">
        <v>1542</v>
      </c>
      <c r="E394" s="27" t="s">
        <v>1641</v>
      </c>
      <c r="F394" s="29" t="s">
        <v>81</v>
      </c>
      <c r="G394" s="20" t="s">
        <v>72</v>
      </c>
      <c r="H394" s="36" t="s">
        <v>1642</v>
      </c>
      <c r="I394" s="37">
        <v>45251</v>
      </c>
      <c r="J394" s="37">
        <v>45252</v>
      </c>
      <c r="K394" s="22" t="s">
        <v>35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418</v>
      </c>
    </row>
    <row r="395" spans="1:20" ht="23.25" customHeight="1">
      <c r="A395" s="21" t="s">
        <v>1643</v>
      </c>
      <c r="B395" s="24">
        <v>2023</v>
      </c>
      <c r="C395" s="90" t="s">
        <v>21</v>
      </c>
      <c r="D395" s="24" t="s">
        <v>1644</v>
      </c>
      <c r="E395" s="30" t="s">
        <v>1645</v>
      </c>
      <c r="F395" s="31" t="s">
        <v>23</v>
      </c>
      <c r="G395" s="21" t="s">
        <v>457</v>
      </c>
      <c r="H395" s="38" t="s">
        <v>1646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966</v>
      </c>
    </row>
    <row r="396" spans="1:20" ht="23.25" customHeight="1">
      <c r="A396" s="20" t="s">
        <v>1647</v>
      </c>
      <c r="B396" s="22">
        <v>2023</v>
      </c>
      <c r="C396" s="90" t="s">
        <v>21</v>
      </c>
      <c r="D396" s="22" t="s">
        <v>1648</v>
      </c>
      <c r="E396" s="27" t="s">
        <v>1649</v>
      </c>
      <c r="F396" s="29" t="s">
        <v>62</v>
      </c>
      <c r="G396" s="20" t="s">
        <v>72</v>
      </c>
      <c r="H396" s="36" t="s">
        <v>1650</v>
      </c>
      <c r="I396" s="37">
        <v>45257</v>
      </c>
      <c r="J396" s="37">
        <v>45258</v>
      </c>
      <c r="K396" s="22" t="s">
        <v>35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1472</v>
      </c>
    </row>
    <row r="397" spans="1:20" ht="23.25" customHeight="1">
      <c r="A397" s="21" t="s">
        <v>1651</v>
      </c>
      <c r="B397" s="24">
        <v>2023</v>
      </c>
      <c r="C397" s="90" t="s">
        <v>21</v>
      </c>
      <c r="D397" s="24" t="s">
        <v>1652</v>
      </c>
      <c r="E397" s="30" t="s">
        <v>1653</v>
      </c>
      <c r="F397" s="31" t="s">
        <v>23</v>
      </c>
      <c r="G397" s="21" t="s">
        <v>199</v>
      </c>
      <c r="H397" s="38" t="s">
        <v>1654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472</v>
      </c>
    </row>
    <row r="398" spans="1:20" ht="23.25" customHeight="1">
      <c r="A398" s="20" t="s">
        <v>1655</v>
      </c>
      <c r="B398" s="22">
        <v>2023</v>
      </c>
      <c r="C398" s="90" t="s">
        <v>21</v>
      </c>
      <c r="D398" s="22" t="s">
        <v>1656</v>
      </c>
      <c r="E398" s="27" t="s">
        <v>1657</v>
      </c>
      <c r="F398" s="29" t="s">
        <v>23</v>
      </c>
      <c r="G398" s="20" t="s">
        <v>72</v>
      </c>
      <c r="H398" s="36" t="s">
        <v>1658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472</v>
      </c>
    </row>
    <row r="399" spans="1:20" ht="23.25" customHeight="1">
      <c r="A399" s="21" t="s">
        <v>1659</v>
      </c>
      <c r="B399" s="24">
        <v>2023</v>
      </c>
      <c r="C399" s="90" t="s">
        <v>21</v>
      </c>
      <c r="D399" s="24" t="s">
        <v>1660</v>
      </c>
      <c r="E399" s="30" t="s">
        <v>1661</v>
      </c>
      <c r="F399" s="31" t="s">
        <v>23</v>
      </c>
      <c r="G399" s="21" t="s">
        <v>24</v>
      </c>
      <c r="H399" s="38" t="s">
        <v>1662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1663</v>
      </c>
    </row>
    <row r="400" spans="1:20" ht="23.25" customHeight="1">
      <c r="A400" s="20" t="s">
        <v>1664</v>
      </c>
      <c r="B400" s="22">
        <v>2023</v>
      </c>
      <c r="C400" s="90" t="s">
        <v>21</v>
      </c>
      <c r="D400" s="22" t="s">
        <v>1665</v>
      </c>
      <c r="E400" s="27" t="s">
        <v>1666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35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>
      <c r="A401" s="21" t="s">
        <v>1667</v>
      </c>
      <c r="B401" s="24">
        <v>2023</v>
      </c>
      <c r="C401" s="90" t="s">
        <v>21</v>
      </c>
      <c r="D401" s="24" t="s">
        <v>1668</v>
      </c>
      <c r="E401" s="30" t="s">
        <v>1669</v>
      </c>
      <c r="F401" s="31" t="s">
        <v>23</v>
      </c>
      <c r="G401" s="21" t="s">
        <v>38</v>
      </c>
      <c r="H401" s="38" t="s">
        <v>1670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1671</v>
      </c>
    </row>
    <row r="402" spans="1:20" ht="23.25" customHeight="1">
      <c r="A402" s="20" t="s">
        <v>1672</v>
      </c>
      <c r="B402" s="22">
        <v>2023</v>
      </c>
      <c r="C402" s="90" t="s">
        <v>21</v>
      </c>
      <c r="D402" s="22" t="s">
        <v>1673</v>
      </c>
      <c r="E402" s="27" t="s">
        <v>1674</v>
      </c>
      <c r="F402" s="29" t="s">
        <v>81</v>
      </c>
      <c r="G402" s="20" t="s">
        <v>72</v>
      </c>
      <c r="H402" s="36" t="s">
        <v>1675</v>
      </c>
      <c r="I402" s="37">
        <v>45268</v>
      </c>
      <c r="J402" s="37">
        <v>45268</v>
      </c>
      <c r="K402" s="22" t="s">
        <v>35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1676</v>
      </c>
    </row>
    <row r="403" spans="1:20" ht="23.25" customHeight="1">
      <c r="A403" s="21" t="s">
        <v>1677</v>
      </c>
      <c r="B403" s="24">
        <v>2023</v>
      </c>
      <c r="C403" s="90" t="s">
        <v>21</v>
      </c>
      <c r="D403" s="24" t="s">
        <v>1678</v>
      </c>
      <c r="E403" s="34" t="s">
        <v>1679</v>
      </c>
      <c r="F403" s="31" t="s">
        <v>23</v>
      </c>
      <c r="G403" s="21" t="s">
        <v>33</v>
      </c>
      <c r="H403" s="38" t="s">
        <v>1680</v>
      </c>
      <c r="I403" s="39">
        <v>45275</v>
      </c>
      <c r="J403" s="39">
        <v>45275</v>
      </c>
      <c r="K403" s="24" t="s">
        <v>35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211</v>
      </c>
    </row>
    <row r="404" spans="1:20" ht="23.25" customHeight="1">
      <c r="A404" s="20" t="s">
        <v>1681</v>
      </c>
      <c r="B404" s="22">
        <v>2024</v>
      </c>
      <c r="C404" s="90" t="s">
        <v>21</v>
      </c>
      <c r="D404" s="22" t="s">
        <v>1682</v>
      </c>
      <c r="E404" s="27" t="s">
        <v>1683</v>
      </c>
      <c r="F404" s="29" t="s">
        <v>62</v>
      </c>
      <c r="G404" s="20" t="s">
        <v>72</v>
      </c>
      <c r="H404" s="36" t="s">
        <v>1684</v>
      </c>
      <c r="I404" s="37">
        <v>45342</v>
      </c>
      <c r="J404" s="37">
        <v>45351</v>
      </c>
      <c r="K404" s="22" t="s">
        <v>35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1685</v>
      </c>
    </row>
    <row r="405" spans="1:20" ht="23.25" customHeight="1">
      <c r="A405" s="21" t="s">
        <v>1686</v>
      </c>
      <c r="B405" s="24">
        <v>2024</v>
      </c>
      <c r="C405" s="90" t="s">
        <v>21</v>
      </c>
      <c r="D405" s="24" t="s">
        <v>1687</v>
      </c>
      <c r="E405" s="30" t="s">
        <v>1688</v>
      </c>
      <c r="F405" s="31" t="s">
        <v>23</v>
      </c>
      <c r="G405" s="21" t="s">
        <v>38</v>
      </c>
      <c r="H405" s="38" t="s">
        <v>1689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1456</v>
      </c>
    </row>
    <row r="406" spans="1:20" ht="23.25" customHeight="1">
      <c r="A406" s="20" t="s">
        <v>1690</v>
      </c>
      <c r="B406" s="22">
        <v>2024</v>
      </c>
      <c r="C406" s="90" t="s">
        <v>21</v>
      </c>
      <c r="D406" s="22" t="s">
        <v>1691</v>
      </c>
      <c r="E406" s="27" t="s">
        <v>1692</v>
      </c>
      <c r="F406" s="29" t="s">
        <v>81</v>
      </c>
      <c r="G406" s="20" t="s">
        <v>72</v>
      </c>
      <c r="H406" s="36" t="s">
        <v>1693</v>
      </c>
      <c r="I406" s="37">
        <v>45352</v>
      </c>
      <c r="J406" s="37">
        <v>45629</v>
      </c>
      <c r="K406" s="22" t="s">
        <v>35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1694</v>
      </c>
    </row>
    <row r="407" spans="1:20" ht="23.25" customHeight="1">
      <c r="A407" s="21" t="s">
        <v>1695</v>
      </c>
      <c r="B407" s="24">
        <v>2024</v>
      </c>
      <c r="C407" s="90" t="s">
        <v>21</v>
      </c>
      <c r="D407" s="24" t="s">
        <v>1696</v>
      </c>
      <c r="E407" s="30" t="s">
        <v>1697</v>
      </c>
      <c r="F407" s="31" t="s">
        <v>62</v>
      </c>
      <c r="G407" s="21" t="s">
        <v>72</v>
      </c>
      <c r="H407" s="38" t="s">
        <v>1698</v>
      </c>
      <c r="I407" s="39">
        <v>45355</v>
      </c>
      <c r="J407" s="39">
        <v>45359</v>
      </c>
      <c r="K407" s="24" t="s">
        <v>35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74</v>
      </c>
    </row>
    <row r="408" spans="1:20" ht="23.25" customHeight="1">
      <c r="A408" s="20" t="s">
        <v>1699</v>
      </c>
      <c r="B408" s="22">
        <v>2024</v>
      </c>
      <c r="C408" s="90" t="s">
        <v>21</v>
      </c>
      <c r="D408" s="22" t="s">
        <v>1700</v>
      </c>
      <c r="E408" s="27" t="s">
        <v>1701</v>
      </c>
      <c r="F408" s="29" t="s">
        <v>23</v>
      </c>
      <c r="G408" s="20" t="s">
        <v>38</v>
      </c>
      <c r="H408" s="36" t="s">
        <v>1702</v>
      </c>
      <c r="I408" s="37">
        <v>45356</v>
      </c>
      <c r="J408" s="37">
        <v>45365</v>
      </c>
      <c r="K408" s="22" t="s">
        <v>35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1703</v>
      </c>
    </row>
    <row r="409" spans="1:20" ht="23.25" customHeight="1">
      <c r="A409" s="21" t="s">
        <v>1704</v>
      </c>
      <c r="B409" s="24">
        <v>2024</v>
      </c>
      <c r="C409" s="90" t="s">
        <v>21</v>
      </c>
      <c r="D409" s="24" t="s">
        <v>1705</v>
      </c>
      <c r="E409" s="30" t="s">
        <v>1706</v>
      </c>
      <c r="F409" s="31" t="s">
        <v>23</v>
      </c>
      <c r="G409" s="21" t="s">
        <v>199</v>
      </c>
      <c r="H409" s="38" t="s">
        <v>1707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1708</v>
      </c>
    </row>
    <row r="410" spans="1:20" ht="23.25" customHeight="1">
      <c r="A410" s="20" t="s">
        <v>1709</v>
      </c>
      <c r="B410" s="22">
        <v>2024</v>
      </c>
      <c r="C410" s="90" t="s">
        <v>21</v>
      </c>
      <c r="D410" s="22" t="s">
        <v>1710</v>
      </c>
      <c r="E410" s="27" t="s">
        <v>1711</v>
      </c>
      <c r="F410" s="29" t="s">
        <v>23</v>
      </c>
      <c r="G410" s="20" t="s">
        <v>199</v>
      </c>
      <c r="H410" s="36" t="s">
        <v>1707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>
      <c r="A411" s="21" t="s">
        <v>1712</v>
      </c>
      <c r="B411" s="24">
        <v>2024</v>
      </c>
      <c r="C411" s="90" t="s">
        <v>21</v>
      </c>
      <c r="D411" s="24" t="s">
        <v>1713</v>
      </c>
      <c r="E411" s="30" t="s">
        <v>1714</v>
      </c>
      <c r="F411" s="31" t="s">
        <v>23</v>
      </c>
      <c r="G411" s="21" t="s">
        <v>199</v>
      </c>
      <c r="H411" s="38" t="s">
        <v>1715</v>
      </c>
      <c r="I411" s="39">
        <v>45363</v>
      </c>
      <c r="J411" s="39">
        <v>45372</v>
      </c>
      <c r="K411" s="24" t="s">
        <v>35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1716</v>
      </c>
    </row>
    <row r="412" spans="1:20" ht="23.25" customHeight="1">
      <c r="A412" s="20" t="s">
        <v>1717</v>
      </c>
      <c r="B412" s="22">
        <v>2024</v>
      </c>
      <c r="C412" s="90" t="s">
        <v>21</v>
      </c>
      <c r="D412" s="22" t="s">
        <v>1718</v>
      </c>
      <c r="E412" s="27" t="s">
        <v>1719</v>
      </c>
      <c r="F412" s="29" t="s">
        <v>81</v>
      </c>
      <c r="G412" s="20" t="s">
        <v>72</v>
      </c>
      <c r="H412" s="36" t="s">
        <v>1720</v>
      </c>
      <c r="I412" s="37">
        <v>45369</v>
      </c>
      <c r="J412" s="37">
        <v>45373</v>
      </c>
      <c r="K412" s="22" t="s">
        <v>35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418</v>
      </c>
    </row>
    <row r="413" spans="1:20" ht="23.25" customHeight="1">
      <c r="A413" s="21" t="s">
        <v>1721</v>
      </c>
      <c r="B413" s="24">
        <v>2024</v>
      </c>
      <c r="C413" s="90" t="s">
        <v>21</v>
      </c>
      <c r="D413" s="24" t="s">
        <v>1722</v>
      </c>
      <c r="E413" s="30" t="s">
        <v>1723</v>
      </c>
      <c r="F413" s="31" t="s">
        <v>62</v>
      </c>
      <c r="G413" s="21" t="s">
        <v>72</v>
      </c>
      <c r="H413" s="38" t="s">
        <v>1724</v>
      </c>
      <c r="I413" s="39">
        <v>45370</v>
      </c>
      <c r="J413" s="39">
        <v>45370</v>
      </c>
      <c r="K413" s="24" t="s">
        <v>35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1725</v>
      </c>
    </row>
    <row r="414" spans="1:20" ht="23.25" customHeight="1">
      <c r="A414" s="20" t="s">
        <v>1726</v>
      </c>
      <c r="B414" s="22">
        <v>2024</v>
      </c>
      <c r="C414" s="90" t="s">
        <v>21</v>
      </c>
      <c r="D414" s="22" t="s">
        <v>1727</v>
      </c>
      <c r="E414" s="27" t="s">
        <v>1728</v>
      </c>
      <c r="F414" s="29" t="s">
        <v>23</v>
      </c>
      <c r="G414" s="20" t="s">
        <v>1729</v>
      </c>
      <c r="H414" s="50" t="s">
        <v>1730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1731</v>
      </c>
    </row>
    <row r="415" spans="1:20" ht="23.25" customHeight="1">
      <c r="A415" s="21" t="s">
        <v>1732</v>
      </c>
      <c r="B415" s="24">
        <v>2024</v>
      </c>
      <c r="C415" s="90" t="s">
        <v>21</v>
      </c>
      <c r="D415" s="24" t="s">
        <v>1733</v>
      </c>
      <c r="E415" s="30" t="s">
        <v>1734</v>
      </c>
      <c r="F415" s="31" t="s">
        <v>23</v>
      </c>
      <c r="G415" s="21" t="s">
        <v>38</v>
      </c>
      <c r="H415" s="38" t="s">
        <v>1735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1216</v>
      </c>
    </row>
    <row r="416" spans="1:20" ht="23.25" customHeight="1">
      <c r="A416" s="20" t="s">
        <v>1736</v>
      </c>
      <c r="B416" s="22">
        <v>2024</v>
      </c>
      <c r="C416" s="90" t="s">
        <v>21</v>
      </c>
      <c r="D416" s="22" t="s">
        <v>1737</v>
      </c>
      <c r="E416" s="27" t="s">
        <v>1738</v>
      </c>
      <c r="F416" s="29" t="s">
        <v>23</v>
      </c>
      <c r="G416" s="20" t="s">
        <v>199</v>
      </c>
      <c r="H416" s="36" t="s">
        <v>1739</v>
      </c>
      <c r="I416" s="37">
        <v>45383</v>
      </c>
      <c r="J416" s="37">
        <v>45392</v>
      </c>
      <c r="K416" s="22" t="s">
        <v>35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1716</v>
      </c>
    </row>
    <row r="417" spans="1:20" ht="23.25" customHeight="1">
      <c r="A417" s="21" t="s">
        <v>1740</v>
      </c>
      <c r="B417" s="24">
        <v>2024</v>
      </c>
      <c r="C417" s="90" t="s">
        <v>21</v>
      </c>
      <c r="D417" s="24" t="s">
        <v>1741</v>
      </c>
      <c r="E417" s="30" t="s">
        <v>1742</v>
      </c>
      <c r="F417" s="31" t="s">
        <v>81</v>
      </c>
      <c r="G417" s="21" t="s">
        <v>72</v>
      </c>
      <c r="H417" s="38" t="s">
        <v>1735</v>
      </c>
      <c r="I417" s="39">
        <v>45383</v>
      </c>
      <c r="J417" s="39">
        <v>45387</v>
      </c>
      <c r="K417" s="24" t="s">
        <v>35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1743</v>
      </c>
    </row>
    <row r="418" spans="1:20" ht="23.25" customHeight="1">
      <c r="A418" s="20" t="s">
        <v>1744</v>
      </c>
      <c r="B418" s="22">
        <v>2024</v>
      </c>
      <c r="C418" s="90" t="s">
        <v>21</v>
      </c>
      <c r="D418" s="22" t="s">
        <v>1745</v>
      </c>
      <c r="E418" s="27" t="s">
        <v>1746</v>
      </c>
      <c r="F418" s="29" t="s">
        <v>23</v>
      </c>
      <c r="G418" s="20" t="s">
        <v>24</v>
      </c>
      <c r="H418" s="36" t="s">
        <v>1747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1748</v>
      </c>
    </row>
    <row r="419" spans="1:20" ht="23.25" customHeight="1">
      <c r="A419" s="21" t="s">
        <v>1749</v>
      </c>
      <c r="B419" s="24">
        <v>2024</v>
      </c>
      <c r="C419" s="90" t="s">
        <v>21</v>
      </c>
      <c r="D419" s="24" t="s">
        <v>1727</v>
      </c>
      <c r="E419" s="30" t="s">
        <v>1750</v>
      </c>
      <c r="F419" s="31" t="s">
        <v>23</v>
      </c>
      <c r="G419" s="21" t="s">
        <v>1729</v>
      </c>
      <c r="H419" s="38" t="s">
        <v>1751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1752</v>
      </c>
    </row>
    <row r="420" spans="1:20" ht="23.25" customHeight="1">
      <c r="A420" s="20" t="s">
        <v>1753</v>
      </c>
      <c r="B420" s="22">
        <v>2024</v>
      </c>
      <c r="C420" s="90" t="s">
        <v>21</v>
      </c>
      <c r="D420" s="22" t="s">
        <v>1754</v>
      </c>
      <c r="E420" s="27" t="s">
        <v>1755</v>
      </c>
      <c r="F420" s="29" t="s">
        <v>23</v>
      </c>
      <c r="G420" s="20" t="s">
        <v>199</v>
      </c>
      <c r="H420" s="36" t="s">
        <v>1756</v>
      </c>
      <c r="I420" s="37">
        <v>45387</v>
      </c>
      <c r="J420" s="37">
        <v>45387</v>
      </c>
      <c r="K420" s="22" t="s">
        <v>35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1757</v>
      </c>
    </row>
    <row r="421" spans="1:20" ht="23.25" customHeight="1">
      <c r="A421" s="21" t="s">
        <v>1758</v>
      </c>
      <c r="B421" s="24">
        <v>2024</v>
      </c>
      <c r="C421" s="90" t="s">
        <v>21</v>
      </c>
      <c r="D421" s="24" t="s">
        <v>1696</v>
      </c>
      <c r="E421" s="258" t="s">
        <v>1759</v>
      </c>
      <c r="F421" s="31" t="s">
        <v>62</v>
      </c>
      <c r="G421" s="21" t="s">
        <v>72</v>
      </c>
      <c r="H421" s="38" t="s">
        <v>1760</v>
      </c>
      <c r="I421" s="39">
        <v>45390</v>
      </c>
      <c r="J421" s="39">
        <v>45394</v>
      </c>
      <c r="K421" s="24" t="s">
        <v>35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74</v>
      </c>
    </row>
    <row r="422" spans="1:20" ht="23.25" customHeight="1">
      <c r="A422" s="20" t="s">
        <v>1761</v>
      </c>
      <c r="B422" s="22">
        <v>2024</v>
      </c>
      <c r="C422" s="90" t="s">
        <v>21</v>
      </c>
      <c r="D422" s="22" t="s">
        <v>1762</v>
      </c>
      <c r="E422" s="27" t="s">
        <v>1763</v>
      </c>
      <c r="F422" s="29" t="s">
        <v>23</v>
      </c>
      <c r="G422" s="20" t="s">
        <v>38</v>
      </c>
      <c r="H422" s="36" t="s">
        <v>1764</v>
      </c>
      <c r="I422" s="37">
        <v>45390</v>
      </c>
      <c r="J422" s="37">
        <v>45415</v>
      </c>
      <c r="K422" s="22" t="s">
        <v>35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1765</v>
      </c>
    </row>
    <row r="423" spans="1:20" ht="23.25" customHeight="1">
      <c r="A423" s="21" t="s">
        <v>1766</v>
      </c>
      <c r="B423" s="24">
        <v>2024</v>
      </c>
      <c r="C423" s="90" t="s">
        <v>21</v>
      </c>
      <c r="D423" s="24" t="s">
        <v>1754</v>
      </c>
      <c r="E423" s="30" t="s">
        <v>1767</v>
      </c>
      <c r="F423" s="31" t="s">
        <v>23</v>
      </c>
      <c r="G423" s="21" t="s">
        <v>199</v>
      </c>
      <c r="H423" s="38" t="s">
        <v>1768</v>
      </c>
      <c r="I423" s="39">
        <v>45394</v>
      </c>
      <c r="J423" s="39">
        <v>45394</v>
      </c>
      <c r="K423" s="24" t="s">
        <v>35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1757</v>
      </c>
    </row>
    <row r="424" spans="1:20" ht="23.25" customHeight="1">
      <c r="A424" s="20" t="s">
        <v>1769</v>
      </c>
      <c r="B424" s="22">
        <v>2024</v>
      </c>
      <c r="C424" s="90" t="s">
        <v>21</v>
      </c>
      <c r="D424" s="22" t="s">
        <v>1770</v>
      </c>
      <c r="E424" s="27" t="s">
        <v>1771</v>
      </c>
      <c r="F424" s="29" t="s">
        <v>23</v>
      </c>
      <c r="G424" s="20" t="s">
        <v>199</v>
      </c>
      <c r="H424" s="36" t="s">
        <v>1772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1258</v>
      </c>
    </row>
    <row r="425" spans="1:20" ht="23.25" customHeight="1">
      <c r="A425" s="21" t="s">
        <v>1773</v>
      </c>
      <c r="B425" s="24">
        <v>2024</v>
      </c>
      <c r="C425" s="90" t="s">
        <v>21</v>
      </c>
      <c r="D425" s="24"/>
      <c r="E425" s="30" t="s">
        <v>1774</v>
      </c>
      <c r="F425" s="31" t="s">
        <v>62</v>
      </c>
      <c r="G425" s="21" t="s">
        <v>72</v>
      </c>
      <c r="H425" s="38" t="s">
        <v>1775</v>
      </c>
      <c r="I425" s="39">
        <v>45414</v>
      </c>
      <c r="J425" s="39">
        <v>45414</v>
      </c>
      <c r="K425" s="24" t="s">
        <v>220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472</v>
      </c>
    </row>
    <row r="426" spans="1:20" ht="23.25" customHeight="1">
      <c r="A426" s="20" t="s">
        <v>1776</v>
      </c>
      <c r="B426" s="22">
        <v>2024</v>
      </c>
      <c r="C426" s="90" t="s">
        <v>21</v>
      </c>
      <c r="D426" s="22" t="s">
        <v>1777</v>
      </c>
      <c r="E426" s="27" t="s">
        <v>1778</v>
      </c>
      <c r="F426" s="29" t="s">
        <v>23</v>
      </c>
      <c r="G426" s="20" t="s">
        <v>457</v>
      </c>
      <c r="H426" s="36" t="s">
        <v>1779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1780</v>
      </c>
    </row>
    <row r="427" spans="1:20" ht="23.25" customHeight="1">
      <c r="A427" s="21" t="s">
        <v>1781</v>
      </c>
      <c r="B427" s="24">
        <v>2024</v>
      </c>
      <c r="C427" s="90" t="s">
        <v>21</v>
      </c>
      <c r="D427" s="24" t="s">
        <v>1782</v>
      </c>
      <c r="E427" s="30" t="s">
        <v>1783</v>
      </c>
      <c r="F427" s="31" t="s">
        <v>23</v>
      </c>
      <c r="G427" s="21" t="s">
        <v>38</v>
      </c>
      <c r="H427" s="38" t="s">
        <v>1784</v>
      </c>
      <c r="I427" s="39">
        <v>45418</v>
      </c>
      <c r="J427" s="39">
        <v>45421</v>
      </c>
      <c r="K427" s="24" t="s">
        <v>35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1785</v>
      </c>
    </row>
    <row r="428" spans="1:20" ht="23.25" customHeight="1">
      <c r="A428" s="20" t="s">
        <v>1786</v>
      </c>
      <c r="B428" s="22">
        <v>2024</v>
      </c>
      <c r="C428" s="90" t="s">
        <v>21</v>
      </c>
      <c r="D428" s="22" t="s">
        <v>1787</v>
      </c>
      <c r="E428" s="27" t="s">
        <v>1788</v>
      </c>
      <c r="F428" s="29" t="s">
        <v>81</v>
      </c>
      <c r="G428" s="20" t="s">
        <v>72</v>
      </c>
      <c r="H428" s="36" t="s">
        <v>1789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1367</v>
      </c>
    </row>
    <row r="429" spans="1:20" ht="23.25" customHeight="1">
      <c r="A429" s="21" t="s">
        <v>1790</v>
      </c>
      <c r="B429" s="24">
        <v>2024</v>
      </c>
      <c r="C429" s="90" t="s">
        <v>21</v>
      </c>
      <c r="D429" s="24" t="s">
        <v>1787</v>
      </c>
      <c r="E429" s="30" t="s">
        <v>1791</v>
      </c>
      <c r="F429" s="31" t="s">
        <v>81</v>
      </c>
      <c r="G429" s="21" t="s">
        <v>72</v>
      </c>
      <c r="H429" s="38" t="s">
        <v>1789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1367</v>
      </c>
    </row>
    <row r="430" spans="1:20" ht="23.25" customHeight="1">
      <c r="A430" s="20" t="s">
        <v>1792</v>
      </c>
      <c r="B430" s="22">
        <v>2024</v>
      </c>
      <c r="C430" s="90" t="s">
        <v>21</v>
      </c>
      <c r="D430" s="22" t="s">
        <v>1787</v>
      </c>
      <c r="E430" s="27" t="s">
        <v>1793</v>
      </c>
      <c r="F430" s="29" t="s">
        <v>81</v>
      </c>
      <c r="G430" s="20" t="s">
        <v>72</v>
      </c>
      <c r="H430" s="36" t="s">
        <v>1789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1367</v>
      </c>
    </row>
    <row r="431" spans="1:20" ht="23.25" customHeight="1">
      <c r="A431" s="21" t="s">
        <v>1794</v>
      </c>
      <c r="B431" s="24">
        <v>2024</v>
      </c>
      <c r="C431" s="90" t="s">
        <v>21</v>
      </c>
      <c r="D431" s="24" t="s">
        <v>1787</v>
      </c>
      <c r="E431" s="30" t="s">
        <v>1795</v>
      </c>
      <c r="F431" s="31" t="s">
        <v>81</v>
      </c>
      <c r="G431" s="21" t="s">
        <v>72</v>
      </c>
      <c r="H431" s="38" t="s">
        <v>1789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1367</v>
      </c>
    </row>
    <row r="432" spans="1:20" ht="23.25" customHeight="1">
      <c r="A432" s="20" t="s">
        <v>1796</v>
      </c>
      <c r="B432" s="22">
        <v>2024</v>
      </c>
      <c r="C432" s="90" t="s">
        <v>21</v>
      </c>
      <c r="D432" s="22" t="s">
        <v>1787</v>
      </c>
      <c r="E432" s="27" t="s">
        <v>1797</v>
      </c>
      <c r="F432" s="29" t="s">
        <v>81</v>
      </c>
      <c r="G432" s="20" t="s">
        <v>72</v>
      </c>
      <c r="H432" s="36" t="s">
        <v>1789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1367</v>
      </c>
    </row>
    <row r="433" spans="1:20" ht="23.25" customHeight="1">
      <c r="A433" s="21" t="s">
        <v>1798</v>
      </c>
      <c r="B433" s="24">
        <v>2024</v>
      </c>
      <c r="C433" s="90" t="s">
        <v>21</v>
      </c>
      <c r="D433" s="24" t="s">
        <v>1777</v>
      </c>
      <c r="E433" s="30" t="s">
        <v>1799</v>
      </c>
      <c r="F433" s="31" t="s">
        <v>23</v>
      </c>
      <c r="G433" s="21" t="s">
        <v>457</v>
      </c>
      <c r="H433" s="38" t="s">
        <v>1800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1780</v>
      </c>
    </row>
    <row r="434" spans="1:20" ht="23.25" customHeight="1">
      <c r="A434" s="20" t="s">
        <v>1801</v>
      </c>
      <c r="B434" s="22">
        <v>2024</v>
      </c>
      <c r="C434" s="90" t="s">
        <v>21</v>
      </c>
      <c r="D434" s="22" t="s">
        <v>1710</v>
      </c>
      <c r="E434" s="27" t="s">
        <v>1802</v>
      </c>
      <c r="F434" s="29" t="s">
        <v>23</v>
      </c>
      <c r="G434" s="20" t="s">
        <v>199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>
      <c r="A435" s="21" t="s">
        <v>1803</v>
      </c>
      <c r="B435" s="24">
        <v>2024</v>
      </c>
      <c r="C435" s="90" t="s">
        <v>21</v>
      </c>
      <c r="D435" s="24" t="s">
        <v>1718</v>
      </c>
      <c r="E435" s="30" t="s">
        <v>1804</v>
      </c>
      <c r="F435" s="31" t="s">
        <v>81</v>
      </c>
      <c r="G435" s="21" t="s">
        <v>72</v>
      </c>
      <c r="H435" s="38" t="s">
        <v>1805</v>
      </c>
      <c r="I435" s="39">
        <v>45425</v>
      </c>
      <c r="J435" s="39">
        <v>45429</v>
      </c>
      <c r="K435" s="24" t="s">
        <v>35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418</v>
      </c>
    </row>
    <row r="436" spans="1:20" ht="23.25" customHeight="1">
      <c r="A436" s="20" t="s">
        <v>1806</v>
      </c>
      <c r="B436" s="22">
        <v>2024</v>
      </c>
      <c r="C436" s="90" t="s">
        <v>21</v>
      </c>
      <c r="D436" s="22" t="s">
        <v>1807</v>
      </c>
      <c r="E436" s="27" t="s">
        <v>1808</v>
      </c>
      <c r="F436" s="29" t="s">
        <v>23</v>
      </c>
      <c r="G436" s="20" t="s">
        <v>38</v>
      </c>
      <c r="H436" s="36" t="s">
        <v>1809</v>
      </c>
      <c r="I436" s="37">
        <v>45426</v>
      </c>
      <c r="J436" s="37">
        <v>45426</v>
      </c>
      <c r="K436" s="22" t="s">
        <v>220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1810</v>
      </c>
    </row>
    <row r="437" spans="1:20" ht="23.25" customHeight="1">
      <c r="A437" s="21" t="s">
        <v>1811</v>
      </c>
      <c r="B437" s="24">
        <v>2024</v>
      </c>
      <c r="C437" s="90" t="s">
        <v>21</v>
      </c>
      <c r="D437" s="24" t="s">
        <v>1807</v>
      </c>
      <c r="E437" s="30" t="s">
        <v>1812</v>
      </c>
      <c r="F437" s="31" t="s">
        <v>23</v>
      </c>
      <c r="G437" s="21" t="s">
        <v>38</v>
      </c>
      <c r="H437" s="38" t="s">
        <v>1813</v>
      </c>
      <c r="I437" s="39">
        <v>45427</v>
      </c>
      <c r="J437" s="39">
        <v>45427</v>
      </c>
      <c r="K437" s="24" t="s">
        <v>220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1810</v>
      </c>
    </row>
    <row r="438" spans="1:20" ht="23.25" customHeight="1">
      <c r="A438" s="20" t="s">
        <v>1814</v>
      </c>
      <c r="B438" s="22">
        <v>2024</v>
      </c>
      <c r="C438" s="90" t="s">
        <v>21</v>
      </c>
      <c r="D438" s="22" t="s">
        <v>1807</v>
      </c>
      <c r="E438" s="27" t="s">
        <v>1815</v>
      </c>
      <c r="F438" s="29" t="s">
        <v>23</v>
      </c>
      <c r="G438" s="20" t="s">
        <v>38</v>
      </c>
      <c r="H438" s="36" t="s">
        <v>1816</v>
      </c>
      <c r="I438" s="37">
        <v>45428</v>
      </c>
      <c r="J438" s="37">
        <v>45428</v>
      </c>
      <c r="K438" s="22" t="s">
        <v>220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1810</v>
      </c>
    </row>
    <row r="439" spans="1:20" ht="23.25" customHeight="1">
      <c r="A439" s="21" t="s">
        <v>1817</v>
      </c>
      <c r="B439" s="24">
        <v>2024</v>
      </c>
      <c r="C439" s="90" t="s">
        <v>21</v>
      </c>
      <c r="D439" s="24" t="s">
        <v>1807</v>
      </c>
      <c r="E439" s="30" t="s">
        <v>1815</v>
      </c>
      <c r="F439" s="31" t="s">
        <v>23</v>
      </c>
      <c r="G439" s="21" t="s">
        <v>38</v>
      </c>
      <c r="H439" s="38" t="s">
        <v>1818</v>
      </c>
      <c r="I439" s="39">
        <v>45429</v>
      </c>
      <c r="J439" s="39">
        <v>45429</v>
      </c>
      <c r="K439" s="24" t="s">
        <v>220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1810</v>
      </c>
    </row>
    <row r="440" spans="1:20" ht="23.25" customHeight="1">
      <c r="A440" s="20" t="s">
        <v>1819</v>
      </c>
      <c r="B440" s="22">
        <v>2024</v>
      </c>
      <c r="C440" s="90" t="s">
        <v>21</v>
      </c>
      <c r="D440" s="22" t="s">
        <v>1820</v>
      </c>
      <c r="E440" s="27" t="s">
        <v>1821</v>
      </c>
      <c r="F440" s="29" t="s">
        <v>81</v>
      </c>
      <c r="G440" s="20" t="s">
        <v>72</v>
      </c>
      <c r="H440" s="36" t="s">
        <v>1822</v>
      </c>
      <c r="I440" s="37">
        <v>45432</v>
      </c>
      <c r="J440" s="37">
        <v>45436</v>
      </c>
      <c r="K440" s="22" t="s">
        <v>35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549</v>
      </c>
    </row>
    <row r="441" spans="1:20" ht="23.25" customHeight="1">
      <c r="A441" s="21" t="s">
        <v>1823</v>
      </c>
      <c r="B441" s="24">
        <v>2024</v>
      </c>
      <c r="C441" s="90" t="s">
        <v>21</v>
      </c>
      <c r="D441" s="24" t="s">
        <v>1824</v>
      </c>
      <c r="E441" s="30" t="s">
        <v>1825</v>
      </c>
      <c r="F441" s="31" t="s">
        <v>23</v>
      </c>
      <c r="G441" s="21" t="s">
        <v>199</v>
      </c>
      <c r="H441" s="38" t="s">
        <v>1826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796</v>
      </c>
    </row>
    <row r="442" spans="1:20" ht="23.25" customHeight="1">
      <c r="A442" s="20" t="s">
        <v>1827</v>
      </c>
      <c r="B442" s="22">
        <v>2024</v>
      </c>
      <c r="C442" s="90" t="s">
        <v>21</v>
      </c>
      <c r="D442" s="22" t="s">
        <v>1828</v>
      </c>
      <c r="E442" s="27" t="s">
        <v>1829</v>
      </c>
      <c r="F442" s="29" t="s">
        <v>23</v>
      </c>
      <c r="G442" s="20" t="s">
        <v>33</v>
      </c>
      <c r="H442" s="36" t="s">
        <v>1830</v>
      </c>
      <c r="I442" s="37">
        <v>45440</v>
      </c>
      <c r="J442" s="37">
        <v>45456</v>
      </c>
      <c r="K442" s="22" t="s">
        <v>35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1831</v>
      </c>
    </row>
    <row r="443" spans="1:20" ht="23.25" customHeight="1">
      <c r="A443" s="21" t="s">
        <v>1832</v>
      </c>
      <c r="B443" s="24">
        <v>2024</v>
      </c>
      <c r="C443" s="90" t="s">
        <v>21</v>
      </c>
      <c r="D443" s="24" t="s">
        <v>1833</v>
      </c>
      <c r="E443" s="30" t="s">
        <v>1834</v>
      </c>
      <c r="F443" s="31" t="s">
        <v>62</v>
      </c>
      <c r="G443" s="21" t="s">
        <v>72</v>
      </c>
      <c r="H443" s="38" t="s">
        <v>1835</v>
      </c>
      <c r="I443" s="39">
        <v>45446</v>
      </c>
      <c r="J443" s="39">
        <v>45456</v>
      </c>
      <c r="K443" s="24" t="s">
        <v>35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951</v>
      </c>
    </row>
    <row r="444" spans="1:20" ht="23.25" customHeight="1">
      <c r="A444" s="20" t="s">
        <v>1836</v>
      </c>
      <c r="B444" s="22">
        <v>2024</v>
      </c>
      <c r="C444" s="90" t="s">
        <v>21</v>
      </c>
      <c r="D444" s="22" t="s">
        <v>1837</v>
      </c>
      <c r="E444" s="27" t="s">
        <v>1838</v>
      </c>
      <c r="F444" s="29" t="s">
        <v>23</v>
      </c>
      <c r="G444" s="20" t="s">
        <v>199</v>
      </c>
      <c r="H444" s="36" t="s">
        <v>1839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1060</v>
      </c>
    </row>
    <row r="445" spans="1:20" ht="23.25" customHeight="1">
      <c r="A445" s="21" t="s">
        <v>1840</v>
      </c>
      <c r="B445" s="24">
        <v>2024</v>
      </c>
      <c r="C445" s="90" t="s">
        <v>21</v>
      </c>
      <c r="D445" s="24" t="s">
        <v>1841</v>
      </c>
      <c r="E445" s="30" t="s">
        <v>1842</v>
      </c>
      <c r="F445" s="31" t="s">
        <v>81</v>
      </c>
      <c r="G445" s="21" t="s">
        <v>72</v>
      </c>
      <c r="H445" s="38" t="s">
        <v>1843</v>
      </c>
      <c r="I445" s="39">
        <v>45456</v>
      </c>
      <c r="J445" s="39">
        <v>45457</v>
      </c>
      <c r="K445" s="24" t="s">
        <v>220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472</v>
      </c>
    </row>
    <row r="446" spans="1:20" ht="23.25" customHeight="1">
      <c r="A446" s="20" t="s">
        <v>1844</v>
      </c>
      <c r="B446" s="22">
        <v>2024</v>
      </c>
      <c r="C446" s="90" t="s">
        <v>21</v>
      </c>
      <c r="D446" s="22" t="s">
        <v>1777</v>
      </c>
      <c r="E446" s="27" t="s">
        <v>1845</v>
      </c>
      <c r="F446" s="29" t="s">
        <v>23</v>
      </c>
      <c r="G446" s="20" t="s">
        <v>457</v>
      </c>
      <c r="H446" s="36" t="s">
        <v>1846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1780</v>
      </c>
    </row>
    <row r="447" spans="1:20" ht="23.25" customHeight="1">
      <c r="A447" s="21" t="s">
        <v>1847</v>
      </c>
      <c r="B447" s="24">
        <v>2024</v>
      </c>
      <c r="C447" s="90" t="s">
        <v>21</v>
      </c>
      <c r="D447" s="24" t="s">
        <v>1848</v>
      </c>
      <c r="E447" s="30" t="s">
        <v>1849</v>
      </c>
      <c r="F447" s="31" t="s">
        <v>62</v>
      </c>
      <c r="G447" s="21" t="s">
        <v>24</v>
      </c>
      <c r="H447" s="38" t="s">
        <v>1850</v>
      </c>
      <c r="I447" s="39">
        <v>45460</v>
      </c>
      <c r="J447" s="39">
        <v>45463</v>
      </c>
      <c r="K447" s="24" t="s">
        <v>35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1743</v>
      </c>
    </row>
    <row r="448" spans="1:20" ht="23.25" customHeight="1">
      <c r="A448" s="20" t="s">
        <v>1851</v>
      </c>
      <c r="B448" s="22">
        <v>2024</v>
      </c>
      <c r="C448" s="90" t="s">
        <v>21</v>
      </c>
      <c r="D448" s="22" t="s">
        <v>1782</v>
      </c>
      <c r="E448" s="27" t="s">
        <v>1852</v>
      </c>
      <c r="F448" s="29" t="s">
        <v>23</v>
      </c>
      <c r="G448" s="20" t="s">
        <v>38</v>
      </c>
      <c r="H448" s="36" t="s">
        <v>1850</v>
      </c>
      <c r="I448" s="37">
        <v>45460</v>
      </c>
      <c r="J448" s="37">
        <v>45463</v>
      </c>
      <c r="K448" s="22" t="s">
        <v>35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1785</v>
      </c>
    </row>
    <row r="449" spans="1:20" ht="23.25" customHeight="1">
      <c r="A449" s="21" t="s">
        <v>1853</v>
      </c>
      <c r="B449" s="24">
        <v>2024</v>
      </c>
      <c r="C449" s="90" t="s">
        <v>21</v>
      </c>
      <c r="D449" s="24" t="s">
        <v>1854</v>
      </c>
      <c r="E449" s="30" t="s">
        <v>1855</v>
      </c>
      <c r="F449" s="31" t="s">
        <v>23</v>
      </c>
      <c r="G449" s="21" t="s">
        <v>364</v>
      </c>
      <c r="H449" s="38" t="s">
        <v>1856</v>
      </c>
      <c r="I449" s="39">
        <v>45461</v>
      </c>
      <c r="J449" s="39">
        <v>45464</v>
      </c>
      <c r="K449" s="24" t="s">
        <v>35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472</v>
      </c>
    </row>
    <row r="450" spans="1:20" ht="23.25" customHeight="1">
      <c r="A450" s="20" t="s">
        <v>1857</v>
      </c>
      <c r="B450" s="22">
        <v>2024</v>
      </c>
      <c r="C450" s="90" t="s">
        <v>21</v>
      </c>
      <c r="D450" s="22" t="s">
        <v>1745</v>
      </c>
      <c r="E450" s="27" t="s">
        <v>1858</v>
      </c>
      <c r="F450" s="29" t="s">
        <v>23</v>
      </c>
      <c r="G450" s="20" t="s">
        <v>24</v>
      </c>
      <c r="H450" s="36" t="s">
        <v>1859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1748</v>
      </c>
    </row>
    <row r="451" spans="1:20" ht="23.25" customHeight="1">
      <c r="A451" s="21" t="s">
        <v>1860</v>
      </c>
      <c r="B451" s="24">
        <v>2024</v>
      </c>
      <c r="C451" s="90" t="s">
        <v>21</v>
      </c>
      <c r="D451" s="24" t="s">
        <v>1777</v>
      </c>
      <c r="E451" s="30" t="s">
        <v>1861</v>
      </c>
      <c r="F451" s="31" t="s">
        <v>23</v>
      </c>
      <c r="G451" s="21" t="s">
        <v>457</v>
      </c>
      <c r="H451" s="38" t="s">
        <v>1862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1780</v>
      </c>
    </row>
    <row r="452" spans="1:20" ht="23.25" customHeight="1">
      <c r="A452" s="20" t="s">
        <v>1863</v>
      </c>
      <c r="B452" s="22">
        <v>2024</v>
      </c>
      <c r="C452" s="90" t="s">
        <v>21</v>
      </c>
      <c r="D452" s="22" t="s">
        <v>1864</v>
      </c>
      <c r="E452" s="27" t="s">
        <v>1865</v>
      </c>
      <c r="F452" s="29" t="s">
        <v>23</v>
      </c>
      <c r="G452" s="20" t="s">
        <v>457</v>
      </c>
      <c r="H452" s="36" t="s">
        <v>1866</v>
      </c>
      <c r="I452" s="37">
        <v>45467</v>
      </c>
      <c r="J452" s="37">
        <v>45467</v>
      </c>
      <c r="K452" s="22" t="s">
        <v>35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1716</v>
      </c>
    </row>
    <row r="453" spans="1:20" ht="23.25" customHeight="1">
      <c r="A453" s="21" t="s">
        <v>1867</v>
      </c>
      <c r="B453" s="24">
        <v>2024</v>
      </c>
      <c r="C453" s="90" t="s">
        <v>21</v>
      </c>
      <c r="D453" s="24" t="s">
        <v>1745</v>
      </c>
      <c r="E453" s="30" t="s">
        <v>1868</v>
      </c>
      <c r="F453" s="31" t="s">
        <v>23</v>
      </c>
      <c r="G453" s="21" t="s">
        <v>24</v>
      </c>
      <c r="H453" s="38" t="s">
        <v>1869</v>
      </c>
      <c r="I453" s="39">
        <v>45470</v>
      </c>
      <c r="J453" s="39">
        <v>45470</v>
      </c>
      <c r="K453" s="24" t="s">
        <v>35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211</v>
      </c>
    </row>
    <row r="454" spans="1:20" ht="23.25" customHeight="1">
      <c r="A454" s="20" t="s">
        <v>1870</v>
      </c>
      <c r="B454" s="22">
        <v>2024</v>
      </c>
      <c r="C454" s="90" t="s">
        <v>21</v>
      </c>
      <c r="D454" s="22" t="s">
        <v>1854</v>
      </c>
      <c r="E454" s="27" t="s">
        <v>1871</v>
      </c>
      <c r="F454" s="29" t="s">
        <v>23</v>
      </c>
      <c r="G454" s="20" t="s">
        <v>364</v>
      </c>
      <c r="H454" s="36" t="s">
        <v>1872</v>
      </c>
      <c r="I454" s="37">
        <v>45471</v>
      </c>
      <c r="J454" s="37">
        <v>45471</v>
      </c>
      <c r="K454" s="22" t="s">
        <v>35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5" t="s">
        <v>1873</v>
      </c>
    </row>
    <row r="455" spans="1:20" ht="23.25" customHeight="1">
      <c r="A455" s="21" t="s">
        <v>1874</v>
      </c>
      <c r="B455" s="24">
        <v>2024</v>
      </c>
      <c r="C455" s="90" t="s">
        <v>21</v>
      </c>
      <c r="D455" s="24" t="s">
        <v>1777</v>
      </c>
      <c r="E455" s="30" t="s">
        <v>1875</v>
      </c>
      <c r="F455" s="31" t="s">
        <v>23</v>
      </c>
      <c r="G455" s="21" t="s">
        <v>457</v>
      </c>
      <c r="H455" s="38" t="s">
        <v>1872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1780</v>
      </c>
    </row>
    <row r="456" spans="1:20" ht="23.25" customHeight="1">
      <c r="A456" s="20" t="s">
        <v>1876</v>
      </c>
      <c r="B456" s="22">
        <v>2024</v>
      </c>
      <c r="C456" s="90" t="s">
        <v>21</v>
      </c>
      <c r="D456" s="22"/>
      <c r="E456" s="27" t="s">
        <v>1877</v>
      </c>
      <c r="F456" s="29" t="s">
        <v>23</v>
      </c>
      <c r="G456" s="20" t="s">
        <v>199</v>
      </c>
      <c r="H456" s="57" t="s">
        <v>1872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>
      <c r="A457" s="21" t="s">
        <v>1878</v>
      </c>
      <c r="B457" s="24">
        <v>2024</v>
      </c>
      <c r="C457" s="90" t="s">
        <v>21</v>
      </c>
      <c r="D457" s="24" t="s">
        <v>1879</v>
      </c>
      <c r="E457" s="30" t="s">
        <v>1880</v>
      </c>
      <c r="F457" s="31" t="s">
        <v>23</v>
      </c>
      <c r="G457" s="21" t="s">
        <v>38</v>
      </c>
      <c r="H457" s="38" t="s">
        <v>1881</v>
      </c>
      <c r="I457" s="39">
        <v>45474</v>
      </c>
      <c r="J457" s="39">
        <v>45478</v>
      </c>
      <c r="K457" s="24" t="s">
        <v>35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1785</v>
      </c>
    </row>
    <row r="458" spans="1:20" ht="23.25" customHeight="1">
      <c r="A458" s="20" t="s">
        <v>1882</v>
      </c>
      <c r="B458" s="22">
        <v>2024</v>
      </c>
      <c r="C458" s="90" t="s">
        <v>21</v>
      </c>
      <c r="D458" s="22" t="s">
        <v>1883</v>
      </c>
      <c r="E458" s="27" t="s">
        <v>1884</v>
      </c>
      <c r="F458" s="29" t="s">
        <v>23</v>
      </c>
      <c r="G458" s="20" t="s">
        <v>364</v>
      </c>
      <c r="H458" s="36" t="s">
        <v>1885</v>
      </c>
      <c r="I458" s="37">
        <v>45474</v>
      </c>
      <c r="J458" s="37">
        <v>45492</v>
      </c>
      <c r="K458" s="22" t="s">
        <v>35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472</v>
      </c>
    </row>
    <row r="459" spans="1:20" ht="23.25" customHeight="1">
      <c r="A459" s="21" t="s">
        <v>1886</v>
      </c>
      <c r="B459" s="24">
        <v>2024</v>
      </c>
      <c r="C459" s="90" t="s">
        <v>21</v>
      </c>
      <c r="D459" s="24" t="s">
        <v>1887</v>
      </c>
      <c r="E459" s="30" t="s">
        <v>1888</v>
      </c>
      <c r="F459" s="31" t="s">
        <v>62</v>
      </c>
      <c r="G459" s="21" t="s">
        <v>72</v>
      </c>
      <c r="H459" s="38" t="s">
        <v>1889</v>
      </c>
      <c r="I459" s="39">
        <v>45475</v>
      </c>
      <c r="J459" s="39">
        <v>45477</v>
      </c>
      <c r="K459" s="24" t="s">
        <v>35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6" t="s">
        <v>1890</v>
      </c>
    </row>
    <row r="460" spans="1:20" ht="23.25" customHeight="1">
      <c r="A460" s="20" t="s">
        <v>1891</v>
      </c>
      <c r="B460" s="22">
        <v>2024</v>
      </c>
      <c r="C460" s="90" t="s">
        <v>21</v>
      </c>
      <c r="D460" s="22" t="s">
        <v>1892</v>
      </c>
      <c r="E460" s="27" t="s">
        <v>1893</v>
      </c>
      <c r="F460" s="29" t="s">
        <v>23</v>
      </c>
      <c r="G460" s="20" t="s">
        <v>68</v>
      </c>
      <c r="H460" s="36" t="s">
        <v>1894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746</v>
      </c>
    </row>
    <row r="461" spans="1:20" ht="23.25" customHeight="1">
      <c r="A461" s="21" t="s">
        <v>1895</v>
      </c>
      <c r="B461" s="24">
        <v>2024</v>
      </c>
      <c r="C461" s="90" t="s">
        <v>21</v>
      </c>
      <c r="D461" s="24" t="s">
        <v>1777</v>
      </c>
      <c r="E461" s="30" t="s">
        <v>1896</v>
      </c>
      <c r="F461" s="31" t="s">
        <v>23</v>
      </c>
      <c r="G461" s="21" t="s">
        <v>457</v>
      </c>
      <c r="H461" s="264" t="s">
        <v>1897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1780</v>
      </c>
    </row>
    <row r="462" spans="1:20" ht="23.25" customHeight="1">
      <c r="A462" s="20" t="s">
        <v>1898</v>
      </c>
      <c r="B462" s="22">
        <v>2024</v>
      </c>
      <c r="C462" s="90" t="s">
        <v>21</v>
      </c>
      <c r="D462" s="22" t="s">
        <v>1899</v>
      </c>
      <c r="E462" s="27" t="s">
        <v>1900</v>
      </c>
      <c r="F462" s="29" t="s">
        <v>23</v>
      </c>
      <c r="G462" s="20" t="s">
        <v>38</v>
      </c>
      <c r="H462" s="263" t="s">
        <v>1901</v>
      </c>
      <c r="I462" s="37">
        <v>45495</v>
      </c>
      <c r="J462" s="37">
        <v>45498</v>
      </c>
      <c r="K462" s="22" t="s">
        <v>35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1902</v>
      </c>
    </row>
    <row r="463" spans="1:20" ht="23.25" customHeight="1">
      <c r="A463" s="21" t="s">
        <v>1903</v>
      </c>
      <c r="B463" s="24">
        <v>2024</v>
      </c>
      <c r="C463" s="90" t="s">
        <v>21</v>
      </c>
      <c r="D463" s="24" t="s">
        <v>1904</v>
      </c>
      <c r="E463" s="30" t="s">
        <v>1905</v>
      </c>
      <c r="F463" s="31" t="s">
        <v>23</v>
      </c>
      <c r="G463" s="21" t="s">
        <v>24</v>
      </c>
      <c r="H463" s="38" t="s">
        <v>1906</v>
      </c>
      <c r="I463" s="39">
        <v>45497</v>
      </c>
      <c r="J463" s="39">
        <v>45501</v>
      </c>
      <c r="K463" s="24" t="s">
        <v>35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6" t="s">
        <v>549</v>
      </c>
    </row>
    <row r="464" spans="1:20" ht="23.25" customHeight="1">
      <c r="A464" s="20" t="s">
        <v>1907</v>
      </c>
      <c r="B464" s="22">
        <v>2024</v>
      </c>
      <c r="C464" s="90" t="s">
        <v>21</v>
      </c>
      <c r="D464" s="22" t="s">
        <v>1777</v>
      </c>
      <c r="E464" s="27" t="s">
        <v>1908</v>
      </c>
      <c r="F464" s="29" t="s">
        <v>23</v>
      </c>
      <c r="G464" s="20" t="s">
        <v>457</v>
      </c>
      <c r="H464" s="36" t="s">
        <v>1909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1780</v>
      </c>
    </row>
    <row r="465" spans="1:20" ht="23.25" customHeight="1">
      <c r="A465" s="21" t="s">
        <v>1910</v>
      </c>
      <c r="B465" s="24">
        <v>2024</v>
      </c>
      <c r="C465" s="90" t="s">
        <v>21</v>
      </c>
      <c r="D465" s="24" t="s">
        <v>1911</v>
      </c>
      <c r="E465" s="30" t="s">
        <v>1912</v>
      </c>
      <c r="F465" s="31" t="s">
        <v>23</v>
      </c>
      <c r="G465" s="21" t="s">
        <v>24</v>
      </c>
      <c r="H465" s="38" t="s">
        <v>1913</v>
      </c>
      <c r="I465" s="39">
        <v>45502</v>
      </c>
      <c r="J465" s="39">
        <v>45506</v>
      </c>
      <c r="K465" s="24" t="s">
        <v>35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1914</v>
      </c>
    </row>
    <row r="466" spans="1:20" ht="23.25" customHeight="1">
      <c r="A466" s="20" t="s">
        <v>1915</v>
      </c>
      <c r="B466" s="22">
        <v>2024</v>
      </c>
      <c r="C466" s="90" t="s">
        <v>21</v>
      </c>
      <c r="D466" s="22" t="s">
        <v>1916</v>
      </c>
      <c r="E466" s="27" t="s">
        <v>1917</v>
      </c>
      <c r="F466" s="29" t="s">
        <v>81</v>
      </c>
      <c r="G466" s="20" t="s">
        <v>68</v>
      </c>
      <c r="H466" s="36" t="s">
        <v>1918</v>
      </c>
      <c r="I466" s="37">
        <v>45502</v>
      </c>
      <c r="J466" s="37">
        <v>45504</v>
      </c>
      <c r="K466" s="22" t="s">
        <v>220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472</v>
      </c>
    </row>
    <row r="467" spans="1:20" ht="23.25" customHeight="1">
      <c r="A467" s="21" t="s">
        <v>1919</v>
      </c>
      <c r="B467" s="24">
        <v>2024</v>
      </c>
      <c r="C467" s="90" t="s">
        <v>21</v>
      </c>
      <c r="D467" s="24" t="s">
        <v>1916</v>
      </c>
      <c r="E467" s="30" t="s">
        <v>1920</v>
      </c>
      <c r="F467" s="85" t="s">
        <v>23</v>
      </c>
      <c r="G467" s="21" t="s">
        <v>68</v>
      </c>
      <c r="H467" s="38" t="s">
        <v>1921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472</v>
      </c>
    </row>
    <row r="468" spans="1:20" ht="23.25" customHeight="1">
      <c r="A468" s="20" t="s">
        <v>1922</v>
      </c>
      <c r="B468" s="22">
        <v>2024</v>
      </c>
      <c r="C468" s="90" t="s">
        <v>21</v>
      </c>
      <c r="D468" s="22" t="s">
        <v>1923</v>
      </c>
      <c r="E468" s="27" t="s">
        <v>1924</v>
      </c>
      <c r="F468" s="29" t="s">
        <v>23</v>
      </c>
      <c r="G468" s="20" t="s">
        <v>38</v>
      </c>
      <c r="H468" s="36" t="s">
        <v>1925</v>
      </c>
      <c r="I468" s="37">
        <v>45510</v>
      </c>
      <c r="J468" s="37">
        <v>45512</v>
      </c>
      <c r="K468" s="22" t="s">
        <v>35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1926</v>
      </c>
    </row>
    <row r="469" spans="1:20" ht="23.25" customHeight="1">
      <c r="A469" s="21" t="s">
        <v>1927</v>
      </c>
      <c r="B469" s="24">
        <v>2024</v>
      </c>
      <c r="C469" s="90" t="s">
        <v>21</v>
      </c>
      <c r="D469" s="24" t="s">
        <v>1777</v>
      </c>
      <c r="E469" s="30" t="s">
        <v>1928</v>
      </c>
      <c r="F469" s="31" t="s">
        <v>23</v>
      </c>
      <c r="G469" s="21" t="s">
        <v>457</v>
      </c>
      <c r="H469" s="38" t="s">
        <v>1929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1780</v>
      </c>
    </row>
    <row r="470" spans="1:20" ht="23.25" customHeight="1">
      <c r="A470" s="20" t="s">
        <v>1930</v>
      </c>
      <c r="B470" s="22">
        <v>2024</v>
      </c>
      <c r="C470" s="90" t="s">
        <v>21</v>
      </c>
      <c r="D470" s="22" t="s">
        <v>1777</v>
      </c>
      <c r="E470" s="27" t="s">
        <v>1931</v>
      </c>
      <c r="F470" s="29" t="s">
        <v>23</v>
      </c>
      <c r="G470" s="20" t="s">
        <v>457</v>
      </c>
      <c r="H470" s="36" t="s">
        <v>1932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1780</v>
      </c>
    </row>
    <row r="471" spans="1:20" ht="23.25" customHeight="1">
      <c r="A471" s="21" t="s">
        <v>1933</v>
      </c>
      <c r="B471" s="24">
        <v>2024</v>
      </c>
      <c r="C471" s="90" t="s">
        <v>21</v>
      </c>
      <c r="D471" s="24" t="s">
        <v>1934</v>
      </c>
      <c r="E471" s="30" t="s">
        <v>1935</v>
      </c>
      <c r="F471" s="31" t="s">
        <v>62</v>
      </c>
      <c r="G471" s="21" t="s">
        <v>72</v>
      </c>
      <c r="H471" s="38" t="s">
        <v>1936</v>
      </c>
      <c r="I471" s="39">
        <v>45519</v>
      </c>
      <c r="J471" s="39">
        <v>45520</v>
      </c>
      <c r="K471" s="24" t="s">
        <v>35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472</v>
      </c>
    </row>
    <row r="472" spans="1:20" ht="23.25" customHeight="1">
      <c r="A472" s="20" t="s">
        <v>1937</v>
      </c>
      <c r="B472" s="22">
        <v>2024</v>
      </c>
      <c r="C472" s="90" t="s">
        <v>21</v>
      </c>
      <c r="D472" s="22" t="s">
        <v>1938</v>
      </c>
      <c r="E472" s="27" t="s">
        <v>1939</v>
      </c>
      <c r="F472" s="29" t="s">
        <v>62</v>
      </c>
      <c r="G472" s="20" t="s">
        <v>72</v>
      </c>
      <c r="H472" s="36" t="s">
        <v>1940</v>
      </c>
      <c r="I472" s="37">
        <v>45523</v>
      </c>
      <c r="J472" s="37">
        <v>45525</v>
      </c>
      <c r="K472" s="22" t="s">
        <v>35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1941</v>
      </c>
    </row>
    <row r="473" spans="1:20" ht="23.25" customHeight="1">
      <c r="A473" s="21" t="s">
        <v>1942</v>
      </c>
      <c r="B473" s="24">
        <v>2024</v>
      </c>
      <c r="C473" s="90" t="s">
        <v>21</v>
      </c>
      <c r="D473" s="24" t="s">
        <v>1943</v>
      </c>
      <c r="E473" s="30" t="s">
        <v>1944</v>
      </c>
      <c r="F473" s="31" t="s">
        <v>62</v>
      </c>
      <c r="G473" s="21" t="s">
        <v>72</v>
      </c>
      <c r="H473" s="38" t="s">
        <v>1945</v>
      </c>
      <c r="I473" s="39">
        <v>45524</v>
      </c>
      <c r="J473" s="39">
        <v>45534</v>
      </c>
      <c r="K473" s="24" t="s">
        <v>220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1946</v>
      </c>
    </row>
    <row r="474" spans="1:20" ht="23.25" customHeight="1">
      <c r="A474" s="20" t="s">
        <v>1947</v>
      </c>
      <c r="B474" s="22">
        <v>2024</v>
      </c>
      <c r="C474" s="90" t="s">
        <v>21</v>
      </c>
      <c r="D474" s="22" t="s">
        <v>1948</v>
      </c>
      <c r="E474" s="27" t="s">
        <v>1949</v>
      </c>
      <c r="F474" s="29" t="s">
        <v>62</v>
      </c>
      <c r="G474" s="20" t="s">
        <v>72</v>
      </c>
      <c r="H474" s="36" t="s">
        <v>1950</v>
      </c>
      <c r="I474" s="37">
        <v>45524</v>
      </c>
      <c r="J474" s="37">
        <v>45524</v>
      </c>
      <c r="K474" s="22" t="s">
        <v>35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1951</v>
      </c>
    </row>
    <row r="475" spans="1:20" ht="23.25" customHeight="1">
      <c r="A475" s="21" t="s">
        <v>1952</v>
      </c>
      <c r="B475" s="24">
        <v>2024</v>
      </c>
      <c r="C475" s="90" t="s">
        <v>21</v>
      </c>
      <c r="D475" s="24" t="s">
        <v>1953</v>
      </c>
      <c r="E475" s="30" t="s">
        <v>1954</v>
      </c>
      <c r="F475" s="31" t="s">
        <v>23</v>
      </c>
      <c r="G475" s="21" t="s">
        <v>38</v>
      </c>
      <c r="H475" s="38" t="s">
        <v>1955</v>
      </c>
      <c r="I475" s="39">
        <v>45524</v>
      </c>
      <c r="J475" s="39">
        <v>45525</v>
      </c>
      <c r="K475" s="24" t="s">
        <v>35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1956</v>
      </c>
    </row>
    <row r="476" spans="1:20" ht="23.25" customHeight="1">
      <c r="A476" s="20" t="s">
        <v>1957</v>
      </c>
      <c r="B476" s="22">
        <v>2024</v>
      </c>
      <c r="C476" s="90" t="s">
        <v>21</v>
      </c>
      <c r="D476" s="22" t="s">
        <v>1958</v>
      </c>
      <c r="E476" s="27" t="s">
        <v>1959</v>
      </c>
      <c r="F476" s="29" t="s">
        <v>62</v>
      </c>
      <c r="G476" s="20" t="s">
        <v>72</v>
      </c>
      <c r="H476" s="36" t="s">
        <v>1960</v>
      </c>
      <c r="I476" s="37">
        <v>45525</v>
      </c>
      <c r="J476" s="37">
        <v>45525</v>
      </c>
      <c r="K476" s="22" t="s">
        <v>35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1961</v>
      </c>
    </row>
    <row r="477" spans="1:20" ht="23.25" customHeight="1">
      <c r="A477" s="21" t="s">
        <v>1962</v>
      </c>
      <c r="B477" s="24">
        <v>2024</v>
      </c>
      <c r="C477" s="90" t="s">
        <v>21</v>
      </c>
      <c r="D477" s="24" t="s">
        <v>1963</v>
      </c>
      <c r="E477" s="30" t="s">
        <v>1964</v>
      </c>
      <c r="F477" s="31" t="s">
        <v>62</v>
      </c>
      <c r="G477" s="21" t="s">
        <v>72</v>
      </c>
      <c r="H477" s="38" t="s">
        <v>1965</v>
      </c>
      <c r="I477" s="39">
        <v>45526</v>
      </c>
      <c r="J477" s="39">
        <v>45526</v>
      </c>
      <c r="K477" s="24" t="s">
        <v>35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1055</v>
      </c>
    </row>
    <row r="478" spans="1:20" ht="23.25" customHeight="1">
      <c r="A478" s="20" t="s">
        <v>1966</v>
      </c>
      <c r="B478" s="22">
        <v>2024</v>
      </c>
      <c r="C478" s="90" t="s">
        <v>21</v>
      </c>
      <c r="D478" s="22" t="s">
        <v>1967</v>
      </c>
      <c r="E478" s="27" t="s">
        <v>1968</v>
      </c>
      <c r="F478" s="29" t="s">
        <v>23</v>
      </c>
      <c r="G478" s="20" t="s">
        <v>24</v>
      </c>
      <c r="H478" s="36" t="s">
        <v>1969</v>
      </c>
      <c r="I478" s="37">
        <v>45530</v>
      </c>
      <c r="J478" s="37">
        <v>45533</v>
      </c>
      <c r="K478" s="22" t="s">
        <v>35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1914</v>
      </c>
    </row>
    <row r="479" spans="1:20" ht="23.25" customHeight="1">
      <c r="A479" s="21" t="s">
        <v>1970</v>
      </c>
      <c r="B479" s="24">
        <v>2024</v>
      </c>
      <c r="C479" s="90" t="s">
        <v>21</v>
      </c>
      <c r="D479" s="24" t="s">
        <v>1971</v>
      </c>
      <c r="E479" s="30" t="s">
        <v>1972</v>
      </c>
      <c r="F479" s="31" t="s">
        <v>81</v>
      </c>
      <c r="G479" s="21" t="s">
        <v>72</v>
      </c>
      <c r="H479" s="38" t="s">
        <v>1973</v>
      </c>
      <c r="I479" s="39">
        <v>45530</v>
      </c>
      <c r="J479" s="39">
        <v>45534</v>
      </c>
      <c r="K479" s="24" t="s">
        <v>35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1974</v>
      </c>
    </row>
    <row r="480" spans="1:20" ht="23.25" customHeight="1">
      <c r="A480" s="20" t="s">
        <v>1975</v>
      </c>
      <c r="B480" s="22">
        <v>2024</v>
      </c>
      <c r="C480" s="90" t="s">
        <v>21</v>
      </c>
      <c r="D480" s="22" t="s">
        <v>1976</v>
      </c>
      <c r="E480" s="27" t="s">
        <v>1977</v>
      </c>
      <c r="F480" s="29" t="s">
        <v>62</v>
      </c>
      <c r="G480" s="20" t="s">
        <v>72</v>
      </c>
      <c r="H480" s="36" t="s">
        <v>1978</v>
      </c>
      <c r="I480" s="37">
        <v>45537</v>
      </c>
      <c r="J480" s="37">
        <v>45539</v>
      </c>
      <c r="K480" s="22" t="s">
        <v>35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1055</v>
      </c>
    </row>
    <row r="481" spans="1:20" ht="23.25" customHeight="1">
      <c r="A481" s="21" t="s">
        <v>1979</v>
      </c>
      <c r="B481" s="24">
        <v>2024</v>
      </c>
      <c r="C481" s="90" t="s">
        <v>21</v>
      </c>
      <c r="D481" s="24" t="s">
        <v>1782</v>
      </c>
      <c r="E481" s="30" t="s">
        <v>1980</v>
      </c>
      <c r="F481" s="31" t="s">
        <v>23</v>
      </c>
      <c r="G481" s="21" t="s">
        <v>38</v>
      </c>
      <c r="H481" s="38" t="s">
        <v>1981</v>
      </c>
      <c r="I481" s="39">
        <v>45537</v>
      </c>
      <c r="J481" s="39">
        <v>45540</v>
      </c>
      <c r="K481" s="24" t="s">
        <v>35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1982</v>
      </c>
    </row>
    <row r="482" spans="1:20" ht="23.25" customHeight="1">
      <c r="A482" s="20" t="s">
        <v>1983</v>
      </c>
      <c r="B482" s="22">
        <v>2024</v>
      </c>
      <c r="C482" s="90" t="s">
        <v>21</v>
      </c>
      <c r="D482" s="22" t="s">
        <v>1984</v>
      </c>
      <c r="E482" s="27" t="s">
        <v>1985</v>
      </c>
      <c r="F482" s="29" t="s">
        <v>23</v>
      </c>
      <c r="G482" s="20" t="s">
        <v>38</v>
      </c>
      <c r="H482" s="36" t="s">
        <v>1986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1987</v>
      </c>
    </row>
    <row r="483" spans="1:20" ht="23.25" customHeight="1">
      <c r="A483" s="21" t="s">
        <v>1988</v>
      </c>
      <c r="B483" s="24">
        <v>2024</v>
      </c>
      <c r="C483" s="90" t="s">
        <v>21</v>
      </c>
      <c r="D483" s="24" t="s">
        <v>1713</v>
      </c>
      <c r="E483" s="30" t="s">
        <v>1714</v>
      </c>
      <c r="F483" s="31" t="s">
        <v>23</v>
      </c>
      <c r="G483" s="21" t="s">
        <v>199</v>
      </c>
      <c r="H483" s="38" t="s">
        <v>1989</v>
      </c>
      <c r="I483" s="39">
        <v>45545</v>
      </c>
      <c r="J483" s="39">
        <v>45554</v>
      </c>
      <c r="K483" s="24" t="s">
        <v>35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1716</v>
      </c>
    </row>
    <row r="484" spans="1:20" ht="23.25" customHeight="1">
      <c r="A484" s="20" t="s">
        <v>1990</v>
      </c>
      <c r="B484" s="22">
        <v>2024</v>
      </c>
      <c r="C484" s="90" t="s">
        <v>21</v>
      </c>
      <c r="D484" s="22" t="s">
        <v>1963</v>
      </c>
      <c r="E484" s="27" t="s">
        <v>1991</v>
      </c>
      <c r="F484" s="29" t="s">
        <v>62</v>
      </c>
      <c r="G484" s="20" t="s">
        <v>72</v>
      </c>
      <c r="H484" s="36" t="s">
        <v>1992</v>
      </c>
      <c r="I484" s="37">
        <v>45547</v>
      </c>
      <c r="J484" s="37">
        <v>45547</v>
      </c>
      <c r="K484" s="22" t="s">
        <v>35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1055</v>
      </c>
    </row>
    <row r="485" spans="1:20" ht="23.25" customHeight="1">
      <c r="A485" s="21" t="s">
        <v>1993</v>
      </c>
      <c r="B485" s="24">
        <v>2024</v>
      </c>
      <c r="C485" s="90" t="s">
        <v>21</v>
      </c>
      <c r="D485" s="24" t="s">
        <v>1777</v>
      </c>
      <c r="E485" s="30" t="s">
        <v>1994</v>
      </c>
      <c r="F485" s="31" t="s">
        <v>23</v>
      </c>
      <c r="G485" s="21" t="s">
        <v>457</v>
      </c>
      <c r="H485" s="38" t="s">
        <v>1995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1780</v>
      </c>
    </row>
    <row r="486" spans="1:20" ht="23.25" customHeight="1">
      <c r="A486" s="20" t="s">
        <v>1996</v>
      </c>
      <c r="B486" s="22">
        <v>2024</v>
      </c>
      <c r="C486" s="90" t="s">
        <v>21</v>
      </c>
      <c r="D486" s="22" t="s">
        <v>1770</v>
      </c>
      <c r="E486" s="27" t="s">
        <v>1771</v>
      </c>
      <c r="F486" s="29" t="s">
        <v>23</v>
      </c>
      <c r="G486" s="20" t="s">
        <v>199</v>
      </c>
      <c r="H486" s="36" t="s">
        <v>1997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1258</v>
      </c>
    </row>
    <row r="487" spans="1:20" ht="23.25" customHeight="1">
      <c r="A487" s="21" t="s">
        <v>1998</v>
      </c>
      <c r="B487" s="24">
        <v>2024</v>
      </c>
      <c r="C487" s="90" t="s">
        <v>21</v>
      </c>
      <c r="D487" s="24" t="s">
        <v>1999</v>
      </c>
      <c r="E487" s="30" t="s">
        <v>2000</v>
      </c>
      <c r="F487" s="31" t="s">
        <v>23</v>
      </c>
      <c r="G487" s="21" t="s">
        <v>33</v>
      </c>
      <c r="H487" s="38" t="s">
        <v>2001</v>
      </c>
      <c r="I487" s="39">
        <v>45551</v>
      </c>
      <c r="J487" s="39">
        <v>45555</v>
      </c>
      <c r="K487" s="24" t="s">
        <v>35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211</v>
      </c>
    </row>
    <row r="488" spans="1:20" ht="23.25" customHeight="1">
      <c r="A488" s="20" t="s">
        <v>2002</v>
      </c>
      <c r="B488" s="22">
        <v>2024</v>
      </c>
      <c r="C488" s="90" t="s">
        <v>21</v>
      </c>
      <c r="D488" s="22" t="s">
        <v>1777</v>
      </c>
      <c r="E488" s="27" t="s">
        <v>2003</v>
      </c>
      <c r="F488" s="29" t="s">
        <v>23</v>
      </c>
      <c r="G488" s="20" t="s">
        <v>457</v>
      </c>
      <c r="H488" s="36" t="s">
        <v>2004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1780</v>
      </c>
    </row>
    <row r="489" spans="1:20" ht="23.25" customHeight="1">
      <c r="A489" s="21" t="s">
        <v>2005</v>
      </c>
      <c r="B489" s="262">
        <v>2024</v>
      </c>
      <c r="C489" s="91" t="s">
        <v>21</v>
      </c>
      <c r="D489" s="64" t="s">
        <v>1696</v>
      </c>
      <c r="E489" s="58" t="s">
        <v>2006</v>
      </c>
      <c r="F489" s="31" t="s">
        <v>62</v>
      </c>
      <c r="G489" s="45" t="s">
        <v>72</v>
      </c>
      <c r="H489" s="59" t="s">
        <v>2007</v>
      </c>
      <c r="I489" s="60">
        <v>45558</v>
      </c>
      <c r="J489" s="60">
        <v>45562</v>
      </c>
      <c r="K489" s="24" t="s">
        <v>35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74</v>
      </c>
    </row>
    <row r="490" spans="1:20" ht="23.25" customHeight="1">
      <c r="A490" s="20" t="s">
        <v>2008</v>
      </c>
      <c r="B490" s="22">
        <v>2024</v>
      </c>
      <c r="C490" s="91" t="s">
        <v>21</v>
      </c>
      <c r="D490" s="70" t="s">
        <v>1971</v>
      </c>
      <c r="E490" s="65" t="s">
        <v>2009</v>
      </c>
      <c r="F490" s="66" t="s">
        <v>81</v>
      </c>
      <c r="G490" s="67" t="s">
        <v>72</v>
      </c>
      <c r="H490" s="68" t="s">
        <v>2007</v>
      </c>
      <c r="I490" s="69">
        <v>45558</v>
      </c>
      <c r="J490" s="69">
        <v>45562</v>
      </c>
      <c r="K490" s="70" t="s">
        <v>35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1974</v>
      </c>
    </row>
    <row r="491" spans="1:20" ht="23.25" customHeight="1">
      <c r="A491" s="21" t="s">
        <v>2010</v>
      </c>
      <c r="B491" s="24">
        <v>2024</v>
      </c>
      <c r="C491" s="91" t="s">
        <v>21</v>
      </c>
      <c r="D491" s="64" t="s">
        <v>2011</v>
      </c>
      <c r="E491" s="58" t="s">
        <v>2012</v>
      </c>
      <c r="F491" s="74" t="s">
        <v>23</v>
      </c>
      <c r="G491" s="45" t="s">
        <v>68</v>
      </c>
      <c r="H491" s="59" t="s">
        <v>2013</v>
      </c>
      <c r="I491" s="60">
        <v>45559</v>
      </c>
      <c r="J491" s="60">
        <v>45559</v>
      </c>
      <c r="K491" s="64" t="s">
        <v>35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2014</v>
      </c>
    </row>
    <row r="492" spans="1:20" ht="23.25" customHeight="1">
      <c r="A492" s="20" t="s">
        <v>2015</v>
      </c>
      <c r="B492" s="22">
        <v>2024</v>
      </c>
      <c r="C492" s="91" t="s">
        <v>21</v>
      </c>
      <c r="D492" s="70" t="s">
        <v>2016</v>
      </c>
      <c r="E492" s="65" t="s">
        <v>2017</v>
      </c>
      <c r="F492" s="66" t="s">
        <v>62</v>
      </c>
      <c r="G492" s="67" t="s">
        <v>72</v>
      </c>
      <c r="H492" s="68" t="s">
        <v>2018</v>
      </c>
      <c r="I492" s="69">
        <v>45566</v>
      </c>
      <c r="J492" s="69">
        <v>45575</v>
      </c>
      <c r="K492" s="70" t="s">
        <v>35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2019</v>
      </c>
    </row>
    <row r="493" spans="1:20" ht="23.25" customHeight="1">
      <c r="A493" s="21" t="s">
        <v>2020</v>
      </c>
      <c r="B493" s="24">
        <v>2024</v>
      </c>
      <c r="C493" s="91" t="s">
        <v>21</v>
      </c>
      <c r="D493" s="64" t="s">
        <v>2021</v>
      </c>
      <c r="E493" s="58" t="s">
        <v>2022</v>
      </c>
      <c r="F493" s="74" t="s">
        <v>23</v>
      </c>
      <c r="G493" s="45" t="s">
        <v>364</v>
      </c>
      <c r="H493" s="59" t="s">
        <v>2023</v>
      </c>
      <c r="I493" s="60">
        <v>45569</v>
      </c>
      <c r="J493" s="60">
        <v>45572</v>
      </c>
      <c r="K493" s="64" t="s">
        <v>35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472</v>
      </c>
    </row>
    <row r="494" spans="1:20" ht="23.25" customHeight="1">
      <c r="A494" s="20" t="s">
        <v>2024</v>
      </c>
      <c r="B494" s="22">
        <v>2024</v>
      </c>
      <c r="C494" s="91" t="s">
        <v>21</v>
      </c>
      <c r="D494" s="70" t="s">
        <v>2025</v>
      </c>
      <c r="E494" s="65" t="s">
        <v>2026</v>
      </c>
      <c r="F494" s="66" t="s">
        <v>23</v>
      </c>
      <c r="G494" s="67" t="s">
        <v>199</v>
      </c>
      <c r="H494" s="68" t="s">
        <v>2027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2028</v>
      </c>
    </row>
    <row r="495" spans="1:20" ht="23.25" customHeight="1">
      <c r="A495" s="21" t="s">
        <v>2029</v>
      </c>
      <c r="B495" s="24">
        <v>2024</v>
      </c>
      <c r="C495" s="91" t="s">
        <v>21</v>
      </c>
      <c r="D495" s="64" t="s">
        <v>2030</v>
      </c>
      <c r="E495" s="58" t="s">
        <v>2031</v>
      </c>
      <c r="F495" s="74" t="s">
        <v>23</v>
      </c>
      <c r="G495" s="45" t="s">
        <v>199</v>
      </c>
      <c r="H495" s="59" t="s">
        <v>2032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6"/>
    </row>
    <row r="496" spans="1:20" ht="23.25" customHeight="1">
      <c r="A496" s="20" t="s">
        <v>2033</v>
      </c>
      <c r="B496" s="22">
        <v>2024</v>
      </c>
      <c r="C496" s="91" t="s">
        <v>21</v>
      </c>
      <c r="D496" s="70" t="s">
        <v>2034</v>
      </c>
      <c r="E496" s="65" t="s">
        <v>2035</v>
      </c>
      <c r="F496" s="66" t="s">
        <v>23</v>
      </c>
      <c r="G496" s="67" t="s">
        <v>199</v>
      </c>
      <c r="H496" s="68" t="s">
        <v>2036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2037</v>
      </c>
    </row>
    <row r="497" spans="1:20" ht="23.25" customHeight="1">
      <c r="A497" s="21" t="s">
        <v>2038</v>
      </c>
      <c r="B497" s="24">
        <v>2024</v>
      </c>
      <c r="C497" s="90" t="s">
        <v>21</v>
      </c>
      <c r="D497" s="64" t="s">
        <v>1923</v>
      </c>
      <c r="E497" s="58" t="s">
        <v>2039</v>
      </c>
      <c r="F497" s="74" t="s">
        <v>62</v>
      </c>
      <c r="G497" s="45" t="s">
        <v>72</v>
      </c>
      <c r="H497" s="59" t="s">
        <v>2040</v>
      </c>
      <c r="I497" s="60">
        <v>45573</v>
      </c>
      <c r="J497" s="60">
        <v>45575</v>
      </c>
      <c r="K497" s="64" t="s">
        <v>35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1926</v>
      </c>
    </row>
    <row r="498" spans="1:20" ht="23.25" customHeight="1">
      <c r="A498" s="20" t="s">
        <v>2041</v>
      </c>
      <c r="B498" s="22">
        <v>2024</v>
      </c>
      <c r="C498" s="90" t="s">
        <v>21</v>
      </c>
      <c r="D498" s="70" t="s">
        <v>1782</v>
      </c>
      <c r="E498" s="65" t="s">
        <v>2042</v>
      </c>
      <c r="F498" s="66" t="s">
        <v>23</v>
      </c>
      <c r="G498" s="67" t="s">
        <v>38</v>
      </c>
      <c r="H498" s="68" t="s">
        <v>2043</v>
      </c>
      <c r="I498" s="69">
        <v>45573</v>
      </c>
      <c r="J498" s="69">
        <v>45576</v>
      </c>
      <c r="K498" s="70" t="s">
        <v>35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1785</v>
      </c>
    </row>
    <row r="499" spans="1:20" ht="23.25" customHeight="1">
      <c r="A499" s="21" t="s">
        <v>2044</v>
      </c>
      <c r="B499" s="24">
        <v>2024</v>
      </c>
      <c r="C499" s="90" t="s">
        <v>21</v>
      </c>
      <c r="D499" s="64" t="s">
        <v>2045</v>
      </c>
      <c r="E499" s="58" t="s">
        <v>2046</v>
      </c>
      <c r="F499" s="74" t="s">
        <v>81</v>
      </c>
      <c r="G499" s="45" t="s">
        <v>72</v>
      </c>
      <c r="H499" s="59" t="s">
        <v>2047</v>
      </c>
      <c r="I499" s="60">
        <v>45573</v>
      </c>
      <c r="J499" s="60">
        <v>45573</v>
      </c>
      <c r="K499" s="64" t="s">
        <v>35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2048</v>
      </c>
    </row>
    <row r="500" spans="1:20" ht="23.25" customHeight="1">
      <c r="A500" s="20" t="s">
        <v>2049</v>
      </c>
      <c r="B500" s="22">
        <v>2024</v>
      </c>
      <c r="C500" s="90" t="s">
        <v>21</v>
      </c>
      <c r="D500" s="70" t="s">
        <v>2050</v>
      </c>
      <c r="E500" s="65" t="s">
        <v>2051</v>
      </c>
      <c r="F500" s="66" t="s">
        <v>23</v>
      </c>
      <c r="G500" s="67" t="s">
        <v>199</v>
      </c>
      <c r="H500" s="68" t="s">
        <v>2052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2053</v>
      </c>
    </row>
    <row r="501" spans="1:20" ht="23.25" customHeight="1">
      <c r="A501" s="21" t="s">
        <v>2054</v>
      </c>
      <c r="B501" s="24">
        <v>2024</v>
      </c>
      <c r="C501" s="90" t="s">
        <v>21</v>
      </c>
      <c r="D501" s="64" t="s">
        <v>1777</v>
      </c>
      <c r="E501" s="58" t="s">
        <v>2055</v>
      </c>
      <c r="F501" s="74" t="s">
        <v>23</v>
      </c>
      <c r="G501" s="45" t="s">
        <v>457</v>
      </c>
      <c r="H501" s="59" t="s">
        <v>2056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1780</v>
      </c>
    </row>
    <row r="502" spans="1:20" ht="23.25" customHeight="1">
      <c r="A502" s="20" t="s">
        <v>2057</v>
      </c>
      <c r="B502" s="22">
        <v>2024</v>
      </c>
      <c r="C502" s="90" t="s">
        <v>21</v>
      </c>
      <c r="D502" s="70" t="s">
        <v>2058</v>
      </c>
      <c r="E502" s="65" t="s">
        <v>2059</v>
      </c>
      <c r="F502" s="66" t="s">
        <v>62</v>
      </c>
      <c r="G502" s="67" t="s">
        <v>72</v>
      </c>
      <c r="H502" s="68" t="s">
        <v>2060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2061</v>
      </c>
    </row>
    <row r="503" spans="1:20" ht="23.25" customHeight="1">
      <c r="A503" s="21" t="s">
        <v>2062</v>
      </c>
      <c r="B503" s="24">
        <v>2024</v>
      </c>
      <c r="C503" s="90" t="s">
        <v>21</v>
      </c>
      <c r="D503" s="262" t="s">
        <v>2063</v>
      </c>
      <c r="E503" s="58" t="s">
        <v>2064</v>
      </c>
      <c r="F503" s="74" t="s">
        <v>62</v>
      </c>
      <c r="G503" s="45" t="s">
        <v>72</v>
      </c>
      <c r="H503" s="59" t="s">
        <v>2065</v>
      </c>
      <c r="I503" s="60">
        <v>45579</v>
      </c>
      <c r="J503" s="60">
        <v>45583</v>
      </c>
      <c r="K503" s="64" t="s">
        <v>35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1716</v>
      </c>
    </row>
    <row r="504" spans="1:20" ht="23.25" customHeight="1">
      <c r="A504" s="20" t="s">
        <v>2066</v>
      </c>
      <c r="B504" s="22">
        <v>2024</v>
      </c>
      <c r="C504" s="90" t="s">
        <v>21</v>
      </c>
      <c r="D504" s="70" t="s">
        <v>2067</v>
      </c>
      <c r="E504" s="65" t="s">
        <v>2068</v>
      </c>
      <c r="F504" s="66" t="s">
        <v>23</v>
      </c>
      <c r="G504" s="67" t="s">
        <v>33</v>
      </c>
      <c r="H504" s="68" t="s">
        <v>2069</v>
      </c>
      <c r="I504" s="69">
        <v>45579</v>
      </c>
      <c r="J504" s="69">
        <v>45595</v>
      </c>
      <c r="K504" s="70" t="s">
        <v>35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1831</v>
      </c>
    </row>
    <row r="505" spans="1:20" ht="23.25" customHeight="1">
      <c r="A505" s="21" t="s">
        <v>2070</v>
      </c>
      <c r="B505" s="24">
        <v>2024</v>
      </c>
      <c r="C505" s="90" t="s">
        <v>21</v>
      </c>
      <c r="D505" s="24" t="s">
        <v>2071</v>
      </c>
      <c r="E505" s="58" t="s">
        <v>2072</v>
      </c>
      <c r="F505" s="74" t="s">
        <v>23</v>
      </c>
      <c r="G505" s="45" t="s">
        <v>199</v>
      </c>
      <c r="H505" s="38" t="s">
        <v>2073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2074</v>
      </c>
    </row>
    <row r="506" spans="1:20" ht="23.25" customHeight="1">
      <c r="A506" s="20" t="s">
        <v>2075</v>
      </c>
      <c r="B506" s="22">
        <v>2024</v>
      </c>
      <c r="C506" s="90" t="s">
        <v>21</v>
      </c>
      <c r="D506" s="22" t="s">
        <v>1777</v>
      </c>
      <c r="E506" s="27" t="s">
        <v>2076</v>
      </c>
      <c r="F506" s="29" t="s">
        <v>23</v>
      </c>
      <c r="G506" s="20" t="s">
        <v>457</v>
      </c>
      <c r="H506" s="36" t="s">
        <v>2077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1780</v>
      </c>
    </row>
    <row r="507" spans="1:20" ht="23.25" customHeight="1">
      <c r="A507" s="21" t="s">
        <v>2078</v>
      </c>
      <c r="B507" s="24">
        <v>2024</v>
      </c>
      <c r="C507" s="90" t="s">
        <v>21</v>
      </c>
      <c r="D507" s="24" t="s">
        <v>2079</v>
      </c>
      <c r="E507" s="30" t="s">
        <v>2080</v>
      </c>
      <c r="F507" s="74" t="s">
        <v>23</v>
      </c>
      <c r="G507" s="45" t="s">
        <v>38</v>
      </c>
      <c r="H507" s="38" t="s">
        <v>2081</v>
      </c>
      <c r="I507" s="39">
        <v>45586</v>
      </c>
      <c r="J507" s="39">
        <v>45586</v>
      </c>
      <c r="K507" s="24" t="s">
        <v>35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2082</v>
      </c>
    </row>
    <row r="508" spans="1:20" ht="23.25" customHeight="1">
      <c r="A508" s="20" t="s">
        <v>2083</v>
      </c>
      <c r="B508" s="22">
        <v>2024</v>
      </c>
      <c r="C508" s="90" t="s">
        <v>21</v>
      </c>
      <c r="D508" s="22" t="s">
        <v>2084</v>
      </c>
      <c r="E508" s="27" t="s">
        <v>2085</v>
      </c>
      <c r="F508" s="29" t="s">
        <v>23</v>
      </c>
      <c r="G508" s="20" t="s">
        <v>457</v>
      </c>
      <c r="H508" s="36" t="s">
        <v>2081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966</v>
      </c>
    </row>
    <row r="509" spans="1:20" ht="23.25" customHeight="1">
      <c r="A509" s="21" t="s">
        <v>2086</v>
      </c>
      <c r="B509" s="24">
        <v>2024</v>
      </c>
      <c r="C509" s="90" t="s">
        <v>21</v>
      </c>
      <c r="D509" s="24" t="s">
        <v>2087</v>
      </c>
      <c r="E509" s="75" t="s">
        <v>2088</v>
      </c>
      <c r="F509" s="31" t="s">
        <v>23</v>
      </c>
      <c r="G509" s="21" t="s">
        <v>199</v>
      </c>
      <c r="H509" s="38" t="s">
        <v>2081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2089</v>
      </c>
    </row>
    <row r="510" spans="1:20" ht="23.25" customHeight="1">
      <c r="A510" s="20" t="s">
        <v>2090</v>
      </c>
      <c r="B510" s="22">
        <v>2024</v>
      </c>
      <c r="C510" s="90" t="s">
        <v>21</v>
      </c>
      <c r="D510" s="22" t="s">
        <v>1971</v>
      </c>
      <c r="E510" s="27" t="s">
        <v>2091</v>
      </c>
      <c r="F510" s="29" t="s">
        <v>81</v>
      </c>
      <c r="G510" s="20" t="s">
        <v>72</v>
      </c>
      <c r="H510" s="36" t="s">
        <v>2092</v>
      </c>
      <c r="I510" s="37">
        <v>45586</v>
      </c>
      <c r="J510" s="37">
        <v>45590</v>
      </c>
      <c r="K510" s="22" t="s">
        <v>35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1974</v>
      </c>
    </row>
    <row r="511" spans="1:20" ht="23.25" customHeight="1">
      <c r="A511" s="21" t="s">
        <v>2093</v>
      </c>
      <c r="B511" s="24">
        <v>2024</v>
      </c>
      <c r="C511" s="90" t="s">
        <v>21</v>
      </c>
      <c r="D511" s="24" t="s">
        <v>2094</v>
      </c>
      <c r="E511" s="75" t="s">
        <v>2095</v>
      </c>
      <c r="F511" s="31" t="s">
        <v>23</v>
      </c>
      <c r="G511" s="21" t="s">
        <v>199</v>
      </c>
      <c r="H511" s="38" t="s">
        <v>2096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2097</v>
      </c>
    </row>
    <row r="512" spans="1:20" ht="23.25" customHeight="1">
      <c r="A512" s="20" t="s">
        <v>2098</v>
      </c>
      <c r="B512" s="22">
        <v>2024</v>
      </c>
      <c r="C512" s="90" t="s">
        <v>21</v>
      </c>
      <c r="D512" s="22" t="s">
        <v>2099</v>
      </c>
      <c r="E512" s="27" t="s">
        <v>2100</v>
      </c>
      <c r="F512" s="66" t="s">
        <v>62</v>
      </c>
      <c r="G512" s="20" t="s">
        <v>72</v>
      </c>
      <c r="H512" s="36" t="s">
        <v>2101</v>
      </c>
      <c r="I512" s="37">
        <v>45594</v>
      </c>
      <c r="J512" s="37">
        <v>45596</v>
      </c>
      <c r="K512" s="22" t="s">
        <v>35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2102</v>
      </c>
    </row>
    <row r="513" spans="1:20" ht="23.25" customHeight="1">
      <c r="A513" s="21" t="s">
        <v>2103</v>
      </c>
      <c r="B513" s="24">
        <v>2024</v>
      </c>
      <c r="C513" s="90" t="s">
        <v>21</v>
      </c>
      <c r="D513" s="24" t="s">
        <v>2104</v>
      </c>
      <c r="E513" s="30" t="s">
        <v>2105</v>
      </c>
      <c r="F513" s="74" t="s">
        <v>23</v>
      </c>
      <c r="G513" s="45" t="s">
        <v>38</v>
      </c>
      <c r="H513" s="38" t="s">
        <v>2106</v>
      </c>
      <c r="I513" s="39">
        <v>45594</v>
      </c>
      <c r="J513" s="39">
        <v>45596</v>
      </c>
      <c r="K513" s="24" t="s">
        <v>35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2107</v>
      </c>
    </row>
    <row r="514" spans="1:20" ht="23.25" customHeight="1">
      <c r="A514" s="20" t="s">
        <v>2108</v>
      </c>
      <c r="B514" s="22">
        <v>2024</v>
      </c>
      <c r="C514" s="90" t="s">
        <v>21</v>
      </c>
      <c r="D514" s="22" t="s">
        <v>1999</v>
      </c>
      <c r="E514" s="27" t="s">
        <v>2109</v>
      </c>
      <c r="F514" s="66" t="s">
        <v>23</v>
      </c>
      <c r="G514" s="67" t="s">
        <v>33</v>
      </c>
      <c r="H514" s="36" t="s">
        <v>2110</v>
      </c>
      <c r="I514" s="37">
        <v>45600</v>
      </c>
      <c r="J514" s="37">
        <v>45604</v>
      </c>
      <c r="K514" s="22" t="s">
        <v>35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211</v>
      </c>
    </row>
    <row r="515" spans="1:20" ht="23.25" customHeight="1">
      <c r="A515" s="21" t="s">
        <v>2111</v>
      </c>
      <c r="B515" s="24">
        <v>2024</v>
      </c>
      <c r="C515" s="90" t="s">
        <v>21</v>
      </c>
      <c r="D515" s="24" t="s">
        <v>2112</v>
      </c>
      <c r="E515" s="30" t="s">
        <v>2113</v>
      </c>
      <c r="F515" s="74" t="s">
        <v>81</v>
      </c>
      <c r="G515" s="45" t="s">
        <v>72</v>
      </c>
      <c r="H515" s="38" t="s">
        <v>2114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2115</v>
      </c>
    </row>
    <row r="516" spans="1:20" ht="23.25" customHeight="1">
      <c r="A516" s="20" t="s">
        <v>2116</v>
      </c>
      <c r="B516" s="22">
        <v>2024</v>
      </c>
      <c r="C516" s="90" t="s">
        <v>21</v>
      </c>
      <c r="D516" s="22" t="s">
        <v>2117</v>
      </c>
      <c r="E516" s="27" t="s">
        <v>2118</v>
      </c>
      <c r="F516" s="66" t="s">
        <v>23</v>
      </c>
      <c r="G516" s="67" t="s">
        <v>38</v>
      </c>
      <c r="H516" s="36" t="s">
        <v>2119</v>
      </c>
      <c r="I516" s="37">
        <v>45603</v>
      </c>
      <c r="J516" s="37">
        <v>45603</v>
      </c>
      <c r="K516" s="22" t="s">
        <v>35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472</v>
      </c>
    </row>
    <row r="517" spans="1:20" ht="23.25" customHeight="1">
      <c r="A517" s="21" t="s">
        <v>2120</v>
      </c>
      <c r="B517" s="24">
        <v>2024</v>
      </c>
      <c r="C517" s="90" t="s">
        <v>21</v>
      </c>
      <c r="D517" s="24" t="s">
        <v>1777</v>
      </c>
      <c r="E517" s="30" t="s">
        <v>2121</v>
      </c>
      <c r="F517" s="74" t="s">
        <v>23</v>
      </c>
      <c r="G517" s="45" t="s">
        <v>457</v>
      </c>
      <c r="H517" s="38" t="s">
        <v>2122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2123</v>
      </c>
    </row>
    <row r="518" spans="1:20" ht="23.25" customHeight="1">
      <c r="A518" s="20" t="s">
        <v>2124</v>
      </c>
      <c r="B518" s="22">
        <v>2024</v>
      </c>
      <c r="C518" s="90" t="s">
        <v>21</v>
      </c>
      <c r="D518" s="22" t="s">
        <v>2125</v>
      </c>
      <c r="E518" s="27" t="s">
        <v>2126</v>
      </c>
      <c r="F518" s="29" t="s">
        <v>62</v>
      </c>
      <c r="G518" s="67" t="s">
        <v>72</v>
      </c>
      <c r="H518" s="36" t="s">
        <v>2127</v>
      </c>
      <c r="I518" s="37">
        <v>45607</v>
      </c>
      <c r="J518" s="37">
        <v>45609</v>
      </c>
      <c r="K518" s="22" t="s">
        <v>35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2128</v>
      </c>
    </row>
    <row r="519" spans="1:20" ht="23.25" customHeight="1">
      <c r="A519" s="21" t="s">
        <v>2129</v>
      </c>
      <c r="B519" s="24">
        <v>2024</v>
      </c>
      <c r="C519" s="90" t="s">
        <v>21</v>
      </c>
      <c r="D519" s="24" t="s">
        <v>2130</v>
      </c>
      <c r="E519" s="30" t="s">
        <v>2131</v>
      </c>
      <c r="F519" s="74" t="s">
        <v>62</v>
      </c>
      <c r="G519" s="45" t="s">
        <v>72</v>
      </c>
      <c r="H519" s="38" t="s">
        <v>2132</v>
      </c>
      <c r="I519" s="39">
        <v>45614</v>
      </c>
      <c r="J519" s="39">
        <v>45617</v>
      </c>
      <c r="K519" s="24" t="s">
        <v>35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1472</v>
      </c>
    </row>
    <row r="520" spans="1:20" ht="23.25" customHeight="1">
      <c r="A520" s="20" t="s">
        <v>2133</v>
      </c>
      <c r="B520" s="22">
        <v>2024</v>
      </c>
      <c r="C520" s="90" t="s">
        <v>21</v>
      </c>
      <c r="D520" s="22" t="s">
        <v>2134</v>
      </c>
      <c r="E520" s="27" t="s">
        <v>2135</v>
      </c>
      <c r="F520" s="66" t="s">
        <v>23</v>
      </c>
      <c r="G520" s="20" t="s">
        <v>38</v>
      </c>
      <c r="H520" s="36" t="s">
        <v>2136</v>
      </c>
      <c r="I520" s="37">
        <v>45614</v>
      </c>
      <c r="J520" s="37">
        <v>45618</v>
      </c>
      <c r="K520" s="22" t="s">
        <v>35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1703</v>
      </c>
    </row>
    <row r="521" spans="1:20" ht="23.25" customHeight="1">
      <c r="A521" s="21" t="s">
        <v>2137</v>
      </c>
      <c r="B521" s="24">
        <v>2024</v>
      </c>
      <c r="C521" s="90" t="s">
        <v>21</v>
      </c>
      <c r="D521" s="24" t="s">
        <v>2138</v>
      </c>
      <c r="E521" s="30" t="s">
        <v>2139</v>
      </c>
      <c r="F521" s="74" t="s">
        <v>62</v>
      </c>
      <c r="G521" s="21" t="s">
        <v>72</v>
      </c>
      <c r="H521" s="38" t="s">
        <v>2140</v>
      </c>
      <c r="I521" s="39">
        <v>45615</v>
      </c>
      <c r="J521" s="39">
        <v>45624</v>
      </c>
      <c r="K521" s="24" t="s">
        <v>35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549</v>
      </c>
    </row>
    <row r="522" spans="1:20" ht="23.25" customHeight="1">
      <c r="A522" s="20" t="s">
        <v>2141</v>
      </c>
      <c r="B522" s="22">
        <v>2024</v>
      </c>
      <c r="C522" s="91" t="s">
        <v>21</v>
      </c>
      <c r="D522" s="22" t="s">
        <v>2142</v>
      </c>
      <c r="E522" s="27" t="s">
        <v>2143</v>
      </c>
      <c r="F522" s="29" t="s">
        <v>23</v>
      </c>
      <c r="G522" s="20" t="s">
        <v>38</v>
      </c>
      <c r="H522" s="36" t="s">
        <v>2144</v>
      </c>
      <c r="I522" s="37">
        <v>45617</v>
      </c>
      <c r="J522" s="37">
        <v>45617</v>
      </c>
      <c r="K522" s="22" t="s">
        <v>35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1367</v>
      </c>
    </row>
    <row r="523" spans="1:20" ht="23.25" customHeight="1">
      <c r="A523" s="21" t="s">
        <v>2145</v>
      </c>
      <c r="B523" s="24">
        <v>2024</v>
      </c>
      <c r="C523" s="91" t="s">
        <v>21</v>
      </c>
      <c r="D523" s="24" t="s">
        <v>2117</v>
      </c>
      <c r="E523" s="30" t="s">
        <v>2146</v>
      </c>
      <c r="F523" s="74" t="s">
        <v>23</v>
      </c>
      <c r="G523" s="21" t="s">
        <v>38</v>
      </c>
      <c r="H523" s="38" t="s">
        <v>2144</v>
      </c>
      <c r="I523" s="39">
        <v>45617</v>
      </c>
      <c r="J523" s="39">
        <v>45617</v>
      </c>
      <c r="K523" s="24" t="s">
        <v>35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2147</v>
      </c>
    </row>
    <row r="524" spans="1:20" ht="23.25" customHeight="1">
      <c r="A524" s="20" t="s">
        <v>2148</v>
      </c>
      <c r="B524" s="22">
        <v>2024</v>
      </c>
      <c r="C524" s="90" t="s">
        <v>21</v>
      </c>
      <c r="D524" s="22" t="s">
        <v>1777</v>
      </c>
      <c r="E524" s="27" t="s">
        <v>2149</v>
      </c>
      <c r="F524" s="29" t="s">
        <v>23</v>
      </c>
      <c r="G524" s="20" t="s">
        <v>457</v>
      </c>
      <c r="H524" s="36" t="s">
        <v>2150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>
      <c r="A525" s="21" t="s">
        <v>2151</v>
      </c>
      <c r="B525" s="24">
        <v>2024</v>
      </c>
      <c r="C525" s="90" t="s">
        <v>21</v>
      </c>
      <c r="D525" s="24" t="s">
        <v>2058</v>
      </c>
      <c r="E525" s="30" t="s">
        <v>2152</v>
      </c>
      <c r="F525" s="74" t="s">
        <v>62</v>
      </c>
      <c r="G525" s="21" t="s">
        <v>72</v>
      </c>
      <c r="H525" s="38" t="s">
        <v>2153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2154</v>
      </c>
    </row>
    <row r="526" spans="1:20" ht="23.25" customHeight="1">
      <c r="A526" s="20" t="s">
        <v>2155</v>
      </c>
      <c r="B526" s="22">
        <v>2024</v>
      </c>
      <c r="C526" s="90" t="s">
        <v>21</v>
      </c>
      <c r="D526" s="22" t="s">
        <v>2063</v>
      </c>
      <c r="E526" s="27" t="s">
        <v>2156</v>
      </c>
      <c r="F526" s="29" t="s">
        <v>62</v>
      </c>
      <c r="G526" s="20" t="s">
        <v>72</v>
      </c>
      <c r="H526" s="36" t="s">
        <v>2153</v>
      </c>
      <c r="I526" s="37">
        <v>45621</v>
      </c>
      <c r="J526" s="37">
        <v>45624</v>
      </c>
      <c r="K526" s="22" t="s">
        <v>35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1716</v>
      </c>
    </row>
    <row r="527" spans="1:20" ht="23.25" customHeight="1">
      <c r="A527" s="21" t="s">
        <v>2157</v>
      </c>
      <c r="B527" s="24">
        <v>2024</v>
      </c>
      <c r="C527" s="90" t="s">
        <v>21</v>
      </c>
      <c r="D527" s="24"/>
      <c r="E527" s="30" t="s">
        <v>2158</v>
      </c>
      <c r="F527" s="31" t="s">
        <v>23</v>
      </c>
      <c r="G527" s="21" t="s">
        <v>199</v>
      </c>
      <c r="H527" s="38" t="s">
        <v>83</v>
      </c>
      <c r="I527" s="39">
        <v>45621</v>
      </c>
      <c r="J527" s="39">
        <v>45621</v>
      </c>
      <c r="K527" s="24" t="s">
        <v>35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2159</v>
      </c>
    </row>
    <row r="528" spans="1:20" ht="23.25" customHeight="1">
      <c r="A528" s="20" t="s">
        <v>2160</v>
      </c>
      <c r="B528" s="22">
        <v>2024</v>
      </c>
      <c r="C528" s="90" t="s">
        <v>21</v>
      </c>
      <c r="D528" s="22" t="s">
        <v>2161</v>
      </c>
      <c r="E528" s="27" t="s">
        <v>2162</v>
      </c>
      <c r="F528" s="29" t="s">
        <v>23</v>
      </c>
      <c r="G528" s="20" t="s">
        <v>38</v>
      </c>
      <c r="H528" s="36" t="s">
        <v>2163</v>
      </c>
      <c r="I528" s="37">
        <v>45622</v>
      </c>
      <c r="J528" s="37">
        <v>45624</v>
      </c>
      <c r="K528" s="22" t="s">
        <v>35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2164</v>
      </c>
    </row>
    <row r="529" spans="1:20" ht="23.25" customHeight="1">
      <c r="A529" s="21" t="s">
        <v>2165</v>
      </c>
      <c r="B529" s="24">
        <v>2024</v>
      </c>
      <c r="C529" s="90" t="s">
        <v>21</v>
      </c>
      <c r="D529" s="24" t="s">
        <v>2166</v>
      </c>
      <c r="E529" s="30" t="s">
        <v>2167</v>
      </c>
      <c r="F529" s="31" t="s">
        <v>23</v>
      </c>
      <c r="G529" s="21" t="s">
        <v>24</v>
      </c>
      <c r="H529" s="38" t="s">
        <v>2168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>
      <c r="A530" s="20" t="s">
        <v>2169</v>
      </c>
      <c r="B530" s="22">
        <v>2024</v>
      </c>
      <c r="C530" s="90" t="s">
        <v>21</v>
      </c>
      <c r="D530" s="22" t="s">
        <v>2170</v>
      </c>
      <c r="E530" s="27" t="s">
        <v>2171</v>
      </c>
      <c r="F530" s="29" t="s">
        <v>62</v>
      </c>
      <c r="G530" s="20" t="s">
        <v>72</v>
      </c>
      <c r="H530" s="36" t="s">
        <v>2172</v>
      </c>
      <c r="I530" s="37">
        <v>45624</v>
      </c>
      <c r="J530" s="37">
        <v>45624</v>
      </c>
      <c r="K530" s="22" t="s">
        <v>220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472</v>
      </c>
    </row>
    <row r="531" spans="1:20" ht="23.25" customHeight="1">
      <c r="A531" s="21" t="s">
        <v>2173</v>
      </c>
      <c r="B531" s="24">
        <v>2024</v>
      </c>
      <c r="C531" s="90" t="s">
        <v>21</v>
      </c>
      <c r="D531" s="24" t="s">
        <v>1887</v>
      </c>
      <c r="E531" s="30" t="s">
        <v>2174</v>
      </c>
      <c r="F531" s="31" t="s">
        <v>62</v>
      </c>
      <c r="G531" s="21" t="s">
        <v>72</v>
      </c>
      <c r="H531" s="38" t="s">
        <v>2175</v>
      </c>
      <c r="I531" s="39">
        <v>45628</v>
      </c>
      <c r="J531" s="39">
        <v>45630</v>
      </c>
      <c r="K531" s="24" t="s">
        <v>35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1890</v>
      </c>
    </row>
    <row r="532" spans="1:20" ht="23.25" customHeight="1">
      <c r="A532" s="20" t="s">
        <v>2176</v>
      </c>
      <c r="B532" s="22">
        <v>2024</v>
      </c>
      <c r="C532" s="90" t="s">
        <v>21</v>
      </c>
      <c r="D532" s="22" t="s">
        <v>2177</v>
      </c>
      <c r="E532" s="27" t="s">
        <v>2178</v>
      </c>
      <c r="F532" s="29" t="s">
        <v>23</v>
      </c>
      <c r="G532" s="20" t="s">
        <v>199</v>
      </c>
      <c r="H532" s="36" t="s">
        <v>2179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2180</v>
      </c>
    </row>
    <row r="533" spans="1:20" ht="23.25" customHeight="1">
      <c r="A533" s="21" t="s">
        <v>2181</v>
      </c>
      <c r="B533" s="24">
        <v>2024</v>
      </c>
      <c r="C533" s="90" t="s">
        <v>21</v>
      </c>
      <c r="D533" s="24" t="s">
        <v>1777</v>
      </c>
      <c r="E533" s="30" t="s">
        <v>2182</v>
      </c>
      <c r="F533" s="31" t="s">
        <v>23</v>
      </c>
      <c r="G533" s="21" t="s">
        <v>457</v>
      </c>
      <c r="H533" s="38" t="s">
        <v>2183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1780</v>
      </c>
    </row>
    <row r="534" spans="1:20" ht="23.25" customHeight="1">
      <c r="A534" s="20" t="s">
        <v>2184</v>
      </c>
      <c r="B534" s="22">
        <v>2024</v>
      </c>
      <c r="C534" s="90" t="s">
        <v>21</v>
      </c>
      <c r="D534" s="22" t="s">
        <v>2185</v>
      </c>
      <c r="E534" s="27" t="s">
        <v>2186</v>
      </c>
      <c r="F534" s="29" t="s">
        <v>81</v>
      </c>
      <c r="G534" s="20" t="s">
        <v>72</v>
      </c>
      <c r="H534" s="36" t="s">
        <v>2183</v>
      </c>
      <c r="I534" s="37">
        <v>45632</v>
      </c>
      <c r="J534" s="37">
        <v>45632</v>
      </c>
      <c r="K534" s="22" t="s">
        <v>35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2187</v>
      </c>
    </row>
    <row r="535" spans="1:20" ht="23.25" customHeight="1">
      <c r="A535" s="21" t="s">
        <v>2188</v>
      </c>
      <c r="B535" s="24">
        <v>2024</v>
      </c>
      <c r="C535" s="90" t="s">
        <v>21</v>
      </c>
      <c r="D535" s="24" t="s">
        <v>1971</v>
      </c>
      <c r="E535" s="30" t="s">
        <v>2189</v>
      </c>
      <c r="F535" s="31" t="s">
        <v>81</v>
      </c>
      <c r="G535" s="21" t="s">
        <v>72</v>
      </c>
      <c r="H535" s="38" t="s">
        <v>2190</v>
      </c>
      <c r="I535" s="39">
        <v>45635</v>
      </c>
      <c r="J535" s="39">
        <v>45639</v>
      </c>
      <c r="K535" s="24" t="s">
        <v>35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1974</v>
      </c>
    </row>
    <row r="536" spans="1:20" ht="23.25" customHeight="1">
      <c r="A536" s="20" t="s">
        <v>2191</v>
      </c>
      <c r="B536" s="22">
        <v>2024</v>
      </c>
      <c r="C536" s="90" t="s">
        <v>21</v>
      </c>
      <c r="D536" s="22" t="s">
        <v>2192</v>
      </c>
      <c r="E536" s="27" t="s">
        <v>2193</v>
      </c>
      <c r="F536" s="29" t="s">
        <v>23</v>
      </c>
      <c r="G536" s="20" t="s">
        <v>33</v>
      </c>
      <c r="H536" s="36" t="s">
        <v>2194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>
      <c r="A537" s="21" t="s">
        <v>2195</v>
      </c>
      <c r="B537" s="24">
        <v>2025</v>
      </c>
      <c r="C537" s="90" t="s">
        <v>21</v>
      </c>
      <c r="D537" s="24" t="s">
        <v>2196</v>
      </c>
      <c r="E537" s="30" t="s">
        <v>2197</v>
      </c>
      <c r="F537" s="31" t="s">
        <v>62</v>
      </c>
      <c r="G537" s="21" t="s">
        <v>72</v>
      </c>
      <c r="H537" s="24" t="s">
        <v>2198</v>
      </c>
      <c r="I537" s="268">
        <v>45684</v>
      </c>
      <c r="J537" s="39">
        <v>45688</v>
      </c>
      <c r="K537" s="24" t="s">
        <v>35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74</v>
      </c>
    </row>
    <row r="538" spans="1:20" ht="23.25" customHeight="1">
      <c r="A538" s="20" t="s">
        <v>2199</v>
      </c>
      <c r="B538" s="22">
        <v>2025</v>
      </c>
      <c r="C538" s="90" t="s">
        <v>21</v>
      </c>
      <c r="D538" s="22" t="s">
        <v>2200</v>
      </c>
      <c r="E538" s="27" t="s">
        <v>2193</v>
      </c>
      <c r="F538" s="29" t="s">
        <v>23</v>
      </c>
      <c r="G538" s="20" t="s">
        <v>33</v>
      </c>
      <c r="H538" s="36" t="s">
        <v>2201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>
      <c r="A539" s="21" t="s">
        <v>2202</v>
      </c>
      <c r="B539" s="24">
        <v>2025</v>
      </c>
      <c r="C539" s="92" t="s">
        <v>21</v>
      </c>
      <c r="D539" s="24" t="s">
        <v>2203</v>
      </c>
      <c r="E539" s="30" t="s">
        <v>2204</v>
      </c>
      <c r="F539" s="31" t="s">
        <v>62</v>
      </c>
      <c r="G539" s="21" t="s">
        <v>72</v>
      </c>
      <c r="H539" s="38" t="s">
        <v>2205</v>
      </c>
      <c r="I539" s="39">
        <v>45691</v>
      </c>
      <c r="J539" s="39">
        <v>45694</v>
      </c>
      <c r="K539" s="24" t="s">
        <v>35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1716</v>
      </c>
    </row>
    <row r="540" spans="1:20" ht="23.25" customHeight="1">
      <c r="A540" s="20" t="s">
        <v>2206</v>
      </c>
      <c r="B540" s="22">
        <v>2025</v>
      </c>
      <c r="C540" s="90" t="s">
        <v>21</v>
      </c>
      <c r="D540" s="22" t="s">
        <v>2207</v>
      </c>
      <c r="E540" s="27" t="s">
        <v>2208</v>
      </c>
      <c r="F540" s="29" t="s">
        <v>23</v>
      </c>
      <c r="G540" s="20" t="s">
        <v>364</v>
      </c>
      <c r="H540" s="36" t="s">
        <v>2209</v>
      </c>
      <c r="I540" s="37">
        <v>45691</v>
      </c>
      <c r="J540" s="37">
        <v>45692</v>
      </c>
      <c r="K540" s="22" t="s">
        <v>35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472</v>
      </c>
    </row>
    <row r="541" spans="1:20" ht="23.25" customHeight="1">
      <c r="A541" s="21" t="s">
        <v>2210</v>
      </c>
      <c r="B541" s="24">
        <v>2025</v>
      </c>
      <c r="C541" s="90" t="s">
        <v>21</v>
      </c>
      <c r="D541" s="24" t="s">
        <v>2211</v>
      </c>
      <c r="E541" s="30" t="s">
        <v>2212</v>
      </c>
      <c r="F541" s="31" t="s">
        <v>23</v>
      </c>
      <c r="G541" s="21" t="s">
        <v>24</v>
      </c>
      <c r="H541" s="24" t="s">
        <v>2213</v>
      </c>
      <c r="I541" s="39">
        <v>45691</v>
      </c>
      <c r="J541" s="39">
        <v>45693</v>
      </c>
      <c r="K541" s="24" t="s">
        <v>35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1914</v>
      </c>
    </row>
    <row r="542" spans="1:20" ht="23.25" customHeight="1">
      <c r="A542" s="20" t="s">
        <v>2214</v>
      </c>
      <c r="B542" s="22">
        <v>2025</v>
      </c>
      <c r="C542" s="92" t="s">
        <v>21</v>
      </c>
      <c r="D542" s="22" t="s">
        <v>2215</v>
      </c>
      <c r="E542" s="27" t="s">
        <v>2216</v>
      </c>
      <c r="F542" s="29" t="s">
        <v>81</v>
      </c>
      <c r="G542" s="20" t="s">
        <v>72</v>
      </c>
      <c r="H542" s="22" t="s">
        <v>2217</v>
      </c>
      <c r="I542" s="37">
        <v>45691</v>
      </c>
      <c r="J542" s="37">
        <v>45705</v>
      </c>
      <c r="K542" s="22" t="s">
        <v>35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1743</v>
      </c>
    </row>
    <row r="543" spans="1:20" ht="23.25" customHeight="1">
      <c r="A543" s="21" t="s">
        <v>2218</v>
      </c>
      <c r="B543" s="24">
        <v>2025</v>
      </c>
      <c r="C543" s="92" t="s">
        <v>21</v>
      </c>
      <c r="D543" s="24" t="s">
        <v>2219</v>
      </c>
      <c r="E543" s="30" t="s">
        <v>2220</v>
      </c>
      <c r="F543" s="31" t="s">
        <v>23</v>
      </c>
      <c r="G543" s="21" t="s">
        <v>38</v>
      </c>
      <c r="H543" s="38" t="s">
        <v>2221</v>
      </c>
      <c r="I543" s="39">
        <v>45694</v>
      </c>
      <c r="J543" s="39">
        <v>45702</v>
      </c>
      <c r="K543" s="24" t="s">
        <v>35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1785</v>
      </c>
    </row>
    <row r="544" spans="1:20" ht="23.25" customHeight="1">
      <c r="A544" s="20" t="s">
        <v>2222</v>
      </c>
      <c r="B544" s="22">
        <v>2025</v>
      </c>
      <c r="C544" s="92" t="s">
        <v>21</v>
      </c>
      <c r="D544" s="22" t="s">
        <v>2223</v>
      </c>
      <c r="E544" s="27" t="s">
        <v>2224</v>
      </c>
      <c r="F544" s="29" t="s">
        <v>23</v>
      </c>
      <c r="G544" s="20" t="s">
        <v>1729</v>
      </c>
      <c r="H544" s="36" t="s">
        <v>2225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1752</v>
      </c>
    </row>
    <row r="545" spans="1:20" ht="23.25" customHeight="1">
      <c r="A545" s="21" t="s">
        <v>2226</v>
      </c>
      <c r="B545" s="24">
        <v>2025</v>
      </c>
      <c r="C545" s="92" t="s">
        <v>21</v>
      </c>
      <c r="D545" s="24" t="s">
        <v>2227</v>
      </c>
      <c r="E545" s="30" t="s">
        <v>2228</v>
      </c>
      <c r="F545" s="31" t="s">
        <v>62</v>
      </c>
      <c r="G545" s="21" t="s">
        <v>72</v>
      </c>
      <c r="H545" s="24" t="s">
        <v>2229</v>
      </c>
      <c r="I545" s="39">
        <v>45699</v>
      </c>
      <c r="J545" s="39">
        <v>45708</v>
      </c>
      <c r="K545" s="24" t="s">
        <v>35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951</v>
      </c>
    </row>
    <row r="546" spans="1:20" ht="23.25" customHeight="1">
      <c r="A546" s="20" t="s">
        <v>2230</v>
      </c>
      <c r="B546" s="22">
        <v>2025</v>
      </c>
      <c r="C546" s="90" t="s">
        <v>21</v>
      </c>
      <c r="D546" s="22" t="s">
        <v>2231</v>
      </c>
      <c r="E546" s="27" t="s">
        <v>2232</v>
      </c>
      <c r="F546" s="29" t="s">
        <v>23</v>
      </c>
      <c r="G546" s="20" t="s">
        <v>38</v>
      </c>
      <c r="H546" s="36" t="s">
        <v>2233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1400</v>
      </c>
    </row>
    <row r="547" spans="1:20" ht="23.25" customHeight="1">
      <c r="A547" s="21" t="s">
        <v>2234</v>
      </c>
      <c r="B547" s="24">
        <v>2025</v>
      </c>
      <c r="C547" s="90" t="s">
        <v>21</v>
      </c>
      <c r="D547" s="24" t="s">
        <v>2235</v>
      </c>
      <c r="E547" s="30" t="s">
        <v>2236</v>
      </c>
      <c r="F547" s="31" t="s">
        <v>23</v>
      </c>
      <c r="G547" s="21" t="s">
        <v>24</v>
      </c>
      <c r="H547" s="24" t="s">
        <v>2237</v>
      </c>
      <c r="I547" s="39">
        <v>45706</v>
      </c>
      <c r="J547" s="39">
        <v>45708</v>
      </c>
      <c r="K547" s="24" t="s">
        <v>35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2014</v>
      </c>
    </row>
    <row r="548" spans="1:20" ht="23.25" customHeight="1">
      <c r="A548" s="20" t="s">
        <v>2238</v>
      </c>
      <c r="B548" s="22">
        <v>2025</v>
      </c>
      <c r="C548" s="90" t="s">
        <v>21</v>
      </c>
      <c r="D548" s="22" t="s">
        <v>2239</v>
      </c>
      <c r="E548" s="27" t="s">
        <v>2240</v>
      </c>
      <c r="F548" s="29" t="s">
        <v>81</v>
      </c>
      <c r="G548" s="20" t="s">
        <v>72</v>
      </c>
      <c r="H548" s="36" t="s">
        <v>2241</v>
      </c>
      <c r="I548" s="37">
        <v>45709</v>
      </c>
      <c r="J548" s="37">
        <v>45709</v>
      </c>
      <c r="K548" s="22" t="s">
        <v>35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472</v>
      </c>
    </row>
    <row r="549" spans="1:20" ht="23.25" customHeight="1">
      <c r="A549" s="21" t="s">
        <v>2242</v>
      </c>
      <c r="B549" s="24">
        <v>2025</v>
      </c>
      <c r="C549" s="92" t="s">
        <v>21</v>
      </c>
      <c r="D549" s="24" t="s">
        <v>2243</v>
      </c>
      <c r="E549" s="30" t="s">
        <v>2244</v>
      </c>
      <c r="F549" s="31" t="s">
        <v>62</v>
      </c>
      <c r="G549" s="21" t="s">
        <v>72</v>
      </c>
      <c r="H549" s="38" t="s">
        <v>2245</v>
      </c>
      <c r="I549" s="39">
        <v>45712</v>
      </c>
      <c r="J549" s="39">
        <v>45716</v>
      </c>
      <c r="K549" s="24" t="s">
        <v>35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74</v>
      </c>
    </row>
    <row r="550" spans="1:20" ht="23.25" customHeight="1">
      <c r="A550" s="20" t="s">
        <v>2246</v>
      </c>
      <c r="B550" s="22">
        <v>2025</v>
      </c>
      <c r="C550" s="90" t="s">
        <v>21</v>
      </c>
      <c r="D550" s="22" t="s">
        <v>2247</v>
      </c>
      <c r="E550" s="27" t="s">
        <v>2248</v>
      </c>
      <c r="F550" s="29" t="s">
        <v>23</v>
      </c>
      <c r="G550" s="20" t="s">
        <v>38</v>
      </c>
      <c r="H550" s="36" t="s">
        <v>2249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2250</v>
      </c>
    </row>
    <row r="551" spans="1:20" ht="23.25" customHeight="1">
      <c r="A551" s="21" t="s">
        <v>2251</v>
      </c>
      <c r="B551" s="24">
        <v>2025</v>
      </c>
      <c r="C551" s="92" t="s">
        <v>21</v>
      </c>
      <c r="D551" s="24" t="s">
        <v>2252</v>
      </c>
      <c r="E551" s="30" t="s">
        <v>2253</v>
      </c>
      <c r="F551" s="31" t="s">
        <v>23</v>
      </c>
      <c r="G551" s="21" t="s">
        <v>24</v>
      </c>
      <c r="H551" s="76" t="s">
        <v>2254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2255</v>
      </c>
    </row>
    <row r="552" spans="1:20" ht="23.25" customHeight="1">
      <c r="A552" s="20" t="s">
        <v>2256</v>
      </c>
      <c r="B552" s="22">
        <v>2025</v>
      </c>
      <c r="C552" s="90" t="s">
        <v>21</v>
      </c>
      <c r="D552" s="22" t="s">
        <v>2257</v>
      </c>
      <c r="E552" s="27" t="s">
        <v>2258</v>
      </c>
      <c r="F552" s="29" t="s">
        <v>81</v>
      </c>
      <c r="G552" s="20" t="s">
        <v>72</v>
      </c>
      <c r="H552" s="36" t="s">
        <v>2259</v>
      </c>
      <c r="I552" s="37">
        <v>45727</v>
      </c>
      <c r="J552" s="37">
        <v>45727</v>
      </c>
      <c r="K552" s="22" t="s">
        <v>220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472</v>
      </c>
    </row>
    <row r="553" spans="1:20" ht="23.25" customHeight="1">
      <c r="A553" s="21" t="s">
        <v>2260</v>
      </c>
      <c r="B553" s="24">
        <v>2025</v>
      </c>
      <c r="C553" s="90" t="s">
        <v>21</v>
      </c>
      <c r="D553" s="24" t="s">
        <v>2235</v>
      </c>
      <c r="E553" s="30" t="s">
        <v>2261</v>
      </c>
      <c r="F553" s="31" t="s">
        <v>62</v>
      </c>
      <c r="G553" s="21" t="s">
        <v>72</v>
      </c>
      <c r="H553" s="21" t="s">
        <v>2262</v>
      </c>
      <c r="I553" s="39">
        <v>45729</v>
      </c>
      <c r="J553" s="39">
        <v>45730</v>
      </c>
      <c r="K553" s="24" t="s">
        <v>35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2014</v>
      </c>
    </row>
    <row r="554" spans="1:20" ht="23.25" customHeight="1">
      <c r="A554" s="20" t="s">
        <v>2263</v>
      </c>
      <c r="B554" s="22">
        <v>2025</v>
      </c>
      <c r="C554" s="92" t="s">
        <v>21</v>
      </c>
      <c r="D554" s="22" t="s">
        <v>2264</v>
      </c>
      <c r="E554" s="27" t="s">
        <v>2265</v>
      </c>
      <c r="F554" s="29" t="s">
        <v>23</v>
      </c>
      <c r="G554" s="20" t="s">
        <v>33</v>
      </c>
      <c r="H554" s="20" t="s">
        <v>2266</v>
      </c>
      <c r="I554" s="37">
        <v>45733</v>
      </c>
      <c r="J554" s="37">
        <v>45737</v>
      </c>
      <c r="K554" s="22" t="s">
        <v>35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211</v>
      </c>
    </row>
    <row r="555" spans="1:20" ht="23.25" customHeight="1">
      <c r="A555" s="21" t="s">
        <v>2267</v>
      </c>
      <c r="B555" s="24">
        <v>2025</v>
      </c>
      <c r="C555" s="92" t="s">
        <v>21</v>
      </c>
      <c r="D555" s="24" t="s">
        <v>2268</v>
      </c>
      <c r="E555" s="30" t="s">
        <v>2269</v>
      </c>
      <c r="F555" s="31" t="s">
        <v>81</v>
      </c>
      <c r="G555" s="21" t="s">
        <v>72</v>
      </c>
      <c r="H555" s="38" t="s">
        <v>2270</v>
      </c>
      <c r="I555" s="39">
        <v>45733</v>
      </c>
      <c r="J555" s="39">
        <v>45737</v>
      </c>
      <c r="K555" s="24" t="s">
        <v>220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2159</v>
      </c>
    </row>
    <row r="556" spans="1:20" ht="23.25" customHeight="1">
      <c r="A556" s="20" t="s">
        <v>2271</v>
      </c>
      <c r="B556" s="22">
        <v>2025</v>
      </c>
      <c r="C556" s="90" t="s">
        <v>21</v>
      </c>
      <c r="D556" s="22"/>
      <c r="E556" s="27" t="s">
        <v>2272</v>
      </c>
      <c r="F556" s="29" t="s">
        <v>81</v>
      </c>
      <c r="G556" s="20" t="s">
        <v>72</v>
      </c>
      <c r="H556" s="36" t="s">
        <v>2273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2274</v>
      </c>
    </row>
    <row r="557" spans="1:20" ht="23.25" customHeight="1">
      <c r="A557" s="21" t="s">
        <v>2275</v>
      </c>
      <c r="B557" s="24">
        <v>2025</v>
      </c>
      <c r="C557" s="90" t="s">
        <v>21</v>
      </c>
      <c r="D557" s="24" t="s">
        <v>2276</v>
      </c>
      <c r="E557" s="30" t="s">
        <v>2277</v>
      </c>
      <c r="F557" s="31" t="s">
        <v>81</v>
      </c>
      <c r="G557" s="21" t="s">
        <v>72</v>
      </c>
      <c r="H557" s="38" t="s">
        <v>2278</v>
      </c>
      <c r="I557" s="39">
        <v>45740</v>
      </c>
      <c r="J557" s="39">
        <v>45744</v>
      </c>
      <c r="K557" s="24" t="s">
        <v>220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2159</v>
      </c>
    </row>
    <row r="558" spans="1:20" ht="23.25" customHeight="1">
      <c r="A558" s="20" t="s">
        <v>2279</v>
      </c>
      <c r="B558" s="22">
        <v>2025</v>
      </c>
      <c r="C558" s="92" t="s">
        <v>21</v>
      </c>
      <c r="D558" s="22" t="s">
        <v>2280</v>
      </c>
      <c r="E558" s="27" t="s">
        <v>2281</v>
      </c>
      <c r="F558" s="29" t="s">
        <v>23</v>
      </c>
      <c r="G558" s="20" t="s">
        <v>364</v>
      </c>
      <c r="H558" s="36" t="s">
        <v>2282</v>
      </c>
      <c r="I558" s="37">
        <v>45743</v>
      </c>
      <c r="J558" s="37">
        <v>45744</v>
      </c>
      <c r="K558" s="22" t="s">
        <v>35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472</v>
      </c>
    </row>
    <row r="559" spans="1:20" ht="23.25" customHeight="1">
      <c r="A559" s="21" t="s">
        <v>2283</v>
      </c>
      <c r="B559" s="24">
        <v>2025</v>
      </c>
      <c r="C559" s="92" t="s">
        <v>21</v>
      </c>
      <c r="D559" s="24" t="s">
        <v>2196</v>
      </c>
      <c r="E559" s="30" t="s">
        <v>1332</v>
      </c>
      <c r="F559" s="31" t="s">
        <v>62</v>
      </c>
      <c r="G559" s="21" t="s">
        <v>72</v>
      </c>
      <c r="H559" s="38" t="s">
        <v>2284</v>
      </c>
      <c r="I559" s="39">
        <v>45747</v>
      </c>
      <c r="J559" s="39">
        <v>45751</v>
      </c>
      <c r="K559" s="24" t="s">
        <v>35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74</v>
      </c>
    </row>
    <row r="560" spans="1:20" ht="23.25" customHeight="1">
      <c r="A560" s="20" t="s">
        <v>2285</v>
      </c>
      <c r="B560" s="22">
        <v>2025</v>
      </c>
      <c r="C560" s="92" t="s">
        <v>21</v>
      </c>
      <c r="D560" s="22" t="s">
        <v>2286</v>
      </c>
      <c r="E560" s="27" t="s">
        <v>2287</v>
      </c>
      <c r="F560" s="29" t="s">
        <v>23</v>
      </c>
      <c r="G560" s="20" t="s">
        <v>24</v>
      </c>
      <c r="H560" s="36" t="s">
        <v>2288</v>
      </c>
      <c r="I560" s="37">
        <v>45748</v>
      </c>
      <c r="J560" s="37">
        <v>45758</v>
      </c>
      <c r="K560" s="22" t="s">
        <v>35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2289</v>
      </c>
    </row>
    <row r="561" spans="1:20" ht="23.25" customHeight="1">
      <c r="A561" s="21" t="s">
        <v>2290</v>
      </c>
      <c r="B561" s="24">
        <v>2025</v>
      </c>
      <c r="C561" s="90" t="s">
        <v>21</v>
      </c>
      <c r="D561" s="24" t="s">
        <v>2291</v>
      </c>
      <c r="E561" s="30" t="s">
        <v>2292</v>
      </c>
      <c r="F561" s="31" t="s">
        <v>23</v>
      </c>
      <c r="G561" s="21" t="s">
        <v>38</v>
      </c>
      <c r="H561" s="38" t="s">
        <v>2293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2294</v>
      </c>
    </row>
    <row r="562" spans="1:20" ht="23.25" customHeight="1">
      <c r="A562" s="20" t="s">
        <v>2295</v>
      </c>
      <c r="B562" s="22">
        <v>2025</v>
      </c>
      <c r="C562" s="90" t="s">
        <v>21</v>
      </c>
      <c r="D562" s="22" t="s">
        <v>2296</v>
      </c>
      <c r="E562" s="27" t="s">
        <v>2297</v>
      </c>
      <c r="F562" s="29" t="s">
        <v>62</v>
      </c>
      <c r="G562" s="20" t="s">
        <v>72</v>
      </c>
      <c r="H562" s="36" t="s">
        <v>2298</v>
      </c>
      <c r="I562" s="37">
        <v>45750</v>
      </c>
      <c r="J562" s="37">
        <v>45751</v>
      </c>
      <c r="K562" s="22" t="s">
        <v>220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472</v>
      </c>
    </row>
    <row r="563" spans="1:20" ht="23.25" customHeight="1">
      <c r="A563" s="21" t="s">
        <v>2299</v>
      </c>
      <c r="B563" s="24">
        <v>2025</v>
      </c>
      <c r="C563" s="90" t="s">
        <v>21</v>
      </c>
      <c r="D563" s="24" t="s">
        <v>2300</v>
      </c>
      <c r="E563" s="30" t="s">
        <v>2156</v>
      </c>
      <c r="F563" s="31" t="s">
        <v>62</v>
      </c>
      <c r="G563" s="21" t="s">
        <v>72</v>
      </c>
      <c r="H563" s="38" t="s">
        <v>2301</v>
      </c>
      <c r="I563" s="39">
        <v>45754</v>
      </c>
      <c r="J563" s="39">
        <v>45757</v>
      </c>
      <c r="K563" s="24" t="s">
        <v>35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710</v>
      </c>
    </row>
    <row r="564" spans="1:20" ht="23.25" customHeight="1">
      <c r="A564" s="20" t="s">
        <v>2302</v>
      </c>
      <c r="B564" s="22">
        <v>2025</v>
      </c>
      <c r="C564" s="90" t="s">
        <v>21</v>
      </c>
      <c r="D564" s="22" t="s">
        <v>2303</v>
      </c>
      <c r="E564" s="27" t="s">
        <v>2304</v>
      </c>
      <c r="F564" s="29" t="s">
        <v>62</v>
      </c>
      <c r="G564" s="20" t="s">
        <v>72</v>
      </c>
      <c r="H564" s="77" t="s">
        <v>2305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2154</v>
      </c>
    </row>
    <row r="565" spans="1:20" ht="23.25" customHeight="1">
      <c r="A565" s="21" t="s">
        <v>2306</v>
      </c>
      <c r="B565" s="24">
        <v>2025</v>
      </c>
      <c r="C565" s="90" t="s">
        <v>21</v>
      </c>
      <c r="D565" s="24" t="s">
        <v>2307</v>
      </c>
      <c r="E565" s="30" t="s">
        <v>2308</v>
      </c>
      <c r="F565" s="31" t="s">
        <v>23</v>
      </c>
      <c r="G565" s="21" t="s">
        <v>33</v>
      </c>
      <c r="H565" s="38" t="s">
        <v>2309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2310</v>
      </c>
    </row>
    <row r="566" spans="1:20" ht="23.25" customHeight="1">
      <c r="A566" s="20" t="s">
        <v>2311</v>
      </c>
      <c r="B566" s="22">
        <v>2025</v>
      </c>
      <c r="C566" s="92" t="s">
        <v>21</v>
      </c>
      <c r="D566" s="22" t="s">
        <v>2312</v>
      </c>
      <c r="E566" s="27" t="s">
        <v>2313</v>
      </c>
      <c r="F566" s="29" t="s">
        <v>62</v>
      </c>
      <c r="G566" s="20" t="s">
        <v>33</v>
      </c>
      <c r="H566" s="36" t="s">
        <v>2314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2315</v>
      </c>
    </row>
    <row r="567" spans="1:20" ht="23.25" customHeight="1">
      <c r="A567" s="21" t="s">
        <v>2316</v>
      </c>
      <c r="B567" s="24">
        <v>2025</v>
      </c>
      <c r="C567" s="90" t="s">
        <v>21</v>
      </c>
      <c r="D567" s="24" t="s">
        <v>2247</v>
      </c>
      <c r="E567" s="30" t="s">
        <v>2317</v>
      </c>
      <c r="F567" s="31" t="s">
        <v>23</v>
      </c>
      <c r="G567" s="21" t="s">
        <v>38</v>
      </c>
      <c r="H567" s="38" t="s">
        <v>2318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2250</v>
      </c>
    </row>
    <row r="568" spans="1:20" ht="23.25" customHeight="1">
      <c r="A568" s="20" t="s">
        <v>2319</v>
      </c>
      <c r="B568" s="22">
        <v>2025</v>
      </c>
      <c r="C568" s="90" t="s">
        <v>21</v>
      </c>
      <c r="D568" s="22" t="s">
        <v>2303</v>
      </c>
      <c r="E568" s="27" t="s">
        <v>2320</v>
      </c>
      <c r="F568" s="29" t="s">
        <v>62</v>
      </c>
      <c r="G568" s="20" t="s">
        <v>72</v>
      </c>
      <c r="H568" s="77" t="s">
        <v>2321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2154</v>
      </c>
    </row>
    <row r="569" spans="1:20" ht="23.25" customHeight="1">
      <c r="A569" s="21" t="s">
        <v>2322</v>
      </c>
      <c r="B569" s="24">
        <v>2025</v>
      </c>
      <c r="C569" s="90" t="s">
        <v>21</v>
      </c>
      <c r="D569" s="24" t="s">
        <v>2323</v>
      </c>
      <c r="E569" s="30" t="s">
        <v>2324</v>
      </c>
      <c r="F569" s="31" t="s">
        <v>62</v>
      </c>
      <c r="G569" s="21" t="s">
        <v>72</v>
      </c>
      <c r="H569" s="38" t="s">
        <v>2325</v>
      </c>
      <c r="I569" s="39">
        <v>45770</v>
      </c>
      <c r="J569" s="39">
        <v>45772</v>
      </c>
      <c r="K569" s="24" t="s">
        <v>35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1055</v>
      </c>
    </row>
    <row r="570" spans="1:20" ht="23.25" customHeight="1">
      <c r="A570" s="20" t="s">
        <v>2326</v>
      </c>
      <c r="B570" s="22">
        <v>2025</v>
      </c>
      <c r="C570" s="92" t="s">
        <v>21</v>
      </c>
      <c r="D570" s="22" t="s">
        <v>2327</v>
      </c>
      <c r="E570" s="27" t="s">
        <v>2328</v>
      </c>
      <c r="F570" s="29" t="s">
        <v>23</v>
      </c>
      <c r="G570" s="20" t="s">
        <v>38</v>
      </c>
      <c r="H570" s="36" t="s">
        <v>2329</v>
      </c>
      <c r="I570" s="37">
        <v>45771</v>
      </c>
      <c r="J570" s="37">
        <v>45777</v>
      </c>
      <c r="K570" s="22" t="s">
        <v>35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1785</v>
      </c>
    </row>
    <row r="571" spans="1:20" ht="23.25" customHeight="1">
      <c r="A571" s="21" t="s">
        <v>2330</v>
      </c>
      <c r="B571" s="24">
        <v>2025</v>
      </c>
      <c r="C571" s="90" t="s">
        <v>21</v>
      </c>
      <c r="D571" s="24" t="s">
        <v>2331</v>
      </c>
      <c r="E571" s="30" t="s">
        <v>2332</v>
      </c>
      <c r="F571" s="31" t="s">
        <v>23</v>
      </c>
      <c r="G571" s="46" t="s">
        <v>199</v>
      </c>
      <c r="H571" s="38" t="s">
        <v>2333</v>
      </c>
      <c r="I571" s="39">
        <v>45772</v>
      </c>
      <c r="J571" s="39">
        <v>45772</v>
      </c>
      <c r="K571" s="24" t="s">
        <v>35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2334</v>
      </c>
    </row>
    <row r="572" spans="1:20" ht="23.25" customHeight="1">
      <c r="A572" s="20" t="s">
        <v>2335</v>
      </c>
      <c r="B572" s="22">
        <v>2025</v>
      </c>
      <c r="C572" s="90" t="s">
        <v>21</v>
      </c>
      <c r="D572" s="22" t="s">
        <v>2336</v>
      </c>
      <c r="E572" s="27" t="s">
        <v>2337</v>
      </c>
      <c r="F572" s="29" t="s">
        <v>23</v>
      </c>
      <c r="G572" s="54" t="s">
        <v>199</v>
      </c>
      <c r="H572" s="36" t="s">
        <v>2338</v>
      </c>
      <c r="I572" s="37">
        <v>45775</v>
      </c>
      <c r="J572" s="37">
        <v>45775</v>
      </c>
      <c r="K572" s="22" t="s">
        <v>35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>
      <c r="A573" s="21" t="s">
        <v>2339</v>
      </c>
      <c r="B573" s="24">
        <v>2025</v>
      </c>
      <c r="C573" s="90" t="s">
        <v>21</v>
      </c>
      <c r="D573" s="47" t="s">
        <v>2340</v>
      </c>
      <c r="E573" s="30" t="s">
        <v>1723</v>
      </c>
      <c r="F573" s="31" t="s">
        <v>62</v>
      </c>
      <c r="G573" s="21" t="s">
        <v>72</v>
      </c>
      <c r="H573" s="38" t="s">
        <v>2341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472</v>
      </c>
    </row>
    <row r="574" spans="1:20" ht="24.75" customHeight="1">
      <c r="A574" s="20" t="s">
        <v>2342</v>
      </c>
      <c r="B574" s="22">
        <v>2025</v>
      </c>
      <c r="C574" s="92" t="s">
        <v>21</v>
      </c>
      <c r="D574" s="22" t="s">
        <v>2343</v>
      </c>
      <c r="E574" s="27" t="s">
        <v>2344</v>
      </c>
      <c r="F574" s="29" t="s">
        <v>23</v>
      </c>
      <c r="G574" s="20" t="s">
        <v>457</v>
      </c>
      <c r="H574" s="36" t="s">
        <v>2345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966</v>
      </c>
    </row>
    <row r="575" spans="1:20" ht="23.25" customHeight="1">
      <c r="A575" s="21" t="s">
        <v>2346</v>
      </c>
      <c r="B575" s="24">
        <v>2025</v>
      </c>
      <c r="C575" s="90" t="s">
        <v>21</v>
      </c>
      <c r="D575" s="24" t="s">
        <v>2243</v>
      </c>
      <c r="E575" s="30" t="s">
        <v>2347</v>
      </c>
      <c r="F575" s="31" t="s">
        <v>62</v>
      </c>
      <c r="G575" s="21" t="s">
        <v>72</v>
      </c>
      <c r="H575" s="38" t="s">
        <v>2348</v>
      </c>
      <c r="I575" s="39">
        <v>45782</v>
      </c>
      <c r="J575" s="39">
        <v>45786</v>
      </c>
      <c r="K575" s="24" t="s">
        <v>35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74</v>
      </c>
    </row>
    <row r="576" spans="1:20" ht="23.25" customHeight="1">
      <c r="A576" s="20" t="s">
        <v>2349</v>
      </c>
      <c r="B576" s="22">
        <v>2025</v>
      </c>
      <c r="C576" s="90" t="s">
        <v>21</v>
      </c>
      <c r="D576" s="22" t="s">
        <v>2350</v>
      </c>
      <c r="E576" s="27" t="s">
        <v>2351</v>
      </c>
      <c r="F576" s="29" t="s">
        <v>81</v>
      </c>
      <c r="G576" s="20" t="s">
        <v>72</v>
      </c>
      <c r="H576" s="36" t="s">
        <v>2352</v>
      </c>
      <c r="I576" s="37">
        <v>45789</v>
      </c>
      <c r="J576" s="37">
        <v>45793</v>
      </c>
      <c r="K576" s="22" t="s">
        <v>35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2159</v>
      </c>
    </row>
    <row r="577" spans="1:20" ht="23.25" customHeight="1">
      <c r="A577" s="21" t="s">
        <v>2353</v>
      </c>
      <c r="B577" s="24">
        <v>2025</v>
      </c>
      <c r="C577" s="90" t="s">
        <v>21</v>
      </c>
      <c r="D577" s="24" t="s">
        <v>2354</v>
      </c>
      <c r="E577" s="30" t="s">
        <v>2355</v>
      </c>
      <c r="F577" s="31" t="s">
        <v>23</v>
      </c>
      <c r="G577" s="46" t="s">
        <v>199</v>
      </c>
      <c r="H577" s="38" t="s">
        <v>2356</v>
      </c>
      <c r="I577" s="39">
        <v>45797</v>
      </c>
      <c r="J577" s="39">
        <v>45797</v>
      </c>
      <c r="K577" s="24" t="s">
        <v>35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2357</v>
      </c>
    </row>
    <row r="578" spans="1:20" ht="23.25" customHeight="1">
      <c r="A578" s="20" t="s">
        <v>2358</v>
      </c>
      <c r="B578" s="22">
        <v>2025</v>
      </c>
      <c r="C578" s="90" t="s">
        <v>21</v>
      </c>
      <c r="D578" s="22" t="s">
        <v>2359</v>
      </c>
      <c r="E578" s="27" t="s">
        <v>2360</v>
      </c>
      <c r="F578" s="29" t="s">
        <v>81</v>
      </c>
      <c r="G578" s="20" t="s">
        <v>72</v>
      </c>
      <c r="H578" s="36" t="s">
        <v>2361</v>
      </c>
      <c r="I578" s="37">
        <v>45799</v>
      </c>
      <c r="J578" s="37">
        <v>45799</v>
      </c>
      <c r="K578" s="22" t="s">
        <v>35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2362</v>
      </c>
    </row>
    <row r="579" spans="1:20" ht="23.25" customHeight="1">
      <c r="A579" s="21" t="s">
        <v>2363</v>
      </c>
      <c r="B579" s="24">
        <v>2025</v>
      </c>
      <c r="C579" s="90" t="s">
        <v>21</v>
      </c>
      <c r="D579" s="24" t="s">
        <v>2359</v>
      </c>
      <c r="E579" s="30" t="s">
        <v>2364</v>
      </c>
      <c r="F579" s="31" t="s">
        <v>81</v>
      </c>
      <c r="G579" s="21" t="s">
        <v>72</v>
      </c>
      <c r="H579" s="76" t="s">
        <v>2365</v>
      </c>
      <c r="I579" s="39">
        <v>45800</v>
      </c>
      <c r="J579" s="39">
        <v>45800</v>
      </c>
      <c r="K579" s="24" t="s">
        <v>35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2362</v>
      </c>
    </row>
    <row r="580" spans="1:20" ht="23.25" customHeight="1">
      <c r="A580" s="20" t="s">
        <v>2366</v>
      </c>
      <c r="B580" s="22">
        <v>2025</v>
      </c>
      <c r="C580" s="90" t="s">
        <v>21</v>
      </c>
      <c r="D580" s="22" t="s">
        <v>2367</v>
      </c>
      <c r="E580" s="27" t="s">
        <v>2368</v>
      </c>
      <c r="F580" s="29" t="s">
        <v>23</v>
      </c>
      <c r="G580" s="20" t="s">
        <v>38</v>
      </c>
      <c r="H580" s="36" t="s">
        <v>2369</v>
      </c>
      <c r="I580" s="37">
        <v>45803</v>
      </c>
      <c r="J580" s="37">
        <v>45807</v>
      </c>
      <c r="K580" s="22" t="s">
        <v>35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2370</v>
      </c>
    </row>
    <row r="581" spans="1:20" ht="23.25" customHeight="1">
      <c r="A581" s="21" t="s">
        <v>2371</v>
      </c>
      <c r="B581" s="24">
        <v>2025</v>
      </c>
      <c r="C581" s="92" t="s">
        <v>21</v>
      </c>
      <c r="D581" s="24" t="s">
        <v>2372</v>
      </c>
      <c r="E581" s="30" t="s">
        <v>2373</v>
      </c>
      <c r="F581" s="31" t="s">
        <v>23</v>
      </c>
      <c r="G581" s="46" t="s">
        <v>68</v>
      </c>
      <c r="H581" s="38" t="s">
        <v>2374</v>
      </c>
      <c r="I581" s="39">
        <v>45804</v>
      </c>
      <c r="J581" s="39">
        <v>45807</v>
      </c>
      <c r="K581" s="24" t="s">
        <v>35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2102</v>
      </c>
    </row>
    <row r="582" spans="1:20" ht="23.25" customHeight="1">
      <c r="A582" s="20" t="s">
        <v>2375</v>
      </c>
      <c r="B582" s="22">
        <v>2025</v>
      </c>
      <c r="C582" s="90" t="s">
        <v>21</v>
      </c>
      <c r="D582" s="22" t="s">
        <v>2376</v>
      </c>
      <c r="E582" s="27" t="s">
        <v>2377</v>
      </c>
      <c r="F582" s="29" t="s">
        <v>23</v>
      </c>
      <c r="G582" s="20" t="s">
        <v>457</v>
      </c>
      <c r="H582" s="36" t="s">
        <v>2378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966</v>
      </c>
    </row>
    <row r="583" spans="1:20" ht="23.25" customHeight="1">
      <c r="A583" s="21" t="s">
        <v>2379</v>
      </c>
      <c r="B583" s="24">
        <v>2025</v>
      </c>
      <c r="C583" s="92" t="s">
        <v>21</v>
      </c>
      <c r="D583" s="24" t="s">
        <v>2223</v>
      </c>
      <c r="E583" s="30" t="s">
        <v>2380</v>
      </c>
      <c r="F583" s="31" t="s">
        <v>23</v>
      </c>
      <c r="G583" s="21" t="s">
        <v>1729</v>
      </c>
      <c r="H583" s="38" t="s">
        <v>2381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1752</v>
      </c>
    </row>
    <row r="584" spans="1:20" ht="36" customHeight="1">
      <c r="A584" s="20" t="s">
        <v>2382</v>
      </c>
      <c r="B584" s="22">
        <v>2025</v>
      </c>
      <c r="C584" s="90" t="s">
        <v>21</v>
      </c>
      <c r="D584" s="22" t="s">
        <v>2383</v>
      </c>
      <c r="E584" s="27" t="s">
        <v>2384</v>
      </c>
      <c r="F584" s="29" t="s">
        <v>81</v>
      </c>
      <c r="G584" s="20" t="s">
        <v>72</v>
      </c>
      <c r="H584" s="36" t="s">
        <v>2385</v>
      </c>
      <c r="I584" s="37">
        <v>45810</v>
      </c>
      <c r="J584" s="37">
        <v>45814</v>
      </c>
      <c r="K584" s="22" t="s">
        <v>35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2159</v>
      </c>
    </row>
    <row r="585" spans="1:20" ht="23.25" customHeight="1">
      <c r="A585" s="21" t="s">
        <v>2386</v>
      </c>
      <c r="B585" s="24">
        <v>2025</v>
      </c>
      <c r="C585" s="92" t="s">
        <v>21</v>
      </c>
      <c r="D585" s="24" t="s">
        <v>2387</v>
      </c>
      <c r="E585" s="30" t="s">
        <v>2388</v>
      </c>
      <c r="F585" s="31" t="s">
        <v>23</v>
      </c>
      <c r="G585" s="46" t="s">
        <v>68</v>
      </c>
      <c r="H585" s="38" t="s">
        <v>2389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69</v>
      </c>
    </row>
    <row r="586" spans="1:20" ht="23.25" customHeight="1">
      <c r="A586" s="20" t="s">
        <v>2390</v>
      </c>
      <c r="B586" s="22">
        <v>2025</v>
      </c>
      <c r="C586" s="90" t="s">
        <v>21</v>
      </c>
      <c r="D586" s="22" t="s">
        <v>2391</v>
      </c>
      <c r="E586" s="27" t="s">
        <v>2046</v>
      </c>
      <c r="F586" s="29" t="s">
        <v>81</v>
      </c>
      <c r="G586" s="20" t="s">
        <v>72</v>
      </c>
      <c r="H586" s="36" t="s">
        <v>2392</v>
      </c>
      <c r="I586" s="37">
        <v>45812</v>
      </c>
      <c r="J586" s="37">
        <v>45812</v>
      </c>
      <c r="K586" s="22" t="s">
        <v>35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5" t="s">
        <v>2048</v>
      </c>
    </row>
    <row r="587" spans="1:20" ht="23.25" customHeight="1">
      <c r="A587" s="21" t="s">
        <v>2393</v>
      </c>
      <c r="B587" s="24">
        <v>2025</v>
      </c>
      <c r="C587" s="92" t="s">
        <v>21</v>
      </c>
      <c r="D587" s="24" t="s">
        <v>2327</v>
      </c>
      <c r="E587" s="30" t="s">
        <v>2394</v>
      </c>
      <c r="F587" s="31" t="s">
        <v>23</v>
      </c>
      <c r="G587" s="21" t="s">
        <v>38</v>
      </c>
      <c r="H587" s="38" t="s">
        <v>2395</v>
      </c>
      <c r="I587" s="39">
        <v>45817</v>
      </c>
      <c r="J587" s="39">
        <v>45825</v>
      </c>
      <c r="K587" s="24" t="s">
        <v>35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6" t="s">
        <v>1785</v>
      </c>
    </row>
    <row r="588" spans="1:20" ht="23.25" customHeight="1">
      <c r="A588" s="20" t="s">
        <v>2396</v>
      </c>
      <c r="B588" s="22">
        <v>2025</v>
      </c>
      <c r="C588" s="92" t="s">
        <v>21</v>
      </c>
      <c r="D588" s="22" t="s">
        <v>2397</v>
      </c>
      <c r="E588" s="27" t="s">
        <v>2398</v>
      </c>
      <c r="F588" s="29" t="s">
        <v>23</v>
      </c>
      <c r="G588" s="20" t="s">
        <v>364</v>
      </c>
      <c r="H588" s="36" t="s">
        <v>2399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5" t="s">
        <v>2400</v>
      </c>
    </row>
    <row r="589" spans="1:20" ht="23.25" customHeight="1">
      <c r="A589" s="21" t="s">
        <v>2401</v>
      </c>
      <c r="B589" s="24">
        <v>2025</v>
      </c>
      <c r="C589" s="92" t="s">
        <v>21</v>
      </c>
      <c r="D589" s="24" t="s">
        <v>2402</v>
      </c>
      <c r="E589" s="30" t="s">
        <v>2403</v>
      </c>
      <c r="F589" s="31" t="s">
        <v>23</v>
      </c>
      <c r="G589" s="46" t="s">
        <v>68</v>
      </c>
      <c r="H589" s="38" t="s">
        <v>2404</v>
      </c>
      <c r="I589" s="39">
        <v>45820</v>
      </c>
      <c r="J589" s="39">
        <v>45821</v>
      </c>
      <c r="K589" s="24" t="s">
        <v>35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6" t="s">
        <v>211</v>
      </c>
    </row>
    <row r="590" spans="1:20" ht="23.25" customHeight="1">
      <c r="A590" s="20" t="s">
        <v>2405</v>
      </c>
      <c r="B590" s="22">
        <v>2025</v>
      </c>
      <c r="C590" s="92" t="s">
        <v>21</v>
      </c>
      <c r="D590" s="22" t="s">
        <v>2406</v>
      </c>
      <c r="E590" s="27" t="s">
        <v>2407</v>
      </c>
      <c r="F590" s="29" t="s">
        <v>23</v>
      </c>
      <c r="G590" s="54" t="s">
        <v>68</v>
      </c>
      <c r="H590" s="36" t="s">
        <v>2408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2409</v>
      </c>
    </row>
    <row r="591" spans="1:20" ht="23.25" customHeight="1">
      <c r="A591" s="21" t="s">
        <v>2410</v>
      </c>
      <c r="B591" s="24">
        <v>2025</v>
      </c>
      <c r="C591" s="90" t="s">
        <v>21</v>
      </c>
      <c r="D591" s="24" t="s">
        <v>2411</v>
      </c>
      <c r="E591" s="30" t="s">
        <v>2412</v>
      </c>
      <c r="F591" s="31" t="s">
        <v>81</v>
      </c>
      <c r="G591" s="21" t="s">
        <v>72</v>
      </c>
      <c r="H591" s="38" t="s">
        <v>2413</v>
      </c>
      <c r="I591" s="39">
        <v>45831</v>
      </c>
      <c r="J591" s="39">
        <v>45835</v>
      </c>
      <c r="K591" s="24" t="s">
        <v>35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418</v>
      </c>
    </row>
    <row r="592" spans="1:20" ht="23.25" customHeight="1">
      <c r="A592" s="20" t="s">
        <v>2414</v>
      </c>
      <c r="B592" s="22">
        <v>2025</v>
      </c>
      <c r="C592" s="92" t="s">
        <v>21</v>
      </c>
      <c r="D592" s="22" t="s">
        <v>2415</v>
      </c>
      <c r="E592" s="27" t="s">
        <v>2416</v>
      </c>
      <c r="F592" s="29" t="s">
        <v>23</v>
      </c>
      <c r="G592" s="20" t="s">
        <v>33</v>
      </c>
      <c r="H592" s="36" t="s">
        <v>2417</v>
      </c>
      <c r="I592" s="37">
        <v>45832</v>
      </c>
      <c r="J592" s="37">
        <v>45834</v>
      </c>
      <c r="K592" s="22" t="s">
        <v>35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2418</v>
      </c>
    </row>
    <row r="593" spans="1:20" ht="23.25" customHeight="1">
      <c r="A593" s="21" t="s">
        <v>2419</v>
      </c>
      <c r="B593" s="24">
        <v>2025</v>
      </c>
      <c r="C593" s="90" t="s">
        <v>21</v>
      </c>
      <c r="D593" s="24" t="s">
        <v>2420</v>
      </c>
      <c r="E593" s="30" t="s">
        <v>2421</v>
      </c>
      <c r="F593" s="31" t="s">
        <v>23</v>
      </c>
      <c r="G593" s="21" t="s">
        <v>38</v>
      </c>
      <c r="H593" s="78" t="s">
        <v>2422</v>
      </c>
      <c r="I593" s="39">
        <v>45832</v>
      </c>
      <c r="J593" s="39">
        <v>45841</v>
      </c>
      <c r="K593" s="24" t="s">
        <v>35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2423</v>
      </c>
    </row>
    <row r="594" spans="1:20" ht="23.25" customHeight="1">
      <c r="A594" s="20" t="s">
        <v>2424</v>
      </c>
      <c r="B594" s="22">
        <v>2025</v>
      </c>
      <c r="C594" s="92" t="s">
        <v>21</v>
      </c>
      <c r="D594" s="22" t="s">
        <v>2425</v>
      </c>
      <c r="E594" s="27" t="s">
        <v>2426</v>
      </c>
      <c r="F594" s="29" t="s">
        <v>62</v>
      </c>
      <c r="G594" s="20" t="s">
        <v>72</v>
      </c>
      <c r="H594" s="36" t="s">
        <v>2427</v>
      </c>
      <c r="I594" s="37">
        <v>45833</v>
      </c>
      <c r="J594" s="37">
        <v>45833</v>
      </c>
      <c r="K594" s="22" t="s">
        <v>35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2428</v>
      </c>
    </row>
    <row r="595" spans="1:20" ht="23.25" customHeight="1">
      <c r="A595" s="21" t="s">
        <v>2429</v>
      </c>
      <c r="B595" s="24">
        <v>2025</v>
      </c>
      <c r="C595" s="90" t="s">
        <v>21</v>
      </c>
      <c r="D595" s="24" t="s">
        <v>2430</v>
      </c>
      <c r="E595" s="30" t="s">
        <v>2431</v>
      </c>
      <c r="F595" s="31" t="s">
        <v>81</v>
      </c>
      <c r="G595" s="21" t="s">
        <v>72</v>
      </c>
      <c r="H595" s="38" t="s">
        <v>2432</v>
      </c>
      <c r="I595" s="39">
        <v>45838</v>
      </c>
      <c r="J595" s="39">
        <v>45842</v>
      </c>
      <c r="K595" s="24" t="s">
        <v>35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1023</v>
      </c>
    </row>
    <row r="596" spans="1:20" ht="23.25" customHeight="1">
      <c r="A596" s="20" t="s">
        <v>2433</v>
      </c>
      <c r="B596" s="22">
        <v>2025</v>
      </c>
      <c r="C596" s="91" t="s">
        <v>21</v>
      </c>
      <c r="D596" s="70" t="s">
        <v>2434</v>
      </c>
      <c r="E596" s="65" t="s">
        <v>2186</v>
      </c>
      <c r="F596" s="29" t="s">
        <v>81</v>
      </c>
      <c r="G596" s="67" t="s">
        <v>72</v>
      </c>
      <c r="H596" s="68" t="s">
        <v>2435</v>
      </c>
      <c r="I596" s="69">
        <v>45842</v>
      </c>
      <c r="J596" s="69">
        <v>45842</v>
      </c>
      <c r="K596" s="70" t="s">
        <v>35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2436</v>
      </c>
    </row>
    <row r="597" spans="1:20" ht="23.25" customHeight="1">
      <c r="A597" s="21" t="s">
        <v>2437</v>
      </c>
      <c r="B597" s="24">
        <v>2025</v>
      </c>
      <c r="C597" s="91" t="s">
        <v>21</v>
      </c>
      <c r="D597" s="24" t="s">
        <v>2438</v>
      </c>
      <c r="E597" s="30" t="s">
        <v>2439</v>
      </c>
      <c r="F597" s="31" t="s">
        <v>62</v>
      </c>
      <c r="G597" s="21" t="s">
        <v>72</v>
      </c>
      <c r="H597" s="38" t="s">
        <v>2440</v>
      </c>
      <c r="I597" s="39">
        <v>45842</v>
      </c>
      <c r="J597" s="39">
        <v>45904</v>
      </c>
      <c r="K597" s="24" t="s">
        <v>35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1472</v>
      </c>
    </row>
    <row r="598" spans="1:20" ht="23.25" customHeight="1">
      <c r="A598" s="20" t="s">
        <v>2441</v>
      </c>
      <c r="B598" s="22">
        <v>2025</v>
      </c>
      <c r="C598" s="93" t="s">
        <v>21</v>
      </c>
      <c r="D598" s="70" t="s">
        <v>2442</v>
      </c>
      <c r="E598" s="65" t="s">
        <v>2443</v>
      </c>
      <c r="F598" s="66" t="s">
        <v>81</v>
      </c>
      <c r="G598" s="67" t="s">
        <v>72</v>
      </c>
      <c r="H598" s="68" t="s">
        <v>2444</v>
      </c>
      <c r="I598" s="69">
        <v>45845</v>
      </c>
      <c r="J598" s="69">
        <v>45849</v>
      </c>
      <c r="K598" s="70" t="s">
        <v>35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2445</v>
      </c>
    </row>
    <row r="599" spans="1:20" ht="23.25" customHeight="1">
      <c r="A599" s="21" t="s">
        <v>2446</v>
      </c>
      <c r="B599" s="24">
        <v>2025</v>
      </c>
      <c r="C599" s="91" t="s">
        <v>21</v>
      </c>
      <c r="D599" s="64" t="s">
        <v>2447</v>
      </c>
      <c r="E599" s="58" t="s">
        <v>2448</v>
      </c>
      <c r="F599" s="74" t="s">
        <v>23</v>
      </c>
      <c r="G599" s="80" t="s">
        <v>68</v>
      </c>
      <c r="H599" s="59" t="s">
        <v>2449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2450</v>
      </c>
    </row>
    <row r="600" spans="1:20" ht="23.25" customHeight="1">
      <c r="A600" s="20" t="s">
        <v>2451</v>
      </c>
      <c r="B600" s="22">
        <v>2025</v>
      </c>
      <c r="C600" s="93" t="s">
        <v>21</v>
      </c>
      <c r="D600" s="70" t="s">
        <v>2452</v>
      </c>
      <c r="E600" s="65" t="s">
        <v>2453</v>
      </c>
      <c r="F600" s="66" t="s">
        <v>62</v>
      </c>
      <c r="G600" s="67" t="s">
        <v>72</v>
      </c>
      <c r="H600" s="263" t="s">
        <v>2454</v>
      </c>
      <c r="I600" s="69">
        <v>45859</v>
      </c>
      <c r="J600" s="69">
        <v>45867</v>
      </c>
      <c r="K600" s="70" t="s">
        <v>35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2455</v>
      </c>
    </row>
    <row r="601" spans="1:20" ht="23.25" customHeight="1">
      <c r="A601" s="21" t="s">
        <v>2456</v>
      </c>
      <c r="B601" s="24">
        <v>2025</v>
      </c>
      <c r="C601" s="93" t="s">
        <v>21</v>
      </c>
      <c r="D601" s="64" t="s">
        <v>2415</v>
      </c>
      <c r="E601" s="58" t="s">
        <v>2457</v>
      </c>
      <c r="F601" s="74" t="s">
        <v>23</v>
      </c>
      <c r="G601" s="45" t="s">
        <v>33</v>
      </c>
      <c r="H601" s="59" t="s">
        <v>2458</v>
      </c>
      <c r="I601" s="60">
        <v>45860</v>
      </c>
      <c r="J601" s="60">
        <v>45862</v>
      </c>
      <c r="K601" s="64" t="s">
        <v>35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2418</v>
      </c>
    </row>
    <row r="602" spans="1:20" ht="23.25" customHeight="1">
      <c r="A602" s="20" t="s">
        <v>2459</v>
      </c>
      <c r="B602" s="22">
        <v>2025</v>
      </c>
      <c r="C602" s="93" t="s">
        <v>21</v>
      </c>
      <c r="D602" s="22" t="s">
        <v>2460</v>
      </c>
      <c r="E602" s="27" t="s">
        <v>2461</v>
      </c>
      <c r="F602" s="66" t="s">
        <v>23</v>
      </c>
      <c r="G602" s="79" t="s">
        <v>68</v>
      </c>
      <c r="H602" s="36" t="s">
        <v>2462</v>
      </c>
      <c r="I602" s="37">
        <v>45869</v>
      </c>
      <c r="J602" s="37">
        <v>45870</v>
      </c>
      <c r="K602" s="70" t="s">
        <v>35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2014</v>
      </c>
    </row>
    <row r="603" spans="1:20" ht="23.25" customHeight="1">
      <c r="A603" s="21" t="s">
        <v>2463</v>
      </c>
      <c r="B603" s="24">
        <v>2025</v>
      </c>
      <c r="C603" s="93" t="s">
        <v>21</v>
      </c>
      <c r="D603" s="24" t="s">
        <v>2464</v>
      </c>
      <c r="E603" s="30" t="s">
        <v>2465</v>
      </c>
      <c r="F603" s="74" t="s">
        <v>23</v>
      </c>
      <c r="G603" s="45" t="s">
        <v>68</v>
      </c>
      <c r="H603" s="76" t="s">
        <v>2466</v>
      </c>
      <c r="I603" s="39">
        <v>45873</v>
      </c>
      <c r="J603" s="39">
        <v>45898</v>
      </c>
      <c r="K603" s="64" t="s">
        <v>35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571</v>
      </c>
    </row>
    <row r="604" spans="1:20" ht="23.25" customHeight="1">
      <c r="A604" s="20" t="s">
        <v>2467</v>
      </c>
      <c r="B604" s="22">
        <v>2025</v>
      </c>
      <c r="C604" s="93" t="s">
        <v>21</v>
      </c>
      <c r="D604" s="22" t="s">
        <v>2468</v>
      </c>
      <c r="E604" s="27" t="s">
        <v>2469</v>
      </c>
      <c r="F604" s="66" t="s">
        <v>23</v>
      </c>
      <c r="G604" s="67" t="s">
        <v>38</v>
      </c>
      <c r="H604" s="77" t="s">
        <v>2470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2471</v>
      </c>
    </row>
    <row r="605" spans="1:20" ht="23.25" customHeight="1">
      <c r="A605" s="21" t="s">
        <v>2472</v>
      </c>
      <c r="B605" s="24">
        <v>2025</v>
      </c>
      <c r="C605" s="92" t="s">
        <v>21</v>
      </c>
      <c r="D605" s="24" t="s">
        <v>2425</v>
      </c>
      <c r="E605" s="30" t="s">
        <v>2473</v>
      </c>
      <c r="F605" s="31" t="s">
        <v>62</v>
      </c>
      <c r="G605" s="21" t="s">
        <v>72</v>
      </c>
      <c r="H605" s="38" t="s">
        <v>2474</v>
      </c>
      <c r="I605" s="39">
        <v>45876</v>
      </c>
      <c r="J605" s="39">
        <v>45876</v>
      </c>
      <c r="K605" s="64" t="s">
        <v>35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2475</v>
      </c>
    </row>
    <row r="606" spans="1:20" ht="23.25" customHeight="1">
      <c r="A606" s="20" t="s">
        <v>2476</v>
      </c>
      <c r="B606" s="22">
        <v>2025</v>
      </c>
      <c r="C606" s="92" t="s">
        <v>21</v>
      </c>
      <c r="D606" s="22" t="s">
        <v>2477</v>
      </c>
      <c r="E606" s="27" t="s">
        <v>2478</v>
      </c>
      <c r="F606" s="29" t="s">
        <v>23</v>
      </c>
      <c r="G606" s="54" t="s">
        <v>199</v>
      </c>
      <c r="H606" s="36" t="s">
        <v>2479</v>
      </c>
      <c r="I606" s="37">
        <v>45877</v>
      </c>
      <c r="J606" s="37">
        <v>45877</v>
      </c>
      <c r="K606" s="70" t="s">
        <v>35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2480</v>
      </c>
    </row>
    <row r="607" spans="1:20" ht="23.25" customHeight="1">
      <c r="A607" s="21" t="s">
        <v>2481</v>
      </c>
      <c r="B607" s="24">
        <v>2025</v>
      </c>
      <c r="C607" s="92" t="s">
        <v>21</v>
      </c>
      <c r="D607" s="24" t="s">
        <v>2477</v>
      </c>
      <c r="E607" s="30" t="s">
        <v>2482</v>
      </c>
      <c r="F607" s="31" t="s">
        <v>23</v>
      </c>
      <c r="G607" s="21" t="s">
        <v>199</v>
      </c>
      <c r="H607" s="81">
        <v>45877</v>
      </c>
      <c r="I607" s="39">
        <v>45877</v>
      </c>
      <c r="J607" s="39">
        <v>45877</v>
      </c>
      <c r="K607" s="24" t="s">
        <v>35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2483</v>
      </c>
    </row>
    <row r="608" spans="1:20" ht="23.25" customHeight="1">
      <c r="A608" s="20" t="s">
        <v>2484</v>
      </c>
      <c r="B608" s="22">
        <v>2025</v>
      </c>
      <c r="C608" s="92" t="s">
        <v>21</v>
      </c>
      <c r="D608" s="22" t="s">
        <v>2485</v>
      </c>
      <c r="E608" s="27" t="s">
        <v>2486</v>
      </c>
      <c r="F608" s="29" t="s">
        <v>23</v>
      </c>
      <c r="G608" s="54" t="s">
        <v>199</v>
      </c>
      <c r="H608" s="36" t="s">
        <v>2487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796</v>
      </c>
    </row>
    <row r="609" spans="1:20" ht="23.25" customHeight="1">
      <c r="A609" s="21" t="s">
        <v>2488</v>
      </c>
      <c r="B609" s="24">
        <v>2025</v>
      </c>
      <c r="C609" s="92" t="s">
        <v>21</v>
      </c>
      <c r="D609" s="24" t="s">
        <v>2489</v>
      </c>
      <c r="E609" s="30" t="s">
        <v>2490</v>
      </c>
      <c r="F609" s="31" t="s">
        <v>23</v>
      </c>
      <c r="G609" s="21" t="s">
        <v>24</v>
      </c>
      <c r="H609" s="38" t="s">
        <v>2491</v>
      </c>
      <c r="I609" s="39">
        <v>45881</v>
      </c>
      <c r="J609" s="39">
        <v>45884</v>
      </c>
      <c r="K609" s="64" t="s">
        <v>35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2492</v>
      </c>
    </row>
    <row r="610" spans="1:20" ht="23.25" customHeight="1">
      <c r="A610" s="20" t="s">
        <v>2493</v>
      </c>
      <c r="B610" s="22">
        <v>2025</v>
      </c>
      <c r="C610" s="90" t="s">
        <v>21</v>
      </c>
      <c r="D610" s="22" t="s">
        <v>2391</v>
      </c>
      <c r="E610" s="82" t="s">
        <v>2494</v>
      </c>
      <c r="F610" s="29" t="s">
        <v>81</v>
      </c>
      <c r="G610" s="20" t="s">
        <v>72</v>
      </c>
      <c r="H610" s="36" t="s">
        <v>2495</v>
      </c>
      <c r="I610" s="37">
        <v>45881</v>
      </c>
      <c r="J610" s="37">
        <v>45881</v>
      </c>
      <c r="K610" s="22" t="s">
        <v>35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2048</v>
      </c>
    </row>
    <row r="611" spans="1:20" ht="23.25" customHeight="1">
      <c r="A611" s="21" t="s">
        <v>2496</v>
      </c>
      <c r="B611" s="24">
        <v>2025</v>
      </c>
      <c r="C611" s="90" t="s">
        <v>21</v>
      </c>
      <c r="D611" s="24" t="s">
        <v>2497</v>
      </c>
      <c r="E611" s="30" t="s">
        <v>2498</v>
      </c>
      <c r="F611" s="74" t="s">
        <v>23</v>
      </c>
      <c r="G611" s="45" t="s">
        <v>38</v>
      </c>
      <c r="H611" s="38" t="s">
        <v>2499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6" t="s">
        <v>2500</v>
      </c>
    </row>
    <row r="612" spans="1:20" ht="23.25" customHeight="1">
      <c r="A612" s="20" t="s">
        <v>2501</v>
      </c>
      <c r="B612" s="22">
        <v>2025</v>
      </c>
      <c r="C612" s="92" t="s">
        <v>21</v>
      </c>
      <c r="D612" s="22" t="s">
        <v>2502</v>
      </c>
      <c r="E612" s="27" t="s">
        <v>2503</v>
      </c>
      <c r="F612" s="83" t="s">
        <v>23</v>
      </c>
      <c r="G612" s="54" t="s">
        <v>199</v>
      </c>
      <c r="H612" s="36" t="s">
        <v>2504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2505</v>
      </c>
    </row>
    <row r="613" spans="1:20" ht="23.25" customHeight="1">
      <c r="A613" s="21" t="s">
        <v>2506</v>
      </c>
      <c r="B613" s="24">
        <v>2025</v>
      </c>
      <c r="C613" s="92" t="s">
        <v>21</v>
      </c>
      <c r="D613" s="24" t="s">
        <v>2502</v>
      </c>
      <c r="E613" s="30" t="s">
        <v>2507</v>
      </c>
      <c r="F613" s="31" t="s">
        <v>23</v>
      </c>
      <c r="G613" s="21" t="s">
        <v>199</v>
      </c>
      <c r="H613" s="24" t="s">
        <v>2504</v>
      </c>
      <c r="I613" s="39">
        <v>45887</v>
      </c>
      <c r="J613" s="39">
        <v>45887</v>
      </c>
      <c r="K613" s="24" t="s">
        <v>220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2508</v>
      </c>
    </row>
    <row r="614" spans="1:20" ht="23.25" customHeight="1">
      <c r="A614" s="20" t="s">
        <v>2509</v>
      </c>
      <c r="B614" s="22">
        <v>2025</v>
      </c>
      <c r="C614" s="92" t="s">
        <v>21</v>
      </c>
      <c r="D614" s="22" t="s">
        <v>2510</v>
      </c>
      <c r="E614" s="27" t="s">
        <v>2511</v>
      </c>
      <c r="F614" s="29" t="s">
        <v>62</v>
      </c>
      <c r="G614" s="20" t="s">
        <v>72</v>
      </c>
      <c r="H614" s="36" t="s">
        <v>2512</v>
      </c>
      <c r="I614" s="37">
        <v>45890</v>
      </c>
      <c r="J614" s="37">
        <v>45891</v>
      </c>
      <c r="K614" s="22" t="s">
        <v>35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472</v>
      </c>
    </row>
    <row r="615" spans="1:20" ht="23.25" customHeight="1">
      <c r="A615" s="21" t="s">
        <v>2513</v>
      </c>
      <c r="B615" s="24">
        <v>2025</v>
      </c>
      <c r="C615" s="92" t="s">
        <v>21</v>
      </c>
      <c r="D615" s="24" t="s">
        <v>2514</v>
      </c>
      <c r="E615" s="75" t="s">
        <v>2515</v>
      </c>
      <c r="F615" s="31" t="s">
        <v>62</v>
      </c>
      <c r="G615" s="21" t="s">
        <v>72</v>
      </c>
      <c r="H615" s="38" t="s">
        <v>2516</v>
      </c>
      <c r="I615" s="39">
        <v>45894</v>
      </c>
      <c r="J615" s="39">
        <v>45895</v>
      </c>
      <c r="K615" s="24" t="s">
        <v>35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1472</v>
      </c>
    </row>
    <row r="616" spans="1:20" ht="23.25" customHeight="1">
      <c r="A616" s="20" t="s">
        <v>2517</v>
      </c>
      <c r="B616" s="22">
        <v>2025</v>
      </c>
      <c r="C616" s="92" t="s">
        <v>21</v>
      </c>
      <c r="D616" s="22" t="s">
        <v>2452</v>
      </c>
      <c r="E616" s="82" t="s">
        <v>2518</v>
      </c>
      <c r="F616" s="29" t="s">
        <v>62</v>
      </c>
      <c r="G616" s="20" t="s">
        <v>72</v>
      </c>
      <c r="H616" s="36" t="s">
        <v>2519</v>
      </c>
      <c r="I616" s="37">
        <v>45894</v>
      </c>
      <c r="J616" s="37">
        <v>45905</v>
      </c>
      <c r="K616" s="22" t="s">
        <v>35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2455</v>
      </c>
    </row>
    <row r="617" spans="1:20" ht="23.25" customHeight="1">
      <c r="A617" s="21" t="s">
        <v>2520</v>
      </c>
      <c r="B617" s="24">
        <v>2025</v>
      </c>
      <c r="C617" s="92" t="s">
        <v>21</v>
      </c>
      <c r="D617" s="24" t="s">
        <v>2521</v>
      </c>
      <c r="E617" s="30" t="s">
        <v>2522</v>
      </c>
      <c r="F617" s="31" t="s">
        <v>62</v>
      </c>
      <c r="G617" s="21" t="s">
        <v>72</v>
      </c>
      <c r="H617" s="38" t="s">
        <v>2523</v>
      </c>
      <c r="I617" s="39">
        <v>45896</v>
      </c>
      <c r="J617" s="39">
        <v>45896</v>
      </c>
      <c r="K617" s="24" t="s">
        <v>35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2524</v>
      </c>
    </row>
    <row r="618" spans="1:20" ht="23.25" customHeight="1">
      <c r="A618" s="20" t="s">
        <v>2525</v>
      </c>
      <c r="B618" s="22">
        <v>2025</v>
      </c>
      <c r="C618" s="90" t="s">
        <v>21</v>
      </c>
      <c r="D618" s="22" t="s">
        <v>2526</v>
      </c>
      <c r="E618" s="27" t="s">
        <v>2527</v>
      </c>
      <c r="F618" s="29" t="s">
        <v>62</v>
      </c>
      <c r="G618" s="20" t="s">
        <v>72</v>
      </c>
      <c r="H618" s="36" t="s">
        <v>2528</v>
      </c>
      <c r="I618" s="37">
        <v>45897</v>
      </c>
      <c r="J618" s="37">
        <v>45897</v>
      </c>
      <c r="K618" s="22" t="s">
        <v>35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2529</v>
      </c>
    </row>
    <row r="619" spans="1:20" ht="23.25" customHeight="1">
      <c r="A619" s="21" t="s">
        <v>2530</v>
      </c>
      <c r="B619" s="24">
        <v>2025</v>
      </c>
      <c r="C619" s="92" t="s">
        <v>21</v>
      </c>
      <c r="D619" s="24" t="s">
        <v>2531</v>
      </c>
      <c r="E619" s="30" t="s">
        <v>2532</v>
      </c>
      <c r="F619" s="31" t="s">
        <v>62</v>
      </c>
      <c r="G619" s="21" t="s">
        <v>72</v>
      </c>
      <c r="H619" s="38" t="s">
        <v>2528</v>
      </c>
      <c r="I619" s="39">
        <v>45897</v>
      </c>
      <c r="J619" s="39">
        <v>45897</v>
      </c>
      <c r="K619" s="24" t="s">
        <v>35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1951</v>
      </c>
    </row>
    <row r="620" spans="1:20" ht="23.25" customHeight="1">
      <c r="A620" s="20" t="s">
        <v>2533</v>
      </c>
      <c r="B620" s="22">
        <v>2025</v>
      </c>
      <c r="C620" s="92" t="s">
        <v>21</v>
      </c>
      <c r="D620" s="22" t="s">
        <v>2534</v>
      </c>
      <c r="E620" s="27" t="s">
        <v>2535</v>
      </c>
      <c r="F620" s="29" t="s">
        <v>62</v>
      </c>
      <c r="G620" s="20" t="s">
        <v>72</v>
      </c>
      <c r="H620" s="36" t="s">
        <v>2536</v>
      </c>
      <c r="I620" s="37">
        <v>45902</v>
      </c>
      <c r="J620" s="37">
        <v>45904</v>
      </c>
      <c r="K620" s="22" t="s">
        <v>35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2102</v>
      </c>
    </row>
    <row r="621" spans="1:20" ht="23.25" customHeight="1">
      <c r="A621" s="21" t="s">
        <v>2537</v>
      </c>
      <c r="B621" s="24">
        <v>2025</v>
      </c>
      <c r="C621" s="90" t="s">
        <v>21</v>
      </c>
      <c r="D621" s="24" t="s">
        <v>2538</v>
      </c>
      <c r="E621" s="30" t="s">
        <v>2539</v>
      </c>
      <c r="F621" s="31" t="s">
        <v>23</v>
      </c>
      <c r="G621" s="46" t="s">
        <v>199</v>
      </c>
      <c r="H621" s="38" t="s">
        <v>2540</v>
      </c>
      <c r="I621" s="39">
        <v>45905</v>
      </c>
      <c r="J621" s="39">
        <v>45905</v>
      </c>
      <c r="K621" s="24" t="s">
        <v>35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2541</v>
      </c>
    </row>
    <row r="622" spans="1:20" ht="23.25" customHeight="1">
      <c r="A622" s="20" t="s">
        <v>2542</v>
      </c>
      <c r="B622" s="22">
        <v>2025</v>
      </c>
      <c r="C622" s="92" t="s">
        <v>21</v>
      </c>
      <c r="D622" s="22" t="s">
        <v>2397</v>
      </c>
      <c r="E622" s="27" t="s">
        <v>2543</v>
      </c>
      <c r="F622" s="29" t="s">
        <v>23</v>
      </c>
      <c r="G622" s="20" t="s">
        <v>364</v>
      </c>
      <c r="H622" s="36" t="s">
        <v>2544</v>
      </c>
      <c r="I622" s="37">
        <v>45908</v>
      </c>
      <c r="J622" s="37">
        <v>45909</v>
      </c>
      <c r="K622" s="22" t="s">
        <v>35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2400</v>
      </c>
    </row>
    <row r="623" spans="1:20" ht="23.25" customHeight="1">
      <c r="A623" s="21" t="s">
        <v>2545</v>
      </c>
      <c r="B623" s="24">
        <v>2025</v>
      </c>
      <c r="C623" s="92" t="s">
        <v>21</v>
      </c>
      <c r="D623" s="24" t="s">
        <v>2546</v>
      </c>
      <c r="E623" s="30" t="s">
        <v>2547</v>
      </c>
      <c r="F623" s="31" t="s">
        <v>23</v>
      </c>
      <c r="G623" s="21" t="s">
        <v>38</v>
      </c>
      <c r="H623" s="38" t="s">
        <v>2548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2549</v>
      </c>
    </row>
    <row r="624" spans="1:20" ht="23.25" customHeight="1">
      <c r="A624" s="20" t="s">
        <v>2550</v>
      </c>
      <c r="B624" s="22">
        <v>2025</v>
      </c>
      <c r="C624" s="92" t="s">
        <v>21</v>
      </c>
      <c r="D624" s="22" t="s">
        <v>2359</v>
      </c>
      <c r="E624" s="27" t="s">
        <v>2551</v>
      </c>
      <c r="F624" s="83" t="s">
        <v>81</v>
      </c>
      <c r="G624" s="54" t="s">
        <v>72</v>
      </c>
      <c r="H624" s="36" t="s">
        <v>2552</v>
      </c>
      <c r="I624" s="37">
        <v>45911</v>
      </c>
      <c r="J624" s="37">
        <v>45911</v>
      </c>
      <c r="K624" s="22" t="s">
        <v>35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2362</v>
      </c>
    </row>
    <row r="625" spans="1:20" ht="23.25" customHeight="1">
      <c r="A625" s="21" t="s">
        <v>2553</v>
      </c>
      <c r="B625" s="24">
        <v>2025</v>
      </c>
      <c r="C625" s="90" t="s">
        <v>21</v>
      </c>
      <c r="D625" s="24" t="s">
        <v>2434</v>
      </c>
      <c r="E625" s="30" t="s">
        <v>2554</v>
      </c>
      <c r="F625" s="31" t="s">
        <v>81</v>
      </c>
      <c r="G625" s="21" t="s">
        <v>72</v>
      </c>
      <c r="H625" s="38" t="s">
        <v>2555</v>
      </c>
      <c r="I625" s="39">
        <v>45912</v>
      </c>
      <c r="J625" s="39">
        <v>45912</v>
      </c>
      <c r="K625" s="24" t="s">
        <v>35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2436</v>
      </c>
    </row>
    <row r="626" spans="1:20" ht="23.25" customHeight="1">
      <c r="A626" s="20" t="s">
        <v>2556</v>
      </c>
      <c r="B626" s="22">
        <v>2025</v>
      </c>
      <c r="C626" s="92" t="s">
        <v>21</v>
      </c>
      <c r="D626" s="22" t="s">
        <v>2359</v>
      </c>
      <c r="E626" s="27" t="s">
        <v>2557</v>
      </c>
      <c r="F626" s="29" t="s">
        <v>81</v>
      </c>
      <c r="G626" s="54" t="s">
        <v>72</v>
      </c>
      <c r="H626" s="36" t="s">
        <v>2555</v>
      </c>
      <c r="I626" s="37">
        <v>45912</v>
      </c>
      <c r="J626" s="37">
        <v>45912</v>
      </c>
      <c r="K626" s="22" t="s">
        <v>35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2362</v>
      </c>
    </row>
    <row r="627" spans="1:20" ht="23.25" customHeight="1">
      <c r="A627" s="21" t="s">
        <v>2558</v>
      </c>
      <c r="B627" s="24">
        <v>2025</v>
      </c>
      <c r="C627" s="92" t="s">
        <v>21</v>
      </c>
      <c r="D627" s="24" t="s">
        <v>2559</v>
      </c>
      <c r="E627" s="30" t="s">
        <v>2560</v>
      </c>
      <c r="F627" s="84" t="s">
        <v>23</v>
      </c>
      <c r="G627" s="46" t="s">
        <v>199</v>
      </c>
      <c r="H627" s="38" t="s">
        <v>2561</v>
      </c>
      <c r="I627" s="39">
        <v>45916</v>
      </c>
      <c r="J627" s="39">
        <v>45916</v>
      </c>
      <c r="K627" s="24" t="s">
        <v>35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>
      <c r="A628" s="20" t="s">
        <v>2562</v>
      </c>
      <c r="B628" s="22">
        <v>2025</v>
      </c>
      <c r="C628" s="90" t="s">
        <v>21</v>
      </c>
      <c r="D628" s="22" t="s">
        <v>2563</v>
      </c>
      <c r="E628" s="27" t="s">
        <v>2564</v>
      </c>
      <c r="F628" s="29" t="s">
        <v>23</v>
      </c>
      <c r="G628" s="20" t="s">
        <v>38</v>
      </c>
      <c r="H628" s="36" t="s">
        <v>2565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2566</v>
      </c>
      <c r="T628" s="20" t="s">
        <v>2567</v>
      </c>
    </row>
    <row r="629" spans="1:20" ht="23.25" customHeight="1">
      <c r="A629" s="21" t="s">
        <v>2568</v>
      </c>
      <c r="B629" s="24">
        <v>2025</v>
      </c>
      <c r="C629" s="92" t="s">
        <v>21</v>
      </c>
      <c r="D629" s="24" t="s">
        <v>2569</v>
      </c>
      <c r="E629" s="30" t="s">
        <v>2570</v>
      </c>
      <c r="F629" s="31" t="s">
        <v>62</v>
      </c>
      <c r="G629" s="21" t="s">
        <v>72</v>
      </c>
      <c r="H629" s="38" t="s">
        <v>2571</v>
      </c>
      <c r="I629" s="39">
        <v>45924</v>
      </c>
      <c r="J629" s="39">
        <v>45931</v>
      </c>
      <c r="K629" s="24" t="s">
        <v>35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2572</v>
      </c>
    </row>
    <row r="630" spans="1:20" ht="23.25" customHeight="1">
      <c r="A630" s="20" t="s">
        <v>2573</v>
      </c>
      <c r="B630" s="22">
        <v>2025</v>
      </c>
      <c r="C630" s="92" t="s">
        <v>21</v>
      </c>
      <c r="D630" s="22" t="s">
        <v>2574</v>
      </c>
      <c r="E630" s="27" t="s">
        <v>2575</v>
      </c>
      <c r="F630" s="29" t="s">
        <v>81</v>
      </c>
      <c r="G630" s="20" t="s">
        <v>72</v>
      </c>
      <c r="H630" s="36" t="s">
        <v>2576</v>
      </c>
      <c r="I630" s="37">
        <v>45925</v>
      </c>
      <c r="J630" s="37">
        <v>45926</v>
      </c>
      <c r="K630" s="22" t="s">
        <v>220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472</v>
      </c>
    </row>
    <row r="631" spans="1:20" ht="23.25" customHeight="1">
      <c r="A631" s="21" t="s">
        <v>2577</v>
      </c>
      <c r="B631" s="24">
        <v>2025</v>
      </c>
      <c r="C631" s="92" t="s">
        <v>21</v>
      </c>
      <c r="D631" s="24" t="s">
        <v>2460</v>
      </c>
      <c r="E631" s="30" t="s">
        <v>2578</v>
      </c>
      <c r="F631" s="31" t="s">
        <v>23</v>
      </c>
      <c r="G631" s="46" t="s">
        <v>68</v>
      </c>
      <c r="H631" s="38" t="s">
        <v>2579</v>
      </c>
      <c r="I631" s="39">
        <v>45932</v>
      </c>
      <c r="J631" s="39">
        <v>45933</v>
      </c>
      <c r="K631" s="24" t="s">
        <v>35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2014</v>
      </c>
    </row>
    <row r="632" spans="1:20" ht="23.25" customHeight="1">
      <c r="A632" s="20" t="s">
        <v>2580</v>
      </c>
      <c r="B632" s="22">
        <v>2025</v>
      </c>
      <c r="C632" s="90" t="s">
        <v>21</v>
      </c>
      <c r="D632" s="22" t="s">
        <v>2581</v>
      </c>
      <c r="E632" s="82" t="s">
        <v>2582</v>
      </c>
      <c r="F632" s="29" t="s">
        <v>23</v>
      </c>
      <c r="G632" s="20" t="s">
        <v>38</v>
      </c>
      <c r="H632" s="77" t="s">
        <v>2583</v>
      </c>
      <c r="I632" s="37">
        <v>45932</v>
      </c>
      <c r="J632" s="37">
        <v>45947</v>
      </c>
      <c r="K632" s="22" t="s">
        <v>35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2584</v>
      </c>
    </row>
    <row r="633" spans="1:20" ht="23.25" customHeight="1">
      <c r="A633" s="21" t="s">
        <v>2585</v>
      </c>
      <c r="B633" s="24">
        <v>2025</v>
      </c>
      <c r="C633" s="90" t="s">
        <v>21</v>
      </c>
      <c r="D633" s="24" t="s">
        <v>2586</v>
      </c>
      <c r="E633" s="30" t="s">
        <v>2587</v>
      </c>
      <c r="F633" s="31" t="s">
        <v>62</v>
      </c>
      <c r="G633" s="21" t="s">
        <v>72</v>
      </c>
      <c r="H633" s="38" t="s">
        <v>2588</v>
      </c>
      <c r="I633" s="39">
        <v>45932</v>
      </c>
      <c r="J633" s="39">
        <v>45936</v>
      </c>
      <c r="K633" s="24" t="s">
        <v>35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2445</v>
      </c>
    </row>
    <row r="634" spans="1:20" ht="23.25" customHeight="1">
      <c r="A634" s="20" t="s">
        <v>2589</v>
      </c>
      <c r="B634" s="22">
        <v>2025</v>
      </c>
      <c r="C634" s="92" t="s">
        <v>21</v>
      </c>
      <c r="D634" s="22" t="s">
        <v>2590</v>
      </c>
      <c r="E634" s="27" t="s">
        <v>2591</v>
      </c>
      <c r="F634" s="83" t="s">
        <v>23</v>
      </c>
      <c r="G634" s="54" t="s">
        <v>199</v>
      </c>
      <c r="H634" s="36" t="s">
        <v>2592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>
      <c r="A635" s="21" t="s">
        <v>2593</v>
      </c>
      <c r="B635" s="24">
        <v>2025</v>
      </c>
      <c r="C635" s="92" t="s">
        <v>21</v>
      </c>
      <c r="D635" s="24" t="s">
        <v>2312</v>
      </c>
      <c r="E635" s="30" t="s">
        <v>2594</v>
      </c>
      <c r="F635" s="31" t="s">
        <v>62</v>
      </c>
      <c r="G635" s="21" t="s">
        <v>33</v>
      </c>
      <c r="H635" s="38" t="s">
        <v>2595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2" t="s">
        <v>2315</v>
      </c>
    </row>
    <row r="636" spans="1:20" ht="31.5" customHeight="1">
      <c r="A636" s="20" t="s">
        <v>2596</v>
      </c>
      <c r="B636" s="22">
        <v>2025</v>
      </c>
      <c r="C636" s="90" t="s">
        <v>21</v>
      </c>
      <c r="D636" s="22" t="s">
        <v>2597</v>
      </c>
      <c r="E636" s="82" t="s">
        <v>2598</v>
      </c>
      <c r="F636" s="29" t="s">
        <v>62</v>
      </c>
      <c r="G636" s="20" t="s">
        <v>72</v>
      </c>
      <c r="H636" s="36" t="s">
        <v>2599</v>
      </c>
      <c r="I636" s="37">
        <v>45938</v>
      </c>
      <c r="J636" s="37">
        <v>45940</v>
      </c>
      <c r="K636" s="22" t="s">
        <v>35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2600</v>
      </c>
    </row>
    <row r="637" spans="1:20" ht="23.25" customHeight="1">
      <c r="A637" s="21" t="s">
        <v>2601</v>
      </c>
      <c r="B637" s="24">
        <v>2025</v>
      </c>
      <c r="C637" s="90" t="s">
        <v>21</v>
      </c>
      <c r="D637" s="24" t="s">
        <v>2602</v>
      </c>
      <c r="E637" s="30" t="s">
        <v>2603</v>
      </c>
      <c r="F637" s="31" t="s">
        <v>81</v>
      </c>
      <c r="G637" s="21" t="s">
        <v>72</v>
      </c>
      <c r="H637" s="264" t="s">
        <v>2604</v>
      </c>
      <c r="I637" s="39">
        <v>45944</v>
      </c>
      <c r="J637" s="39">
        <v>45946</v>
      </c>
      <c r="K637" s="24" t="s">
        <v>35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2605</v>
      </c>
    </row>
    <row r="638" spans="1:20" ht="23.25" customHeight="1">
      <c r="A638" s="20" t="s">
        <v>2606</v>
      </c>
      <c r="B638" s="22">
        <v>2025</v>
      </c>
      <c r="C638" s="90" t="s">
        <v>21</v>
      </c>
      <c r="D638" s="22" t="s">
        <v>2607</v>
      </c>
      <c r="E638" s="27" t="s">
        <v>2608</v>
      </c>
      <c r="F638" s="29" t="s">
        <v>23</v>
      </c>
      <c r="G638" s="20" t="s">
        <v>33</v>
      </c>
      <c r="H638" s="36" t="s">
        <v>2609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2566</v>
      </c>
      <c r="T638" s="20" t="s">
        <v>2567</v>
      </c>
    </row>
    <row r="639" spans="1:20" ht="23.25" customHeight="1">
      <c r="A639" s="21" t="s">
        <v>2610</v>
      </c>
      <c r="B639" s="24">
        <v>2025</v>
      </c>
      <c r="C639" s="90" t="s">
        <v>21</v>
      </c>
      <c r="D639" s="24" t="s">
        <v>2611</v>
      </c>
      <c r="E639" s="30" t="s">
        <v>2612</v>
      </c>
      <c r="F639" s="31" t="s">
        <v>81</v>
      </c>
      <c r="G639" s="46" t="s">
        <v>72</v>
      </c>
      <c r="H639" s="38" t="s">
        <v>2613</v>
      </c>
      <c r="I639" s="39">
        <v>45950</v>
      </c>
      <c r="J639" s="39">
        <v>45951</v>
      </c>
      <c r="K639" s="24" t="s">
        <v>220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472</v>
      </c>
    </row>
    <row r="640" spans="1:20" ht="23.25" customHeight="1">
      <c r="A640" s="20" t="s">
        <v>2614</v>
      </c>
      <c r="B640" s="22">
        <v>2025</v>
      </c>
      <c r="C640" s="92" t="s">
        <v>21</v>
      </c>
      <c r="D640" s="22" t="s">
        <v>2615</v>
      </c>
      <c r="E640" s="27" t="s">
        <v>2616</v>
      </c>
      <c r="F640" s="83" t="s">
        <v>23</v>
      </c>
      <c r="G640" s="54" t="s">
        <v>199</v>
      </c>
      <c r="H640" s="36" t="s">
        <v>2617</v>
      </c>
      <c r="I640" s="37">
        <v>45953</v>
      </c>
      <c r="J640" s="37">
        <v>45953</v>
      </c>
      <c r="K640" s="22" t="s">
        <v>35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>
      <c r="A641" s="21" t="s">
        <v>2618</v>
      </c>
      <c r="B641" s="24">
        <v>2025</v>
      </c>
      <c r="C641" s="90" t="s">
        <v>21</v>
      </c>
      <c r="D641" s="24" t="s">
        <v>2619</v>
      </c>
      <c r="E641" s="30" t="s">
        <v>2431</v>
      </c>
      <c r="F641" s="31" t="s">
        <v>81</v>
      </c>
      <c r="G641" s="78" t="s">
        <v>72</v>
      </c>
      <c r="H641" s="76" t="s">
        <v>2620</v>
      </c>
      <c r="I641" s="39">
        <v>45954</v>
      </c>
      <c r="J641" s="39">
        <v>45989</v>
      </c>
      <c r="K641" s="24" t="s">
        <v>35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2621</v>
      </c>
    </row>
    <row r="642" spans="1:20" ht="23.25" customHeight="1">
      <c r="A642" s="20" t="s">
        <v>2622</v>
      </c>
      <c r="B642" s="22">
        <v>2025</v>
      </c>
      <c r="C642" s="90" t="s">
        <v>21</v>
      </c>
      <c r="D642" s="22" t="s">
        <v>2623</v>
      </c>
      <c r="E642" s="27" t="s">
        <v>2269</v>
      </c>
      <c r="F642" s="29" t="s">
        <v>81</v>
      </c>
      <c r="G642" s="20" t="s">
        <v>72</v>
      </c>
      <c r="H642" s="36" t="s">
        <v>2624</v>
      </c>
      <c r="I642" s="37">
        <v>45964</v>
      </c>
      <c r="J642" s="37">
        <v>45968</v>
      </c>
      <c r="K642" s="22" t="s">
        <v>35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2159</v>
      </c>
    </row>
    <row r="643" spans="1:20" ht="23.25" customHeight="1">
      <c r="A643" s="21" t="s">
        <v>2625</v>
      </c>
      <c r="B643" s="24">
        <v>2025</v>
      </c>
      <c r="C643" s="92" t="s">
        <v>21</v>
      </c>
      <c r="D643" s="24" t="s">
        <v>2359</v>
      </c>
      <c r="E643" s="30" t="s">
        <v>2626</v>
      </c>
      <c r="F643" s="31" t="s">
        <v>81</v>
      </c>
      <c r="G643" s="21" t="s">
        <v>72</v>
      </c>
      <c r="H643" s="38" t="s">
        <v>2627</v>
      </c>
      <c r="I643" s="39">
        <v>45967</v>
      </c>
      <c r="J643" s="39">
        <v>45967</v>
      </c>
      <c r="K643" s="24" t="s">
        <v>35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2362</v>
      </c>
    </row>
    <row r="644" spans="1:20" ht="23.25" customHeight="1">
      <c r="A644" s="20" t="s">
        <v>2628</v>
      </c>
      <c r="B644" s="22">
        <v>2025</v>
      </c>
      <c r="C644" s="90" t="s">
        <v>21</v>
      </c>
      <c r="D644" s="22" t="s">
        <v>2629</v>
      </c>
      <c r="E644" s="27" t="s">
        <v>2551</v>
      </c>
      <c r="F644" s="29" t="s">
        <v>81</v>
      </c>
      <c r="G644" s="20" t="s">
        <v>72</v>
      </c>
      <c r="H644" s="36" t="s">
        <v>2627</v>
      </c>
      <c r="I644" s="37">
        <v>45967</v>
      </c>
      <c r="J644" s="37">
        <v>45967</v>
      </c>
      <c r="K644" s="22" t="s">
        <v>35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2630</v>
      </c>
    </row>
    <row r="645" spans="1:20" ht="32.25" customHeight="1">
      <c r="A645" s="21" t="s">
        <v>2631</v>
      </c>
      <c r="B645" s="24">
        <v>2025</v>
      </c>
      <c r="C645" s="92" t="s">
        <v>21</v>
      </c>
      <c r="D645" s="24" t="s">
        <v>2632</v>
      </c>
      <c r="E645" s="30" t="s">
        <v>2633</v>
      </c>
      <c r="F645" s="84" t="s">
        <v>23</v>
      </c>
      <c r="G645" s="46" t="s">
        <v>199</v>
      </c>
      <c r="H645" s="38" t="s">
        <v>2634</v>
      </c>
      <c r="I645" s="39">
        <v>45968</v>
      </c>
      <c r="J645" s="39">
        <v>45968</v>
      </c>
      <c r="K645" s="24" t="s">
        <v>35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2605</v>
      </c>
    </row>
    <row r="646" spans="1:20" ht="23.25" customHeight="1">
      <c r="A646" s="20" t="s">
        <v>2635</v>
      </c>
      <c r="B646" s="22">
        <v>2025</v>
      </c>
      <c r="C646" s="92" t="s">
        <v>21</v>
      </c>
      <c r="D646" s="22" t="s">
        <v>2485</v>
      </c>
      <c r="E646" s="27" t="s">
        <v>2636</v>
      </c>
      <c r="F646" s="29" t="s">
        <v>23</v>
      </c>
      <c r="G646" s="54" t="s">
        <v>199</v>
      </c>
      <c r="H646" s="36" t="s">
        <v>2637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796</v>
      </c>
    </row>
    <row r="647" spans="1:20" ht="23.25" customHeight="1">
      <c r="A647" s="21" t="s">
        <v>2638</v>
      </c>
      <c r="B647" s="24">
        <v>2025</v>
      </c>
      <c r="C647" s="90" t="s">
        <v>21</v>
      </c>
      <c r="D647" s="24" t="s">
        <v>2639</v>
      </c>
      <c r="E647" s="30" t="s">
        <v>2228</v>
      </c>
      <c r="F647" s="31" t="s">
        <v>62</v>
      </c>
      <c r="G647" s="21" t="s">
        <v>72</v>
      </c>
      <c r="H647" s="76" t="s">
        <v>2640</v>
      </c>
      <c r="I647" s="39">
        <v>45972</v>
      </c>
      <c r="J647" s="39">
        <v>45980</v>
      </c>
      <c r="K647" s="24" t="s">
        <v>35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2019</v>
      </c>
    </row>
    <row r="648" spans="1:20" ht="23.25" customHeight="1">
      <c r="A648" s="20" t="s">
        <v>2641</v>
      </c>
      <c r="B648" s="22">
        <v>2025</v>
      </c>
      <c r="C648" s="90" t="s">
        <v>21</v>
      </c>
      <c r="D648" s="267" t="s">
        <v>2642</v>
      </c>
      <c r="E648" s="27" t="s">
        <v>2643</v>
      </c>
      <c r="F648" s="29" t="s">
        <v>62</v>
      </c>
      <c r="G648" s="20" t="s">
        <v>72</v>
      </c>
      <c r="H648" s="263" t="s">
        <v>2644</v>
      </c>
      <c r="I648" s="37">
        <v>45978</v>
      </c>
      <c r="J648" s="37">
        <v>45980</v>
      </c>
      <c r="K648" s="22" t="s">
        <v>35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2455</v>
      </c>
    </row>
    <row r="649" spans="1:20" ht="23.25" customHeight="1">
      <c r="A649" s="21" t="s">
        <v>2645</v>
      </c>
      <c r="B649" s="24">
        <v>2025</v>
      </c>
      <c r="C649" s="92" t="s">
        <v>21</v>
      </c>
      <c r="D649" s="24" t="s">
        <v>2646</v>
      </c>
      <c r="E649" s="30" t="s">
        <v>2647</v>
      </c>
      <c r="F649" s="31" t="s">
        <v>23</v>
      </c>
      <c r="G649" s="46" t="s">
        <v>199</v>
      </c>
      <c r="H649" s="264" t="s">
        <v>2648</v>
      </c>
      <c r="I649" s="39">
        <v>45978</v>
      </c>
      <c r="J649" s="39">
        <v>45979</v>
      </c>
      <c r="K649" s="24" t="s">
        <v>35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2649</v>
      </c>
    </row>
    <row r="650" spans="1:20" ht="23.25" customHeight="1">
      <c r="A650" s="20" t="s">
        <v>2650</v>
      </c>
      <c r="B650" s="22">
        <v>2025</v>
      </c>
      <c r="C650" s="92" t="s">
        <v>21</v>
      </c>
      <c r="D650" s="22" t="s">
        <v>2651</v>
      </c>
      <c r="E650" s="82" t="s">
        <v>2652</v>
      </c>
      <c r="F650" s="29" t="s">
        <v>23</v>
      </c>
      <c r="G650" s="20" t="s">
        <v>38</v>
      </c>
      <c r="H650" s="36" t="s">
        <v>2653</v>
      </c>
      <c r="I650" s="37">
        <v>45985</v>
      </c>
      <c r="J650" s="37">
        <v>45987</v>
      </c>
      <c r="K650" s="22" t="s">
        <v>35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2654</v>
      </c>
    </row>
    <row r="651" spans="1:20" ht="23.25" customHeight="1">
      <c r="A651" s="21" t="s">
        <v>2655</v>
      </c>
      <c r="B651" s="24">
        <v>2025</v>
      </c>
      <c r="C651" s="92" t="s">
        <v>21</v>
      </c>
      <c r="D651" s="24" t="s">
        <v>2656</v>
      </c>
      <c r="E651" s="30" t="s">
        <v>2657</v>
      </c>
      <c r="F651" s="31" t="s">
        <v>23</v>
      </c>
      <c r="G651" s="21" t="s">
        <v>24</v>
      </c>
      <c r="H651" s="76" t="s">
        <v>2658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2659</v>
      </c>
    </row>
    <row r="652" spans="1:20" ht="23.25" customHeight="1">
      <c r="A652" s="20" t="s">
        <v>2660</v>
      </c>
      <c r="B652" s="22">
        <v>2025</v>
      </c>
      <c r="C652" s="90" t="s">
        <v>21</v>
      </c>
      <c r="D652" s="22" t="s">
        <v>2661</v>
      </c>
      <c r="E652" s="82" t="s">
        <v>2662</v>
      </c>
      <c r="F652" s="29" t="s">
        <v>81</v>
      </c>
      <c r="G652" s="20" t="s">
        <v>72</v>
      </c>
      <c r="H652" s="77" t="s">
        <v>2658</v>
      </c>
      <c r="I652" s="37">
        <v>45985</v>
      </c>
      <c r="J652" s="37">
        <v>45989</v>
      </c>
      <c r="K652" s="22" t="s">
        <v>35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1207</v>
      </c>
    </row>
    <row r="653" spans="1:20" ht="23.25" customHeight="1">
      <c r="A653" s="21" t="s">
        <v>2663</v>
      </c>
      <c r="B653" s="24">
        <v>2025</v>
      </c>
      <c r="C653" s="92" t="s">
        <v>2664</v>
      </c>
      <c r="D653" s="24" t="s">
        <v>2665</v>
      </c>
      <c r="E653" s="30" t="s">
        <v>2193</v>
      </c>
      <c r="F653" s="31" t="s">
        <v>23</v>
      </c>
      <c r="G653" s="21" t="s">
        <v>33</v>
      </c>
      <c r="H653" s="38" t="s">
        <v>2666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472</v>
      </c>
    </row>
    <row r="654" spans="1:20" ht="23.25" customHeight="1">
      <c r="A654" s="20" t="s">
        <v>2667</v>
      </c>
      <c r="B654" s="22">
        <v>2025</v>
      </c>
      <c r="C654" s="90" t="s">
        <v>21</v>
      </c>
      <c r="D654" s="22" t="s">
        <v>2668</v>
      </c>
      <c r="E654" s="27" t="s">
        <v>2669</v>
      </c>
      <c r="F654" s="29" t="s">
        <v>23</v>
      </c>
      <c r="G654" s="20" t="s">
        <v>38</v>
      </c>
      <c r="H654" s="77" t="s">
        <v>2670</v>
      </c>
      <c r="I654" s="37">
        <v>45994</v>
      </c>
      <c r="J654" s="37">
        <v>46001</v>
      </c>
      <c r="K654" s="22" t="s">
        <v>35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1785</v>
      </c>
    </row>
    <row r="655" spans="1:20" ht="23.25" customHeight="1">
      <c r="A655" s="21" t="s">
        <v>2671</v>
      </c>
      <c r="B655" s="24">
        <v>2025</v>
      </c>
      <c r="C655" s="90" t="s">
        <v>21</v>
      </c>
      <c r="D655" s="24" t="s">
        <v>2672</v>
      </c>
      <c r="E655" s="30" t="s">
        <v>2673</v>
      </c>
      <c r="F655" s="31" t="s">
        <v>23</v>
      </c>
      <c r="G655" s="21" t="s">
        <v>199</v>
      </c>
      <c r="H655" s="38" t="s">
        <v>2674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>
      <c r="A656" s="20" t="s">
        <v>2675</v>
      </c>
      <c r="B656" s="22">
        <v>2025</v>
      </c>
      <c r="C656" s="90" t="s">
        <v>21</v>
      </c>
      <c r="D656" s="22" t="s">
        <v>2676</v>
      </c>
      <c r="E656" s="27" t="s">
        <v>2677</v>
      </c>
      <c r="F656" s="29" t="s">
        <v>81</v>
      </c>
      <c r="G656" s="20" t="s">
        <v>72</v>
      </c>
      <c r="H656" s="50" t="s">
        <v>2678</v>
      </c>
      <c r="I656" s="37">
        <v>46011</v>
      </c>
      <c r="J656" s="37">
        <v>46011</v>
      </c>
      <c r="K656" s="22" t="s">
        <v>35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1023</v>
      </c>
    </row>
    <row r="657" spans="1:20" ht="23.25" customHeight="1">
      <c r="A657" s="21" t="str">
        <f>IF(B657="","",B657&amp;"-"&amp;TEXT(COUNTIF(B$2:B657,B657),"000"))</f>
        <v>2026-001</v>
      </c>
      <c r="B657" s="24">
        <v>2026</v>
      </c>
      <c r="C657" s="227" t="s">
        <v>21</v>
      </c>
      <c r="D657" s="24" t="s">
        <v>2679</v>
      </c>
      <c r="E657" s="30" t="s">
        <v>2131</v>
      </c>
      <c r="F657" s="31" t="s">
        <v>62</v>
      </c>
      <c r="G657" s="21" t="s">
        <v>72</v>
      </c>
      <c r="H657" s="38" t="s">
        <v>2680</v>
      </c>
      <c r="I657" s="39">
        <v>46042</v>
      </c>
      <c r="J657" s="39">
        <v>46044</v>
      </c>
      <c r="K657" s="24" t="s">
        <v>35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1472</v>
      </c>
    </row>
    <row r="658" spans="1:20" ht="23.25" customHeight="1">
      <c r="A658" s="20" t="str">
        <f>IF(B658="","",B658&amp;"-"&amp;TEXT(COUNTIF(B$2:B658,B658),"000"))</f>
        <v>2026-002</v>
      </c>
      <c r="B658" s="22">
        <v>2026</v>
      </c>
      <c r="C658" s="227" t="s">
        <v>21</v>
      </c>
      <c r="D658" s="22" t="s">
        <v>2681</v>
      </c>
      <c r="E658" s="27" t="s">
        <v>2682</v>
      </c>
      <c r="F658" s="29" t="s">
        <v>23</v>
      </c>
      <c r="G658" s="20" t="s">
        <v>199</v>
      </c>
      <c r="H658" s="36" t="s">
        <v>2683</v>
      </c>
      <c r="I658" s="37">
        <v>46045</v>
      </c>
      <c r="J658" s="37">
        <v>46045</v>
      </c>
      <c r="K658" s="22" t="s">
        <v>35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2630</v>
      </c>
    </row>
    <row r="659" spans="1:20" ht="23.25" customHeight="1">
      <c r="A659" s="21" t="str">
        <f>IF(B659="","",B659&amp;"-"&amp;TEXT(COUNTIF(B$2:B659,B659),"000"))</f>
        <v>2026-003</v>
      </c>
      <c r="B659" s="24">
        <v>2026</v>
      </c>
      <c r="C659" s="227" t="s">
        <v>21</v>
      </c>
      <c r="D659" s="24" t="s">
        <v>2684</v>
      </c>
      <c r="E659" s="30" t="s">
        <v>2685</v>
      </c>
      <c r="F659" s="31" t="s">
        <v>23</v>
      </c>
      <c r="G659" s="21" t="s">
        <v>38</v>
      </c>
      <c r="H659" s="76" t="s">
        <v>2686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2687</v>
      </c>
    </row>
    <row r="660" spans="1:20" ht="23.25" customHeight="1">
      <c r="A660" s="20" t="str">
        <f>IF(B660="","",B660&amp;"-"&amp;TEXT(COUNTIF(B$2:B660,B660),"000"))</f>
        <v>2026-004</v>
      </c>
      <c r="B660" s="22">
        <v>2026</v>
      </c>
      <c r="C660" s="227" t="s">
        <v>21</v>
      </c>
      <c r="D660" s="22" t="s">
        <v>2688</v>
      </c>
      <c r="E660" s="27" t="s">
        <v>2689</v>
      </c>
      <c r="F660" s="29" t="s">
        <v>62</v>
      </c>
      <c r="G660" s="20" t="s">
        <v>2690</v>
      </c>
      <c r="H660" s="36" t="s">
        <v>2691</v>
      </c>
      <c r="I660" s="37">
        <v>46078</v>
      </c>
      <c r="J660" s="37">
        <v>46080</v>
      </c>
      <c r="K660" s="22" t="s">
        <v>35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2692</v>
      </c>
    </row>
    <row r="661" spans="1:20" ht="23.25" customHeight="1">
      <c r="A661" s="21" t="str">
        <f>IF(B661="","",B661&amp;"-"&amp;TEXT(COUNTIF(B$2:B661,B661),"000"))</f>
        <v>2026-005</v>
      </c>
      <c r="B661" s="24">
        <v>2026</v>
      </c>
      <c r="C661" s="227" t="s">
        <v>21</v>
      </c>
      <c r="D661" s="38" t="s">
        <v>2693</v>
      </c>
      <c r="E661" s="30" t="s">
        <v>2694</v>
      </c>
      <c r="F661" s="31" t="s">
        <v>23</v>
      </c>
      <c r="G661" s="46" t="s">
        <v>2695</v>
      </c>
      <c r="H661" s="38" t="s">
        <v>2696</v>
      </c>
      <c r="I661" s="39">
        <v>46078</v>
      </c>
      <c r="J661" s="39">
        <v>46083</v>
      </c>
      <c r="K661" s="24" t="s">
        <v>35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2697</v>
      </c>
    </row>
    <row r="662" spans="1:20" ht="23.25" customHeight="1">
      <c r="A662" s="20" t="str">
        <f>IF(B662="","",B662&amp;"-"&amp;TEXT(COUNTIF(B$2:B662,B662),"000"))</f>
        <v>2026-006</v>
      </c>
      <c r="B662" s="22">
        <v>2026</v>
      </c>
      <c r="C662" s="227" t="s">
        <v>21</v>
      </c>
      <c r="D662" s="22" t="s">
        <v>2698</v>
      </c>
      <c r="E662" s="27" t="s">
        <v>2699</v>
      </c>
      <c r="F662" s="29" t="s">
        <v>62</v>
      </c>
      <c r="G662" s="20" t="s">
        <v>2690</v>
      </c>
      <c r="H662" s="165" t="s">
        <v>2700</v>
      </c>
      <c r="I662" s="37">
        <v>46085</v>
      </c>
      <c r="J662" s="37">
        <v>46087</v>
      </c>
      <c r="K662" s="22" t="s">
        <v>35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2701</v>
      </c>
    </row>
    <row r="663" spans="1:20" ht="23.25" customHeight="1">
      <c r="A663" s="21" t="str">
        <f>IF(B663="","",B663&amp;"-"&amp;TEXT(COUNTIF(B$2:B663,B663),"000"))</f>
        <v>2026-007</v>
      </c>
      <c r="B663" s="24">
        <v>2026</v>
      </c>
      <c r="C663" s="227" t="s">
        <v>21</v>
      </c>
      <c r="D663" s="38" t="s">
        <v>2702</v>
      </c>
      <c r="E663" s="30" t="s">
        <v>2703</v>
      </c>
      <c r="F663" s="31" t="s">
        <v>62</v>
      </c>
      <c r="G663" s="21" t="s">
        <v>72</v>
      </c>
      <c r="H663" s="38" t="s">
        <v>2704</v>
      </c>
      <c r="I663" s="39">
        <v>46090</v>
      </c>
      <c r="J663" s="39">
        <v>46094</v>
      </c>
      <c r="K663" s="24" t="s">
        <v>35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74</v>
      </c>
    </row>
    <row r="664" spans="1:20" ht="23.25" customHeight="1">
      <c r="A664" s="20" t="str">
        <f>IF(B664="","",B664&amp;"-"&amp;TEXT(COUNTIF(B$2:B664,B664),"000"))</f>
        <v>2026-008</v>
      </c>
      <c r="B664" s="22">
        <v>2026</v>
      </c>
      <c r="C664" s="227" t="s">
        <v>21</v>
      </c>
      <c r="D664" s="22" t="s">
        <v>2705</v>
      </c>
      <c r="E664" s="27" t="s">
        <v>2706</v>
      </c>
      <c r="F664" s="29" t="s">
        <v>23</v>
      </c>
      <c r="G664" s="54" t="s">
        <v>364</v>
      </c>
      <c r="H664" s="36" t="s">
        <v>2707</v>
      </c>
      <c r="I664" s="37">
        <v>46097</v>
      </c>
      <c r="J664" s="37">
        <v>46101</v>
      </c>
      <c r="K664" s="22" t="s">
        <v>35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2708</v>
      </c>
    </row>
    <row r="665" spans="1:20" ht="23.25" customHeight="1">
      <c r="A665" s="21" t="str">
        <f>IF(B665="","",B665&amp;"-"&amp;TEXT(COUNTIF(B$2:B665,B665),"000"))</f>
        <v>2026-009</v>
      </c>
      <c r="B665" s="24">
        <v>2026</v>
      </c>
      <c r="C665" s="227" t="s">
        <v>21</v>
      </c>
      <c r="D665" s="24" t="s">
        <v>2709</v>
      </c>
      <c r="E665" s="30" t="s">
        <v>2710</v>
      </c>
      <c r="F665" s="31" t="s">
        <v>23</v>
      </c>
      <c r="G665" s="46" t="s">
        <v>2711</v>
      </c>
      <c r="H665" s="38" t="s">
        <v>2712</v>
      </c>
      <c r="I665" s="39">
        <v>46098</v>
      </c>
      <c r="J665" s="39">
        <v>46100</v>
      </c>
      <c r="K665" s="24" t="s">
        <v>35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2713</v>
      </c>
    </row>
    <row r="666" spans="1:20" ht="32.25" customHeight="1">
      <c r="A666" s="20" t="str">
        <f>IF(B666="","",B666&amp;"-"&amp;TEXT(COUNTIF(B$2:B666,B666),"000"))</f>
        <v>2026-010</v>
      </c>
      <c r="B666" s="22">
        <v>2026</v>
      </c>
      <c r="C666" s="227" t="s">
        <v>21</v>
      </c>
      <c r="D666" s="36" t="s">
        <v>2702</v>
      </c>
      <c r="E666" s="27" t="s">
        <v>2714</v>
      </c>
      <c r="F666" s="29" t="s">
        <v>62</v>
      </c>
      <c r="G666" s="20" t="s">
        <v>72</v>
      </c>
      <c r="H666" s="36" t="s">
        <v>2715</v>
      </c>
      <c r="I666" s="37">
        <v>46104</v>
      </c>
      <c r="J666" s="37">
        <v>46108</v>
      </c>
      <c r="K666" s="22" t="s">
        <v>35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74</v>
      </c>
    </row>
    <row r="667" spans="1:20" ht="23.25" customHeight="1">
      <c r="A667" s="21" t="str">
        <f>IF(B667="","",B667&amp;"-"&amp;TEXT(COUNTIF(B$2:B667,B667),"000"))</f>
        <v>2026-011</v>
      </c>
      <c r="B667" s="24">
        <v>2026</v>
      </c>
      <c r="C667" s="227" t="s">
        <v>21</v>
      </c>
      <c r="D667" s="24" t="s">
        <v>2716</v>
      </c>
      <c r="E667" s="30" t="s">
        <v>2717</v>
      </c>
      <c r="F667" s="31" t="s">
        <v>62</v>
      </c>
      <c r="G667" s="21" t="s">
        <v>72</v>
      </c>
      <c r="H667" s="24" t="s">
        <v>2718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472</v>
      </c>
    </row>
    <row r="668" spans="1:20" ht="33" customHeight="1">
      <c r="A668" s="20" t="str">
        <f>IF(B668="","",B668&amp;"-"&amp;TEXT(COUNTIF(B$2:B668,B668),"000"))</f>
        <v>2026-012</v>
      </c>
      <c r="B668" s="22">
        <v>2026</v>
      </c>
      <c r="C668" s="271" t="s">
        <v>21</v>
      </c>
      <c r="D668" s="22" t="s">
        <v>2719</v>
      </c>
      <c r="E668" s="27" t="s">
        <v>2720</v>
      </c>
      <c r="F668" s="29" t="s">
        <v>62</v>
      </c>
      <c r="G668" s="20" t="s">
        <v>72</v>
      </c>
      <c r="H668" s="36" t="s">
        <v>2721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472</v>
      </c>
    </row>
    <row r="669" spans="1:20" ht="23.25" customHeight="1">
      <c r="A669" s="21" t="str">
        <f>IF(B669="","",B669&amp;"-"&amp;TEXT(COUNTIF(B$2:B669,B669),"000"))</f>
        <v>2026-013</v>
      </c>
      <c r="B669" s="24">
        <v>2026</v>
      </c>
      <c r="C669" s="227" t="s">
        <v>21</v>
      </c>
      <c r="D669" s="166" t="s">
        <v>2722</v>
      </c>
      <c r="E669" s="30" t="s">
        <v>2723</v>
      </c>
      <c r="F669" s="31" t="s">
        <v>62</v>
      </c>
      <c r="G669" s="167" t="s">
        <v>2690</v>
      </c>
      <c r="H669" s="168" t="s">
        <v>2724</v>
      </c>
      <c r="I669" s="169">
        <v>46120</v>
      </c>
      <c r="J669" s="169">
        <v>46122</v>
      </c>
      <c r="K669" s="24" t="s">
        <v>35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2701</v>
      </c>
    </row>
    <row r="670" spans="1:20" ht="33" customHeight="1">
      <c r="A670" s="20" t="str">
        <f>IF(B670="","",B670&amp;"-"&amp;TEXT(COUNTIF(B$2:B670,B670),"000"))</f>
        <v>2026-014</v>
      </c>
      <c r="B670" s="22">
        <v>2026</v>
      </c>
      <c r="C670" s="227" t="s">
        <v>21</v>
      </c>
      <c r="D670" s="172" t="s">
        <v>2725</v>
      </c>
      <c r="E670" s="173" t="s">
        <v>2726</v>
      </c>
      <c r="F670" s="29" t="s">
        <v>81</v>
      </c>
      <c r="G670" s="20" t="s">
        <v>2727</v>
      </c>
      <c r="H670" s="174" t="s">
        <v>2728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2115</v>
      </c>
    </row>
    <row r="671" spans="1:20" ht="23.25" customHeight="1">
      <c r="A671" s="21" t="str">
        <f>IF(B671="","",B671&amp;"-"&amp;TEXT(COUNTIF(B$2:B671,B671),"000"))</f>
        <v>2026-015</v>
      </c>
      <c r="B671" s="24">
        <v>2026</v>
      </c>
      <c r="C671" s="227" t="s">
        <v>21</v>
      </c>
      <c r="D671" s="24" t="s">
        <v>2709</v>
      </c>
      <c r="E671" s="30" t="s">
        <v>2729</v>
      </c>
      <c r="F671" s="31" t="s">
        <v>23</v>
      </c>
      <c r="G671" s="46" t="s">
        <v>2711</v>
      </c>
      <c r="H671" s="38" t="s">
        <v>2730</v>
      </c>
      <c r="I671" s="39">
        <v>46127</v>
      </c>
      <c r="J671" s="39">
        <v>46129</v>
      </c>
      <c r="K671" s="24" t="s">
        <v>35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2731</v>
      </c>
    </row>
    <row r="672" spans="1:20" ht="23.25" customHeight="1">
      <c r="A672" s="20" t="str">
        <f>IF(B672="","",B672&amp;"-"&amp;TEXT(COUNTIF(B$2:B672,B672),"000"))</f>
        <v>2026-016</v>
      </c>
      <c r="B672" s="22">
        <v>2026</v>
      </c>
      <c r="C672" s="227" t="s">
        <v>21</v>
      </c>
      <c r="D672" s="172" t="s">
        <v>2732</v>
      </c>
      <c r="E672" s="173" t="s">
        <v>2733</v>
      </c>
      <c r="F672" s="29" t="s">
        <v>23</v>
      </c>
      <c r="G672" s="54" t="s">
        <v>2711</v>
      </c>
      <c r="H672" s="174" t="s">
        <v>2734</v>
      </c>
      <c r="I672" s="175">
        <v>46128</v>
      </c>
      <c r="J672" s="175">
        <v>46128</v>
      </c>
      <c r="K672" s="22" t="s">
        <v>35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2731</v>
      </c>
    </row>
    <row r="673" spans="1:21" ht="23.25" customHeight="1">
      <c r="A673" s="21" t="str">
        <f>IF(B673="","",B673&amp;"-"&amp;TEXT(COUNTIF(B$2:B673,B673),"000"))</f>
        <v>2026-017</v>
      </c>
      <c r="B673" s="24">
        <v>2026</v>
      </c>
      <c r="C673" s="227" t="s">
        <v>21</v>
      </c>
      <c r="D673" s="24" t="s">
        <v>2735</v>
      </c>
      <c r="E673" s="30" t="s">
        <v>2736</v>
      </c>
      <c r="F673" s="31" t="s">
        <v>23</v>
      </c>
      <c r="G673" s="21" t="s">
        <v>199</v>
      </c>
      <c r="H673" s="59" t="s">
        <v>2737</v>
      </c>
      <c r="I673" s="39">
        <v>46132</v>
      </c>
      <c r="J673" s="39">
        <v>46142</v>
      </c>
      <c r="K673" s="24" t="s">
        <v>35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2738</v>
      </c>
    </row>
    <row r="674" spans="1:21" ht="23.25" customHeight="1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2739</v>
      </c>
      <c r="E674" s="27" t="s">
        <v>2626</v>
      </c>
      <c r="F674" s="29" t="s">
        <v>81</v>
      </c>
      <c r="G674" s="48" t="s">
        <v>2727</v>
      </c>
      <c r="H674" s="36" t="s">
        <v>2740</v>
      </c>
      <c r="I674" s="37">
        <v>46136</v>
      </c>
      <c r="J674" s="37">
        <v>46136</v>
      </c>
      <c r="K674" s="22" t="s">
        <v>35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2741</v>
      </c>
    </row>
    <row r="675" spans="1:21" ht="23.25" customHeight="1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2739</v>
      </c>
      <c r="E675" s="27" t="s">
        <v>2626</v>
      </c>
      <c r="F675" s="29" t="s">
        <v>81</v>
      </c>
      <c r="G675" s="48" t="s">
        <v>2727</v>
      </c>
      <c r="H675" s="263" t="s">
        <v>2742</v>
      </c>
      <c r="I675" s="277">
        <v>46150</v>
      </c>
      <c r="J675" s="277">
        <v>46150</v>
      </c>
      <c r="K675" s="22" t="s">
        <v>35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2741</v>
      </c>
    </row>
    <row r="676" spans="1:21" ht="23.25" customHeight="1">
      <c r="A676" s="20" t="str">
        <f>IF(B676="","",B676&amp;"-"&amp;TEXT(COUNTIF(B$2:B676,B676),"000"))</f>
        <v>2026-020</v>
      </c>
      <c r="B676" s="24">
        <v>2026</v>
      </c>
      <c r="C676" s="48" t="s">
        <v>2743</v>
      </c>
      <c r="D676" s="24" t="s">
        <v>2744</v>
      </c>
      <c r="E676" s="30" t="s">
        <v>2745</v>
      </c>
      <c r="F676" s="31" t="s">
        <v>23</v>
      </c>
      <c r="G676" s="21" t="s">
        <v>2695</v>
      </c>
      <c r="H676" s="38" t="s">
        <v>2746</v>
      </c>
      <c r="I676" s="39">
        <v>46160</v>
      </c>
      <c r="J676" s="39">
        <v>46163</v>
      </c>
      <c r="K676" s="24" t="s">
        <v>35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2697</v>
      </c>
    </row>
    <row r="677" spans="1:21" ht="23.25" customHeight="1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2747</v>
      </c>
      <c r="E677" s="275" t="s">
        <v>2748</v>
      </c>
      <c r="F677" s="188" t="s">
        <v>23</v>
      </c>
      <c r="G677" s="194" t="s">
        <v>38</v>
      </c>
      <c r="H677" s="189" t="s">
        <v>2749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472</v>
      </c>
    </row>
    <row r="678" spans="1:21" ht="23.25" customHeight="1">
      <c r="A678" s="20" t="str">
        <f>IF(B678="","",B678&amp;"-"&amp;TEXT(COUNTIF(B$2:B678,B678),"000"))</f>
        <v>2026-022</v>
      </c>
      <c r="B678" s="24">
        <v>2026</v>
      </c>
      <c r="C678" s="274" t="s">
        <v>21</v>
      </c>
      <c r="D678" s="64" t="s">
        <v>2750</v>
      </c>
      <c r="E678" s="30" t="s">
        <v>2751</v>
      </c>
      <c r="F678" s="31" t="s">
        <v>23</v>
      </c>
      <c r="G678" s="45" t="s">
        <v>24</v>
      </c>
      <c r="H678" s="189" t="s">
        <v>2752</v>
      </c>
      <c r="I678" s="60">
        <v>46181</v>
      </c>
      <c r="J678" s="60">
        <v>46185</v>
      </c>
      <c r="K678" s="24" t="s">
        <v>35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2753</v>
      </c>
    </row>
    <row r="679" spans="1:21" ht="23.25" customHeight="1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2754</v>
      </c>
      <c r="E679" s="276" t="s">
        <v>2755</v>
      </c>
      <c r="F679" s="29" t="s">
        <v>62</v>
      </c>
      <c r="G679" s="179" t="s">
        <v>2690</v>
      </c>
      <c r="H679" s="182" t="s">
        <v>2756</v>
      </c>
      <c r="I679" s="183">
        <v>46182</v>
      </c>
      <c r="J679" s="183">
        <v>46184</v>
      </c>
      <c r="K679" s="22" t="s">
        <v>35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2692</v>
      </c>
    </row>
    <row r="680" spans="1:21" ht="23.25" customHeight="1">
      <c r="A680" s="20" t="str">
        <f>IF(B680="","",B680&amp;"-"&amp;TEXT(COUNTIF(B$2:B680,B680),"000"))</f>
        <v>2026-024</v>
      </c>
      <c r="B680" s="22">
        <v>2026</v>
      </c>
      <c r="C680" s="228" t="s">
        <v>2757</v>
      </c>
      <c r="D680" s="70" t="s">
        <v>2744</v>
      </c>
      <c r="E680" s="65" t="s">
        <v>2758</v>
      </c>
      <c r="F680" s="29" t="s">
        <v>23</v>
      </c>
      <c r="G680" s="20" t="s">
        <v>2695</v>
      </c>
      <c r="H680" s="68" t="s">
        <v>2759</v>
      </c>
      <c r="I680" s="69">
        <v>46189</v>
      </c>
      <c r="J680" s="69">
        <v>46191</v>
      </c>
      <c r="K680" s="22" t="s">
        <v>35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2697</v>
      </c>
    </row>
    <row r="681" spans="1:21" ht="23.25" customHeight="1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2754</v>
      </c>
      <c r="E681" s="273" t="s">
        <v>2760</v>
      </c>
      <c r="F681" s="31" t="s">
        <v>62</v>
      </c>
      <c r="G681" s="194" t="s">
        <v>2690</v>
      </c>
      <c r="H681" s="189" t="s">
        <v>2761</v>
      </c>
      <c r="I681" s="190">
        <v>46189</v>
      </c>
      <c r="J681" s="190">
        <v>46191</v>
      </c>
      <c r="K681" s="24" t="s">
        <v>35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 t="shared" si="13"/>
        <v>44</v>
      </c>
      <c r="S681" s="186">
        <v>12</v>
      </c>
      <c r="T681" s="21" t="s">
        <v>2692</v>
      </c>
    </row>
    <row r="682" spans="1:21" ht="23.25" customHeight="1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2762</v>
      </c>
      <c r="E682" s="164" t="s">
        <v>2763</v>
      </c>
      <c r="F682" s="29" t="s">
        <v>62</v>
      </c>
      <c r="G682" s="181" t="s">
        <v>2690</v>
      </c>
      <c r="H682" s="182" t="s">
        <v>2764</v>
      </c>
      <c r="I682" s="183">
        <v>46195</v>
      </c>
      <c r="J682" s="183">
        <v>46196</v>
      </c>
      <c r="K682" s="22" t="s">
        <v>26</v>
      </c>
      <c r="L682" s="202"/>
      <c r="M682" s="197">
        <v>4.8600000000000003</v>
      </c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472</v>
      </c>
    </row>
    <row r="683" spans="1:21" ht="23.25" customHeight="1">
      <c r="A683" s="21" t="str">
        <f>IF(B683="","",B683&amp;"-"&amp;TEXT(COUNTIF(B$2:B683,B683),"000"))</f>
        <v>2026-027</v>
      </c>
      <c r="B683" s="24">
        <v>2026</v>
      </c>
      <c r="C683" s="70" t="s">
        <v>2765</v>
      </c>
      <c r="D683" s="186" t="s">
        <v>2766</v>
      </c>
      <c r="E683" s="187" t="s">
        <v>2767</v>
      </c>
      <c r="F683" s="31" t="s">
        <v>62</v>
      </c>
      <c r="G683" s="21" t="s">
        <v>72</v>
      </c>
      <c r="H683" s="189" t="s">
        <v>2768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472</v>
      </c>
    </row>
    <row r="684" spans="1:21" ht="23.25" customHeight="1">
      <c r="A684" s="269" t="str">
        <f>IF(B684="","",B684&amp;"-"&amp;TEXT(COUNTIF(B$2:B684,B684),"000"))</f>
        <v>2026-028</v>
      </c>
      <c r="B684" s="70">
        <v>2026</v>
      </c>
      <c r="C684" s="228" t="s">
        <v>2757</v>
      </c>
      <c r="D684" s="70" t="s">
        <v>2769</v>
      </c>
      <c r="E684" s="164" t="s">
        <v>2770</v>
      </c>
      <c r="F684" s="66" t="s">
        <v>81</v>
      </c>
      <c r="G684" s="67" t="s">
        <v>2727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2771</v>
      </c>
    </row>
    <row r="685" spans="1:21" ht="23.25" customHeight="1">
      <c r="A685" s="209" t="str">
        <f>IF(B685="","",B685&amp;"-"&amp;TEXT(COUNTIF(B$2:B685,B685),"000"))</f>
        <v>2026-029</v>
      </c>
      <c r="B685" s="210">
        <v>2026</v>
      </c>
      <c r="C685" s="219" t="s">
        <v>2765</v>
      </c>
      <c r="D685" s="210" t="s">
        <v>2772</v>
      </c>
      <c r="E685" s="211" t="s">
        <v>2773</v>
      </c>
      <c r="F685" s="212" t="s">
        <v>62</v>
      </c>
      <c r="G685" s="209" t="s">
        <v>72</v>
      </c>
      <c r="H685" s="213" t="s">
        <v>2774</v>
      </c>
      <c r="I685" s="214">
        <v>46321</v>
      </c>
      <c r="J685" s="214">
        <v>46322</v>
      </c>
      <c r="K685" s="24" t="s">
        <v>26</v>
      </c>
      <c r="L685" s="224"/>
      <c r="M685" s="215"/>
      <c r="N685" s="216">
        <v>170</v>
      </c>
      <c r="O685" s="217"/>
      <c r="P685" s="217"/>
      <c r="Q685" s="217"/>
      <c r="R685" s="217">
        <f t="shared" ref="R685:R747" si="14">IF(B685="","",SUM(O685:Q685))</f>
        <v>0</v>
      </c>
      <c r="S685" s="210">
        <v>14</v>
      </c>
      <c r="T685" s="21" t="s">
        <v>472</v>
      </c>
      <c r="U685" s="203"/>
    </row>
    <row r="686" spans="1:21" ht="23.25" customHeight="1">
      <c r="A686" s="218" t="str">
        <f>IF(B686="","",B686&amp;"-"&amp;TEXT(COUNTIF(B$2:B686,B686),"000"))</f>
        <v>2026-030</v>
      </c>
      <c r="B686" s="219">
        <v>2026</v>
      </c>
      <c r="C686" s="219" t="s">
        <v>2765</v>
      </c>
      <c r="D686" s="219" t="s">
        <v>2775</v>
      </c>
      <c r="E686" s="240" t="s">
        <v>2776</v>
      </c>
      <c r="F686" s="221" t="s">
        <v>23</v>
      </c>
      <c r="G686" s="218" t="s">
        <v>68</v>
      </c>
      <c r="H686" s="222" t="s">
        <v>2777</v>
      </c>
      <c r="I686" s="223">
        <v>46223</v>
      </c>
      <c r="J686" s="223">
        <v>46233</v>
      </c>
      <c r="K686" s="219" t="s">
        <v>35</v>
      </c>
      <c r="L686" s="224">
        <v>20061.23</v>
      </c>
      <c r="M686" s="215"/>
      <c r="N686" s="226">
        <v>20</v>
      </c>
      <c r="O686" s="225"/>
      <c r="P686" s="225"/>
      <c r="Q686" s="225"/>
      <c r="R686" s="225">
        <f t="shared" si="14"/>
        <v>0</v>
      </c>
      <c r="S686" s="219">
        <v>24</v>
      </c>
      <c r="T686" s="218" t="s">
        <v>2753</v>
      </c>
      <c r="U686" s="203"/>
    </row>
    <row r="687" spans="1:21" ht="23.25" customHeight="1">
      <c r="A687" s="209" t="str">
        <f>IF(B687="","",B687&amp;"-"&amp;TEXT(COUNTIF(B$2:B687,B687),"000"))</f>
        <v>2026-031</v>
      </c>
      <c r="B687" s="210">
        <v>2026</v>
      </c>
      <c r="C687" s="219" t="s">
        <v>2743</v>
      </c>
      <c r="D687" s="210" t="s">
        <v>2778</v>
      </c>
      <c r="E687" s="211" t="s">
        <v>2779</v>
      </c>
      <c r="F687" s="212" t="s">
        <v>23</v>
      </c>
      <c r="G687" s="209" t="s">
        <v>68</v>
      </c>
      <c r="H687" s="213" t="s">
        <v>2780</v>
      </c>
      <c r="I687" s="214">
        <v>46174</v>
      </c>
      <c r="J687" s="214">
        <v>46387</v>
      </c>
      <c r="K687" s="210" t="s">
        <v>26</v>
      </c>
      <c r="L687" s="224">
        <v>105000</v>
      </c>
      <c r="M687" s="215"/>
      <c r="N687" s="216"/>
      <c r="O687" s="217"/>
      <c r="P687" s="217"/>
      <c r="Q687" s="217"/>
      <c r="R687" s="217">
        <f t="shared" si="14"/>
        <v>0</v>
      </c>
      <c r="S687" s="210">
        <v>25</v>
      </c>
      <c r="T687" t="s">
        <v>2781</v>
      </c>
      <c r="U687" s="203"/>
    </row>
    <row r="688" spans="1:21" ht="23.25" customHeight="1">
      <c r="A688" s="218" t="str">
        <f>IF(B688="","",B688&amp;"-"&amp;TEXT(COUNTIF(B$2:B688,B688),"000"))</f>
        <v>2026-032</v>
      </c>
      <c r="B688" s="219">
        <v>2026</v>
      </c>
      <c r="C688" s="219" t="s">
        <v>2765</v>
      </c>
      <c r="D688" s="219" t="s">
        <v>2782</v>
      </c>
      <c r="E688" s="240" t="s">
        <v>2783</v>
      </c>
      <c r="F688" s="221" t="s">
        <v>81</v>
      </c>
      <c r="G688" s="218" t="s">
        <v>2727</v>
      </c>
      <c r="H688" s="222" t="s">
        <v>2784</v>
      </c>
      <c r="I688" s="223">
        <v>46204</v>
      </c>
      <c r="J688" s="223">
        <v>46206</v>
      </c>
      <c r="K688" s="219" t="s">
        <v>35</v>
      </c>
      <c r="L688" s="224">
        <v>7687.86</v>
      </c>
      <c r="M688" s="215"/>
      <c r="N688" s="226">
        <v>30</v>
      </c>
      <c r="O688" s="225"/>
      <c r="P688" s="225"/>
      <c r="Q688" s="225"/>
      <c r="R688" s="225">
        <f t="shared" si="14"/>
        <v>0</v>
      </c>
      <c r="S688" s="219">
        <v>12</v>
      </c>
      <c r="T688" s="218" t="s">
        <v>2445</v>
      </c>
      <c r="U688" s="203"/>
    </row>
    <row r="689" spans="1:21" ht="23.25" customHeight="1">
      <c r="A689" s="209" t="str">
        <f>IF(B689="","",B689&amp;"-"&amp;TEXT(COUNTIF(B$2:B689,B689),"000"))</f>
        <v>2026-033</v>
      </c>
      <c r="B689" s="210">
        <v>2026</v>
      </c>
      <c r="C689" s="219" t="s">
        <v>21</v>
      </c>
      <c r="D689" s="210" t="s">
        <v>2785</v>
      </c>
      <c r="E689" s="245" t="s">
        <v>2786</v>
      </c>
      <c r="F689" s="212" t="s">
        <v>23</v>
      </c>
      <c r="G689" s="209" t="s">
        <v>2711</v>
      </c>
      <c r="H689" s="247" t="s">
        <v>2787</v>
      </c>
      <c r="I689" s="214">
        <v>46154</v>
      </c>
      <c r="J689" s="214">
        <v>46156</v>
      </c>
      <c r="K689" s="210" t="s">
        <v>35</v>
      </c>
      <c r="L689" s="26">
        <v>6497.28</v>
      </c>
      <c r="M689" s="215">
        <v>4.88</v>
      </c>
      <c r="N689" s="216">
        <v>20</v>
      </c>
      <c r="O689" s="217">
        <v>22</v>
      </c>
      <c r="P689" s="217">
        <v>0</v>
      </c>
      <c r="Q689" s="217">
        <v>0</v>
      </c>
      <c r="R689" s="217">
        <f t="shared" si="14"/>
        <v>22</v>
      </c>
      <c r="S689" s="210">
        <v>8</v>
      </c>
      <c r="T689" s="105" t="s">
        <v>2731</v>
      </c>
      <c r="U689" s="203"/>
    </row>
    <row r="690" spans="1:21" ht="23.25" customHeight="1">
      <c r="A690" s="218" t="str">
        <f>IF(B690="","",B690&amp;"-"&amp;TEXT(COUNTIF(B$2:B690,B690),"000"))</f>
        <v>2026-034</v>
      </c>
      <c r="B690" s="219">
        <v>2026</v>
      </c>
      <c r="C690" s="219" t="s">
        <v>21</v>
      </c>
      <c r="D690" s="219" t="s">
        <v>2785</v>
      </c>
      <c r="E690" s="246" t="s">
        <v>2788</v>
      </c>
      <c r="F690" s="221" t="s">
        <v>23</v>
      </c>
      <c r="G690" s="218" t="s">
        <v>2711</v>
      </c>
      <c r="H690" s="248" t="s">
        <v>2789</v>
      </c>
      <c r="I690" s="223">
        <v>46196</v>
      </c>
      <c r="J690" s="223">
        <v>46198</v>
      </c>
      <c r="K690" s="219" t="s">
        <v>35</v>
      </c>
      <c r="L690" s="26">
        <v>6497.28</v>
      </c>
      <c r="M690" s="215"/>
      <c r="N690" s="226">
        <v>20</v>
      </c>
      <c r="O690" s="225">
        <v>24</v>
      </c>
      <c r="P690" s="225">
        <v>0</v>
      </c>
      <c r="Q690" s="225">
        <v>0</v>
      </c>
      <c r="R690" s="225">
        <f t="shared" si="14"/>
        <v>24</v>
      </c>
      <c r="S690" s="219">
        <v>8</v>
      </c>
      <c r="T690" s="104" t="s">
        <v>2731</v>
      </c>
      <c r="U690" s="203"/>
    </row>
    <row r="691" spans="1:21" ht="23.25" customHeight="1">
      <c r="A691" s="209" t="str">
        <f>IF(B691="","",B691&amp;"-"&amp;TEXT(COUNTIF(B$2:B691,B691),"000"))</f>
        <v>2026-035</v>
      </c>
      <c r="B691" s="210">
        <v>2026</v>
      </c>
      <c r="C691" s="219" t="s">
        <v>21</v>
      </c>
      <c r="D691" s="210" t="s">
        <v>2790</v>
      </c>
      <c r="E691" s="245" t="s">
        <v>2669</v>
      </c>
      <c r="F691" s="212" t="s">
        <v>23</v>
      </c>
      <c r="G691" s="209" t="s">
        <v>38</v>
      </c>
      <c r="H691" s="213" t="s">
        <v>2791</v>
      </c>
      <c r="I691" s="214">
        <v>46160</v>
      </c>
      <c r="J691" s="214">
        <v>46167</v>
      </c>
      <c r="K691" s="210" t="s">
        <v>35</v>
      </c>
      <c r="L691" s="224">
        <v>12221.73</v>
      </c>
      <c r="M691" s="215">
        <v>4.93</v>
      </c>
      <c r="N691" s="216">
        <v>20</v>
      </c>
      <c r="O691" s="217">
        <v>21</v>
      </c>
      <c r="P691" s="217">
        <v>0</v>
      </c>
      <c r="Q691" s="217">
        <v>0</v>
      </c>
      <c r="R691" s="217">
        <f t="shared" si="14"/>
        <v>21</v>
      </c>
      <c r="S691" s="210">
        <v>16</v>
      </c>
      <c r="T691" s="209" t="s">
        <v>1785</v>
      </c>
      <c r="U691" s="203"/>
    </row>
    <row r="692" spans="1:21" ht="23.25" customHeight="1">
      <c r="A692" s="218" t="str">
        <f>IF(B692="","",B692&amp;"-"&amp;TEXT(COUNTIF(B$2:B692,B692),"000"))</f>
        <v>2026-036</v>
      </c>
      <c r="B692" s="219">
        <v>2026</v>
      </c>
      <c r="C692" s="219" t="s">
        <v>21</v>
      </c>
      <c r="D692" s="219" t="s">
        <v>2792</v>
      </c>
      <c r="E692" s="246" t="s">
        <v>2793</v>
      </c>
      <c r="F692" s="221" t="s">
        <v>23</v>
      </c>
      <c r="G692" s="218" t="s">
        <v>364</v>
      </c>
      <c r="H692" s="222" t="s">
        <v>2794</v>
      </c>
      <c r="I692" s="223">
        <v>46140</v>
      </c>
      <c r="J692" s="223">
        <v>46147</v>
      </c>
      <c r="K692" s="219" t="s">
        <v>35</v>
      </c>
      <c r="L692" s="224">
        <v>0</v>
      </c>
      <c r="M692" s="215">
        <v>4.9400000000000004</v>
      </c>
      <c r="N692" s="226">
        <v>30</v>
      </c>
      <c r="O692" s="225">
        <v>30</v>
      </c>
      <c r="P692" s="225">
        <v>0</v>
      </c>
      <c r="Q692" s="225">
        <v>0</v>
      </c>
      <c r="R692" s="225">
        <f t="shared" si="14"/>
        <v>30</v>
      </c>
      <c r="S692" s="219">
        <v>20</v>
      </c>
      <c r="T692" s="218" t="s">
        <v>472</v>
      </c>
      <c r="U692" s="203"/>
    </row>
    <row r="693" spans="1:21" ht="23.25" customHeight="1">
      <c r="A693" s="209" t="str">
        <f>IF(B693="","",B693&amp;"-"&amp;TEXT(COUNTIF(B$2:B693,B693),"000"))</f>
        <v>2026-037</v>
      </c>
      <c r="B693" s="210">
        <v>2026</v>
      </c>
      <c r="C693" s="219" t="s">
        <v>21</v>
      </c>
      <c r="D693" s="210" t="s">
        <v>2795</v>
      </c>
      <c r="E693" s="245" t="s">
        <v>2796</v>
      </c>
      <c r="F693" s="212" t="s">
        <v>23</v>
      </c>
      <c r="G693" s="209" t="s">
        <v>24</v>
      </c>
      <c r="H693" s="213" t="s">
        <v>2797</v>
      </c>
      <c r="I693" s="214">
        <v>46148</v>
      </c>
      <c r="J693" s="214">
        <v>46150</v>
      </c>
      <c r="K693" s="210" t="s">
        <v>35</v>
      </c>
      <c r="L693" s="224">
        <v>9454.4</v>
      </c>
      <c r="M693" s="215">
        <v>4.9400000000000004</v>
      </c>
      <c r="N693" s="216">
        <v>30</v>
      </c>
      <c r="O693" s="217">
        <v>30</v>
      </c>
      <c r="P693" s="217">
        <v>0</v>
      </c>
      <c r="Q693" s="217">
        <v>0</v>
      </c>
      <c r="R693" s="217">
        <f t="shared" si="14"/>
        <v>30</v>
      </c>
      <c r="S693" s="210">
        <v>12</v>
      </c>
      <c r="T693" s="209" t="s">
        <v>2798</v>
      </c>
      <c r="U693" s="203"/>
    </row>
    <row r="694" spans="1:21" ht="23.25" customHeight="1">
      <c r="A694" s="218" t="str">
        <f>IF(B694="","",B694&amp;"-"&amp;TEXT(COUNTIF(B$2:B694,B694),"000"))</f>
        <v>2026-038</v>
      </c>
      <c r="B694" s="219">
        <v>2026</v>
      </c>
      <c r="C694" s="219" t="s">
        <v>2765</v>
      </c>
      <c r="D694" s="219" t="s">
        <v>2799</v>
      </c>
      <c r="E694" s="220" t="s">
        <v>2800</v>
      </c>
      <c r="F694" s="221" t="s">
        <v>62</v>
      </c>
      <c r="G694" s="218" t="s">
        <v>2690</v>
      </c>
      <c r="H694" s="222" t="s">
        <v>2801</v>
      </c>
      <c r="I694" s="223">
        <v>46157</v>
      </c>
      <c r="J694" s="223">
        <v>46387</v>
      </c>
      <c r="K694" s="219" t="s">
        <v>35</v>
      </c>
      <c r="L694" s="224"/>
      <c r="M694" s="215"/>
      <c r="N694" s="226"/>
      <c r="O694" s="225"/>
      <c r="P694" s="225"/>
      <c r="Q694" s="225"/>
      <c r="R694" s="225">
        <f t="shared" si="14"/>
        <v>0</v>
      </c>
      <c r="S694" s="219">
        <v>85</v>
      </c>
      <c r="T694" s="218" t="s">
        <v>2692</v>
      </c>
      <c r="U694" s="203"/>
    </row>
    <row r="695" spans="1:21" ht="23.25" customHeight="1">
      <c r="A695" s="209" t="str">
        <f>IF(B695="","",B695&amp;"-"&amp;TEXT(COUNTIF(B$2:B695,B695),"000"))</f>
        <v>2026-039</v>
      </c>
      <c r="B695" s="210">
        <v>2026</v>
      </c>
      <c r="C695" s="219" t="s">
        <v>2765</v>
      </c>
      <c r="D695" s="210" t="s">
        <v>2802</v>
      </c>
      <c r="E695" s="211" t="s">
        <v>2803</v>
      </c>
      <c r="F695" s="212" t="s">
        <v>81</v>
      </c>
      <c r="G695" s="261" t="s">
        <v>2727</v>
      </c>
      <c r="H695" s="213" t="s">
        <v>2804</v>
      </c>
      <c r="I695" s="214">
        <v>46223</v>
      </c>
      <c r="J695" s="214">
        <v>46227</v>
      </c>
      <c r="K695" s="210" t="s">
        <v>35</v>
      </c>
      <c r="L695" s="224"/>
      <c r="M695" s="215"/>
      <c r="N695" s="216"/>
      <c r="O695" s="217"/>
      <c r="P695" s="217"/>
      <c r="Q695" s="217"/>
      <c r="R695" s="217">
        <f t="shared" si="14"/>
        <v>0</v>
      </c>
      <c r="S695" s="210">
        <v>20</v>
      </c>
      <c r="T695" s="209" t="s">
        <v>418</v>
      </c>
      <c r="U695" s="203"/>
    </row>
    <row r="696" spans="1:21" ht="23.25" customHeight="1">
      <c r="A696" s="218" t="str">
        <f>IF(B696="","",B696&amp;"-"&amp;TEXT(COUNTIF(B$2:B696,B696),"000"))</f>
        <v>2026-040</v>
      </c>
      <c r="B696" s="219">
        <v>2026</v>
      </c>
      <c r="C696" s="219" t="s">
        <v>21</v>
      </c>
      <c r="D696" s="219" t="s">
        <v>2805</v>
      </c>
      <c r="E696" s="220" t="s">
        <v>2806</v>
      </c>
      <c r="F696" s="221" t="s">
        <v>81</v>
      </c>
      <c r="G696" s="270" t="s">
        <v>2727</v>
      </c>
      <c r="H696" s="222" t="s">
        <v>2807</v>
      </c>
      <c r="I696" s="223">
        <v>46167</v>
      </c>
      <c r="J696" s="223">
        <v>46171</v>
      </c>
      <c r="K696" s="219" t="s">
        <v>35</v>
      </c>
      <c r="L696" s="224"/>
      <c r="M696" s="215"/>
      <c r="N696" s="226">
        <v>25</v>
      </c>
      <c r="O696" s="225"/>
      <c r="P696" s="225"/>
      <c r="Q696" s="225">
        <v>25</v>
      </c>
      <c r="R696" s="225">
        <f t="shared" si="14"/>
        <v>25</v>
      </c>
      <c r="S696" s="219">
        <v>4</v>
      </c>
      <c r="T696" s="218" t="s">
        <v>1023</v>
      </c>
      <c r="U696" s="203"/>
    </row>
    <row r="697" spans="1:21" ht="23.25" customHeight="1">
      <c r="A697" s="209" t="str">
        <f>IF(B697="","",B697&amp;"-"&amp;TEXT(COUNTIF(B$2:B697,B697),"000"))</f>
        <v>2026-041</v>
      </c>
      <c r="B697" s="210">
        <v>2026</v>
      </c>
      <c r="C697" s="219" t="s">
        <v>21</v>
      </c>
      <c r="D697" s="210" t="s">
        <v>2808</v>
      </c>
      <c r="E697" s="211" t="s">
        <v>2809</v>
      </c>
      <c r="F697" s="212" t="s">
        <v>81</v>
      </c>
      <c r="G697" s="261" t="s">
        <v>2727</v>
      </c>
      <c r="H697" s="213" t="s">
        <v>2810</v>
      </c>
      <c r="I697" s="214">
        <v>46148</v>
      </c>
      <c r="J697" s="214">
        <v>46148</v>
      </c>
      <c r="K697" s="210" t="s">
        <v>35</v>
      </c>
      <c r="L697" s="224">
        <v>2342.36</v>
      </c>
      <c r="M697" s="215">
        <v>4.9000000000000004</v>
      </c>
      <c r="N697" s="216">
        <v>50</v>
      </c>
      <c r="O697" s="217"/>
      <c r="P697" s="217"/>
      <c r="Q697" s="217">
        <v>50</v>
      </c>
      <c r="R697" s="217">
        <f t="shared" si="14"/>
        <v>50</v>
      </c>
      <c r="S697" s="210">
        <v>3</v>
      </c>
      <c r="T697" s="209" t="s">
        <v>2811</v>
      </c>
      <c r="U697" s="203"/>
    </row>
    <row r="698" spans="1:21" ht="23.25" customHeight="1">
      <c r="A698" s="218" t="str">
        <f>IF(B698="","",B698&amp;"-"&amp;TEXT(COUNTIF(B$2:B698,B698),"000"))</f>
        <v>2026-042</v>
      </c>
      <c r="B698" s="219">
        <v>2026</v>
      </c>
      <c r="C698" s="219" t="s">
        <v>2765</v>
      </c>
      <c r="D698" s="219" t="s">
        <v>2812</v>
      </c>
      <c r="E698" s="220" t="s">
        <v>2813</v>
      </c>
      <c r="F698" s="221" t="s">
        <v>23</v>
      </c>
      <c r="G698" s="218" t="s">
        <v>24</v>
      </c>
      <c r="H698" s="222" t="s">
        <v>2801</v>
      </c>
      <c r="I698" s="223">
        <v>46204</v>
      </c>
      <c r="J698" s="223">
        <v>46387</v>
      </c>
      <c r="K698" s="219" t="s">
        <v>35</v>
      </c>
      <c r="L698" s="224"/>
      <c r="M698" s="215"/>
      <c r="N698" s="226"/>
      <c r="O698" s="225"/>
      <c r="P698" s="225"/>
      <c r="Q698" s="225"/>
      <c r="R698" s="225">
        <f t="shared" si="14"/>
        <v>0</v>
      </c>
      <c r="S698" s="219">
        <v>16</v>
      </c>
      <c r="T698" s="218" t="s">
        <v>549</v>
      </c>
      <c r="U698" s="203"/>
    </row>
    <row r="699" spans="1:21" ht="23.25" customHeight="1">
      <c r="A699" s="209" t="str">
        <f>IF(B699="","",B699&amp;"-"&amp;TEXT(COUNTIF(B$2:B699,B699),"000"))</f>
        <v>2026-043</v>
      </c>
      <c r="B699" s="210">
        <v>2026</v>
      </c>
      <c r="C699" s="219" t="s">
        <v>2765</v>
      </c>
      <c r="D699" s="210" t="s">
        <v>2814</v>
      </c>
      <c r="E699" s="211" t="s">
        <v>2815</v>
      </c>
      <c r="F699" s="212" t="s">
        <v>23</v>
      </c>
      <c r="G699" s="209" t="s">
        <v>68</v>
      </c>
      <c r="H699" s="213" t="s">
        <v>2816</v>
      </c>
      <c r="I699" s="214">
        <v>46244</v>
      </c>
      <c r="J699" s="214">
        <v>46245</v>
      </c>
      <c r="K699" s="210" t="s">
        <v>26</v>
      </c>
      <c r="L699" s="224">
        <v>13000</v>
      </c>
      <c r="M699" s="215"/>
      <c r="N699" s="216"/>
      <c r="O699" s="217"/>
      <c r="P699" s="217"/>
      <c r="Q699" s="217"/>
      <c r="R699" s="217">
        <f t="shared" si="14"/>
        <v>0</v>
      </c>
      <c r="S699" s="210">
        <v>10</v>
      </c>
      <c r="T699" s="209" t="s">
        <v>2817</v>
      </c>
      <c r="U699" s="203"/>
    </row>
    <row r="700" spans="1:21" ht="23.25" customHeight="1">
      <c r="A700" s="218" t="str">
        <f>IF(B700="","",B700&amp;"-"&amp;TEXT(COUNTIF(B$2:B700,B700),"000"))</f>
        <v>2026-044</v>
      </c>
      <c r="B700" s="219">
        <v>2026</v>
      </c>
      <c r="C700" s="219" t="s">
        <v>2765</v>
      </c>
      <c r="D700" s="219" t="s">
        <v>2818</v>
      </c>
      <c r="E700" s="220" t="s">
        <v>2819</v>
      </c>
      <c r="F700" s="221" t="s">
        <v>62</v>
      </c>
      <c r="G700" s="218" t="s">
        <v>72</v>
      </c>
      <c r="H700" s="222" t="s">
        <v>2820</v>
      </c>
      <c r="I700" s="223">
        <v>46223</v>
      </c>
      <c r="J700" s="223">
        <v>46223</v>
      </c>
      <c r="K700" s="219" t="s">
        <v>35</v>
      </c>
      <c r="L700" s="224">
        <v>0</v>
      </c>
      <c r="M700" s="215"/>
      <c r="N700" s="226"/>
      <c r="O700" s="225"/>
      <c r="P700" s="225"/>
      <c r="Q700" s="225"/>
      <c r="R700" s="225">
        <f t="shared" si="14"/>
        <v>0</v>
      </c>
      <c r="S700" s="219">
        <v>4</v>
      </c>
      <c r="T700" s="218" t="s">
        <v>472</v>
      </c>
      <c r="U700" s="203"/>
    </row>
    <row r="701" spans="1:21" ht="23.25" customHeight="1">
      <c r="A701" s="209" t="str">
        <f>IF(B701="","",B701&amp;"-"&amp;TEXT(COUNTIF(B$2:B701,B701),"000"))</f>
        <v>2026-045</v>
      </c>
      <c r="B701" s="210">
        <v>2026</v>
      </c>
      <c r="C701" s="219" t="s">
        <v>2765</v>
      </c>
      <c r="D701" s="210" t="s">
        <v>2821</v>
      </c>
      <c r="E701" s="211" t="s">
        <v>2822</v>
      </c>
      <c r="F701" s="212" t="s">
        <v>62</v>
      </c>
      <c r="G701" s="209" t="s">
        <v>72</v>
      </c>
      <c r="H701" s="213" t="s">
        <v>2823</v>
      </c>
      <c r="I701" s="214">
        <v>46237</v>
      </c>
      <c r="J701" s="214">
        <v>46238</v>
      </c>
      <c r="K701" s="210" t="s">
        <v>35</v>
      </c>
      <c r="L701" s="224"/>
      <c r="M701" s="215"/>
      <c r="N701" s="216">
        <v>400</v>
      </c>
      <c r="O701" s="217"/>
      <c r="P701" s="217"/>
      <c r="Q701" s="217"/>
      <c r="R701" s="217">
        <f t="shared" si="14"/>
        <v>0</v>
      </c>
      <c r="S701" s="210">
        <v>8</v>
      </c>
      <c r="T701" s="209" t="s">
        <v>2824</v>
      </c>
      <c r="U701" s="203"/>
    </row>
    <row r="702" spans="1:21" ht="23.25" customHeight="1">
      <c r="A702" s="218" t="str">
        <f>IF(B702="","",B702&amp;"-"&amp;TEXT(COUNTIF(B$2:B702,B702),"000"))</f>
        <v>2026-046</v>
      </c>
      <c r="B702" s="219">
        <v>2026</v>
      </c>
      <c r="C702" s="219" t="s">
        <v>21</v>
      </c>
      <c r="D702" s="219" t="s">
        <v>2825</v>
      </c>
      <c r="E702" s="220" t="s">
        <v>2826</v>
      </c>
      <c r="F702" s="221" t="s">
        <v>23</v>
      </c>
      <c r="G702" s="218" t="s">
        <v>24</v>
      </c>
      <c r="H702" s="222" t="s">
        <v>2759</v>
      </c>
      <c r="I702" s="223">
        <v>46189</v>
      </c>
      <c r="J702" s="223">
        <v>46191</v>
      </c>
      <c r="K702" s="219" t="s">
        <v>35</v>
      </c>
      <c r="L702" s="224">
        <v>9746.07</v>
      </c>
      <c r="M702" s="215">
        <v>4.67</v>
      </c>
      <c r="N702" s="226">
        <v>20</v>
      </c>
      <c r="O702" s="225">
        <v>20</v>
      </c>
      <c r="P702" s="225">
        <v>0</v>
      </c>
      <c r="Q702" s="225">
        <v>0</v>
      </c>
      <c r="R702" s="225">
        <f t="shared" si="14"/>
        <v>20</v>
      </c>
      <c r="S702" s="219">
        <v>12</v>
      </c>
      <c r="T702" s="218" t="s">
        <v>2827</v>
      </c>
      <c r="U702" s="203"/>
    </row>
    <row r="703" spans="1:21" ht="23.25" customHeight="1">
      <c r="A703" s="209" t="str">
        <f>IF(B703="","",B703&amp;"-"&amp;TEXT(COUNTIF(B$2:B703,B703),"000"))</f>
        <v>2026-047</v>
      </c>
      <c r="B703" s="210">
        <v>2026</v>
      </c>
      <c r="C703" s="219" t="s">
        <v>2765</v>
      </c>
      <c r="D703" s="210" t="s">
        <v>2828</v>
      </c>
      <c r="E703" s="211" t="s">
        <v>2829</v>
      </c>
      <c r="F703" s="212" t="s">
        <v>62</v>
      </c>
      <c r="G703" s="209" t="s">
        <v>72</v>
      </c>
      <c r="H703" s="213" t="s">
        <v>2801</v>
      </c>
      <c r="I703" s="213" t="s">
        <v>2830</v>
      </c>
      <c r="J703" s="213" t="s">
        <v>2831</v>
      </c>
      <c r="K703" s="210" t="s">
        <v>35</v>
      </c>
      <c r="L703" s="224"/>
      <c r="M703" s="215"/>
      <c r="N703" s="216"/>
      <c r="O703" s="217"/>
      <c r="P703" s="217"/>
      <c r="Q703" s="217"/>
      <c r="R703" s="217">
        <f t="shared" si="14"/>
        <v>0</v>
      </c>
      <c r="S703" s="210">
        <v>17.45</v>
      </c>
      <c r="T703" s="209" t="s">
        <v>2832</v>
      </c>
      <c r="U703" s="203"/>
    </row>
    <row r="704" spans="1:21" ht="23.25" customHeight="1">
      <c r="A704" s="218" t="str">
        <f>IF(B704="","",B704&amp;"-"&amp;TEXT(COUNTIF(B$2:B704,B704),"000"))</f>
        <v>2026-048</v>
      </c>
      <c r="B704" s="219">
        <v>2026</v>
      </c>
      <c r="C704" s="219" t="s">
        <v>2664</v>
      </c>
      <c r="D704" s="219" t="s">
        <v>2833</v>
      </c>
      <c r="E704" s="220" t="s">
        <v>2834</v>
      </c>
      <c r="F704" s="221" t="s">
        <v>62</v>
      </c>
      <c r="G704" s="218" t="s">
        <v>72</v>
      </c>
      <c r="H704" s="222" t="s">
        <v>2835</v>
      </c>
      <c r="I704" s="223">
        <v>46203</v>
      </c>
      <c r="J704" s="223">
        <v>46205</v>
      </c>
      <c r="K704" s="219" t="s">
        <v>35</v>
      </c>
      <c r="L704" s="224"/>
      <c r="M704" s="215"/>
      <c r="N704" s="226">
        <v>20</v>
      </c>
      <c r="O704" s="225"/>
      <c r="P704" s="225"/>
      <c r="Q704" s="225"/>
      <c r="R704" s="225">
        <f t="shared" si="14"/>
        <v>0</v>
      </c>
      <c r="S704" s="219">
        <v>8</v>
      </c>
      <c r="T704" s="104" t="s">
        <v>2731</v>
      </c>
      <c r="U704" s="203"/>
    </row>
    <row r="705" spans="1:21" ht="23.25" customHeight="1">
      <c r="A705" s="209" t="str">
        <f>IF(B705="","",B705&amp;"-"&amp;TEXT(COUNTIF(B$2:B705,B705),"000"))</f>
        <v/>
      </c>
      <c r="B705" s="210"/>
      <c r="C705" s="219"/>
      <c r="D705" s="210"/>
      <c r="E705" s="211"/>
      <c r="F705" s="212"/>
      <c r="G705" s="209"/>
      <c r="H705" s="213"/>
      <c r="I705" s="214"/>
      <c r="J705" s="214"/>
      <c r="K705" s="210"/>
      <c r="L705" s="224"/>
      <c r="M705" s="215"/>
      <c r="N705" s="216"/>
      <c r="O705" s="217"/>
      <c r="P705" s="217"/>
      <c r="Q705" s="217"/>
      <c r="R705" s="217" t="str">
        <f t="shared" si="14"/>
        <v/>
      </c>
      <c r="S705" s="210"/>
      <c r="T705" s="209"/>
      <c r="U705" s="203"/>
    </row>
    <row r="706" spans="1:21" ht="23.25" customHeight="1">
      <c r="A706" s="218" t="str">
        <f>IF(B706="","",B706&amp;"-"&amp;TEXT(COUNTIF(B$2:B706,B706),"000"))</f>
        <v/>
      </c>
      <c r="B706" s="219"/>
      <c r="C706" s="219"/>
      <c r="D706" s="219"/>
      <c r="E706" s="220"/>
      <c r="F706" s="221"/>
      <c r="G706" s="218"/>
      <c r="H706" s="222"/>
      <c r="I706" s="223"/>
      <c r="J706" s="223"/>
      <c r="K706" s="219"/>
      <c r="L706" s="224"/>
      <c r="M706" s="215"/>
      <c r="N706" s="226"/>
      <c r="O706" s="225"/>
      <c r="P706" s="225"/>
      <c r="Q706" s="225"/>
      <c r="R706" s="225" t="str">
        <f t="shared" si="14"/>
        <v/>
      </c>
      <c r="S706" s="219"/>
      <c r="T706" s="218"/>
      <c r="U706" s="203"/>
    </row>
    <row r="707" spans="1:21" ht="23.25" customHeight="1">
      <c r="A707" s="209" t="str">
        <f>IF(B707="","",B707&amp;"-"&amp;TEXT(COUNTIF(B$2:B707,B707),"000"))</f>
        <v/>
      </c>
      <c r="B707" s="210"/>
      <c r="C707" s="219"/>
      <c r="D707" s="210"/>
      <c r="E707" s="211"/>
      <c r="F707" s="212"/>
      <c r="G707" s="209"/>
      <c r="H707" s="213"/>
      <c r="I707" s="214"/>
      <c r="J707" s="214"/>
      <c r="K707" s="210"/>
      <c r="L707" s="224"/>
      <c r="M707" s="215"/>
      <c r="N707" s="216"/>
      <c r="O707" s="217"/>
      <c r="P707" s="217"/>
      <c r="Q707" s="217"/>
      <c r="R707" s="217" t="str">
        <f t="shared" si="14"/>
        <v/>
      </c>
      <c r="S707" s="210"/>
      <c r="T707" s="209"/>
      <c r="U707" s="203"/>
    </row>
    <row r="708" spans="1:21" ht="23.25" customHeight="1">
      <c r="A708" s="218" t="str">
        <f>IF(B708="","",B708&amp;"-"&amp;TEXT(COUNTIF(B$2:B708,B708),"000"))</f>
        <v/>
      </c>
      <c r="B708" s="219"/>
      <c r="C708" s="219"/>
      <c r="D708" s="219"/>
      <c r="E708" s="220"/>
      <c r="F708" s="221"/>
      <c r="G708" s="218"/>
      <c r="H708" s="222"/>
      <c r="I708" s="223"/>
      <c r="J708" s="223"/>
      <c r="K708" s="219"/>
      <c r="L708" s="224"/>
      <c r="M708" s="215"/>
      <c r="N708" s="226"/>
      <c r="O708" s="225"/>
      <c r="P708" s="225"/>
      <c r="Q708" s="225"/>
      <c r="R708" s="225" t="str">
        <f t="shared" si="14"/>
        <v/>
      </c>
      <c r="S708" s="219"/>
      <c r="T708" s="218"/>
      <c r="U708" s="203"/>
    </row>
    <row r="709" spans="1:21" ht="23.25" customHeight="1">
      <c r="A709" s="209" t="str">
        <f>IF(B709="","",B709&amp;"-"&amp;TEXT(COUNTIF(B$2:B709,B709),"000"))</f>
        <v/>
      </c>
      <c r="B709" s="210"/>
      <c r="C709" s="219"/>
      <c r="D709" s="210"/>
      <c r="E709" s="211"/>
      <c r="F709" s="212"/>
      <c r="G709" s="209"/>
      <c r="H709" s="213"/>
      <c r="I709" s="214"/>
      <c r="J709" s="214"/>
      <c r="K709" s="210"/>
      <c r="L709" s="224"/>
      <c r="M709" s="215"/>
      <c r="N709" s="216"/>
      <c r="O709" s="217"/>
      <c r="P709" s="217"/>
      <c r="Q709" s="217"/>
      <c r="R709" s="217" t="str">
        <f t="shared" si="14"/>
        <v/>
      </c>
      <c r="S709" s="210"/>
      <c r="T709" s="209"/>
      <c r="U709" s="203"/>
    </row>
    <row r="710" spans="1:21" ht="23.25" customHeight="1">
      <c r="A710" s="218" t="str">
        <f>IF(B710="","",B710&amp;"-"&amp;TEXT(COUNTIF(B$2:B710,B710),"000"))</f>
        <v/>
      </c>
      <c r="B710" s="219"/>
      <c r="C710" s="219"/>
      <c r="D710" s="219"/>
      <c r="E710" s="220"/>
      <c r="F710" s="221"/>
      <c r="G710" s="218"/>
      <c r="H710" s="222"/>
      <c r="I710" s="223"/>
      <c r="J710" s="223"/>
      <c r="K710" s="219"/>
      <c r="L710" s="224"/>
      <c r="M710" s="215"/>
      <c r="N710" s="226"/>
      <c r="O710" s="225"/>
      <c r="P710" s="225"/>
      <c r="Q710" s="225"/>
      <c r="R710" s="225" t="str">
        <f t="shared" si="14"/>
        <v/>
      </c>
      <c r="S710" s="219"/>
      <c r="T710" s="218"/>
      <c r="U710" s="203"/>
    </row>
    <row r="711" spans="1:21" ht="23.25" customHeight="1">
      <c r="A711" s="209" t="str">
        <f>IF(B711="","",B711&amp;"-"&amp;TEXT(COUNTIF(B$2:B711,B711),"000"))</f>
        <v/>
      </c>
      <c r="B711" s="210"/>
      <c r="C711" s="219"/>
      <c r="D711" s="210"/>
      <c r="E711" s="211"/>
      <c r="F711" s="212"/>
      <c r="G711" s="209"/>
      <c r="H711" s="213"/>
      <c r="I711" s="214"/>
      <c r="J711" s="214"/>
      <c r="K711" s="210"/>
      <c r="L711" s="224"/>
      <c r="M711" s="215"/>
      <c r="N711" s="216"/>
      <c r="O711" s="217"/>
      <c r="P711" s="217"/>
      <c r="Q711" s="217"/>
      <c r="R711" s="217" t="str">
        <f t="shared" si="14"/>
        <v/>
      </c>
      <c r="S711" s="210"/>
      <c r="T711" s="209"/>
      <c r="U711" s="203"/>
    </row>
    <row r="712" spans="1:21" ht="23.25" customHeight="1">
      <c r="A712" s="218" t="str">
        <f>IF(B712="","",B712&amp;"-"&amp;TEXT(COUNTIF(B$2:B712,B712),"000"))</f>
        <v/>
      </c>
      <c r="B712" s="219"/>
      <c r="C712" s="219"/>
      <c r="D712" s="219"/>
      <c r="E712" s="220"/>
      <c r="F712" s="221"/>
      <c r="G712" s="218"/>
      <c r="H712" s="222"/>
      <c r="I712" s="223"/>
      <c r="J712" s="223"/>
      <c r="K712" s="219"/>
      <c r="L712" s="224"/>
      <c r="M712" s="215"/>
      <c r="N712" s="226"/>
      <c r="O712" s="225"/>
      <c r="P712" s="225"/>
      <c r="Q712" s="225"/>
      <c r="R712" s="225" t="str">
        <f t="shared" si="14"/>
        <v/>
      </c>
      <c r="S712" s="219"/>
      <c r="T712" s="218"/>
      <c r="U712" s="203"/>
    </row>
    <row r="713" spans="1:21" ht="23.25" customHeight="1">
      <c r="A713" s="209" t="str">
        <f>IF(B713="","",B713&amp;"-"&amp;TEXT(COUNTIF(B$2:B713,B713),"000"))</f>
        <v/>
      </c>
      <c r="B713" s="210"/>
      <c r="C713" s="219"/>
      <c r="D713" s="210"/>
      <c r="E713" s="211"/>
      <c r="F713" s="212"/>
      <c r="G713" s="209"/>
      <c r="H713" s="213"/>
      <c r="I713" s="214"/>
      <c r="J713" s="214"/>
      <c r="K713" s="210"/>
      <c r="L713" s="224"/>
      <c r="M713" s="215"/>
      <c r="N713" s="216"/>
      <c r="O713" s="217"/>
      <c r="P713" s="217"/>
      <c r="Q713" s="217"/>
      <c r="R713" s="217" t="str">
        <f t="shared" si="14"/>
        <v/>
      </c>
      <c r="S713" s="210"/>
      <c r="T713" s="209"/>
      <c r="U713" s="203"/>
    </row>
    <row r="714" spans="1:21" ht="23.25" customHeight="1">
      <c r="A714" s="218" t="str">
        <f>IF(B714="","",B714&amp;"-"&amp;TEXT(COUNTIF(B$2:B714,B714),"000"))</f>
        <v/>
      </c>
      <c r="B714" s="219"/>
      <c r="C714" s="219"/>
      <c r="D714" s="219"/>
      <c r="E714" s="220"/>
      <c r="F714" s="221"/>
      <c r="G714" s="218"/>
      <c r="H714" s="222"/>
      <c r="I714" s="223"/>
      <c r="J714" s="223"/>
      <c r="K714" s="219"/>
      <c r="L714" s="224"/>
      <c r="M714" s="215"/>
      <c r="N714" s="226"/>
      <c r="O714" s="225"/>
      <c r="P714" s="225"/>
      <c r="Q714" s="225"/>
      <c r="R714" s="225" t="str">
        <f t="shared" si="14"/>
        <v/>
      </c>
      <c r="S714" s="219"/>
      <c r="T714" s="218"/>
      <c r="U714" s="203"/>
    </row>
    <row r="715" spans="1:21" ht="23.25" customHeight="1">
      <c r="A715" s="209" t="str">
        <f>IF(B715="","",B715&amp;"-"&amp;TEXT(COUNTIF(B$2:B715,B715),"000"))</f>
        <v/>
      </c>
      <c r="B715" s="210"/>
      <c r="C715" s="219"/>
      <c r="D715" s="210"/>
      <c r="E715" s="211"/>
      <c r="F715" s="212"/>
      <c r="G715" s="209"/>
      <c r="H715" s="213"/>
      <c r="I715" s="214"/>
      <c r="J715" s="214"/>
      <c r="K715" s="210"/>
      <c r="L715" s="224"/>
      <c r="M715" s="215"/>
      <c r="N715" s="216"/>
      <c r="O715" s="217"/>
      <c r="P715" s="217"/>
      <c r="Q715" s="217"/>
      <c r="R715" s="217" t="str">
        <f t="shared" si="14"/>
        <v/>
      </c>
      <c r="S715" s="210"/>
      <c r="T715" s="209"/>
      <c r="U715" s="203"/>
    </row>
    <row r="716" spans="1:21" ht="23.25" customHeight="1">
      <c r="A716" s="218" t="str">
        <f>IF(B716="","",B716&amp;"-"&amp;TEXT(COUNTIF(B$2:B716,B716),"000"))</f>
        <v/>
      </c>
      <c r="B716" s="219"/>
      <c r="C716" s="219"/>
      <c r="D716" s="219"/>
      <c r="E716" s="220"/>
      <c r="F716" s="221"/>
      <c r="G716" s="218"/>
      <c r="H716" s="222"/>
      <c r="I716" s="223"/>
      <c r="J716" s="223"/>
      <c r="K716" s="219"/>
      <c r="L716" s="224"/>
      <c r="M716" s="215"/>
      <c r="N716" s="226"/>
      <c r="O716" s="225"/>
      <c r="P716" s="225"/>
      <c r="Q716" s="225"/>
      <c r="R716" s="225" t="str">
        <f t="shared" si="14"/>
        <v/>
      </c>
      <c r="S716" s="219"/>
      <c r="T716" s="218"/>
      <c r="U716" s="203"/>
    </row>
    <row r="717" spans="1:21" ht="23.25" customHeight="1">
      <c r="A717" s="209" t="str">
        <f>IF(B717="","",B717&amp;"-"&amp;TEXT(COUNTIF(B$2:B717,B717),"000"))</f>
        <v/>
      </c>
      <c r="B717" s="210"/>
      <c r="C717" s="219"/>
      <c r="D717" s="210"/>
      <c r="E717" s="211"/>
      <c r="F717" s="212"/>
      <c r="G717" s="209"/>
      <c r="H717" s="213"/>
      <c r="I717" s="214"/>
      <c r="J717" s="214"/>
      <c r="K717" s="210"/>
      <c r="L717" s="224"/>
      <c r="M717" s="215"/>
      <c r="N717" s="216"/>
      <c r="O717" s="217"/>
      <c r="P717" s="217"/>
      <c r="Q717" s="217"/>
      <c r="R717" s="217" t="str">
        <f t="shared" si="14"/>
        <v/>
      </c>
      <c r="S717" s="210"/>
      <c r="T717" s="209"/>
      <c r="U717" s="203"/>
    </row>
    <row r="718" spans="1:21" ht="23.25" customHeight="1">
      <c r="A718" s="218" t="str">
        <f>IF(B718="","",B718&amp;"-"&amp;TEXT(COUNTIF(B$2:B718,B718),"000"))</f>
        <v/>
      </c>
      <c r="B718" s="219"/>
      <c r="C718" s="219"/>
      <c r="D718" s="219"/>
      <c r="E718" s="220"/>
      <c r="F718" s="221"/>
      <c r="G718" s="218"/>
      <c r="H718" s="222"/>
      <c r="I718" s="223"/>
      <c r="J718" s="223"/>
      <c r="K718" s="219"/>
      <c r="L718" s="224"/>
      <c r="M718" s="215"/>
      <c r="N718" s="226"/>
      <c r="O718" s="225"/>
      <c r="P718" s="225"/>
      <c r="Q718" s="225"/>
      <c r="R718" s="225" t="str">
        <f t="shared" si="14"/>
        <v/>
      </c>
      <c r="S718" s="219"/>
      <c r="T718" s="218"/>
      <c r="U718" s="203"/>
    </row>
    <row r="719" spans="1:21" ht="23.25" customHeight="1">
      <c r="A719" s="209" t="str">
        <f>IF(B719="","",B719&amp;"-"&amp;TEXT(COUNTIF(B$2:B719,B719),"000"))</f>
        <v/>
      </c>
      <c r="B719" s="210"/>
      <c r="C719" s="219"/>
      <c r="D719" s="210"/>
      <c r="E719" s="211"/>
      <c r="F719" s="212"/>
      <c r="G719" s="209"/>
      <c r="H719" s="213"/>
      <c r="I719" s="214"/>
      <c r="J719" s="214"/>
      <c r="K719" s="210"/>
      <c r="L719" s="224"/>
      <c r="M719" s="215"/>
      <c r="N719" s="216"/>
      <c r="O719" s="217"/>
      <c r="P719" s="217"/>
      <c r="Q719" s="217"/>
      <c r="R719" s="217" t="str">
        <f t="shared" si="14"/>
        <v/>
      </c>
      <c r="S719" s="210"/>
      <c r="T719" s="209"/>
      <c r="U719" s="203"/>
    </row>
    <row r="720" spans="1:21" ht="23.25" customHeight="1">
      <c r="A720" s="218" t="str">
        <f>IF(B720="","",B720&amp;"-"&amp;TEXT(COUNTIF(B$2:B720,B720),"000"))</f>
        <v/>
      </c>
      <c r="B720" s="219"/>
      <c r="C720" s="219"/>
      <c r="D720" s="219"/>
      <c r="E720" s="220"/>
      <c r="F720" s="221"/>
      <c r="G720" s="218"/>
      <c r="H720" s="222"/>
      <c r="I720" s="223"/>
      <c r="J720" s="223"/>
      <c r="K720" s="219"/>
      <c r="L720" s="224"/>
      <c r="M720" s="215"/>
      <c r="N720" s="226"/>
      <c r="O720" s="225"/>
      <c r="P720" s="225"/>
      <c r="Q720" s="225"/>
      <c r="R720" s="225" t="str">
        <f t="shared" si="14"/>
        <v/>
      </c>
      <c r="S720" s="219"/>
      <c r="T720" s="218"/>
      <c r="U720" s="203"/>
    </row>
    <row r="721" spans="1:21" ht="23.25" customHeight="1">
      <c r="A721" s="209" t="str">
        <f>IF(B721="","",B721&amp;"-"&amp;TEXT(COUNTIF(B$2:B721,B721),"000"))</f>
        <v/>
      </c>
      <c r="B721" s="210"/>
      <c r="C721" s="219"/>
      <c r="D721" s="210"/>
      <c r="E721" s="211"/>
      <c r="F721" s="212"/>
      <c r="G721" s="209"/>
      <c r="H721" s="213"/>
      <c r="I721" s="214"/>
      <c r="J721" s="214"/>
      <c r="K721" s="210"/>
      <c r="L721" s="224"/>
      <c r="M721" s="215"/>
      <c r="N721" s="216"/>
      <c r="O721" s="217"/>
      <c r="P721" s="217"/>
      <c r="Q721" s="217"/>
      <c r="R721" s="217" t="str">
        <f t="shared" si="14"/>
        <v/>
      </c>
      <c r="S721" s="210"/>
      <c r="T721" s="209"/>
      <c r="U721" s="203"/>
    </row>
    <row r="722" spans="1:21" ht="23.25" customHeight="1">
      <c r="A722" s="218" t="str">
        <f>IF(B722="","",B722&amp;"-"&amp;TEXT(COUNTIF(B$2:B722,B722),"000"))</f>
        <v/>
      </c>
      <c r="B722" s="219"/>
      <c r="C722" s="219"/>
      <c r="D722" s="219"/>
      <c r="E722" s="220"/>
      <c r="F722" s="221"/>
      <c r="G722" s="218"/>
      <c r="H722" s="222"/>
      <c r="I722" s="223"/>
      <c r="J722" s="223"/>
      <c r="K722" s="219"/>
      <c r="L722" s="224"/>
      <c r="M722" s="215"/>
      <c r="N722" s="226"/>
      <c r="O722" s="225"/>
      <c r="P722" s="225"/>
      <c r="Q722" s="225"/>
      <c r="R722" s="225" t="str">
        <f t="shared" si="14"/>
        <v/>
      </c>
      <c r="S722" s="219"/>
      <c r="T722" s="218"/>
      <c r="U722" s="203"/>
    </row>
    <row r="723" spans="1:21" ht="23.25" customHeight="1">
      <c r="A723" s="209" t="str">
        <f>IF(B723="","",B723&amp;"-"&amp;TEXT(COUNTIF(B$2:B723,B723),"000"))</f>
        <v/>
      </c>
      <c r="B723" s="210"/>
      <c r="C723" s="219"/>
      <c r="D723" s="210"/>
      <c r="E723" s="211"/>
      <c r="F723" s="212"/>
      <c r="G723" s="209"/>
      <c r="H723" s="213"/>
      <c r="I723" s="214"/>
      <c r="J723" s="214"/>
      <c r="K723" s="210"/>
      <c r="L723" s="224"/>
      <c r="M723" s="215"/>
      <c r="N723" s="216"/>
      <c r="O723" s="217"/>
      <c r="P723" s="217"/>
      <c r="Q723" s="217"/>
      <c r="R723" s="217" t="str">
        <f t="shared" si="14"/>
        <v/>
      </c>
      <c r="S723" s="210"/>
      <c r="T723" s="209"/>
      <c r="U723" s="203"/>
    </row>
    <row r="724" spans="1:21" ht="23.25" customHeight="1">
      <c r="A724" s="218" t="str">
        <f>IF(B724="","",B724&amp;"-"&amp;TEXT(COUNTIF(B$2:B724,B724),"000"))</f>
        <v/>
      </c>
      <c r="B724" s="219"/>
      <c r="C724" s="219"/>
      <c r="D724" s="219"/>
      <c r="E724" s="220"/>
      <c r="F724" s="221"/>
      <c r="G724" s="218"/>
      <c r="H724" s="222"/>
      <c r="I724" s="223"/>
      <c r="J724" s="223"/>
      <c r="K724" s="219"/>
      <c r="L724" s="224"/>
      <c r="M724" s="215"/>
      <c r="N724" s="226"/>
      <c r="O724" s="225"/>
      <c r="P724" s="225"/>
      <c r="Q724" s="225"/>
      <c r="R724" s="225" t="str">
        <f t="shared" si="14"/>
        <v/>
      </c>
      <c r="S724" s="219"/>
      <c r="T724" s="218"/>
      <c r="U724" s="203"/>
    </row>
    <row r="725" spans="1:21" ht="23.25" customHeight="1">
      <c r="A725" s="209" t="str">
        <f>IF(B725="","",B725&amp;"-"&amp;TEXT(COUNTIF(B$2:B725,B725),"000"))</f>
        <v/>
      </c>
      <c r="B725" s="210"/>
      <c r="C725" s="219"/>
      <c r="D725" s="210"/>
      <c r="E725" s="211"/>
      <c r="F725" s="212"/>
      <c r="G725" s="209"/>
      <c r="H725" s="213"/>
      <c r="I725" s="214"/>
      <c r="J725" s="214"/>
      <c r="K725" s="210"/>
      <c r="L725" s="224"/>
      <c r="M725" s="215"/>
      <c r="N725" s="216"/>
      <c r="O725" s="217"/>
      <c r="P725" s="217"/>
      <c r="Q725" s="217"/>
      <c r="R725" s="217" t="str">
        <f t="shared" si="14"/>
        <v/>
      </c>
      <c r="S725" s="210"/>
      <c r="T725" s="209"/>
      <c r="U725" s="203"/>
    </row>
    <row r="726" spans="1:21" ht="23.25" customHeight="1">
      <c r="A726" s="218" t="str">
        <f>IF(B726="","",B726&amp;"-"&amp;TEXT(COUNTIF(B$2:B726,B726),"000"))</f>
        <v/>
      </c>
      <c r="B726" s="219"/>
      <c r="C726" s="219"/>
      <c r="D726" s="219"/>
      <c r="E726" s="220"/>
      <c r="F726" s="221"/>
      <c r="G726" s="218"/>
      <c r="H726" s="222"/>
      <c r="I726" s="223"/>
      <c r="J726" s="223"/>
      <c r="K726" s="219"/>
      <c r="L726" s="224"/>
      <c r="M726" s="215"/>
      <c r="N726" s="226"/>
      <c r="O726" s="225"/>
      <c r="P726" s="225"/>
      <c r="Q726" s="225"/>
      <c r="R726" s="225" t="str">
        <f t="shared" si="14"/>
        <v/>
      </c>
      <c r="S726" s="219"/>
      <c r="T726" s="218"/>
      <c r="U726" s="203"/>
    </row>
    <row r="727" spans="1:21" ht="23.25" customHeight="1">
      <c r="A727" s="209" t="str">
        <f>IF(B727="","",B727&amp;"-"&amp;TEXT(COUNTIF(B$2:B727,B727),"000"))</f>
        <v/>
      </c>
      <c r="B727" s="210"/>
      <c r="C727" s="219"/>
      <c r="D727" s="210"/>
      <c r="E727" s="211"/>
      <c r="F727" s="212"/>
      <c r="G727" s="209"/>
      <c r="H727" s="213"/>
      <c r="I727" s="214"/>
      <c r="J727" s="214"/>
      <c r="K727" s="210"/>
      <c r="L727" s="224"/>
      <c r="M727" s="215"/>
      <c r="N727" s="216"/>
      <c r="O727" s="217"/>
      <c r="P727" s="217"/>
      <c r="Q727" s="217"/>
      <c r="R727" s="217" t="str">
        <f t="shared" si="14"/>
        <v/>
      </c>
      <c r="S727" s="210"/>
      <c r="T727" s="209"/>
      <c r="U727" s="203"/>
    </row>
    <row r="728" spans="1:21" ht="23.25" customHeight="1">
      <c r="A728" s="218" t="str">
        <f>IF(B728="","",B728&amp;"-"&amp;TEXT(COUNTIF(B$2:B728,B728),"000"))</f>
        <v/>
      </c>
      <c r="B728" s="219"/>
      <c r="C728" s="219"/>
      <c r="D728" s="219"/>
      <c r="E728" s="220"/>
      <c r="F728" s="221"/>
      <c r="G728" s="218"/>
      <c r="H728" s="222"/>
      <c r="I728" s="223"/>
      <c r="J728" s="223"/>
      <c r="K728" s="219"/>
      <c r="L728" s="224"/>
      <c r="M728" s="215"/>
      <c r="N728" s="226"/>
      <c r="O728" s="225"/>
      <c r="P728" s="225"/>
      <c r="Q728" s="225"/>
      <c r="R728" s="225" t="str">
        <f t="shared" si="14"/>
        <v/>
      </c>
      <c r="S728" s="219"/>
      <c r="T728" s="218"/>
      <c r="U728" s="203"/>
    </row>
    <row r="729" spans="1:21" ht="23.25" customHeight="1">
      <c r="A729" s="209" t="str">
        <f>IF(B729="","",B729&amp;"-"&amp;TEXT(COUNTIF(B$2:B729,B729),"000"))</f>
        <v/>
      </c>
      <c r="B729" s="210"/>
      <c r="C729" s="219"/>
      <c r="D729" s="210"/>
      <c r="E729" s="211"/>
      <c r="F729" s="212"/>
      <c r="G729" s="209"/>
      <c r="H729" s="213"/>
      <c r="I729" s="214"/>
      <c r="J729" s="214"/>
      <c r="K729" s="210"/>
      <c r="L729" s="224"/>
      <c r="M729" s="215"/>
      <c r="N729" s="216"/>
      <c r="O729" s="217"/>
      <c r="P729" s="217"/>
      <c r="Q729" s="217"/>
      <c r="R729" s="217" t="str">
        <f t="shared" si="14"/>
        <v/>
      </c>
      <c r="S729" s="210"/>
      <c r="T729" s="209"/>
      <c r="U729" s="203"/>
    </row>
    <row r="730" spans="1:21" ht="23.25" customHeight="1">
      <c r="A730" s="218" t="str">
        <f>IF(B730="","",B730&amp;"-"&amp;TEXT(COUNTIF(B$2:B730,B730),"000"))</f>
        <v/>
      </c>
      <c r="B730" s="219"/>
      <c r="C730" s="219"/>
      <c r="D730" s="219"/>
      <c r="E730" s="220"/>
      <c r="F730" s="221"/>
      <c r="G730" s="218"/>
      <c r="H730" s="222"/>
      <c r="I730" s="223"/>
      <c r="J730" s="223"/>
      <c r="K730" s="219"/>
      <c r="L730" s="224"/>
      <c r="M730" s="215"/>
      <c r="N730" s="226"/>
      <c r="O730" s="225"/>
      <c r="P730" s="225"/>
      <c r="Q730" s="225"/>
      <c r="R730" s="225" t="str">
        <f t="shared" si="14"/>
        <v/>
      </c>
      <c r="S730" s="219"/>
      <c r="T730" s="218"/>
      <c r="U730" s="203"/>
    </row>
    <row r="731" spans="1:21" ht="23.25" customHeight="1">
      <c r="A731" s="209" t="str">
        <f>IF(B731="","",B731&amp;"-"&amp;TEXT(COUNTIF(B$2:B731,B731),"000"))</f>
        <v/>
      </c>
      <c r="B731" s="210"/>
      <c r="C731" s="219"/>
      <c r="D731" s="210"/>
      <c r="E731" s="211"/>
      <c r="F731" s="212"/>
      <c r="G731" s="209"/>
      <c r="H731" s="213"/>
      <c r="I731" s="214"/>
      <c r="J731" s="214"/>
      <c r="K731" s="210"/>
      <c r="L731" s="224"/>
      <c r="M731" s="215"/>
      <c r="N731" s="216"/>
      <c r="O731" s="217"/>
      <c r="P731" s="217"/>
      <c r="Q731" s="217"/>
      <c r="R731" s="217" t="str">
        <f t="shared" si="14"/>
        <v/>
      </c>
      <c r="S731" s="210"/>
      <c r="T731" s="209"/>
      <c r="U731" s="203"/>
    </row>
    <row r="732" spans="1:21" ht="23.25" customHeight="1">
      <c r="A732" s="218" t="str">
        <f>IF(B732="","",B732&amp;"-"&amp;TEXT(COUNTIF(B$2:B732,B732),"000"))</f>
        <v/>
      </c>
      <c r="B732" s="219"/>
      <c r="C732" s="219"/>
      <c r="D732" s="219"/>
      <c r="E732" s="220"/>
      <c r="F732" s="221"/>
      <c r="G732" s="218"/>
      <c r="H732" s="222"/>
      <c r="I732" s="223"/>
      <c r="J732" s="223"/>
      <c r="K732" s="219"/>
      <c r="L732" s="224"/>
      <c r="M732" s="215"/>
      <c r="N732" s="226"/>
      <c r="O732" s="225"/>
      <c r="P732" s="225"/>
      <c r="Q732" s="225"/>
      <c r="R732" s="225" t="str">
        <f t="shared" si="14"/>
        <v/>
      </c>
      <c r="S732" s="219"/>
      <c r="T732" s="218"/>
      <c r="U732" s="203"/>
    </row>
    <row r="733" spans="1:21" ht="23.25" customHeight="1">
      <c r="A733" s="209" t="str">
        <f>IF(B733="","",B733&amp;"-"&amp;TEXT(COUNTIF(B$2:B733,B733),"000"))</f>
        <v/>
      </c>
      <c r="B733" s="210"/>
      <c r="C733" s="219"/>
      <c r="D733" s="210"/>
      <c r="E733" s="211"/>
      <c r="F733" s="212"/>
      <c r="G733" s="209"/>
      <c r="H733" s="213"/>
      <c r="I733" s="214"/>
      <c r="J733" s="214"/>
      <c r="K733" s="210"/>
      <c r="L733" s="224"/>
      <c r="M733" s="215"/>
      <c r="N733" s="216"/>
      <c r="O733" s="217"/>
      <c r="P733" s="217"/>
      <c r="Q733" s="217"/>
      <c r="R733" s="217" t="str">
        <f t="shared" si="14"/>
        <v/>
      </c>
      <c r="S733" s="210"/>
      <c r="T733" s="209"/>
      <c r="U733" s="203"/>
    </row>
    <row r="734" spans="1:21" ht="23.25" customHeight="1">
      <c r="A734" s="218" t="str">
        <f>IF(B734="","",B734&amp;"-"&amp;TEXT(COUNTIF(B$2:B734,B734),"000"))</f>
        <v/>
      </c>
      <c r="B734" s="219"/>
      <c r="C734" s="219"/>
      <c r="D734" s="219"/>
      <c r="E734" s="220"/>
      <c r="F734" s="221"/>
      <c r="G734" s="218"/>
      <c r="H734" s="222"/>
      <c r="I734" s="223"/>
      <c r="J734" s="223"/>
      <c r="K734" s="219"/>
      <c r="L734" s="224"/>
      <c r="M734" s="215"/>
      <c r="N734" s="226"/>
      <c r="O734" s="225"/>
      <c r="P734" s="225"/>
      <c r="Q734" s="225"/>
      <c r="R734" s="225" t="str">
        <f t="shared" si="14"/>
        <v/>
      </c>
      <c r="S734" s="219"/>
      <c r="T734" s="218"/>
      <c r="U734" s="203"/>
    </row>
    <row r="735" spans="1:21" ht="23.25" customHeight="1">
      <c r="A735" s="209" t="str">
        <f>IF(B735="","",B735&amp;"-"&amp;TEXT(COUNTIF(B$2:B735,B735),"000"))</f>
        <v/>
      </c>
      <c r="B735" s="210"/>
      <c r="C735" s="219"/>
      <c r="D735" s="210"/>
      <c r="E735" s="211"/>
      <c r="F735" s="212"/>
      <c r="G735" s="209"/>
      <c r="H735" s="213"/>
      <c r="I735" s="214"/>
      <c r="J735" s="214"/>
      <c r="K735" s="210"/>
      <c r="L735" s="224"/>
      <c r="M735" s="215"/>
      <c r="N735" s="216"/>
      <c r="O735" s="217"/>
      <c r="P735" s="217"/>
      <c r="Q735" s="217"/>
      <c r="R735" s="217" t="str">
        <f t="shared" si="14"/>
        <v/>
      </c>
      <c r="S735" s="210"/>
      <c r="T735" s="209"/>
      <c r="U735" s="203"/>
    </row>
    <row r="736" spans="1:21" ht="23.25" customHeight="1">
      <c r="A736" s="218" t="str">
        <f>IF(B736="","",B736&amp;"-"&amp;TEXT(COUNTIF(B$2:B736,B736),"000"))</f>
        <v/>
      </c>
      <c r="B736" s="219"/>
      <c r="C736" s="219"/>
      <c r="D736" s="219"/>
      <c r="E736" s="220"/>
      <c r="F736" s="221"/>
      <c r="G736" s="218"/>
      <c r="H736" s="222"/>
      <c r="I736" s="223"/>
      <c r="J736" s="223"/>
      <c r="K736" s="219"/>
      <c r="L736" s="224"/>
      <c r="M736" s="215"/>
      <c r="N736" s="226"/>
      <c r="O736" s="225"/>
      <c r="P736" s="225"/>
      <c r="Q736" s="225"/>
      <c r="R736" s="225" t="str">
        <f t="shared" si="14"/>
        <v/>
      </c>
      <c r="S736" s="219"/>
      <c r="T736" s="218"/>
      <c r="U736" s="203"/>
    </row>
    <row r="737" spans="1:21" ht="23.25" customHeight="1">
      <c r="A737" s="209" t="str">
        <f>IF(B737="","",B737&amp;"-"&amp;TEXT(COUNTIF(B$2:B737,B737),"000"))</f>
        <v/>
      </c>
      <c r="B737" s="210"/>
      <c r="C737" s="219"/>
      <c r="D737" s="210"/>
      <c r="E737" s="211"/>
      <c r="F737" s="212"/>
      <c r="G737" s="209"/>
      <c r="H737" s="213"/>
      <c r="I737" s="214"/>
      <c r="J737" s="214"/>
      <c r="K737" s="210"/>
      <c r="L737" s="224"/>
      <c r="M737" s="215"/>
      <c r="N737" s="216"/>
      <c r="O737" s="217"/>
      <c r="P737" s="217"/>
      <c r="Q737" s="217"/>
      <c r="R737" s="217" t="str">
        <f t="shared" si="14"/>
        <v/>
      </c>
      <c r="S737" s="210"/>
      <c r="T737" s="209"/>
      <c r="U737" s="203"/>
    </row>
    <row r="738" spans="1:21" ht="23.25" customHeight="1">
      <c r="A738" s="218" t="str">
        <f>IF(B738="","",B738&amp;"-"&amp;TEXT(COUNTIF(B$2:B738,B738),"000"))</f>
        <v/>
      </c>
      <c r="B738" s="219"/>
      <c r="C738" s="219"/>
      <c r="D738" s="219"/>
      <c r="E738" s="220"/>
      <c r="F738" s="221"/>
      <c r="G738" s="218"/>
      <c r="H738" s="222"/>
      <c r="I738" s="223"/>
      <c r="J738" s="223"/>
      <c r="K738" s="219"/>
      <c r="L738" s="224"/>
      <c r="M738" s="215"/>
      <c r="N738" s="226"/>
      <c r="O738" s="225"/>
      <c r="P738" s="225"/>
      <c r="Q738" s="225"/>
      <c r="R738" s="225" t="str">
        <f t="shared" si="14"/>
        <v/>
      </c>
      <c r="S738" s="219"/>
      <c r="T738" s="218"/>
      <c r="U738" s="203"/>
    </row>
    <row r="739" spans="1:21" ht="23.25" customHeight="1">
      <c r="A739" s="209" t="str">
        <f>IF(B739="","",B739&amp;"-"&amp;TEXT(COUNTIF(B$2:B739,B739),"000"))</f>
        <v/>
      </c>
      <c r="B739" s="210"/>
      <c r="C739" s="219"/>
      <c r="D739" s="210"/>
      <c r="E739" s="211"/>
      <c r="F739" s="212"/>
      <c r="G739" s="209"/>
      <c r="H739" s="213"/>
      <c r="I739" s="214"/>
      <c r="J739" s="214"/>
      <c r="K739" s="210"/>
      <c r="L739" s="224"/>
      <c r="M739" s="215"/>
      <c r="N739" s="216"/>
      <c r="O739" s="217"/>
      <c r="P739" s="217"/>
      <c r="Q739" s="217"/>
      <c r="R739" s="217" t="str">
        <f t="shared" si="14"/>
        <v/>
      </c>
      <c r="S739" s="210"/>
      <c r="T739" s="209"/>
      <c r="U739" s="203"/>
    </row>
    <row r="740" spans="1:21" ht="23.25" customHeight="1">
      <c r="A740" s="218" t="str">
        <f>IF(B740="","",B740&amp;"-"&amp;TEXT(COUNTIF(B$2:B740,B740),"000"))</f>
        <v/>
      </c>
      <c r="B740" s="219"/>
      <c r="C740" s="219"/>
      <c r="D740" s="219"/>
      <c r="E740" s="220"/>
      <c r="F740" s="221"/>
      <c r="G740" s="218"/>
      <c r="H740" s="222"/>
      <c r="I740" s="223"/>
      <c r="J740" s="223"/>
      <c r="K740" s="219"/>
      <c r="L740" s="224"/>
      <c r="M740" s="215"/>
      <c r="N740" s="226"/>
      <c r="O740" s="225"/>
      <c r="P740" s="225"/>
      <c r="Q740" s="225"/>
      <c r="R740" s="225" t="str">
        <f t="shared" si="14"/>
        <v/>
      </c>
      <c r="S740" s="219"/>
      <c r="T740" s="218"/>
      <c r="U740" s="203"/>
    </row>
    <row r="741" spans="1:21" ht="23.25" customHeight="1">
      <c r="A741" s="209" t="str">
        <f>IF(B741="","",B741&amp;"-"&amp;TEXT(COUNTIF(B$2:B741,B741),"000"))</f>
        <v/>
      </c>
      <c r="B741" s="210"/>
      <c r="C741" s="219"/>
      <c r="D741" s="210"/>
      <c r="E741" s="211"/>
      <c r="F741" s="212"/>
      <c r="G741" s="209"/>
      <c r="H741" s="213"/>
      <c r="I741" s="214"/>
      <c r="J741" s="214"/>
      <c r="K741" s="210"/>
      <c r="L741" s="224"/>
      <c r="M741" s="215"/>
      <c r="N741" s="216"/>
      <c r="O741" s="217"/>
      <c r="P741" s="217"/>
      <c r="Q741" s="217"/>
      <c r="R741" s="217" t="str">
        <f t="shared" si="14"/>
        <v/>
      </c>
      <c r="S741" s="210"/>
      <c r="T741" s="209"/>
      <c r="U741" s="203"/>
    </row>
    <row r="742" spans="1:21" ht="23.25" customHeight="1">
      <c r="A742" s="218" t="str">
        <f>IF(B742="","",B742&amp;"-"&amp;TEXT(COUNTIF(B$2:B742,B742),"000"))</f>
        <v/>
      </c>
      <c r="B742" s="219"/>
      <c r="C742" s="219"/>
      <c r="D742" s="219"/>
      <c r="E742" s="220"/>
      <c r="F742" s="221"/>
      <c r="G742" s="218"/>
      <c r="H742" s="222"/>
      <c r="I742" s="223"/>
      <c r="J742" s="223"/>
      <c r="K742" s="219"/>
      <c r="L742" s="224"/>
      <c r="M742" s="215"/>
      <c r="N742" s="226"/>
      <c r="O742" s="225"/>
      <c r="P742" s="225"/>
      <c r="Q742" s="225"/>
      <c r="R742" s="225" t="str">
        <f t="shared" si="14"/>
        <v/>
      </c>
      <c r="S742" s="219"/>
      <c r="T742" s="218"/>
      <c r="U742" s="203"/>
    </row>
    <row r="743" spans="1:21" ht="23.25" customHeight="1">
      <c r="A743" s="209" t="str">
        <f>IF(B743="","",B743&amp;"-"&amp;TEXT(COUNTIF(B$2:B743,B743),"000"))</f>
        <v/>
      </c>
      <c r="B743" s="210"/>
      <c r="C743" s="219"/>
      <c r="D743" s="210"/>
      <c r="E743" s="211"/>
      <c r="F743" s="212"/>
      <c r="G743" s="209"/>
      <c r="H743" s="213"/>
      <c r="I743" s="214"/>
      <c r="J743" s="214"/>
      <c r="K743" s="210"/>
      <c r="L743" s="224"/>
      <c r="M743" s="215"/>
      <c r="N743" s="216"/>
      <c r="O743" s="217"/>
      <c r="P743" s="217"/>
      <c r="Q743" s="217"/>
      <c r="R743" s="217" t="str">
        <f t="shared" si="14"/>
        <v/>
      </c>
      <c r="S743" s="210"/>
      <c r="T743" s="209"/>
      <c r="U743" s="203"/>
    </row>
    <row r="744" spans="1:21" ht="23.25" customHeight="1">
      <c r="A744" s="218" t="str">
        <f>IF(B744="","",B744&amp;"-"&amp;TEXT(COUNTIF(B$2:B744,B744),"000"))</f>
        <v/>
      </c>
      <c r="B744" s="219"/>
      <c r="C744" s="219"/>
      <c r="D744" s="219"/>
      <c r="E744" s="220"/>
      <c r="F744" s="221"/>
      <c r="G744" s="218"/>
      <c r="H744" s="222"/>
      <c r="I744" s="223"/>
      <c r="J744" s="223"/>
      <c r="K744" s="219"/>
      <c r="L744" s="224"/>
      <c r="M744" s="215"/>
      <c r="N744" s="226"/>
      <c r="O744" s="225"/>
      <c r="P744" s="225"/>
      <c r="Q744" s="225"/>
      <c r="R744" s="225" t="str">
        <f t="shared" si="14"/>
        <v/>
      </c>
      <c r="S744" s="219"/>
      <c r="T744" s="218"/>
      <c r="U744" s="203"/>
    </row>
    <row r="745" spans="1:21" ht="23.25" customHeight="1">
      <c r="A745" s="209" t="str">
        <f>IF(B745="","",B745&amp;"-"&amp;TEXT(COUNTIF(B$2:B745,B745),"000"))</f>
        <v/>
      </c>
      <c r="B745" s="210"/>
      <c r="C745" s="219"/>
      <c r="D745" s="210"/>
      <c r="E745" s="211"/>
      <c r="F745" s="212"/>
      <c r="G745" s="209"/>
      <c r="H745" s="213"/>
      <c r="I745" s="214"/>
      <c r="J745" s="214"/>
      <c r="K745" s="210"/>
      <c r="L745" s="224"/>
      <c r="M745" s="215"/>
      <c r="N745" s="216"/>
      <c r="O745" s="217"/>
      <c r="P745" s="217"/>
      <c r="Q745" s="217"/>
      <c r="R745" s="217" t="str">
        <f t="shared" si="14"/>
        <v/>
      </c>
      <c r="S745" s="210"/>
      <c r="T745" s="209"/>
      <c r="U745" s="203"/>
    </row>
    <row r="746" spans="1:21" ht="23.25" customHeight="1">
      <c r="A746" s="218" t="str">
        <f>IF(B746="","",B746&amp;"-"&amp;TEXT(COUNTIF(B$2:B746,B746),"000"))</f>
        <v/>
      </c>
      <c r="B746" s="219"/>
      <c r="C746" s="219"/>
      <c r="D746" s="219"/>
      <c r="E746" s="220"/>
      <c r="F746" s="221"/>
      <c r="G746" s="218"/>
      <c r="H746" s="222"/>
      <c r="I746" s="223"/>
      <c r="J746" s="223"/>
      <c r="K746" s="219"/>
      <c r="L746" s="224"/>
      <c r="M746" s="215"/>
      <c r="N746" s="226"/>
      <c r="O746" s="225"/>
      <c r="P746" s="225"/>
      <c r="Q746" s="225"/>
      <c r="R746" s="225" t="str">
        <f t="shared" si="14"/>
        <v/>
      </c>
      <c r="S746" s="219"/>
      <c r="T746" s="218"/>
      <c r="U746" s="203"/>
    </row>
    <row r="747" spans="1:21" ht="23.25" customHeight="1">
      <c r="A747" s="209" t="str">
        <f>IF(B747="","",B747&amp;"-"&amp;TEXT(COUNTIF(B$2:B747,B747),"000"))</f>
        <v/>
      </c>
      <c r="B747" s="210"/>
      <c r="C747" s="219"/>
      <c r="D747" s="210"/>
      <c r="E747" s="211"/>
      <c r="F747" s="212"/>
      <c r="G747" s="209"/>
      <c r="H747" s="213"/>
      <c r="I747" s="214"/>
      <c r="J747" s="214"/>
      <c r="K747" s="210"/>
      <c r="L747" s="224"/>
      <c r="M747" s="215"/>
      <c r="N747" s="216"/>
      <c r="O747" s="217"/>
      <c r="P747" s="217"/>
      <c r="Q747" s="217"/>
      <c r="R747" s="217" t="str">
        <f t="shared" si="14"/>
        <v/>
      </c>
      <c r="S747" s="210"/>
      <c r="T747" s="209"/>
      <c r="U747" s="203"/>
    </row>
    <row r="748" spans="1:21" ht="23.25" customHeight="1">
      <c r="A748" s="218" t="str">
        <f>IF(B748="","",B748&amp;"-"&amp;TEXT(COUNTIF(B$2:B748,B748),"000"))</f>
        <v/>
      </c>
      <c r="B748" s="219"/>
      <c r="C748" s="219"/>
      <c r="D748" s="219"/>
      <c r="E748" s="220"/>
      <c r="F748" s="221"/>
      <c r="G748" s="218"/>
      <c r="H748" s="222"/>
      <c r="I748" s="223"/>
      <c r="J748" s="223"/>
      <c r="K748" s="219"/>
      <c r="L748" s="224"/>
      <c r="M748" s="215"/>
      <c r="N748" s="226"/>
      <c r="O748" s="225"/>
      <c r="P748" s="225"/>
      <c r="Q748" s="225"/>
      <c r="R748" s="225" t="str">
        <f t="shared" ref="R748" si="15">IF(B748="","",SUM(O748:Q748))</f>
        <v/>
      </c>
      <c r="S748" s="219"/>
      <c r="T748" s="218"/>
      <c r="U748" s="203"/>
    </row>
    <row r="749" spans="1:21" ht="23.25" customHeight="1">
      <c r="A749" s="204"/>
      <c r="B749" s="205"/>
      <c r="C749" s="205"/>
      <c r="D749" s="205"/>
      <c r="E749" s="204"/>
      <c r="F749" s="204"/>
      <c r="G749" s="204"/>
      <c r="H749" s="205"/>
      <c r="I749" s="206"/>
      <c r="J749" s="206"/>
      <c r="K749" s="205"/>
      <c r="L749" s="207"/>
      <c r="M749" s="204"/>
      <c r="N749" s="208"/>
      <c r="O749" s="208"/>
      <c r="P749" s="208"/>
      <c r="Q749" s="208"/>
      <c r="R749" s="208"/>
      <c r="S749" s="204"/>
      <c r="T749" s="204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50" priority="6">
      <formula>TRIM(C2)="Realizado"</formula>
    </cfRule>
    <cfRule type="expression" dxfId="49" priority="7">
      <formula>TRIM(C2)="Cancelado"</formula>
    </cfRule>
    <cfRule type="expression" dxfId="48" priority="8">
      <formula>TRIM(C2)="Adiado"</formula>
    </cfRule>
    <cfRule type="expression" dxfId="47" priority="9">
      <formula>AND(TRIM(C2)="A realizar",ISODD(ROW(C2)))</formula>
    </cfRule>
  </conditionalFormatting>
  <conditionalFormatting sqref="L680">
    <cfRule type="containsBlanks" dxfId="46" priority="3">
      <formula>LEN(TRIM(L680))=0</formula>
    </cfRule>
  </conditionalFormatting>
  <conditionalFormatting sqref="L689:L690">
    <cfRule type="containsBlanks" dxfId="45" priority="1">
      <formula>LEN(TRIM(L689))=0</formula>
    </cfRule>
  </conditionalFormatting>
  <conditionalFormatting sqref="M1:M513 L1:L537 L678">
    <cfRule type="containsBlanks" dxfId="44" priority="4">
      <formula>LEN(TRIM(L1))=0</formula>
    </cfRule>
  </conditionalFormatting>
  <conditionalFormatting sqref="M517:M675 L539:L675 L676:M676">
    <cfRule type="containsBlanks" dxfId="43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38" activePane="bottomLeft" state="frozen"/>
      <selection pane="bottomLeft" activeCell="J44" sqref="J44"/>
    </sheetView>
  </sheetViews>
  <sheetFormatPr defaultRowHeight="15" outlineLevelCol="1"/>
  <cols>
    <col min="1" max="11" width="9.140625" customWidth="1"/>
    <col min="12" max="20" width="9.140625" hidden="1" customWidth="1" outlineLevel="1"/>
    <col min="21" max="21" width="9.140625" customWidth="1" collapsed="1"/>
    <col min="22" max="22" width="9.140625" customWidth="1"/>
    <col min="23" max="23" width="1.7109375" hidden="1" customWidth="1"/>
    <col min="24" max="31" width="9.140625" customWidth="1"/>
  </cols>
  <sheetData>
    <row r="1" spans="1:31" ht="15.75">
      <c r="A1" s="96" t="s">
        <v>1</v>
      </c>
      <c r="B1" s="96" t="s">
        <v>2836</v>
      </c>
      <c r="C1" s="96" t="s">
        <v>2837</v>
      </c>
      <c r="D1" s="96" t="s">
        <v>4</v>
      </c>
      <c r="E1" s="96" t="s">
        <v>2838</v>
      </c>
      <c r="F1" s="96" t="s">
        <v>19</v>
      </c>
      <c r="G1" s="96" t="s">
        <v>2839</v>
      </c>
      <c r="H1" s="96" t="s">
        <v>2840</v>
      </c>
      <c r="I1" s="96" t="s">
        <v>2841</v>
      </c>
      <c r="J1" s="96" t="s">
        <v>2842</v>
      </c>
      <c r="L1" s="129" t="s">
        <v>2843</v>
      </c>
      <c r="M1" s="100">
        <v>2026</v>
      </c>
      <c r="U1" s="162" t="s">
        <v>2844</v>
      </c>
      <c r="V1" s="161"/>
      <c r="X1" s="159" t="s">
        <v>2845</v>
      </c>
      <c r="Y1" s="107"/>
      <c r="Z1" s="107"/>
      <c r="AA1" s="107"/>
      <c r="AC1" s="254" t="s">
        <v>2846</v>
      </c>
    </row>
    <row r="2" spans="1:31">
      <c r="A2" s="98" cm="1">
        <f t="array" ref="A2:J82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2836</v>
      </c>
      <c r="Y2" s="160" t="s">
        <v>19</v>
      </c>
      <c r="Z2" s="160" t="s">
        <v>2847</v>
      </c>
      <c r="AA2" s="160" t="s">
        <v>2848</v>
      </c>
      <c r="AC2" s="255" t="s">
        <v>1</v>
      </c>
      <c r="AD2" s="255" t="s">
        <v>2849</v>
      </c>
      <c r="AE2" s="255" t="s">
        <v>2850</v>
      </c>
    </row>
    <row r="3" spans="1:31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2851</v>
      </c>
      <c r="M3" s="19" t="s">
        <v>2852</v>
      </c>
      <c r="N3" s="19" t="s">
        <v>2853</v>
      </c>
      <c r="O3" s="19" t="s">
        <v>2854</v>
      </c>
      <c r="P3" s="19" t="s">
        <v>2855</v>
      </c>
      <c r="Q3" s="19" t="s">
        <v>2856</v>
      </c>
      <c r="R3" s="19" t="s">
        <v>2857</v>
      </c>
      <c r="S3" s="19" t="s">
        <v>2858</v>
      </c>
      <c r="T3" s="19" t="s">
        <v>2859</v>
      </c>
      <c r="X3" t="s">
        <v>2860</v>
      </c>
      <c r="Y3" t="s">
        <v>2697</v>
      </c>
      <c r="Z3">
        <v>0</v>
      </c>
      <c r="AA3">
        <v>0</v>
      </c>
      <c r="AC3" s="249">
        <v>2026</v>
      </c>
      <c r="AD3" s="95" t="s">
        <v>1785</v>
      </c>
      <c r="AE3" s="250">
        <v>16</v>
      </c>
    </row>
    <row r="4" spans="1:31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0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1">_xlfn.VSTACK(0,_xlfn._xlws.FILTER(S4:S200,S4:S200&lt;&gt;""))</f>
        <v>0</v>
      </c>
      <c r="X4" t="s">
        <v>2861</v>
      </c>
      <c r="Y4" t="s">
        <v>2697</v>
      </c>
      <c r="Z4">
        <v>0</v>
      </c>
      <c r="AA4">
        <v>0</v>
      </c>
      <c r="AC4" s="249">
        <v>2026</v>
      </c>
      <c r="AD4" s="95" t="s">
        <v>247</v>
      </c>
      <c r="AE4" s="250">
        <v>16</v>
      </c>
    </row>
    <row r="5" spans="1:31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2862</v>
      </c>
      <c r="Y5" t="s">
        <v>2713</v>
      </c>
      <c r="Z5">
        <v>1</v>
      </c>
      <c r="AA5">
        <v>0.6</v>
      </c>
      <c r="AC5" s="249">
        <v>2026</v>
      </c>
      <c r="AD5" s="95" t="s">
        <v>2863</v>
      </c>
      <c r="AE5" s="250">
        <v>16</v>
      </c>
    </row>
    <row r="6" spans="1:31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2862</v>
      </c>
      <c r="Y6" t="s">
        <v>2864</v>
      </c>
      <c r="Z6">
        <v>1</v>
      </c>
      <c r="AA6">
        <v>0</v>
      </c>
      <c r="AC6" s="249">
        <v>2026</v>
      </c>
      <c r="AD6" s="95" t="s">
        <v>2865</v>
      </c>
      <c r="AE6" s="250">
        <v>16</v>
      </c>
    </row>
    <row r="7" spans="1:31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2866</v>
      </c>
      <c r="Y7" t="s">
        <v>2697</v>
      </c>
      <c r="Z7">
        <v>0</v>
      </c>
      <c r="AA7">
        <v>0</v>
      </c>
      <c r="AC7" s="249">
        <v>2026</v>
      </c>
      <c r="AD7" s="95" t="s">
        <v>108</v>
      </c>
      <c r="AE7" s="250">
        <v>16</v>
      </c>
    </row>
    <row r="8" spans="1:31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2867</v>
      </c>
      <c r="Y8" s="95" t="s">
        <v>1343</v>
      </c>
      <c r="AA8">
        <v>1.2</v>
      </c>
      <c r="AC8" s="249">
        <v>2026</v>
      </c>
      <c r="AD8" s="95"/>
      <c r="AE8" s="250"/>
    </row>
    <row r="9" spans="1:31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2867</v>
      </c>
      <c r="Y9" s="95" t="s">
        <v>1023</v>
      </c>
      <c r="AA9">
        <v>1.2</v>
      </c>
      <c r="AC9" s="249">
        <v>2026</v>
      </c>
      <c r="AD9" s="95"/>
      <c r="AE9" s="250"/>
    </row>
    <row r="10" spans="1:31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2867</v>
      </c>
      <c r="Y10" s="95" t="s">
        <v>1367</v>
      </c>
      <c r="AA10">
        <v>1.2</v>
      </c>
      <c r="AC10" s="249">
        <v>2026</v>
      </c>
      <c r="AD10" s="95"/>
      <c r="AE10" s="250"/>
    </row>
    <row r="11" spans="1:31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2867</v>
      </c>
      <c r="Y11" s="95" t="s">
        <v>2868</v>
      </c>
      <c r="AA11">
        <v>1.2</v>
      </c>
      <c r="AC11" s="249">
        <v>2026</v>
      </c>
      <c r="AD11" s="95"/>
      <c r="AE11" s="250"/>
    </row>
    <row r="12" spans="1:31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2867</v>
      </c>
      <c r="Y12" s="95" t="s">
        <v>2869</v>
      </c>
      <c r="AA12">
        <v>1.2</v>
      </c>
      <c r="AC12" s="249">
        <v>2026</v>
      </c>
      <c r="AD12" s="95"/>
      <c r="AE12" s="250"/>
    </row>
    <row r="13" spans="1:31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2870</v>
      </c>
      <c r="Y13" s="95" t="s">
        <v>1343</v>
      </c>
      <c r="AA13">
        <v>1.2</v>
      </c>
      <c r="AC13" s="249">
        <v>2026</v>
      </c>
      <c r="AD13" s="95"/>
      <c r="AE13" s="250"/>
    </row>
    <row r="14" spans="1:31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2870</v>
      </c>
      <c r="Y14" s="95" t="s">
        <v>1023</v>
      </c>
      <c r="AA14">
        <v>1.2</v>
      </c>
      <c r="AC14" s="249">
        <v>2026</v>
      </c>
      <c r="AD14" s="95"/>
      <c r="AE14" s="250"/>
    </row>
    <row r="15" spans="1:31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2870</v>
      </c>
      <c r="Y15" s="95" t="s">
        <v>1367</v>
      </c>
      <c r="AA15">
        <v>1.2</v>
      </c>
      <c r="AC15" s="249">
        <v>2026</v>
      </c>
      <c r="AD15" s="95"/>
      <c r="AE15" s="250"/>
    </row>
    <row r="16" spans="1:31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2870</v>
      </c>
      <c r="Y16" s="95" t="s">
        <v>2868</v>
      </c>
      <c r="AA16">
        <v>1.2</v>
      </c>
      <c r="AC16" s="249">
        <v>2026</v>
      </c>
      <c r="AD16" s="95"/>
      <c r="AE16" s="250"/>
    </row>
    <row r="17" spans="1:31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2870</v>
      </c>
      <c r="Y17" s="95" t="s">
        <v>2869</v>
      </c>
      <c r="AA17">
        <v>1.2</v>
      </c>
      <c r="AC17" s="249">
        <v>2026</v>
      </c>
      <c r="AD17" s="95"/>
      <c r="AE17" s="250"/>
    </row>
    <row r="18" spans="1:31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2871</v>
      </c>
      <c r="Y18" s="95" t="s">
        <v>1343</v>
      </c>
      <c r="AA18">
        <v>1.2</v>
      </c>
      <c r="AC18" s="249">
        <v>2026</v>
      </c>
      <c r="AD18" s="95"/>
      <c r="AE18" s="250"/>
    </row>
    <row r="19" spans="1:31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2871</v>
      </c>
      <c r="Y19" s="95" t="s">
        <v>1023</v>
      </c>
      <c r="AA19">
        <v>1.2</v>
      </c>
      <c r="AC19" s="249">
        <v>2026</v>
      </c>
      <c r="AD19" s="95"/>
      <c r="AE19" s="250"/>
    </row>
    <row r="20" spans="1:31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2871</v>
      </c>
      <c r="Y20" s="95" t="s">
        <v>1367</v>
      </c>
      <c r="AA20">
        <v>1.2</v>
      </c>
      <c r="AC20" s="249">
        <v>2026</v>
      </c>
      <c r="AD20" s="95"/>
      <c r="AE20" s="250"/>
    </row>
    <row r="21" spans="1:31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2871</v>
      </c>
      <c r="Y21" s="95" t="s">
        <v>2868</v>
      </c>
      <c r="AA21">
        <v>1.2</v>
      </c>
      <c r="AC21" s="249">
        <v>2026</v>
      </c>
      <c r="AD21" s="95"/>
      <c r="AE21" s="250"/>
    </row>
    <row r="22" spans="1:31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2871</v>
      </c>
      <c r="Y22" s="95" t="s">
        <v>2869</v>
      </c>
      <c r="AA22">
        <v>1.2</v>
      </c>
      <c r="AC22" s="249">
        <v>2026</v>
      </c>
      <c r="AD22" s="95"/>
      <c r="AE22" s="250"/>
    </row>
    <row r="23" spans="1:31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2872</v>
      </c>
      <c r="Y23" s="95" t="s">
        <v>2713</v>
      </c>
      <c r="AA23">
        <v>2.4</v>
      </c>
      <c r="AC23" s="249">
        <v>2026</v>
      </c>
      <c r="AD23" s="95"/>
      <c r="AE23" s="250"/>
    </row>
    <row r="24" spans="1:31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2872</v>
      </c>
      <c r="Y24" s="95" t="s">
        <v>2864</v>
      </c>
      <c r="AA24">
        <v>0</v>
      </c>
      <c r="AC24" s="249">
        <v>2026</v>
      </c>
      <c r="AD24" s="95"/>
      <c r="AE24" s="250"/>
    </row>
    <row r="25" spans="1:31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2873</v>
      </c>
      <c r="Y25" s="95" t="s">
        <v>855</v>
      </c>
      <c r="AA25">
        <v>3.6</v>
      </c>
      <c r="AC25" s="249">
        <v>2026</v>
      </c>
      <c r="AD25" s="95"/>
      <c r="AE25" s="250"/>
    </row>
    <row r="26" spans="1:31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2873</v>
      </c>
      <c r="Y26" s="95" t="s">
        <v>2874</v>
      </c>
      <c r="Z26">
        <v>0</v>
      </c>
      <c r="AA26">
        <v>0</v>
      </c>
      <c r="AC26" s="249">
        <v>2026</v>
      </c>
      <c r="AD26" s="95"/>
      <c r="AE26" s="250"/>
    </row>
    <row r="27" spans="1:31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Realizado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7" t="s">
        <v>2875</v>
      </c>
      <c r="Y27" s="95" t="s">
        <v>2713</v>
      </c>
      <c r="AA27">
        <v>2.4</v>
      </c>
      <c r="AC27" s="249">
        <v>2026</v>
      </c>
      <c r="AD27" s="95"/>
      <c r="AE27" s="250"/>
    </row>
    <row r="28" spans="1:31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7" t="s">
        <v>2875</v>
      </c>
      <c r="Y28" s="95" t="s">
        <v>2864</v>
      </c>
      <c r="AA28">
        <v>0</v>
      </c>
      <c r="AC28" s="249">
        <v>2026</v>
      </c>
      <c r="AD28" s="95"/>
      <c r="AE28" s="250"/>
    </row>
    <row r="29" spans="1:31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7" t="s">
        <v>2876</v>
      </c>
      <c r="Y29" s="95" t="s">
        <v>2713</v>
      </c>
      <c r="AA29">
        <v>2.4</v>
      </c>
      <c r="AC29" s="249">
        <v>2026</v>
      </c>
      <c r="AD29" s="95"/>
      <c r="AE29" s="250"/>
    </row>
    <row r="30" spans="1:31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7" t="s">
        <v>2876</v>
      </c>
      <c r="Y30" s="95" t="s">
        <v>2864</v>
      </c>
      <c r="AA30">
        <v>0</v>
      </c>
      <c r="AC30" s="249">
        <v>2026</v>
      </c>
      <c r="AD30" s="95"/>
      <c r="AE30" s="250"/>
    </row>
    <row r="31" spans="1:31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7" t="s">
        <v>2877</v>
      </c>
      <c r="Y31" s="95" t="s">
        <v>472</v>
      </c>
      <c r="Z31">
        <v>0</v>
      </c>
      <c r="AA31">
        <v>0</v>
      </c>
      <c r="AC31" s="249">
        <v>2026</v>
      </c>
      <c r="AD31" s="95"/>
      <c r="AE31" s="250"/>
    </row>
    <row r="32" spans="1:31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7" t="s">
        <v>2878</v>
      </c>
      <c r="Y32" t="s">
        <v>1343</v>
      </c>
      <c r="Z32">
        <v>4</v>
      </c>
      <c r="AA32">
        <v>0.6</v>
      </c>
      <c r="AC32" s="249">
        <v>2026</v>
      </c>
      <c r="AD32" s="95"/>
      <c r="AE32" s="250"/>
    </row>
    <row r="33" spans="1:31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7" t="s">
        <v>2878</v>
      </c>
      <c r="Y33" t="s">
        <v>2879</v>
      </c>
      <c r="Z33">
        <v>4</v>
      </c>
      <c r="AA33">
        <v>0.6</v>
      </c>
      <c r="AC33" s="251"/>
      <c r="AD33" s="252" t="s">
        <v>2880</v>
      </c>
      <c r="AE33" s="253">
        <f>SUM(AE3:AE32)</f>
        <v>80</v>
      </c>
    </row>
    <row r="34" spans="1:31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7" t="s">
        <v>2878</v>
      </c>
      <c r="Y34" t="s">
        <v>2881</v>
      </c>
      <c r="Z34">
        <v>4</v>
      </c>
      <c r="AA34">
        <v>0.6</v>
      </c>
    </row>
    <row r="35" spans="1:31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7" t="s">
        <v>2878</v>
      </c>
      <c r="Y35" t="s">
        <v>108</v>
      </c>
      <c r="Z35">
        <v>4</v>
      </c>
      <c r="AA35">
        <v>0.6</v>
      </c>
    </row>
    <row r="36" spans="1:31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7" t="s">
        <v>2878</v>
      </c>
      <c r="Y36" t="s">
        <v>549</v>
      </c>
      <c r="Z36">
        <v>4</v>
      </c>
      <c r="AA36">
        <v>1.2</v>
      </c>
    </row>
    <row r="37" spans="1:31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2882</v>
      </c>
      <c r="Y37" t="s">
        <v>418</v>
      </c>
      <c r="Z37">
        <v>0</v>
      </c>
      <c r="AA37">
        <v>85</v>
      </c>
    </row>
    <row r="38" spans="1:31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2882</v>
      </c>
      <c r="Y38" s="260" t="s">
        <v>1096</v>
      </c>
      <c r="Z38">
        <v>0</v>
      </c>
      <c r="AA38">
        <v>85</v>
      </c>
    </row>
    <row r="39" spans="1:31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 - EAD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2883</v>
      </c>
      <c r="Y39" t="s">
        <v>549</v>
      </c>
      <c r="Z39">
        <v>0</v>
      </c>
      <c r="AA39">
        <v>32</v>
      </c>
    </row>
    <row r="40" spans="1:31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Em andamento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2884</v>
      </c>
      <c r="Y40" t="s">
        <v>472</v>
      </c>
      <c r="Z40">
        <v>0</v>
      </c>
      <c r="AA40">
        <v>0</v>
      </c>
    </row>
    <row r="41" spans="1:31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  <c r="T41">
        <v>81</v>
      </c>
      <c r="X41" t="s">
        <v>2885</v>
      </c>
      <c r="Y41" t="s">
        <v>1472</v>
      </c>
      <c r="Z41">
        <v>0</v>
      </c>
      <c r="AA41">
        <v>34.9</v>
      </c>
    </row>
    <row r="42" spans="1:31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  <c r="X42" t="s">
        <v>2885</v>
      </c>
      <c r="Y42" t="s">
        <v>2886</v>
      </c>
      <c r="Z42">
        <v>0</v>
      </c>
      <c r="AA42">
        <v>34.9</v>
      </c>
    </row>
    <row r="43" spans="1:31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  <c r="X43" t="s">
        <v>2887</v>
      </c>
      <c r="Y43" s="95" t="s">
        <v>2713</v>
      </c>
      <c r="AA43">
        <v>2.4</v>
      </c>
    </row>
    <row r="44" spans="1:31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  <c r="X44" t="s">
        <v>2887</v>
      </c>
      <c r="Y44" s="95" t="s">
        <v>2864</v>
      </c>
      <c r="AA44">
        <v>0</v>
      </c>
    </row>
    <row r="45" spans="1:31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  <c r="X45" t="s">
        <v>2888</v>
      </c>
      <c r="Y45" t="s">
        <v>2889</v>
      </c>
      <c r="Z45">
        <v>1</v>
      </c>
      <c r="AA45">
        <v>0.3</v>
      </c>
    </row>
    <row r="46" spans="1:31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  <c r="X46" t="s">
        <v>2888</v>
      </c>
      <c r="Y46" t="s">
        <v>2890</v>
      </c>
      <c r="Z46">
        <v>1</v>
      </c>
      <c r="AA46">
        <v>0.3</v>
      </c>
    </row>
    <row r="47" spans="1:31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  <c r="X47" t="s">
        <v>2888</v>
      </c>
      <c r="Y47" t="s">
        <v>2891</v>
      </c>
      <c r="Z47">
        <v>1</v>
      </c>
      <c r="AA47">
        <v>0.3</v>
      </c>
    </row>
    <row r="48" spans="1:31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X48" t="s">
        <v>2888</v>
      </c>
      <c r="Y48" t="s">
        <v>2892</v>
      </c>
      <c r="Z48">
        <v>1</v>
      </c>
      <c r="AA48">
        <v>0.3</v>
      </c>
    </row>
    <row r="49" spans="1:27">
      <c r="A49">
        <v>2026</v>
      </c>
      <c r="B49" t="str">
        <v>2026-034</v>
      </c>
      <c r="C49" t="str">
        <v>Realizado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2888</v>
      </c>
      <c r="Y49" t="s">
        <v>2893</v>
      </c>
      <c r="Z49">
        <v>0</v>
      </c>
      <c r="AA49">
        <v>0</v>
      </c>
    </row>
    <row r="50" spans="1:27">
      <c r="A50">
        <v>2026</v>
      </c>
      <c r="B50" t="str">
        <v>2026-034</v>
      </c>
      <c r="C50" t="str">
        <v>Realizado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2888</v>
      </c>
      <c r="Y50" t="s">
        <v>935</v>
      </c>
      <c r="Z50">
        <v>1</v>
      </c>
      <c r="AA50">
        <v>0.3</v>
      </c>
    </row>
    <row r="51" spans="1:27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2888</v>
      </c>
      <c r="Y51" t="s">
        <v>2894</v>
      </c>
      <c r="Z51">
        <v>1</v>
      </c>
      <c r="AA51">
        <v>0.3</v>
      </c>
    </row>
    <row r="52" spans="1:27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2888</v>
      </c>
      <c r="Y52" t="s">
        <v>1343</v>
      </c>
      <c r="Z52">
        <v>1</v>
      </c>
      <c r="AA52">
        <v>0.3</v>
      </c>
    </row>
    <row r="53" spans="1:27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2888</v>
      </c>
      <c r="Y53" t="s">
        <v>2895</v>
      </c>
      <c r="Z53">
        <v>1</v>
      </c>
      <c r="AA53">
        <v>0.3</v>
      </c>
    </row>
    <row r="54" spans="1:27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2888</v>
      </c>
      <c r="Y54" t="s">
        <v>2896</v>
      </c>
      <c r="Z54">
        <v>0</v>
      </c>
      <c r="AA54">
        <v>0</v>
      </c>
    </row>
    <row r="55" spans="1:27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>
      <c r="A79">
        <v>2026</v>
      </c>
      <c r="B79" t="str">
        <v>2026-047</v>
      </c>
      <c r="C79" t="str">
        <v>A realizar</v>
      </c>
      <c r="D79" t="str">
        <v>Contratações de TIC com base na jurisprudência do TCDF - EAD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>
      <c r="A80">
        <v>2026</v>
      </c>
      <c r="B80" t="str">
        <v>2026-047</v>
      </c>
      <c r="C80" t="str">
        <v>A realizar</v>
      </c>
      <c r="D80" t="str">
        <v>Contratações de TIC com base na jurisprudência do TCDF - EAD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>
      <c r="A81">
        <v>2026</v>
      </c>
      <c r="B81" t="str">
        <v>2026-048</v>
      </c>
      <c r="C81" t="str">
        <v>Em andamento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>
      <c r="A82">
        <v>2026</v>
      </c>
      <c r="B82" t="str">
        <v>2026-048</v>
      </c>
      <c r="C82" t="str">
        <v>Em andamento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>
      <c r="R83" t="str">
        <v/>
      </c>
      <c r="S83" t="str">
        <v/>
      </c>
    </row>
    <row r="84" spans="1:19">
      <c r="R84" t="str">
        <v/>
      </c>
      <c r="S84" t="str">
        <v/>
      </c>
    </row>
    <row r="85" spans="1:19">
      <c r="R85" t="str">
        <v/>
      </c>
      <c r="S85" t="str">
        <v/>
      </c>
    </row>
    <row r="86" spans="1:19">
      <c r="R86" t="str">
        <v/>
      </c>
      <c r="S86" t="str">
        <v/>
      </c>
    </row>
    <row r="87" spans="1:19">
      <c r="R87" t="str">
        <v/>
      </c>
      <c r="S87" t="str">
        <v/>
      </c>
    </row>
    <row r="88" spans="1:19">
      <c r="R88" t="str">
        <v/>
      </c>
      <c r="S88" t="str">
        <v/>
      </c>
    </row>
    <row r="89" spans="1:19">
      <c r="R89" t="str">
        <v/>
      </c>
      <c r="S89" t="str">
        <v/>
      </c>
    </row>
    <row r="90" spans="1:19">
      <c r="R90" t="str">
        <v/>
      </c>
      <c r="S90" t="str">
        <v/>
      </c>
    </row>
    <row r="91" spans="1:19">
      <c r="R91" t="str">
        <v/>
      </c>
      <c r="S91" t="str">
        <v/>
      </c>
    </row>
    <row r="92" spans="1:19">
      <c r="R92" t="str">
        <v/>
      </c>
      <c r="S92" t="str">
        <v/>
      </c>
    </row>
    <row r="93" spans="1:19">
      <c r="R93" t="str">
        <v/>
      </c>
      <c r="S93" t="str">
        <v/>
      </c>
    </row>
    <row r="94" spans="1:19">
      <c r="R94" t="str">
        <v/>
      </c>
      <c r="S94" t="str">
        <v/>
      </c>
    </row>
    <row r="95" spans="1:19">
      <c r="R95" t="str">
        <v/>
      </c>
      <c r="S95" t="str">
        <v/>
      </c>
    </row>
    <row r="96" spans="1:19">
      <c r="R96" t="str">
        <v/>
      </c>
      <c r="S96" t="str">
        <v/>
      </c>
    </row>
    <row r="97" spans="18:19">
      <c r="R97" t="str">
        <v/>
      </c>
      <c r="S97" t="str">
        <v/>
      </c>
    </row>
    <row r="98" spans="18:19">
      <c r="R98" t="str">
        <v/>
      </c>
      <c r="S98" t="str">
        <v/>
      </c>
    </row>
    <row r="99" spans="18:19">
      <c r="R99" t="str">
        <v/>
      </c>
      <c r="S99" t="str">
        <v/>
      </c>
    </row>
    <row r="100" spans="18:19">
      <c r="R100" t="str">
        <v/>
      </c>
      <c r="S100" t="str">
        <v/>
      </c>
    </row>
    <row r="101" spans="18:19">
      <c r="R101" t="str">
        <v/>
      </c>
      <c r="S101" t="str">
        <v/>
      </c>
    </row>
    <row r="102" spans="18:19">
      <c r="R102" t="str">
        <v/>
      </c>
      <c r="S102" t="str">
        <v/>
      </c>
    </row>
    <row r="103" spans="18:19">
      <c r="R103" t="str">
        <v/>
      </c>
      <c r="S103" t="str">
        <v/>
      </c>
    </row>
    <row r="104" spans="18:19">
      <c r="R104" t="str">
        <v/>
      </c>
      <c r="S104" t="str">
        <v/>
      </c>
    </row>
    <row r="105" spans="18:19">
      <c r="R105" t="str">
        <v/>
      </c>
      <c r="S105" t="str">
        <v/>
      </c>
    </row>
    <row r="106" spans="18:19">
      <c r="R106" t="str">
        <v/>
      </c>
      <c r="S106" t="str">
        <v/>
      </c>
    </row>
    <row r="107" spans="18:19">
      <c r="R107" t="str">
        <v/>
      </c>
      <c r="S107" t="str">
        <v/>
      </c>
    </row>
    <row r="108" spans="18:19">
      <c r="R108" t="str">
        <v/>
      </c>
      <c r="S108" t="str">
        <v/>
      </c>
    </row>
    <row r="109" spans="18:19">
      <c r="R109" t="str">
        <v/>
      </c>
      <c r="S109" t="str">
        <v/>
      </c>
    </row>
    <row r="110" spans="18:19">
      <c r="R110" t="str">
        <v/>
      </c>
      <c r="S110" t="str">
        <v/>
      </c>
    </row>
    <row r="111" spans="18:19">
      <c r="R111" t="str">
        <v/>
      </c>
      <c r="S111" t="str">
        <v/>
      </c>
    </row>
    <row r="112" spans="18:19">
      <c r="R112" t="str">
        <v/>
      </c>
      <c r="S112" t="str">
        <v/>
      </c>
    </row>
    <row r="113" spans="18:19">
      <c r="R113" t="str">
        <v/>
      </c>
      <c r="S113" t="str">
        <v/>
      </c>
    </row>
    <row r="114" spans="18:19">
      <c r="R114" t="str">
        <v/>
      </c>
      <c r="S114" t="str">
        <v/>
      </c>
    </row>
    <row r="115" spans="18:19">
      <c r="R115" t="str">
        <v/>
      </c>
      <c r="S115" t="str">
        <v/>
      </c>
    </row>
    <row r="116" spans="18:19">
      <c r="R116" t="str">
        <v/>
      </c>
      <c r="S116" t="str">
        <v/>
      </c>
    </row>
    <row r="117" spans="18:19">
      <c r="R117" t="str">
        <v/>
      </c>
      <c r="S117" t="str">
        <v/>
      </c>
    </row>
    <row r="118" spans="18:19">
      <c r="R118" t="str">
        <v/>
      </c>
      <c r="S118" t="str">
        <v/>
      </c>
    </row>
    <row r="119" spans="18:19">
      <c r="R119" t="str">
        <v/>
      </c>
      <c r="S119" t="str">
        <v/>
      </c>
    </row>
    <row r="120" spans="18:19">
      <c r="R120" t="str">
        <v/>
      </c>
      <c r="S120" t="str">
        <v/>
      </c>
    </row>
    <row r="121" spans="18:19">
      <c r="R121" t="str">
        <v/>
      </c>
      <c r="S121" t="str">
        <v/>
      </c>
    </row>
    <row r="122" spans="18:19">
      <c r="R122" t="str">
        <v/>
      </c>
      <c r="S122" t="str">
        <v/>
      </c>
    </row>
    <row r="123" spans="18:19">
      <c r="R123" t="str">
        <v/>
      </c>
      <c r="S123" t="str">
        <v/>
      </c>
    </row>
    <row r="124" spans="18:19">
      <c r="R124" t="str">
        <v/>
      </c>
      <c r="S124" t="str">
        <v/>
      </c>
    </row>
    <row r="125" spans="18:19">
      <c r="R125" t="str">
        <v/>
      </c>
      <c r="S125" t="str">
        <v/>
      </c>
    </row>
    <row r="126" spans="18:19">
      <c r="R126" t="str">
        <v/>
      </c>
      <c r="S126" t="str">
        <v/>
      </c>
    </row>
    <row r="127" spans="18:19">
      <c r="R127" t="str">
        <v/>
      </c>
      <c r="S127" t="str">
        <v/>
      </c>
    </row>
    <row r="128" spans="18:19">
      <c r="R128" t="str">
        <v/>
      </c>
      <c r="S128" t="str">
        <v/>
      </c>
    </row>
    <row r="129" spans="18:19">
      <c r="R129" t="str">
        <v/>
      </c>
      <c r="S129" t="str">
        <v/>
      </c>
    </row>
    <row r="130" spans="18:19">
      <c r="R130" t="str">
        <v/>
      </c>
      <c r="S130" t="str">
        <v/>
      </c>
    </row>
    <row r="131" spans="18:19">
      <c r="R131" t="str">
        <v/>
      </c>
      <c r="S131" t="str">
        <v/>
      </c>
    </row>
    <row r="132" spans="18:19">
      <c r="R132" t="str">
        <v/>
      </c>
      <c r="S132" t="str">
        <v/>
      </c>
    </row>
    <row r="133" spans="18:19">
      <c r="R133" t="str">
        <v/>
      </c>
      <c r="S133" t="str">
        <v/>
      </c>
    </row>
    <row r="134" spans="18:19">
      <c r="R134" t="str">
        <v/>
      </c>
      <c r="S134" t="str">
        <v/>
      </c>
    </row>
    <row r="135" spans="18:19">
      <c r="R135" t="str">
        <v/>
      </c>
      <c r="S135" t="str">
        <v/>
      </c>
    </row>
    <row r="136" spans="18:19">
      <c r="R136" t="str">
        <v/>
      </c>
      <c r="S136" t="str">
        <v/>
      </c>
    </row>
    <row r="137" spans="18:19">
      <c r="R137" t="str">
        <v/>
      </c>
      <c r="S137" t="str">
        <v/>
      </c>
    </row>
    <row r="138" spans="18:19">
      <c r="R138" t="str">
        <v/>
      </c>
      <c r="S138" t="str">
        <v/>
      </c>
    </row>
    <row r="139" spans="18:19">
      <c r="R139" t="str">
        <v/>
      </c>
      <c r="S139" t="str">
        <v/>
      </c>
    </row>
    <row r="140" spans="18:19">
      <c r="R140" t="str">
        <v/>
      </c>
      <c r="S140" t="str">
        <v/>
      </c>
    </row>
    <row r="141" spans="18:19">
      <c r="R141" t="str">
        <v/>
      </c>
      <c r="S141" t="str">
        <v/>
      </c>
    </row>
    <row r="142" spans="18:19">
      <c r="R142" t="str">
        <v/>
      </c>
      <c r="S142" t="str">
        <v/>
      </c>
    </row>
    <row r="143" spans="18:19">
      <c r="R143" t="str">
        <v/>
      </c>
      <c r="S143" t="str">
        <v/>
      </c>
    </row>
    <row r="144" spans="18:19">
      <c r="R144" t="str">
        <v/>
      </c>
      <c r="S144" t="str">
        <v/>
      </c>
    </row>
    <row r="145" spans="18:19">
      <c r="R145" t="str">
        <v/>
      </c>
      <c r="S145" t="str">
        <v/>
      </c>
    </row>
    <row r="146" spans="18:19">
      <c r="R146" t="str">
        <v/>
      </c>
      <c r="S146" t="str">
        <v/>
      </c>
    </row>
    <row r="147" spans="18:19">
      <c r="R147" t="str">
        <v/>
      </c>
      <c r="S147" t="str">
        <v/>
      </c>
    </row>
    <row r="148" spans="18:19">
      <c r="R148" t="str">
        <v/>
      </c>
      <c r="S148" t="str">
        <v/>
      </c>
    </row>
    <row r="149" spans="18:19">
      <c r="R149" t="str">
        <v/>
      </c>
      <c r="S149" t="str">
        <v/>
      </c>
    </row>
    <row r="150" spans="18:19">
      <c r="R150" t="str">
        <v/>
      </c>
      <c r="S150" t="str">
        <v/>
      </c>
    </row>
    <row r="151" spans="18:19">
      <c r="R151" t="str">
        <v/>
      </c>
      <c r="S151" t="str">
        <v/>
      </c>
    </row>
    <row r="152" spans="18:19">
      <c r="R152" t="str">
        <v/>
      </c>
      <c r="S152" t="str">
        <v/>
      </c>
    </row>
    <row r="153" spans="18:19">
      <c r="R153" t="str">
        <v/>
      </c>
      <c r="S153" t="str">
        <v/>
      </c>
    </row>
    <row r="154" spans="18:19">
      <c r="R154" t="str">
        <v/>
      </c>
      <c r="S154" t="str">
        <v/>
      </c>
    </row>
    <row r="155" spans="18:19">
      <c r="R155" t="str">
        <v/>
      </c>
      <c r="S155" t="str">
        <v/>
      </c>
    </row>
    <row r="156" spans="18:19">
      <c r="R156" t="str">
        <v/>
      </c>
      <c r="S156" t="str">
        <v/>
      </c>
    </row>
    <row r="157" spans="18:19">
      <c r="R157" t="str">
        <v/>
      </c>
      <c r="S157" t="str">
        <v/>
      </c>
    </row>
    <row r="158" spans="18:19">
      <c r="R158" t="str">
        <v/>
      </c>
      <c r="S158" t="str">
        <v/>
      </c>
    </row>
    <row r="159" spans="18:19">
      <c r="R159" t="str">
        <v/>
      </c>
      <c r="S159" t="str">
        <v/>
      </c>
    </row>
    <row r="160" spans="18:19">
      <c r="R160" t="str">
        <v/>
      </c>
      <c r="S160" t="str">
        <v/>
      </c>
    </row>
    <row r="161" spans="18:19">
      <c r="R161" t="str">
        <v/>
      </c>
      <c r="S161" t="str">
        <v/>
      </c>
    </row>
    <row r="162" spans="18:19">
      <c r="R162" t="str">
        <v/>
      </c>
      <c r="S162" t="str">
        <v/>
      </c>
    </row>
    <row r="163" spans="18:19">
      <c r="R163" t="str">
        <v/>
      </c>
      <c r="S163" t="str">
        <v/>
      </c>
    </row>
    <row r="164" spans="18:19">
      <c r="R164" t="str">
        <v/>
      </c>
      <c r="S164" t="str">
        <v/>
      </c>
    </row>
    <row r="165" spans="18:19">
      <c r="R165" t="str">
        <v/>
      </c>
      <c r="S165" t="str">
        <v/>
      </c>
    </row>
    <row r="166" spans="18:19">
      <c r="R166" t="str">
        <v/>
      </c>
      <c r="S166" t="str">
        <v/>
      </c>
    </row>
    <row r="167" spans="18:19">
      <c r="R167" t="str">
        <v/>
      </c>
      <c r="S167" t="str">
        <v/>
      </c>
    </row>
    <row r="168" spans="18:19">
      <c r="R168" t="str">
        <v/>
      </c>
      <c r="S168" t="str">
        <v/>
      </c>
    </row>
    <row r="169" spans="18:19">
      <c r="R169" t="str">
        <v/>
      </c>
      <c r="S169" t="str">
        <v/>
      </c>
    </row>
    <row r="170" spans="18:19">
      <c r="R170" t="str">
        <v/>
      </c>
      <c r="S170" t="str">
        <v/>
      </c>
    </row>
    <row r="171" spans="18:19">
      <c r="R171" t="str">
        <v/>
      </c>
      <c r="S171" t="str">
        <v/>
      </c>
    </row>
    <row r="172" spans="18:19">
      <c r="R172" t="str">
        <v/>
      </c>
      <c r="S172" t="str">
        <v/>
      </c>
    </row>
    <row r="173" spans="18:19">
      <c r="R173" t="str">
        <v/>
      </c>
      <c r="S173" t="str">
        <v/>
      </c>
    </row>
    <row r="174" spans="18:19">
      <c r="R174" t="str">
        <v/>
      </c>
      <c r="S174" t="str">
        <v/>
      </c>
    </row>
    <row r="175" spans="18:19">
      <c r="R175" t="str">
        <v/>
      </c>
      <c r="S175" t="str">
        <v/>
      </c>
    </row>
    <row r="176" spans="18:19">
      <c r="R176" t="str">
        <v/>
      </c>
      <c r="S176" t="str">
        <v/>
      </c>
    </row>
    <row r="177" spans="18:19">
      <c r="R177" t="str">
        <v/>
      </c>
      <c r="S177" t="str">
        <v/>
      </c>
    </row>
    <row r="178" spans="18:19">
      <c r="R178" t="str">
        <v/>
      </c>
      <c r="S178" t="str">
        <v/>
      </c>
    </row>
    <row r="179" spans="18:19">
      <c r="R179" t="str">
        <v/>
      </c>
      <c r="S179" t="str">
        <v/>
      </c>
    </row>
    <row r="180" spans="18:19">
      <c r="R180" t="str">
        <v/>
      </c>
      <c r="S180" t="str">
        <v/>
      </c>
    </row>
    <row r="181" spans="18:19">
      <c r="R181" t="str">
        <v/>
      </c>
      <c r="S181" t="str">
        <v/>
      </c>
    </row>
    <row r="182" spans="18:19">
      <c r="R182" t="str">
        <v/>
      </c>
      <c r="S182" t="str">
        <v/>
      </c>
    </row>
    <row r="183" spans="18:19">
      <c r="R183" t="str">
        <v/>
      </c>
      <c r="S183" t="str">
        <v/>
      </c>
    </row>
    <row r="184" spans="18:19">
      <c r="R184" t="str">
        <v/>
      </c>
      <c r="S184" t="str">
        <v/>
      </c>
    </row>
    <row r="185" spans="18:19">
      <c r="R185" t="str">
        <v/>
      </c>
      <c r="S185" t="str">
        <v/>
      </c>
    </row>
    <row r="186" spans="18:19">
      <c r="R186" t="str">
        <v/>
      </c>
      <c r="S186" t="str">
        <v/>
      </c>
    </row>
    <row r="187" spans="18:19">
      <c r="R187" t="str">
        <v/>
      </c>
      <c r="S187" t="str">
        <v/>
      </c>
    </row>
    <row r="188" spans="18:19">
      <c r="R188" t="str">
        <v/>
      </c>
      <c r="S188" t="str">
        <v/>
      </c>
    </row>
    <row r="189" spans="18:19">
      <c r="R189" t="str">
        <v/>
      </c>
      <c r="S189" t="str">
        <v/>
      </c>
    </row>
    <row r="190" spans="18:19">
      <c r="R190" t="str">
        <v/>
      </c>
      <c r="S190" t="str">
        <v/>
      </c>
    </row>
    <row r="191" spans="18:19">
      <c r="R191" t="str">
        <v/>
      </c>
      <c r="S191" t="str">
        <v/>
      </c>
    </row>
    <row r="192" spans="18:19">
      <c r="R192" t="str">
        <v/>
      </c>
      <c r="S192" t="str">
        <v/>
      </c>
    </row>
    <row r="193" spans="18:19">
      <c r="R193" t="str">
        <v/>
      </c>
      <c r="S193" t="str">
        <v/>
      </c>
    </row>
    <row r="194" spans="18:19">
      <c r="R194" t="str">
        <v/>
      </c>
      <c r="S194" t="str">
        <v/>
      </c>
    </row>
    <row r="195" spans="18:19">
      <c r="R195" t="str">
        <v/>
      </c>
      <c r="S195" t="str">
        <v/>
      </c>
    </row>
    <row r="196" spans="18:19">
      <c r="R196" t="str">
        <v/>
      </c>
      <c r="S196" t="str">
        <v/>
      </c>
    </row>
    <row r="197" spans="18:19">
      <c r="R197" t="str">
        <v/>
      </c>
      <c r="S197" t="str">
        <v/>
      </c>
    </row>
    <row r="198" spans="18:19">
      <c r="R198" t="str">
        <v/>
      </c>
      <c r="S198" t="str">
        <v/>
      </c>
    </row>
    <row r="199" spans="18:19">
      <c r="R199" t="str">
        <v/>
      </c>
      <c r="S199" t="str">
        <v/>
      </c>
    </row>
    <row r="200" spans="18:19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>
      <c r="A1" s="279" t="s">
        <v>2897</v>
      </c>
      <c r="B1" s="279"/>
      <c r="C1" s="279"/>
      <c r="D1" s="279"/>
      <c r="E1" s="279"/>
      <c r="F1" s="279"/>
      <c r="G1" s="279"/>
    </row>
    <row r="2" spans="1:7" ht="9.9499999999999993" customHeight="1">
      <c r="A2" s="107"/>
      <c r="B2" s="107"/>
      <c r="C2" s="107"/>
      <c r="D2" s="107"/>
      <c r="E2" s="107"/>
      <c r="F2" s="107"/>
      <c r="G2" s="107"/>
    </row>
    <row r="3" spans="1:7" ht="15.75" thickBot="1"/>
    <row r="4" spans="1:7" ht="24.95" customHeight="1">
      <c r="A4" s="280" t="s">
        <v>2898</v>
      </c>
      <c r="B4" s="281"/>
      <c r="D4" s="282" t="s">
        <v>2899</v>
      </c>
      <c r="E4" s="283"/>
      <c r="G4" s="125" t="s">
        <v>2900</v>
      </c>
    </row>
    <row r="5" spans="1:7" ht="54.95" customHeight="1" thickBot="1">
      <c r="A5" s="115">
        <f>COUNTIF('Ações InCompany'!B:B,2026)</f>
        <v>48</v>
      </c>
      <c r="B5" s="116" t="s">
        <v>2901</v>
      </c>
      <c r="D5" s="123">
        <f>COUNTIFS('Ações InCompany'!B:B,2026,'Ações InCompany'!C:C,"Realizado")</f>
        <v>32</v>
      </c>
      <c r="E5" s="124" t="s">
        <v>2901</v>
      </c>
      <c r="G5" s="126">
        <f>COUNTIFS('Ações InCompany'!B:B,2026,'Ações InCompany'!C:C,"A realizar")</f>
        <v>11</v>
      </c>
    </row>
    <row r="6" spans="1:7" ht="5.0999999999999996" customHeight="1">
      <c r="A6" s="107"/>
      <c r="B6" s="107"/>
      <c r="C6" s="107"/>
      <c r="D6" s="107"/>
      <c r="E6" s="107"/>
      <c r="F6" s="107"/>
      <c r="G6" s="107"/>
    </row>
    <row r="8" spans="1:7" ht="17.25">
      <c r="A8" s="278" t="s">
        <v>2902</v>
      </c>
      <c r="B8" s="278"/>
      <c r="D8" s="278" t="s">
        <v>2903</v>
      </c>
      <c r="E8" s="278"/>
    </row>
    <row r="9" spans="1:7" ht="5.0999999999999996" customHeight="1">
      <c r="A9" s="290"/>
      <c r="B9" s="290"/>
      <c r="D9" s="290"/>
      <c r="E9" s="290"/>
    </row>
    <row r="10" spans="1:7" ht="24.95" customHeight="1">
      <c r="A10" s="108" t="s">
        <v>5</v>
      </c>
      <c r="B10" s="108" t="s">
        <v>2904</v>
      </c>
      <c r="D10" s="108" t="s">
        <v>2905</v>
      </c>
      <c r="E10" s="108" t="s">
        <v>2906</v>
      </c>
    </row>
    <row r="11" spans="1:7" ht="27.95" customHeight="1">
      <c r="A11" s="109" t="s">
        <v>23</v>
      </c>
      <c r="B11" s="110">
        <f>COUNTIFS('Ações InCompany'!B:B,2026,'Ações InCompany'!C:C,"Realizado",'Ações InCompany'!F:F,"Servidores do TCDF")</f>
        <v>16</v>
      </c>
      <c r="D11" s="109" t="s">
        <v>2907</v>
      </c>
      <c r="E11" s="110">
        <f>SUMIFS('Ações InCompany'!O:O,'Ações InCompany'!B:B,2026,'Ações InCompany'!C:C,"Realizado")</f>
        <v>461</v>
      </c>
    </row>
    <row r="12" spans="1:7" ht="27.95" customHeight="1">
      <c r="A12" s="111" t="s">
        <v>62</v>
      </c>
      <c r="B12" s="112">
        <f>COUNTIFS('Ações InCompany'!B:B,2026,'Ações InCompany'!C:C,"Realizado",'Ações InCompany'!F:F,"Jurisdicionados")</f>
        <v>11</v>
      </c>
      <c r="D12" s="111" t="s">
        <v>2908</v>
      </c>
      <c r="E12" s="112">
        <f>SUMIFS('Ações InCompany'!P:P,'Ações InCompany'!B:B,2026,'Ações InCompany'!C:C,"Realizado")</f>
        <v>447</v>
      </c>
    </row>
    <row r="13" spans="1:7" ht="27.95" customHeight="1">
      <c r="A13" s="109" t="s">
        <v>81</v>
      </c>
      <c r="B13" s="110">
        <f>COUNTIFS('Ações InCompany'!B:B,2026,'Ações InCompany'!C:C,"Realizado",'Ações InCompany'!F:F,"Sociedade")</f>
        <v>5</v>
      </c>
      <c r="D13" s="109" t="s">
        <v>2909</v>
      </c>
      <c r="E13" s="110">
        <f>SUMIFS('Ações InCompany'!Q:Q,'Ações InCompany'!B:B,2026,'Ações InCompany'!C:C,"Realizado")</f>
        <v>370</v>
      </c>
    </row>
    <row r="14" spans="1:7" ht="27.95" customHeight="1">
      <c r="A14" s="113" t="s">
        <v>2910</v>
      </c>
      <c r="B14" s="114">
        <f>SUM(B11:B13)</f>
        <v>32</v>
      </c>
      <c r="D14" s="113" t="s">
        <v>2911</v>
      </c>
      <c r="E14" s="114">
        <f>SUM(E11:E13)</f>
        <v>1278</v>
      </c>
    </row>
    <row r="30" spans="1:5" ht="17.25">
      <c r="A30" s="278" t="s">
        <v>2912</v>
      </c>
      <c r="B30" s="278"/>
      <c r="C30" s="278"/>
      <c r="D30" s="278"/>
      <c r="E30" s="278"/>
    </row>
    <row r="31" spans="1:5" ht="5.0999999999999996" customHeight="1">
      <c r="A31" s="290"/>
      <c r="B31" s="290"/>
      <c r="C31" s="290"/>
      <c r="D31" s="290"/>
      <c r="E31" s="290"/>
    </row>
    <row r="32" spans="1:5" ht="24.95" customHeight="1">
      <c r="A32" s="108" t="s">
        <v>6</v>
      </c>
      <c r="B32" s="108" t="s">
        <v>2913</v>
      </c>
      <c r="C32" s="108" t="s">
        <v>2914</v>
      </c>
      <c r="D32" s="108" t="s">
        <v>2915</v>
      </c>
      <c r="E32" s="108" t="s">
        <v>2916</v>
      </c>
    </row>
    <row r="33" spans="1:5" ht="24" customHeight="1">
      <c r="A33" s="109" t="s">
        <v>72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5</v>
      </c>
      <c r="D33" s="117">
        <f t="shared" ref="D33:D44" si="0">B33+C33</f>
        <v>10</v>
      </c>
      <c r="E33" s="118">
        <f t="shared" ref="E33:E44" si="1">D33/$D$45</f>
        <v>0.23255813953488372</v>
      </c>
    </row>
    <row r="34" spans="1:5" ht="24" customHeight="1">
      <c r="A34" s="111" t="s">
        <v>38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6.9767441860465115E-2</v>
      </c>
    </row>
    <row r="35" spans="1:5" ht="24" customHeight="1">
      <c r="A35" s="109" t="s">
        <v>2711</v>
      </c>
      <c r="B35" s="117">
        <f>COUNTIFS('Ações InCompany'!B:B,2026,'Ações InCompany'!C:C,"Realizado",'Ações InCompany'!G:G,A35)</f>
        <v>5</v>
      </c>
      <c r="C35" s="127">
        <f>COUNTIFS('Ações InCompany'!B:B,2026,'Ações InCompany'!C:C,"A realizar",'Ações InCompany'!G:G,A35)</f>
        <v>0</v>
      </c>
      <c r="D35" s="117">
        <f t="shared" si="0"/>
        <v>5</v>
      </c>
      <c r="E35" s="118">
        <f t="shared" si="1"/>
        <v>0.11627906976744186</v>
      </c>
    </row>
    <row r="36" spans="1:5" ht="24" customHeight="1">
      <c r="A36" s="111" t="s">
        <v>2695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2.3255813953488372E-2</v>
      </c>
    </row>
    <row r="37" spans="1:5" ht="24" customHeight="1">
      <c r="A37" s="109" t="s">
        <v>199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4.6511627906976744E-2</v>
      </c>
    </row>
    <row r="38" spans="1:5" ht="24" customHeight="1">
      <c r="A38" s="111" t="s">
        <v>2727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0.16279069767441862</v>
      </c>
    </row>
    <row r="39" spans="1:5" ht="24" customHeight="1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9.3023255813953487E-2</v>
      </c>
    </row>
    <row r="40" spans="1:5" ht="24" customHeight="1">
      <c r="A40" s="156" t="s">
        <v>68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4.6511627906976744E-2</v>
      </c>
    </row>
    <row r="41" spans="1:5" ht="24" customHeight="1">
      <c r="A41" s="155" t="s">
        <v>2690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0.16279069767441862</v>
      </c>
    </row>
    <row r="42" spans="1:5" ht="24" customHeight="1">
      <c r="A42" s="156" t="s">
        <v>2917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>
      <c r="A43" s="155" t="s">
        <v>364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4.6511627906976744E-2</v>
      </c>
    </row>
    <row r="44" spans="1:5" ht="24" customHeight="1">
      <c r="A44" s="148" t="s">
        <v>2918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>
      <c r="A45" s="113" t="s">
        <v>2910</v>
      </c>
      <c r="B45" s="121">
        <f>SUM(B33:B44)</f>
        <v>32</v>
      </c>
      <c r="C45" s="121">
        <f>SUM(C33:C44)</f>
        <v>11</v>
      </c>
      <c r="D45" s="121">
        <f>SUM(D33:D44)</f>
        <v>43</v>
      </c>
      <c r="E45" s="122">
        <f>SUM(E33:E44)</f>
        <v>0.99999999999999989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2919</v>
      </c>
      <c r="B1" s="12" t="s">
        <v>2920</v>
      </c>
      <c r="C1" s="13" t="s">
        <v>2921</v>
      </c>
      <c r="D1" s="13" t="s">
        <v>2922</v>
      </c>
      <c r="E1" s="13" t="s">
        <v>2923</v>
      </c>
    </row>
    <row r="2" spans="1:5" ht="18" customHeight="1">
      <c r="A2" s="12" t="s">
        <v>2924</v>
      </c>
      <c r="B2" s="12" t="s">
        <v>2925</v>
      </c>
      <c r="C2" s="12" t="s">
        <v>1729</v>
      </c>
      <c r="D2" s="12" t="s">
        <v>2926</v>
      </c>
      <c r="E2" s="12" t="s">
        <v>2927</v>
      </c>
    </row>
    <row r="3" spans="1:5" ht="18" customHeight="1">
      <c r="A3" s="12" t="s">
        <v>2924</v>
      </c>
      <c r="B3" s="12" t="s">
        <v>2925</v>
      </c>
      <c r="C3" s="14" t="s">
        <v>24</v>
      </c>
      <c r="D3" s="12" t="s">
        <v>2928</v>
      </c>
      <c r="E3" s="12" t="s">
        <v>2929</v>
      </c>
    </row>
    <row r="4" spans="1:5" ht="18" customHeight="1">
      <c r="A4" s="12" t="s">
        <v>2924</v>
      </c>
      <c r="B4" s="12" t="s">
        <v>2925</v>
      </c>
      <c r="C4" s="12" t="s">
        <v>68</v>
      </c>
      <c r="D4" s="12" t="s">
        <v>2926</v>
      </c>
      <c r="E4" s="12" t="s">
        <v>2930</v>
      </c>
    </row>
    <row r="5" spans="1:5" ht="18" customHeight="1">
      <c r="A5" s="12" t="s">
        <v>2924</v>
      </c>
      <c r="B5" s="12" t="s">
        <v>2925</v>
      </c>
      <c r="C5" s="12" t="s">
        <v>72</v>
      </c>
      <c r="D5" s="12" t="s">
        <v>2931</v>
      </c>
      <c r="E5" s="12" t="s">
        <v>2932</v>
      </c>
    </row>
    <row r="6" spans="1:5" ht="18" customHeight="1">
      <c r="A6" s="12" t="s">
        <v>2924</v>
      </c>
      <c r="B6" s="12" t="s">
        <v>2925</v>
      </c>
      <c r="C6" s="12" t="s">
        <v>2727</v>
      </c>
      <c r="D6" s="12" t="s">
        <v>2933</v>
      </c>
      <c r="E6" s="12" t="s">
        <v>2934</v>
      </c>
    </row>
    <row r="7" spans="1:5" ht="18" customHeight="1">
      <c r="A7" s="12" t="s">
        <v>2924</v>
      </c>
      <c r="B7" s="12" t="s">
        <v>2935</v>
      </c>
      <c r="C7" s="12" t="s">
        <v>33</v>
      </c>
      <c r="D7" s="12" t="s">
        <v>2936</v>
      </c>
      <c r="E7" s="12" t="s">
        <v>2937</v>
      </c>
    </row>
    <row r="8" spans="1:5" ht="18" customHeight="1">
      <c r="A8" s="12" t="s">
        <v>2924</v>
      </c>
      <c r="B8" s="12" t="s">
        <v>2935</v>
      </c>
      <c r="C8" s="12" t="s">
        <v>38</v>
      </c>
      <c r="D8" s="12" t="s">
        <v>2938</v>
      </c>
      <c r="E8" s="12" t="s">
        <v>2939</v>
      </c>
    </row>
    <row r="9" spans="1:5" ht="18" customHeight="1">
      <c r="A9" s="12" t="s">
        <v>2924</v>
      </c>
      <c r="B9" s="12" t="s">
        <v>2940</v>
      </c>
      <c r="C9" s="12" t="s">
        <v>457</v>
      </c>
      <c r="D9" s="12" t="s">
        <v>2941</v>
      </c>
      <c r="E9" s="12" t="s">
        <v>2942</v>
      </c>
    </row>
    <row r="10" spans="1:5" ht="18" customHeight="1">
      <c r="A10" s="12" t="s">
        <v>2924</v>
      </c>
      <c r="B10" s="12" t="s">
        <v>2940</v>
      </c>
      <c r="C10" s="12" t="s">
        <v>199</v>
      </c>
      <c r="D10" s="12" t="s">
        <v>23</v>
      </c>
      <c r="E10" s="12" t="s">
        <v>2943</v>
      </c>
    </row>
    <row r="11" spans="1:5" ht="18" customHeight="1">
      <c r="A11" s="12" t="s">
        <v>2924</v>
      </c>
      <c r="B11" s="12" t="s">
        <v>2940</v>
      </c>
      <c r="C11" s="12" t="s">
        <v>364</v>
      </c>
      <c r="D11" s="12" t="s">
        <v>23</v>
      </c>
      <c r="E11" s="12" t="s">
        <v>2944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>
      <c r="A1" s="15" t="s">
        <v>2945</v>
      </c>
      <c r="B1" s="5" t="s">
        <v>10</v>
      </c>
      <c r="C1" s="15" t="s">
        <v>2946</v>
      </c>
      <c r="D1" s="15" t="s">
        <v>2837</v>
      </c>
    </row>
    <row r="2" spans="1:4" ht="21" customHeight="1">
      <c r="A2" s="259" t="s">
        <v>23</v>
      </c>
      <c r="B2" s="259" t="s">
        <v>35</v>
      </c>
      <c r="C2" s="12" t="s">
        <v>2947</v>
      </c>
      <c r="D2" s="12" t="s">
        <v>2765</v>
      </c>
    </row>
    <row r="3" spans="1:4" ht="21" customHeight="1">
      <c r="A3" s="12" t="s">
        <v>62</v>
      </c>
      <c r="B3" s="259" t="s">
        <v>26</v>
      </c>
      <c r="C3" s="12" t="s">
        <v>2948</v>
      </c>
      <c r="D3" s="12" t="s">
        <v>2664</v>
      </c>
    </row>
    <row r="4" spans="1:4" ht="21" customHeight="1">
      <c r="A4" s="14" t="s">
        <v>81</v>
      </c>
      <c r="B4" s="259" t="s">
        <v>220</v>
      </c>
      <c r="D4" s="12" t="s">
        <v>2743</v>
      </c>
    </row>
    <row r="5" spans="1:4" ht="21" customHeight="1">
      <c r="A5" s="12" t="s">
        <v>225</v>
      </c>
      <c r="D5" s="12" t="s">
        <v>21</v>
      </c>
    </row>
    <row r="6" spans="1:4" ht="21" customHeight="1">
      <c r="D6" s="12" t="s">
        <v>2757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2919</v>
      </c>
      <c r="B1" s="12" t="s">
        <v>2920</v>
      </c>
      <c r="C1" s="13" t="s">
        <v>2921</v>
      </c>
      <c r="D1" s="13" t="s">
        <v>2922</v>
      </c>
      <c r="E1" s="13" t="s">
        <v>2923</v>
      </c>
    </row>
    <row r="2" spans="1:5" ht="18" customHeight="1">
      <c r="A2" s="12" t="s">
        <v>2949</v>
      </c>
      <c r="B2" s="12" t="s">
        <v>2925</v>
      </c>
      <c r="C2" s="14" t="s">
        <v>24</v>
      </c>
      <c r="D2" s="12" t="s">
        <v>2926</v>
      </c>
      <c r="E2" s="18" t="s">
        <v>2950</v>
      </c>
    </row>
    <row r="3" spans="1:5" ht="18" customHeight="1">
      <c r="A3" s="12" t="s">
        <v>2949</v>
      </c>
      <c r="B3" s="12" t="s">
        <v>2925</v>
      </c>
      <c r="C3" s="12" t="s">
        <v>68</v>
      </c>
      <c r="D3" s="12" t="s">
        <v>2928</v>
      </c>
      <c r="E3" s="12" t="s">
        <v>2951</v>
      </c>
    </row>
    <row r="4" spans="1:5" ht="18" customHeight="1">
      <c r="A4" s="12" t="s">
        <v>2949</v>
      </c>
      <c r="B4" s="12" t="s">
        <v>2925</v>
      </c>
      <c r="C4" s="12" t="s">
        <v>72</v>
      </c>
      <c r="D4" s="12" t="s">
        <v>2931</v>
      </c>
      <c r="E4" s="12" t="s">
        <v>2952</v>
      </c>
    </row>
    <row r="5" spans="1:5" ht="27.75" customHeight="1">
      <c r="A5" s="12" t="s">
        <v>2949</v>
      </c>
      <c r="B5" s="12" t="s">
        <v>2925</v>
      </c>
      <c r="C5" s="12" t="s">
        <v>2690</v>
      </c>
      <c r="D5" s="18" t="s">
        <v>2953</v>
      </c>
      <c r="E5" s="12" t="s">
        <v>2954</v>
      </c>
    </row>
    <row r="6" spans="1:5" ht="18" customHeight="1">
      <c r="A6" s="12" t="s">
        <v>2949</v>
      </c>
      <c r="B6" s="12" t="s">
        <v>2925</v>
      </c>
      <c r="C6" s="12" t="s">
        <v>2727</v>
      </c>
      <c r="D6" s="12" t="s">
        <v>2933</v>
      </c>
      <c r="E6" s="12" t="s">
        <v>2934</v>
      </c>
    </row>
    <row r="7" spans="1:5" ht="18" customHeight="1">
      <c r="A7" s="12" t="s">
        <v>2949</v>
      </c>
      <c r="B7" s="12" t="s">
        <v>2935</v>
      </c>
      <c r="C7" s="12" t="s">
        <v>2711</v>
      </c>
      <c r="D7" s="12" t="s">
        <v>2955</v>
      </c>
      <c r="E7" s="12" t="s">
        <v>2956</v>
      </c>
    </row>
    <row r="8" spans="1:5" ht="18" customHeight="1">
      <c r="A8" s="12" t="s">
        <v>2949</v>
      </c>
      <c r="B8" s="12" t="s">
        <v>2935</v>
      </c>
      <c r="C8" s="12" t="s">
        <v>38</v>
      </c>
      <c r="D8" s="12" t="s">
        <v>2938</v>
      </c>
      <c r="E8" s="12" t="s">
        <v>2939</v>
      </c>
    </row>
    <row r="9" spans="1:5" ht="18" customHeight="1">
      <c r="A9" s="12" t="s">
        <v>2949</v>
      </c>
      <c r="B9" s="12" t="s">
        <v>2935</v>
      </c>
      <c r="C9" s="12" t="s">
        <v>2695</v>
      </c>
      <c r="D9" s="12" t="s">
        <v>2957</v>
      </c>
      <c r="E9" s="18" t="s">
        <v>2958</v>
      </c>
    </row>
    <row r="10" spans="1:5" ht="18" customHeight="1">
      <c r="A10" s="12" t="s">
        <v>2949</v>
      </c>
      <c r="B10" s="12" t="s">
        <v>2959</v>
      </c>
      <c r="C10" s="12" t="s">
        <v>2917</v>
      </c>
      <c r="D10" s="12" t="s">
        <v>2960</v>
      </c>
      <c r="E10" s="18" t="s">
        <v>2961</v>
      </c>
    </row>
    <row r="11" spans="1:5" ht="18" customHeight="1">
      <c r="A11" s="12" t="s">
        <v>2949</v>
      </c>
      <c r="B11" s="12" t="s">
        <v>2959</v>
      </c>
      <c r="C11" s="12" t="s">
        <v>199</v>
      </c>
      <c r="D11" s="12" t="s">
        <v>23</v>
      </c>
      <c r="E11" s="12" t="s">
        <v>2943</v>
      </c>
    </row>
    <row r="12" spans="1:5" ht="18" customHeight="1">
      <c r="A12" s="12" t="s">
        <v>2949</v>
      </c>
      <c r="B12" s="12" t="s">
        <v>2959</v>
      </c>
      <c r="C12" s="12" t="s">
        <v>364</v>
      </c>
      <c r="D12" s="12" t="s">
        <v>23</v>
      </c>
      <c r="E12" s="12" t="s">
        <v>2944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8" activePane="bottomLeft" state="frozen"/>
      <selection pane="bottomLeft" activeCell="F25" sqref="F25"/>
    </sheetView>
  </sheetViews>
  <sheetFormatPr defaultRowHeight="15"/>
  <cols>
    <col min="1" max="1" width="57.140625" customWidth="1"/>
    <col min="2" max="6" width="22.85546875" customWidth="1"/>
  </cols>
  <sheetData>
    <row r="1" spans="1:7" ht="18.75">
      <c r="A1" s="291" t="s">
        <v>2962</v>
      </c>
      <c r="B1" s="291"/>
      <c r="C1" s="291"/>
      <c r="D1" s="291"/>
      <c r="E1" s="291"/>
      <c r="F1" s="291"/>
    </row>
    <row r="2" spans="1:7">
      <c r="A2" s="292" t="s">
        <v>2963</v>
      </c>
      <c r="B2" s="292"/>
      <c r="C2" s="292"/>
      <c r="D2" s="292"/>
      <c r="E2" s="292"/>
      <c r="F2" s="292"/>
    </row>
    <row r="4" spans="1:7">
      <c r="A4" s="102" t="s">
        <v>19</v>
      </c>
      <c r="B4" s="102" t="s">
        <v>2840</v>
      </c>
      <c r="C4" s="102" t="s">
        <v>2841</v>
      </c>
      <c r="D4" s="102" t="s">
        <v>2964</v>
      </c>
      <c r="E4" s="102" t="s">
        <v>2842</v>
      </c>
      <c r="F4" s="102" t="s">
        <v>2965</v>
      </c>
    </row>
    <row r="5" spans="1:7">
      <c r="A5" t="str" cm="1">
        <f t="array" ref="A5:A43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16</v>
      </c>
      <c r="C5" s="103">
        <f>IF($A5="","",SUMIFS('GECC 2026'!I$2:I$200,'GECC 2026'!F$2:F$200,$A5))</f>
        <v>3.84</v>
      </c>
      <c r="D5" s="256">
        <f>IF($A5="","",SUMIFS('GECC 2026'!$AE$3:$AE$32,'GECC 2026'!$AD$3:$AD$32,$A5))</f>
        <v>0</v>
      </c>
      <c r="E5" s="241">
        <f>IF($A5="","",SUMIFS('GECC 2026'!J$2:J$200,'GECC 2026'!F$2:F$200,$A5)+SUMIFS('GECC 2026'!$AE$3:$AE$32,'GECC 2026'!$AD$3:$AD$32,$A5))</f>
        <v>19.84</v>
      </c>
      <c r="F5" s="101">
        <f>IF($A5="","",COUNTIFS('GECC 2026'!F$2:F$200,$A5))</f>
        <v>4</v>
      </c>
      <c r="G5" s="101">
        <f>IF($A5="","",COUNTIFS('GECC 2026'!G$2:G$200,$A5))</f>
        <v>0</v>
      </c>
    </row>
    <row r="6" spans="1:7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6">
        <f>IF($A6="","",SUMIFS('GECC 2026'!$AE$3:$AE$32,'GECC 2026'!$AD$3:$AD$32,$A6))</f>
        <v>0</v>
      </c>
      <c r="E6" s="241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6">
        <f>IF($A7="","",SUMIFS('GECC 2026'!$AE$3:$AE$32,'GECC 2026'!$AD$3:$AD$32,$A7))</f>
        <v>0</v>
      </c>
      <c r="E7" s="241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6">
        <f>IF($A8="","",SUMIFS('GECC 2026'!$AE$3:$AE$32,'GECC 2026'!$AD$3:$AD$32,$A8))</f>
        <v>0</v>
      </c>
      <c r="E8" s="241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6">
        <f>IF($A9="","",SUMIFS('GECC 2026'!$AE$3:$AE$32,'GECC 2026'!$AD$3:$AD$32,$A9))</f>
        <v>0</v>
      </c>
      <c r="E9" s="241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6">
        <f>IF($A10="","",SUMIFS('GECC 2026'!$AE$3:$AE$32,'GECC 2026'!$AD$3:$AD$32,$A10))</f>
        <v>16</v>
      </c>
      <c r="E10" s="241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>
      <c r="A11" t="str">
        <v>Cinthia Thais de Carvalho Luz Thomazi</v>
      </c>
      <c r="B11" s="103">
        <f>IF($A11="","",SUMIFS('GECC 2026'!H$2:H$200,'GECC 2026'!F$2:F$200,$A11))</f>
        <v>37</v>
      </c>
      <c r="C11" s="103">
        <f>IF($A11="","",SUMIFS('GECC 2026'!I$2:I$200,'GECC 2026'!F$2:F$200,$A11))</f>
        <v>6.54</v>
      </c>
      <c r="D11" s="256">
        <f>IF($A11="","",SUMIFS('GECC 2026'!$AE$3:$AE$32,'GECC 2026'!$AD$3:$AD$32,$A11))</f>
        <v>0</v>
      </c>
      <c r="E11" s="241">
        <f>IF($A11="","",SUMIFS('GECC 2026'!J$2:J$200,'GECC 2026'!F$2:F$200,$A11)+SUMIFS('GECC 2026'!$AE$3:$AE$32,'GECC 2026'!$AD$3:$AD$32,$A11))</f>
        <v>43.54</v>
      </c>
      <c r="F11" s="101">
        <f>IF($A11="","",COUNTIFS('GECC 2026'!F$2:F$200,$A11))</f>
        <v>6</v>
      </c>
    </row>
    <row r="12" spans="1:7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6">
        <f>IF($A12="","",SUMIFS('GECC 2026'!$AE$3:$AE$32,'GECC 2026'!$AD$3:$AD$32,$A12))</f>
        <v>0</v>
      </c>
      <c r="E12" s="241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6">
        <f>IF($A13="","",SUMIFS('GECC 2026'!$AE$3:$AE$32,'GECC 2026'!$AD$3:$AD$32,$A13))</f>
        <v>0</v>
      </c>
      <c r="E13" s="241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>
      <c r="A14" t="str">
        <v>Denise Duarte Guirra Kuhlmann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2.6399999999999997</v>
      </c>
      <c r="D14" s="256">
        <f>IF($A14="","",SUMIFS('GECC 2026'!$AE$3:$AE$32,'GECC 2026'!$AD$3:$AD$32,$A14))</f>
        <v>0</v>
      </c>
      <c r="E14" s="241">
        <f>IF($A14="","",SUMIFS('GECC 2026'!J$2:J$200,'GECC 2026'!F$2:F$200,$A14)+SUMIFS('GECC 2026'!$AE$3:$AE$32,'GECC 2026'!$AD$3:$AD$32,$A14))</f>
        <v>14.64</v>
      </c>
      <c r="F14" s="101">
        <f>IF($A14="","",COUNTIFS('GECC 2026'!F$2:F$200,$A14))</f>
        <v>3</v>
      </c>
    </row>
    <row r="15" spans="1:7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6">
        <f>IF($A15="","",SUMIFS('GECC 2026'!$AE$3:$AE$32,'GECC 2026'!$AD$3:$AD$32,$A15))</f>
        <v>0</v>
      </c>
      <c r="E15" s="241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6">
        <f>IF($A16="","",SUMIFS('GECC 2026'!$AE$3:$AE$32,'GECC 2026'!$AD$3:$AD$32,$A16))</f>
        <v>0</v>
      </c>
      <c r="E16" s="241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>
      <c r="A17" t="str">
        <v>Felipe da Costa Malaquias</v>
      </c>
      <c r="B17" s="103">
        <f>IF($A17="","",SUMIFS('GECC 2026'!H$2:H$200,'GECC 2026'!F$2:F$200,$A17))</f>
        <v>0</v>
      </c>
      <c r="C17" s="103">
        <f>IF($A17="","",SUMIFS('GECC 2026'!I$2:I$200,'GECC 2026'!F$2:F$200,$A17))</f>
        <v>34.9</v>
      </c>
      <c r="D17" s="256">
        <f>IF($A17="","",SUMIFS('GECC 2026'!$AE$3:$AE$32,'GECC 2026'!$AD$3:$AD$32,$A17))</f>
        <v>0</v>
      </c>
      <c r="E17" s="241">
        <f>IF($A17="","",SUMIFS('GECC 2026'!J$2:J$200,'GECC 2026'!F$2:F$200,$A17)+SUMIFS('GECC 2026'!$AE$3:$AE$32,'GECC 2026'!$AD$3:$AD$32,$A17))</f>
        <v>34.9</v>
      </c>
      <c r="F17" s="101">
        <f>IF($A17="","",COUNTIFS('GECC 2026'!F$2:F$200,$A17))</f>
        <v>1</v>
      </c>
    </row>
    <row r="18" spans="1:6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6">
        <f>IF($A18="","",SUMIFS('GECC 2026'!$AE$3:$AE$32,'GECC 2026'!$AD$3:$AD$32,$A18))</f>
        <v>0</v>
      </c>
      <c r="E18" s="241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>
      <c r="A19" t="str">
        <v>Fernanda Viana de Souza</v>
      </c>
      <c r="B19" s="103">
        <f>IF($A19="","",SUMIFS('GECC 2026'!H$2:H$200,'GECC 2026'!F$2:F$200,$A19))</f>
        <v>15</v>
      </c>
      <c r="C19" s="103">
        <f>IF($A19="","",SUMIFS('GECC 2026'!I$2:I$200,'GECC 2026'!F$2:F$200,$A19))</f>
        <v>3.09</v>
      </c>
      <c r="D19" s="256">
        <f>IF($A19="","",SUMIFS('GECC 2026'!$AE$3:$AE$32,'GECC 2026'!$AD$3:$AD$32,$A19))</f>
        <v>0</v>
      </c>
      <c r="E19" s="241">
        <f>IF($A19="","",SUMIFS('GECC 2026'!J$2:J$200,'GECC 2026'!F$2:F$200,$A19)+SUMIFS('GECC 2026'!$AE$3:$AE$32,'GECC 2026'!$AD$3:$AD$32,$A19))</f>
        <v>18.09</v>
      </c>
      <c r="F19" s="101">
        <f>IF($A19="","",COUNTIFS('GECC 2026'!F$2:F$200,$A19))</f>
        <v>4</v>
      </c>
    </row>
    <row r="20" spans="1:6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6">
        <f>IF($A20="","",SUMIFS('GECC 2026'!$AE$3:$AE$32,'GECC 2026'!$AD$3:$AD$32,$A20))</f>
        <v>0</v>
      </c>
      <c r="E20" s="241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6">
        <f>IF($A21="","",SUMIFS('GECC 2026'!$AE$3:$AE$32,'GECC 2026'!$AD$3:$AD$32,$A21))</f>
        <v>0</v>
      </c>
      <c r="E21" s="241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6">
        <f>IF($A22="","",SUMIFS('GECC 2026'!$AE$3:$AE$32,'GECC 2026'!$AD$3:$AD$32,$A22))</f>
        <v>0</v>
      </c>
      <c r="E22" s="241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6">
        <f>IF($A23="","",SUMIFS('GECC 2026'!$AE$3:$AE$32,'GECC 2026'!$AD$3:$AD$32,$A23))</f>
        <v>0</v>
      </c>
      <c r="E23" s="241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6">
        <f>IF($A24="","",SUMIFS('GECC 2026'!$AE$3:$AE$32,'GECC 2026'!$AD$3:$AD$32,$A24))</f>
        <v>0</v>
      </c>
      <c r="E24" s="241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6">
        <f>IF($A25="","",SUMIFS('GECC 2026'!$AE$3:$AE$32,'GECC 2026'!$AD$3:$AD$32,$A25))</f>
        <v>0</v>
      </c>
      <c r="E25" s="241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6">
        <f>IF($A26="","",SUMIFS('GECC 2026'!$AE$3:$AE$32,'GECC 2026'!$AD$3:$AD$32,$A26))</f>
        <v>0</v>
      </c>
      <c r="E26" s="241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6">
        <f>IF($A27="","",SUMIFS('GECC 2026'!$AE$3:$AE$32,'GECC 2026'!$AD$3:$AD$32,$A27))</f>
        <v>0</v>
      </c>
      <c r="E27" s="241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6">
        <f>IF($A28="","",SUMIFS('GECC 2026'!$AE$3:$AE$32,'GECC 2026'!$AD$3:$AD$32,$A28))</f>
        <v>0</v>
      </c>
      <c r="E28" s="241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6">
        <f>IF($A29="","",SUMIFS('GECC 2026'!$AE$3:$AE$32,'GECC 2026'!$AD$3:$AD$32,$A29))</f>
        <v>0</v>
      </c>
      <c r="E29" s="241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6">
        <f>IF($A30="","",SUMIFS('GECC 2026'!$AE$3:$AE$32,'GECC 2026'!$AD$3:$AD$32,$A30))</f>
        <v>0</v>
      </c>
      <c r="E30" s="241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>
      <c r="A31" t="str">
        <v>Marcelo Bálbio Moraes</v>
      </c>
      <c r="B31" s="103">
        <f>IF($A31="","",SUMIFS('GECC 2026'!H$2:H$200,'GECC 2026'!F$2:F$200,$A31))</f>
        <v>0</v>
      </c>
      <c r="C31" s="103">
        <f>IF($A31="","",SUMIFS('GECC 2026'!I$2:I$200,'GECC 2026'!F$2:F$200,$A31))</f>
        <v>0</v>
      </c>
      <c r="D31" s="256">
        <f>IF($A31="","",SUMIFS('GECC 2026'!$AE$3:$AE$32,'GECC 2026'!$AD$3:$AD$32,$A31))</f>
        <v>16</v>
      </c>
      <c r="E31" s="241">
        <f>IF($A31="","",SUMIFS('GECC 2026'!J$2:J$200,'GECC 2026'!F$2:F$200,$A31)+SUMIFS('GECC 2026'!$AE$3:$AE$32,'GECC 2026'!$AD$3:$AD$32,$A31))</f>
        <v>16</v>
      </c>
      <c r="F31" s="101">
        <f>IF($A31="","",COUNTIFS('GECC 2026'!F$2:F$200,$A31))</f>
        <v>0</v>
      </c>
    </row>
    <row r="32" spans="1:6">
      <c r="A32" t="str">
        <v>Marcelo Santana</v>
      </c>
      <c r="B32" s="103">
        <f>IF($A32="","",SUMIFS('GECC 2026'!H$2:H$200,'GECC 2026'!F$2:F$200,$A32))</f>
        <v>1</v>
      </c>
      <c r="C32" s="103">
        <f>IF($A32="","",SUMIFS('GECC 2026'!I$2:I$200,'GECC 2026'!F$2:F$200,$A32))</f>
        <v>0.3</v>
      </c>
      <c r="D32" s="256">
        <f>IF($A32="","",SUMIFS('GECC 2026'!$AE$3:$AE$32,'GECC 2026'!$AD$3:$AD$32,$A32))</f>
        <v>0</v>
      </c>
      <c r="E32" s="241">
        <f>IF($A32="","",SUMIFS('GECC 2026'!J$2:J$200,'GECC 2026'!F$2:F$200,$A32)+SUMIFS('GECC 2026'!$AE$3:$AE$32,'GECC 2026'!$AD$3:$AD$32,$A32))</f>
        <v>1.3</v>
      </c>
      <c r="F32" s="101">
        <f>IF($A32="","",COUNTIFS('GECC 2026'!F$2:F$200,$A32))</f>
        <v>1</v>
      </c>
    </row>
    <row r="33" spans="1:6">
      <c r="A33" t="str">
        <v>Mauri Siqueira Montessi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6">
        <f>IF($A33="","",SUMIFS('GECC 2026'!$AE$3:$AE$32,'GECC 2026'!$AD$3:$AD$32,$A33))</f>
        <v>16</v>
      </c>
      <c r="E33" s="241">
        <f>IF($A33="","",SUMIFS('GECC 2026'!J$2:J$200,'GECC 2026'!F$2:F$200,$A33)+SUMIFS('GECC 2026'!$AE$3:$AE$32,'GECC 2026'!$AD$3:$AD$32,$A33))</f>
        <v>16</v>
      </c>
      <c r="F33" s="101">
        <f>IF($A33="","",COUNTIFS('GECC 2026'!F$2:F$200,$A33))</f>
        <v>0</v>
      </c>
    </row>
    <row r="34" spans="1:6">
      <c r="A34" t="str">
        <v>Michel Martins de Morais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6">
        <f>IF($A34="","",SUMIFS('GECC 2026'!$AE$3:$AE$32,'GECC 2026'!$AD$3:$AD$32,$A34))</f>
        <v>16</v>
      </c>
      <c r="E34" s="241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>
      <c r="A35" t="str">
        <v>Paulo José Góes Daltro</v>
      </c>
      <c r="B35" s="103">
        <f>IF($A35="","",SUMIFS('GECC 2026'!H$2:H$200,'GECC 2026'!F$2:F$200,$A35))</f>
        <v>16</v>
      </c>
      <c r="C35" s="103">
        <f>IF($A35="","",SUMIFS('GECC 2026'!I$2:I$200,'GECC 2026'!F$2:F$200,$A35))</f>
        <v>4.8</v>
      </c>
      <c r="D35" s="256">
        <f>IF($A35="","",SUMIFS('GECC 2026'!$AE$3:$AE$32,'GECC 2026'!$AD$3:$AD$32,$A35))</f>
        <v>0</v>
      </c>
      <c r="E35" s="241">
        <f>IF($A35="","",SUMIFS('GECC 2026'!J$2:J$200,'GECC 2026'!F$2:F$200,$A35)+SUMIFS('GECC 2026'!$AE$3:$AE$32,'GECC 2026'!$AD$3:$AD$32,$A35))</f>
        <v>20.8</v>
      </c>
      <c r="F35" s="101">
        <f>IF($A35="","",COUNTIFS('GECC 2026'!F$2:F$200,$A35))</f>
        <v>3</v>
      </c>
    </row>
    <row r="36" spans="1:6">
      <c r="A36" t="str">
        <v>Priscila Nolasco</v>
      </c>
      <c r="B36" s="103">
        <f>IF($A36="","",SUMIFS('GECC 2026'!H$2:H$200,'GECC 2026'!F$2:F$200,$A36))</f>
        <v>12</v>
      </c>
      <c r="C36" s="103">
        <f>IF($A36="","",SUMIFS('GECC 2026'!I$2:I$200,'GECC 2026'!F$2:F$200,$A36))</f>
        <v>2.6399999999999997</v>
      </c>
      <c r="D36" s="256">
        <f>IF($A36="","",SUMIFS('GECC 2026'!$AE$3:$AE$32,'GECC 2026'!$AD$3:$AD$32,$A36))</f>
        <v>0</v>
      </c>
      <c r="E36" s="241">
        <f>IF($A36="","",SUMIFS('GECC 2026'!J$2:J$200,'GECC 2026'!F$2:F$200,$A36)+SUMIFS('GECC 2026'!$AE$3:$AE$32,'GECC 2026'!$AD$3:$AD$32,$A36))</f>
        <v>14.64</v>
      </c>
      <c r="F36" s="101">
        <f>IF($A36="","",COUNTIFS('GECC 2026'!F$2:F$200,$A36))</f>
        <v>3</v>
      </c>
    </row>
    <row r="37" spans="1:6">
      <c r="A37" t="str">
        <v>Reinaldo Alencar</v>
      </c>
      <c r="B37" s="103">
        <f>IF($A37="","",SUMIFS('GECC 2026'!H$2:H$200,'GECC 2026'!F$2:F$200,$A37))</f>
        <v>48</v>
      </c>
      <c r="C37" s="103">
        <f>IF($A37="","",SUMIFS('GECC 2026'!I$2:I$200,'GECC 2026'!F$2:F$200,$A37))</f>
        <v>7.1999999999999993</v>
      </c>
      <c r="D37" s="256">
        <f>IF($A37="","",SUMIFS('GECC 2026'!$AE$3:$AE$32,'GECC 2026'!$AD$3:$AD$32,$A37))</f>
        <v>0</v>
      </c>
      <c r="E37" s="241">
        <f>IF($A37="","",SUMIFS('GECC 2026'!J$2:J$200,'GECC 2026'!F$2:F$200,$A37)+SUMIFS('GECC 2026'!$AE$3:$AE$32,'GECC 2026'!$AD$3:$AD$32,$A37))</f>
        <v>55.2</v>
      </c>
      <c r="F37" s="101">
        <f>IF($A37="","",COUNTIFS('GECC 2026'!F$2:F$200,$A37))</f>
        <v>3</v>
      </c>
    </row>
    <row r="38" spans="1:6">
      <c r="A38" t="str">
        <v>Rogério Ribeiro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6">
        <f>IF($A38="","",SUMIFS('GECC 2026'!$AE$3:$AE$32,'GECC 2026'!$AD$3:$AD$32,$A38))</f>
        <v>0</v>
      </c>
      <c r="E38" s="241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>
      <c r="A39" t="str">
        <v>Rômulo Miranda Alvim</v>
      </c>
      <c r="B39" s="103">
        <f>IF($A39="","",SUMIFS('GECC 2026'!H$2:H$200,'GECC 2026'!F$2:F$200,$A39))</f>
        <v>24</v>
      </c>
      <c r="C39" s="103">
        <f>IF($A39="","",SUMIFS('GECC 2026'!I$2:I$200,'GECC 2026'!F$2:F$200,$A39))</f>
        <v>3.6</v>
      </c>
      <c r="D39" s="256">
        <f>IF($A39="","",SUMIFS('GECC 2026'!$AE$3:$AE$32,'GECC 2026'!$AD$3:$AD$32,$A39))</f>
        <v>16</v>
      </c>
      <c r="E39" s="241">
        <f>IF($A39="","",SUMIFS('GECC 2026'!J$2:J$200,'GECC 2026'!F$2:F$200,$A39)+SUMIFS('GECC 2026'!$AE$3:$AE$32,'GECC 2026'!$AD$3:$AD$32,$A39))</f>
        <v>43.6</v>
      </c>
      <c r="F39" s="101">
        <f>IF($A39="","",COUNTIFS('GECC 2026'!F$2:F$200,$A39))</f>
        <v>2</v>
      </c>
    </row>
    <row r="40" spans="1:6">
      <c r="A40" t="str">
        <v>Servidores, colaboradores e estagiários do TCDF</v>
      </c>
      <c r="B40" s="103">
        <f>IF($A40="","",SUMIFS('GECC 2026'!H$2:H$200,'GECC 2026'!F$2:F$200,$A40))</f>
        <v>0</v>
      </c>
      <c r="C40" s="103">
        <f>IF($A40="","",SUMIFS('GECC 2026'!I$2:I$200,'GECC 2026'!F$2:F$200,$A40))</f>
        <v>0</v>
      </c>
      <c r="D40" s="256">
        <f>IF($A40="","",SUMIFS('GECC 2026'!$AE$3:$AE$32,'GECC 2026'!$AD$3:$AD$32,$A40))</f>
        <v>0</v>
      </c>
      <c r="E40" s="241">
        <f>IF($A40="","",SUMIFS('GECC 2026'!J$2:J$200,'GECC 2026'!F$2:F$200,$A40)+SUMIFS('GECC 2026'!$AE$3:$AE$32,'GECC 2026'!$AD$3:$AD$32,$A40))</f>
        <v>0</v>
      </c>
      <c r="F40" s="101">
        <f>IF($A40="","",COUNTIFS('GECC 2026'!F$2:F$200,$A40))</f>
        <v>1</v>
      </c>
    </row>
    <row r="41" spans="1:6">
      <c r="A41" t="str">
        <v>Silvia Lima Damasceno Carvalho</v>
      </c>
      <c r="B41" s="103">
        <f>IF($A41="","",SUMIFS('GECC 2026'!H$2:H$200,'GECC 2026'!F$2:F$200,$A41))</f>
        <v>1</v>
      </c>
      <c r="C41" s="103">
        <f>IF($A41="","",SUMIFS('GECC 2026'!I$2:I$200,'GECC 2026'!F$2:F$200,$A41))</f>
        <v>0.3</v>
      </c>
      <c r="D41" s="256">
        <f>IF($A41="","",SUMIFS('GECC 2026'!$AE$3:$AE$32,'GECC 2026'!$AD$3:$AD$32,$A41))</f>
        <v>0</v>
      </c>
      <c r="E41" s="241">
        <f>IF($A41="","",SUMIFS('GECC 2026'!J$2:J$200,'GECC 2026'!F$2:F$200,$A41)+SUMIFS('GECC 2026'!$AE$3:$AE$32,'GECC 2026'!$AD$3:$AD$32,$A41))</f>
        <v>1.3</v>
      </c>
      <c r="F41" s="101">
        <f>IF($A41="","",COUNTIFS('GECC 2026'!F$2:F$200,$A41))</f>
        <v>1</v>
      </c>
    </row>
    <row r="42" spans="1:6">
      <c r="A42" t="str">
        <v>Tarsila Firmino Ely</v>
      </c>
      <c r="B42" s="103">
        <f>IF($A42="","",SUMIFS('GECC 2026'!H$2:H$200,'GECC 2026'!F$2:F$200,$A42))</f>
        <v>56</v>
      </c>
      <c r="C42" s="103">
        <f>IF($A42="","",SUMIFS('GECC 2026'!I$2:I$200,'GECC 2026'!F$2:F$200,$A42))</f>
        <v>96.4</v>
      </c>
      <c r="D42" s="256">
        <f>IF($A42="","",SUMIFS('GECC 2026'!$AE$3:$AE$32,'GECC 2026'!$AD$3:$AD$32,$A42))</f>
        <v>0</v>
      </c>
      <c r="E42" s="241">
        <f>IF($A42="","",SUMIFS('GECC 2026'!J$2:J$200,'GECC 2026'!F$2:F$200,$A42)+SUMIFS('GECC 2026'!$AE$3:$AE$32,'GECC 2026'!$AD$3:$AD$32,$A42))</f>
        <v>152.4</v>
      </c>
      <c r="F42" s="101">
        <f>IF($A42="","",COUNTIFS('GECC 2026'!F$2:F$200,$A42))</f>
        <v>5</v>
      </c>
    </row>
    <row r="43" spans="1:6">
      <c r="A43" t="str">
        <v>Túllio Herbeth Teixeira Moraes</v>
      </c>
      <c r="B43" s="103">
        <f>IF($A43="","",SUMIFS('GECC 2026'!H$2:H$200,'GECC 2026'!F$2:F$200,$A43))</f>
        <v>3</v>
      </c>
      <c r="C43" s="103">
        <f>IF($A43="","",SUMIFS('GECC 2026'!I$2:I$200,'GECC 2026'!F$2:F$200,$A43))</f>
        <v>0.44999999999999996</v>
      </c>
      <c r="D43" s="256">
        <f>IF($A43="","",SUMIFS('GECC 2026'!$AE$3:$AE$32,'GECC 2026'!$AD$3:$AD$32,$A43))</f>
        <v>0</v>
      </c>
      <c r="E43" s="241">
        <f>IF($A43="","",SUMIFS('GECC 2026'!J$2:J$200,'GECC 2026'!F$2:F$200,$A43)+SUMIFS('GECC 2026'!$AE$3:$AE$32,'GECC 2026'!$AD$3:$AD$32,$A43))</f>
        <v>3.45</v>
      </c>
      <c r="F43" s="101">
        <f>IF($A43="","",COUNTIFS('GECC 2026'!F$2:F$200,$A43))</f>
        <v>1</v>
      </c>
    </row>
    <row r="44" spans="1:6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6" t="str">
        <f>IF($A44="","",SUMIFS('GECC 2026'!$AE$3:$AE$32,'GECC 2026'!$AD$3:$AD$32,$A44))</f>
        <v/>
      </c>
      <c r="E44" s="241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6" t="str">
        <f>IF($A45="","",SUMIFS('GECC 2026'!$AE$3:$AE$32,'GECC 2026'!$AD$3:$AD$32,$A45))</f>
        <v/>
      </c>
      <c r="E45" s="241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6" t="str">
        <f>IF($A46="","",SUMIFS('GECC 2026'!$AE$3:$AE$32,'GECC 2026'!$AD$3:$AD$32,$A46))</f>
        <v/>
      </c>
      <c r="E46" s="241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6" t="str">
        <f>IF($A47="","",SUMIFS('GECC 2026'!$AE$3:$AE$32,'GECC 2026'!$AD$3:$AD$32,$A47))</f>
        <v/>
      </c>
      <c r="E47" s="241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6" t="str">
        <f>IF($A48="","",SUMIFS('GECC 2026'!$AE$3:$AE$32,'GECC 2026'!$AD$3:$AD$32,$A48))</f>
        <v/>
      </c>
      <c r="E48" s="241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6" t="str">
        <f>IF($A49="","",SUMIFS('GECC 2026'!$AE$3:$AE$32,'GECC 2026'!$AD$3:$AD$32,$A49))</f>
        <v/>
      </c>
      <c r="E49" s="241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6" t="str">
        <f>IF($A50="","",SUMIFS('GECC 2026'!$AE$3:$AE$32,'GECC 2026'!$AD$3:$AD$32,$A50))</f>
        <v/>
      </c>
      <c r="E50" s="241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6" t="str">
        <f>IF($A51="","",SUMIFS('GECC 2026'!$AE$3:$AE$32,'GECC 2026'!$AD$3:$AD$32,$A51))</f>
        <v/>
      </c>
      <c r="E51" s="241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6" t="str">
        <f>IF($A52="","",SUMIFS('GECC 2026'!$AE$3:$AE$32,'GECC 2026'!$AD$3:$AD$32,$A52))</f>
        <v/>
      </c>
      <c r="E52" s="241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6" t="str">
        <f>IF($A53="","",SUMIFS('GECC 2026'!$AE$3:$AE$32,'GECC 2026'!$AD$3:$AD$32,$A53))</f>
        <v/>
      </c>
      <c r="E53" s="241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6" t="str">
        <f>IF($A54="","",SUMIFS('GECC 2026'!$AE$3:$AE$32,'GECC 2026'!$AD$3:$AD$32,$A54))</f>
        <v/>
      </c>
      <c r="E54" s="241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6" t="str">
        <f>IF($A55="","",SUMIFS('GECC 2026'!$AE$3:$AE$32,'GECC 2026'!$AD$3:$AD$32,$A55))</f>
        <v/>
      </c>
      <c r="E55" s="241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6" t="str">
        <f>IF($A56="","",SUMIFS('GECC 2026'!$AE$3:$AE$32,'GECC 2026'!$AD$3:$AD$32,$A56))</f>
        <v/>
      </c>
      <c r="E56" s="241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6" t="str">
        <f>IF($A57="","",SUMIFS('GECC 2026'!$AE$3:$AE$32,'GECC 2026'!$AD$3:$AD$32,$A57))</f>
        <v/>
      </c>
      <c r="E57" s="241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6" t="str">
        <f>IF($A58="","",SUMIFS('GECC 2026'!$AE$3:$AE$32,'GECC 2026'!$AD$3:$AD$32,$A58))</f>
        <v/>
      </c>
      <c r="E58" s="241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6" t="str">
        <f>IF($A59="","",SUMIFS('GECC 2026'!$AE$3:$AE$32,'GECC 2026'!$AD$3:$AD$32,$A59))</f>
        <v/>
      </c>
      <c r="E59" s="241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6" t="str">
        <f>IF($A60="","",SUMIFS('GECC 2026'!$AE$3:$AE$32,'GECC 2026'!$AD$3:$AD$32,$A60))</f>
        <v/>
      </c>
      <c r="E60" s="241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6" t="str">
        <f>IF($A61="","",SUMIFS('GECC 2026'!$AE$3:$AE$32,'GECC 2026'!$AD$3:$AD$32,$A61))</f>
        <v/>
      </c>
      <c r="E61" s="241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6" t="str">
        <f>IF($A62="","",SUMIFS('GECC 2026'!$AE$3:$AE$32,'GECC 2026'!$AD$3:$AD$32,$A62))</f>
        <v/>
      </c>
      <c r="E62" s="241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6" t="str">
        <f>IF($A63="","",SUMIFS('GECC 2026'!$AE$3:$AE$32,'GECC 2026'!$AD$3:$AD$32,$A63))</f>
        <v/>
      </c>
      <c r="E63" s="241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6" t="str">
        <f>IF($A64="","",SUMIFS('GECC 2026'!$AE$3:$AE$32,'GECC 2026'!$AD$3:$AD$32,$A64))</f>
        <v/>
      </c>
      <c r="E64" s="241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6" t="str">
        <f>IF($A65="","",SUMIFS('GECC 2026'!$AE$3:$AE$32,'GECC 2026'!$AD$3:$AD$32,$A65))</f>
        <v/>
      </c>
      <c r="E65" s="241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6" t="str">
        <f>IF($A66="","",SUMIFS('GECC 2026'!$AE$3:$AE$32,'GECC 2026'!$AD$3:$AD$32,$A66))</f>
        <v/>
      </c>
      <c r="E66" s="241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6" t="str">
        <f>IF($A67="","",SUMIFS('GECC 2026'!$AE$3:$AE$32,'GECC 2026'!$AD$3:$AD$32,$A67))</f>
        <v/>
      </c>
      <c r="E67" s="241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6" t="str">
        <f>IF($A68="","",SUMIFS('GECC 2026'!$AE$3:$AE$32,'GECC 2026'!$AD$3:$AD$32,$A68))</f>
        <v/>
      </c>
      <c r="E68" s="241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6" t="str">
        <f>IF($A69="","",SUMIFS('GECC 2026'!$AE$3:$AE$32,'GECC 2026'!$AD$3:$AD$32,$A69))</f>
        <v/>
      </c>
      <c r="E69" s="241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6" t="str">
        <f>IF($A70="","",SUMIFS('GECC 2026'!$AE$3:$AE$32,'GECC 2026'!$AD$3:$AD$32,$A70))</f>
        <v/>
      </c>
      <c r="E70" s="241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6" t="str">
        <f>IF($A71="","",SUMIFS('GECC 2026'!$AE$3:$AE$32,'GECC 2026'!$AD$3:$AD$32,$A71))</f>
        <v/>
      </c>
      <c r="E71" s="241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6" t="str">
        <f>IF($A72="","",SUMIFS('GECC 2026'!$AE$3:$AE$32,'GECC 2026'!$AD$3:$AD$32,$A72))</f>
        <v/>
      </c>
      <c r="E72" s="241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6" t="str">
        <f>IF($A73="","",SUMIFS('GECC 2026'!$AE$3:$AE$32,'GECC 2026'!$AD$3:$AD$32,$A73))</f>
        <v/>
      </c>
      <c r="E73" s="241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6" t="str">
        <f>IF($A74="","",SUMIFS('GECC 2026'!$AE$3:$AE$32,'GECC 2026'!$AD$3:$AD$32,$A74))</f>
        <v/>
      </c>
      <c r="E74" s="241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6" t="str">
        <f>IF($A75="","",SUMIFS('GECC 2026'!$AE$3:$AE$32,'GECC 2026'!$AD$3:$AD$32,$A75))</f>
        <v/>
      </c>
      <c r="E75" s="241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6" t="str">
        <f>IF($A76="","",SUMIFS('GECC 2026'!$AE$3:$AE$32,'GECC 2026'!$AD$3:$AD$32,$A76))</f>
        <v/>
      </c>
      <c r="E76" s="241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6" t="str">
        <f>IF($A77="","",SUMIFS('GECC 2026'!$AE$3:$AE$32,'GECC 2026'!$AD$3:$AD$32,$A77))</f>
        <v/>
      </c>
      <c r="E77" s="241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6" t="str">
        <f>IF($A78="","",SUMIFS('GECC 2026'!$AE$3:$AE$32,'GECC 2026'!$AD$3:$AD$32,$A78))</f>
        <v/>
      </c>
      <c r="E78" s="241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6" t="str">
        <f>IF($A79="","",SUMIFS('GECC 2026'!$AE$3:$AE$32,'GECC 2026'!$AD$3:$AD$32,$A79))</f>
        <v/>
      </c>
      <c r="E79" s="241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6" t="str">
        <f>IF($A80="","",SUMIFS('GECC 2026'!$AE$3:$AE$32,'GECC 2026'!$AD$3:$AD$32,$A80))</f>
        <v/>
      </c>
      <c r="E80" s="241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6" t="str">
        <f>IF($A81="","",SUMIFS('GECC 2026'!$AE$3:$AE$32,'GECC 2026'!$AD$3:$AD$32,$A81))</f>
        <v/>
      </c>
      <c r="E81" s="241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6" t="str">
        <f>IF($A82="","",SUMIFS('GECC 2026'!$AE$3:$AE$32,'GECC 2026'!$AD$3:$AD$32,$A82))</f>
        <v/>
      </c>
      <c r="E82" s="241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6" t="str">
        <f>IF($A83="","",SUMIFS('GECC 2026'!$AE$3:$AE$32,'GECC 2026'!$AD$3:$AD$32,$A83))</f>
        <v/>
      </c>
      <c r="E83" s="241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6" t="str">
        <f>IF($A84="","",SUMIFS('GECC 2026'!$AE$3:$AE$32,'GECC 2026'!$AD$3:$AD$32,$A84))</f>
        <v/>
      </c>
      <c r="E84" s="241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6" t="str">
        <f>IF($A85="","",SUMIFS('GECC 2026'!$AE$3:$AE$32,'GECC 2026'!$AD$3:$AD$32,$A85))</f>
        <v/>
      </c>
      <c r="E85" s="241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6" t="str">
        <f>IF($A86="","",SUMIFS('GECC 2026'!$AE$3:$AE$32,'GECC 2026'!$AD$3:$AD$32,$A86))</f>
        <v/>
      </c>
      <c r="E86" s="241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6" t="str">
        <f>IF($A87="","",SUMIFS('GECC 2026'!$AE$3:$AE$32,'GECC 2026'!$AD$3:$AD$32,$A87))</f>
        <v/>
      </c>
      <c r="E87" s="241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6" t="str">
        <f>IF($A88="","",SUMIFS('GECC 2026'!$AE$3:$AE$32,'GECC 2026'!$AD$3:$AD$32,$A88))</f>
        <v/>
      </c>
      <c r="E88" s="241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6" t="str">
        <f>IF($A89="","",SUMIFS('GECC 2026'!$AE$3:$AE$32,'GECC 2026'!$AD$3:$AD$32,$A89))</f>
        <v/>
      </c>
      <c r="E89" s="241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6" t="str">
        <f>IF($A90="","",SUMIFS('GECC 2026'!$AE$3:$AE$32,'GECC 2026'!$AD$3:$AD$32,$A90))</f>
        <v/>
      </c>
      <c r="E90" s="241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6" t="str">
        <f>IF($A91="","",SUMIFS('GECC 2026'!$AE$3:$AE$32,'GECC 2026'!$AD$3:$AD$32,$A91))</f>
        <v/>
      </c>
      <c r="E91" s="241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6" t="str">
        <f>IF($A92="","",SUMIFS('GECC 2026'!$AE$3:$AE$32,'GECC 2026'!$AD$3:$AD$32,$A92))</f>
        <v/>
      </c>
      <c r="E92" s="241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6" t="str">
        <f>IF($A93="","",SUMIFS('GECC 2026'!$AE$3:$AE$32,'GECC 2026'!$AD$3:$AD$32,$A93))</f>
        <v/>
      </c>
      <c r="E93" s="241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6" t="str">
        <f>IF($A94="","",SUMIFS('GECC 2026'!$AE$3:$AE$32,'GECC 2026'!$AD$3:$AD$32,$A94))</f>
        <v/>
      </c>
      <c r="E94" s="241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6" t="str">
        <f>IF($A95="","",SUMIFS('GECC 2026'!$AE$3:$AE$32,'GECC 2026'!$AD$3:$AD$32,$A95))</f>
        <v/>
      </c>
      <c r="E95" s="241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6" t="str">
        <f>IF($A96="","",SUMIFS('GECC 2026'!$AE$3:$AE$32,'GECC 2026'!$AD$3:$AD$32,$A96))</f>
        <v/>
      </c>
      <c r="E96" s="241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6" t="str">
        <f>IF($A97="","",SUMIFS('GECC 2026'!$AE$3:$AE$32,'GECC 2026'!$AD$3:$AD$32,$A97))</f>
        <v/>
      </c>
      <c r="E97" s="241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6" t="str">
        <f>IF($A98="","",SUMIFS('GECC 2026'!$AE$3:$AE$32,'GECC 2026'!$AD$3:$AD$32,$A98))</f>
        <v/>
      </c>
      <c r="E98" s="241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6" t="str">
        <f>IF($A99="","",SUMIFS('GECC 2026'!$AE$3:$AE$32,'GECC 2026'!$AD$3:$AD$32,$A99))</f>
        <v/>
      </c>
      <c r="E99" s="241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6" t="str">
        <f>IF($A100="","",SUMIFS('GECC 2026'!$AE$3:$AE$32,'GECC 2026'!$AD$3:$AD$32,$A100))</f>
        <v/>
      </c>
      <c r="E100" s="241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>
      <c r="D101" s="256" t="str">
        <f>IF($A101="","",SUMIFS('GECC 2026'!$AE$3:$AE$32,'GECC 2026'!$AD$3:$AD$32,$A101))</f>
        <v/>
      </c>
      <c r="E101" s="241" t="str">
        <f>IF($A101="","",SUMIFS('GECC 2026'!J$2:J$200,'GECC 2026'!F$2:F$200,$A101)+SUMIFS('GECC 2026'!$AE$3:$AE$32,'GECC 2026'!$AD$3:$AD$32,$A101))</f>
        <v/>
      </c>
    </row>
    <row r="102" spans="1:6">
      <c r="D102" s="256" t="str">
        <f>IF($A102="","",SUMIFS('GECC 2026'!$AE$3:$AE$32,'GECC 2026'!$AD$3:$AD$32,$A102))</f>
        <v/>
      </c>
      <c r="E102" s="241" t="str">
        <f>IF($A102="","",SUMIFS('GECC 2026'!J$2:J$200,'GECC 2026'!F$2:F$200,$A102)+SUMIFS('GECC 2026'!$AE$3:$AE$32,'GECC 2026'!$AD$3:$AD$32,$A102))</f>
        <v/>
      </c>
    </row>
    <row r="103" spans="1:6">
      <c r="D103" s="256" t="str">
        <f>IF($A103="","",SUMIFS('GECC 2026'!$AE$3:$AE$32,'GECC 2026'!$AD$3:$AD$32,$A103))</f>
        <v/>
      </c>
      <c r="E103" s="241" t="str">
        <f>IF($A103="","",SUMIFS('GECC 2026'!J$2:J$200,'GECC 2026'!F$2:F$200,$A103)+SUMIFS('GECC 2026'!$AE$3:$AE$32,'GECC 2026'!$AD$3:$AD$32,$A103))</f>
        <v/>
      </c>
    </row>
    <row r="104" spans="1:6">
      <c r="D104" s="256" t="str">
        <f>IF($A104="","",SUMIFS('GECC 2026'!$AE$3:$AE$32,'GECC 2026'!$AD$3:$AD$32,$A104))</f>
        <v/>
      </c>
      <c r="E104" s="241" t="str">
        <f>IF($A104="","",SUMIFS('GECC 2026'!J$2:J$200,'GECC 2026'!F$2:F$200,$A104)+SUMIFS('GECC 2026'!$AE$3:$AE$32,'GECC 2026'!$AD$3:$AD$32,$A104))</f>
        <v/>
      </c>
    </row>
    <row r="105" spans="1:6">
      <c r="A105" s="242" t="s">
        <v>2911</v>
      </c>
      <c r="B105" s="243">
        <f>SUM(B5:B100)</f>
        <v>568</v>
      </c>
      <c r="C105" s="243">
        <f>SUM(C5:C100)</f>
        <v>380.10000000000008</v>
      </c>
      <c r="D105" s="256">
        <f>IF($A105="","",SUMIFS('GECC 2026'!$AE$3:$AE$32,'GECC 2026'!$AD$3:$AD$32,$A105))</f>
        <v>0</v>
      </c>
      <c r="E105" s="241">
        <f>IF($A105="","",SUMIFS('GECC 2026'!J$2:J$200,'GECC 2026'!F$2:F$200,$A105)+SUMIFS('GECC 2026'!$AE$3:$AE$32,'GECC 2026'!$AD$3:$AD$32,$A105))</f>
        <v>0</v>
      </c>
      <c r="F105" s="244">
        <f>SUM(F5:F100)</f>
        <v>81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>
      <c r="A1" s="284" t="s">
        <v>2966</v>
      </c>
      <c r="B1" s="284"/>
      <c r="C1" s="284"/>
      <c r="D1" s="284"/>
      <c r="E1" s="284"/>
      <c r="F1" s="284"/>
      <c r="G1" s="284"/>
      <c r="H1" s="284"/>
    </row>
    <row r="2" spans="1:8">
      <c r="A2" s="130" t="s">
        <v>2967</v>
      </c>
    </row>
    <row r="4" spans="1:8" ht="21.95" customHeight="1">
      <c r="A4" s="285" t="s">
        <v>2968</v>
      </c>
      <c r="B4" s="286"/>
      <c r="D4" s="285" t="s">
        <v>2969</v>
      </c>
      <c r="E4" s="286"/>
      <c r="G4" s="285" t="s">
        <v>2970</v>
      </c>
      <c r="H4" s="286"/>
    </row>
    <row r="5" spans="1:8" ht="35.1" customHeight="1">
      <c r="A5" s="289">
        <f>COUNTIF('Ações InCompany'!E:E,"*maratona*")</f>
        <v>13</v>
      </c>
      <c r="B5" s="288"/>
      <c r="D5" s="287">
        <f>SUM(H8:H100)</f>
        <v>1566</v>
      </c>
      <c r="E5" s="288"/>
      <c r="G5" s="287">
        <f>IFERROR(ROUND(D5/A5,0),"-")</f>
        <v>120</v>
      </c>
      <c r="H5" s="288"/>
    </row>
    <row r="6" spans="1:8" ht="9.9499999999999993" customHeight="1"/>
    <row r="7" spans="1:8" ht="24.95" customHeight="1" thickBot="1">
      <c r="A7" s="143" t="s">
        <v>2971</v>
      </c>
      <c r="B7" s="143" t="s">
        <v>2972</v>
      </c>
      <c r="C7" s="143" t="s">
        <v>1</v>
      </c>
      <c r="D7" s="143" t="s">
        <v>2973</v>
      </c>
      <c r="E7" s="143" t="s">
        <v>2974</v>
      </c>
      <c r="F7" s="143" t="s">
        <v>2837</v>
      </c>
      <c r="G7" s="143" t="s">
        <v>5</v>
      </c>
      <c r="H7" s="143" t="s">
        <v>2975</v>
      </c>
    </row>
    <row r="8" spans="1:8" ht="20.100000000000001" customHeight="1">
      <c r="A8" s="131" cm="1">
        <f t="array" ref="A8:A20">IFERROR(_xlfn.SEQUENCE(COUNTIF('Ações InCompany'!E:E,"*maratona*")),"")</f>
        <v>1</v>
      </c>
      <c r="B8" s="229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>
      <c r="A9" s="134">
        <v>2</v>
      </c>
      <c r="B9" s="230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>
      <c r="A10" s="137">
        <v>3</v>
      </c>
      <c r="B10" s="231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>
      <c r="A11" s="134">
        <v>4</v>
      </c>
      <c r="B11" s="230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>
      <c r="A12" s="137">
        <v>5</v>
      </c>
      <c r="B12" s="231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>
      <c r="A13" s="134">
        <v>6</v>
      </c>
      <c r="B13" s="230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>
      <c r="A14" s="137">
        <v>7</v>
      </c>
      <c r="B14" s="231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>
      <c r="A15" s="134">
        <v>8</v>
      </c>
      <c r="B15" s="230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>
      <c r="A16" s="137">
        <v>9</v>
      </c>
      <c r="B16" s="231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>
      <c r="A17" s="134">
        <v>10</v>
      </c>
      <c r="B17" s="230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>
      <c r="A18" s="137">
        <v>11</v>
      </c>
      <c r="B18" s="231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0</v>
      </c>
    </row>
    <row r="19" spans="1:8">
      <c r="A19" s="232">
        <v>12</v>
      </c>
      <c r="B19" s="233">
        <v>46321</v>
      </c>
      <c r="C19" s="232">
        <v>2026</v>
      </c>
      <c r="D19" s="234" t="str">
        <v>Maratona Temática - Obras Públicas</v>
      </c>
      <c r="E19" s="232" t="str">
        <v>26 e 27/10/2026</v>
      </c>
      <c r="F19" s="232" t="str">
        <v>A realizar</v>
      </c>
      <c r="G19" s="232" t="str">
        <v>Jurisdicionados</v>
      </c>
      <c r="H19" s="235">
        <v>0</v>
      </c>
    </row>
    <row r="20" spans="1:8">
      <c r="A20" s="236">
        <v>13</v>
      </c>
      <c r="B20" s="237">
        <v>46335</v>
      </c>
      <c r="C20" s="236">
        <v>2026</v>
      </c>
      <c r="D20" s="238" t="str">
        <v>Maratona Temática - Mobilidade Urbana</v>
      </c>
      <c r="E20" s="236" t="str">
        <v>09 e 10/11/2026</v>
      </c>
      <c r="F20" s="236" t="str">
        <v>A realizar</v>
      </c>
      <c r="G20" s="236" t="str">
        <v>Jurisdicionados</v>
      </c>
      <c r="H20" s="239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Props1.xml><?xml version="1.0" encoding="utf-8"?>
<ds:datastoreItem xmlns:ds="http://schemas.openxmlformats.org/officeDocument/2006/customXml" ds:itemID="{54B26992-BCD1-4DF2-A87D-5F3BC1837C0B}"/>
</file>

<file path=customXml/itemProps2.xml><?xml version="1.0" encoding="utf-8"?>
<ds:datastoreItem xmlns:ds="http://schemas.openxmlformats.org/officeDocument/2006/customXml" ds:itemID="{09E963D1-4255-41FD-98AB-5B82B7F67BB4}"/>
</file>

<file path=customXml/itemProps3.xml><?xml version="1.0" encoding="utf-8"?>
<ds:datastoreItem xmlns:ds="http://schemas.openxmlformats.org/officeDocument/2006/customXml" ds:itemID="{F95AF67B-67F3-479D-896A-04A7BBE7C8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Taissa Camelo Vilas Boas</cp:lastModifiedBy>
  <cp:revision/>
  <dcterms:created xsi:type="dcterms:W3CDTF">2024-04-02T18:43:15Z</dcterms:created>
  <dcterms:modified xsi:type="dcterms:W3CDTF">2026-06-30T18:23:23Z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