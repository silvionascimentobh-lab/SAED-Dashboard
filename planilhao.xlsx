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12" documentId="13_ncr:1_{C887EC22-7CD1-4717-84BE-7303F42C5C0A}" xr6:coauthVersionLast="47" xr6:coauthVersionMax="47" xr10:uidLastSave="{91A2938E-1001-46BD-A486-C757D44989EE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B44" i="23" l="1"/>
  <c r="E44" i="23"/>
  <c r="F44" i="23"/>
  <c r="C44" i="23"/>
  <c r="D44" i="23"/>
  <c r="E43" i="23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<sst xmlns="http://schemas.openxmlformats.org/spreadsheetml/2006/main" count="6599" uniqueCount="2982">
  <si>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</si>
  <si>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</si>
  <si>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</si>
  <si>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</si>
  <si>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</si>
  <si>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</si>
  <si>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</si>
  <si>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</si>
  <si>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</si>
  <si>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</si>
  <si>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</si>
  <si>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</si>
  <si>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</si>
  <si>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</si>
  <si>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</si>
  <si>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</si>
  <si>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</si>
  <si>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</si>
  <si>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</si>
  <si>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</si>
  <si>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</si>
  <si>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</si>
  <si>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</si>
  <si>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</si>
  <si>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</si>
  <si>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</si>
  <si>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</si>
  <si>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</si>
  <si>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</si>
  <si>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</si>
  <si>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</si>
  <si>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</si>
  <si>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</si>
  <si>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</si>
  <si>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</si>
  <si>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</si>
  <si>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</si>
  <si>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</si>
  <si>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</si>
  <si>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</si>
  <si>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</si>
  <si>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</si>
  <si>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</si>
  <si>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</si>
  <si>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</si>
  <si>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</si>
  <si>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</si>
  <si>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</si>
  <si>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</si>
  <si>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</si>
  <si>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</si>
  <si>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</si>
  <si>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</si>
  <si>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</si>
  <si>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</si>
  <si>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</si>
  <si>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</si>
  <si>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</si>
  <si>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</si>
  <si>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</si>
  <si>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</si>
  <si>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</si>
  <si>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</si>
  <si>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</si>
  <si>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</si>
  <si>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</si>
  <si>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</si>
  <si>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</si>
  <si>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</si>
  <si>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</si>
  <si>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</si>
  <si>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</si>
  <si>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</si>
  <si>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</si>
  <si>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</si>
  <si>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</si>
  <si>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</si>
  <si>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</si>
  <si>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</si>
  <si>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</si>
  <si>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</si>
  <si>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</si>
  <si>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</si>
  <si>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</si>
  <si>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</si>
  <si>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</si>
  <si>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</si>
  <si>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</si>
  <si>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</si>
  <si>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</si>
  <si>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</si>
  <si>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</si>
  <si>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</si>
  <si>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</si>
  <si>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</si>
  <si>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</si>
  <si>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</si>
  <si>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</si>
  <si>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</si>
  <si>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</si>
  <si>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</si>
  <si>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</si>
  <si>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</si>
  <si>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</si>
  <si>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</si>
  <si>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</si>
  <si>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</si>
  <si>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</si>
  <si>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</si>
  <si>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</si>
  <si>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</si>
  <si>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</si>
  <si>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</si>
  <si>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</si>
  <si>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</si>
  <si>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</si>
  <si>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</si>
  <si>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</si>
  <si>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</si>
  <si>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</si>
  <si>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</si>
  <si>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</si>
  <si>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</si>
  <si>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</si>
  <si>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</si>
  <si>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</si>
  <si>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</si>
  <si>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</si>
  <si>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</si>
  <si>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</si>
  <si>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</si>
  <si>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</si>
  <si>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</si>
  <si>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</si>
  <si>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</si>
  <si>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</si>
  <si>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</si>
  <si>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</si>
  <si>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</si>
  <si>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</si>
  <si>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</si>
  <si>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</si>
  <si>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</si>
  <si>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</si>
  <si>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</si>
  <si>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</si>
  <si>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</si>
  <si>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</si>
  <si>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</si>
  <si>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</si>
  <si>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</si>
  <si>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</si>
  <si>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</si>
  <si>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</si>
  <si>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</si>
  <si>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</si>
  <si>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</si>
  <si>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</si>
  <si>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</si>
  <si>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</si>
  <si>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</si>
  <si>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</si>
  <si>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</si>
  <si>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</si>
  <si>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</si>
  <si>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</si>
  <si>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</si>
  <si>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</si>
  <si>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</si>
  <si>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</si>
  <si>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</si>
  <si>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</si>
  <si>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</si>
  <si>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</si>
  <si>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</si>
  <si>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</si>
  <si>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</si>
  <si>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</si>
  <si>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</si>
  <si>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</si>
  <si>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</si>
  <si>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</si>
  <si>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</si>
  <si>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</si>
  <si>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</si>
  <si>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</si>
  <si>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</si>
  <si>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</si>
  <si>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</si>
  <si>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</si>
  <si>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</si>
  <si>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</si>
  <si>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</si>
  <si>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</si>
  <si>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</si>
  <si>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</si>
  <si>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</si>
  <si>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</si>
  <si>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</si>
  <si>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</si>
  <si>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</si>
  <si>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</si>
  <si>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</si>
  <si>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</si>
  <si>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</si>
  <si>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</si>
  <si>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</si>
  <si>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</si>
  <si>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</si>
  <si>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</si>
  <si>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</si>
  <si>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</si>
  <si>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</si>
  <si>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</si>
  <si>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</si>
  <si>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</si>
  <si>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</si>
  <si>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</si>
  <si>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</si>
  <si>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</si>
  <si>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</si>
  <si>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</si>
  <si>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</si>
  <si>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</si>
  <si>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</si>
  <si>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</si>
  <si>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</si>
  <si>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</si>
  <si>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</si>
  <si>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</si>
  <si>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</si>
  <si>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</si>
  <si>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</si>
  <si>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</si>
  <si>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</si>
  <si>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</si>
  <si>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</si>
  <si>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</si>
  <si>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</si>
  <si>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</si>
  <si>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</si>
  <si>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</si>
  <si>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</si>
  <si>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</si>
  <si>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</si>
  <si>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</si>
  <si>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</si>
  <si>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</si>
  <si>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</si>
  <si>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</si>
  <si>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</si>
  <si>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</si>
  <si>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</si>
  <si>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</si>
  <si>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</si>
  <si>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</si>
  <si>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</si>
  <si>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</si>
  <si>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</si>
  <si>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</si>
  <si>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</si>
  <si>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</si>
  <si>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</si>
  <si>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</si>
  <si>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</si>
  <si>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</si>
  <si>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</si>
  <si>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</si>
  <si>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</si>
  <si>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</si>
  <si>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</si>
  <si>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</si>
  <si>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</si>
  <si>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</si>
  <si>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</si>
  <si>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</si>
  <si>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</si>
  <si>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</si>
  <si>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</si>
  <si>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</si>
  <si>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</si>
  <si>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</si>
  <si>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</si>
  <si>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</si>
  <si>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</si>
  <si>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</si>
  <si>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</si>
  <si>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</si>
  <si>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</si>
  <si>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</si>
  <si>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</si>
  <si>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</si>
  <si>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</si>
  <si>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</si>
  <si>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</si>
  <si>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</si>
  <si>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</si>
  <si>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</si>
  <si>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</si>
  <si>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</si>
  <si>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</si>
  <si>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</si>
  <si>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</si>
  <si>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</si>
  <si>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</si>
  <si>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</si>
  <si>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</si>
  <si>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</si>
  <si>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</si>
  <si>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</si>
  <si>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</si>
  <si>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</si>
  <si>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</si>
  <si>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</si>
  <si>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</si>
  <si>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</si>
  <si>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</si>
  <si>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</si>
  <si>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</si>
  <si>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</si>
  <si>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</si>
  <si>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</si>
  <si>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</si>
  <si>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</si>
  <si>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</si>
  <si>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</si>
  <si>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</si>
  <si>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</si>
  <si>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</si>
  <si>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</si>
  <si>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</si>
  <si>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</si>
  <si>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</si>
  <si>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</si>
  <si>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</si>
  <si>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</si>
  <si>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</si>
  <si>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</si>
  <si>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</si>
  <si>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</si>
  <si>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</si>
  <si>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</si>
  <si>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</si>
  <si>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</si>
  <si>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</si>
  <si>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</si>
  <si>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</si>
  <si>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</si>
  <si>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</si>
  <si>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</si>
  <si>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</si>
  <si>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</si>
  <si>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</si>
  <si>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</si>
  <si>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</si>
  <si>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</si>
  <si>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</si>
  <si>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</si>
  <si>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</si>
  <si>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</si>
  <si>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</si>
  <si>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</si>
  <si>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</si>
  <si>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</si>
  <si>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</si>
  <si>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</si>
  <si>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</si>
  <si>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</si>
  <si>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</si>
  <si>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</si>
  <si>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</si>
  <si>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</si>
  <si>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</si>
  <si>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</si>
  <si>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</si>
  <si>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</si>
  <si>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</si>
  <si>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</si>
  <si>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</si>
  <si>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</si>
  <si>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</si>
  <si>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</si>
  <si>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</si>
  <si>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</si>
  <si>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</si>
  <si>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</si>
  <si>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</si>
  <si>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</si>
  <si>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</si>
  <si>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</si>
  <si>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</si>
  <si>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</si>
  <si>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</si>
  <si>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</si>
  <si>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</si>
  <si>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</si>
  <si>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</si>
  <si>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</si>
  <si>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</si>
  <si>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</si>
  <si>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</si>
  <si>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</si>
  <si>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</si>
  <si>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</si>
  <si>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</si>
  <si>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</si>
  <si>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</si>
  <si>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</si>
  <si>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</si>
  <si>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</si>
  <si>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</si>
  <si>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</si>
  <si>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</si>
  <si>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</si>
  <si>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</si>
  <si>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</si>
  <si>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</si>
  <si>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</si>
  <si>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</si>
  <si>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</si>
  <si>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</si>
  <si>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</si>
  <si>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</si>
  <si>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</si>
  <si>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</si>
  <si>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</si>
  <si>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</si>
  <si>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</si>
  <si>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</si>
  <si>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</si>
  <si>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</si>
  <si>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</si>
  <si>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</si>
  <si>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</si>
  <si>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</si>
  <si>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</si>
  <si>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</si>
  <si>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</si>
  <si>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</si>
  <si>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</si>
  <si>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</si>
  <si>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</si>
  <si>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</si>
  <si>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</si>
  <si>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</si>
  <si>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</si>
  <si>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</si>
  <si>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</si>
  <si>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</si>
  <si>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</si>
  <si>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</si>
  <si>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</si>
  <si>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</si>
  <si>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</si>
  <si>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</si>
  <si>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</si>
  <si>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</si>
  <si>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</si>
  <si>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</si>
  <si>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</si>
  <si>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</si>
  <si>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</si>
  <si>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</si>
  <si>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</si>
  <si>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</si>
  <si>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</si>
  <si>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</si>
  <si>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</si>
  <si>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</si>
  <si>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</si>
  <si>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</si>
  <si>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</si>
  <si>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</si>
  <si>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</si>
  <si>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</si>
  <si>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</si>
  <si>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</si>
  <si>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</si>
  <si>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</si>
  <si>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</si>
  <si>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</si>
  <si>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</si>
  <si>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</si>
  <si>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</si>
  <si>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</si>
  <si>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</si>
  <si>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</si>
  <si>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</si>
  <si>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</si>
  <si>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</si>
  <si>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</si>
  <si>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</si>
  <si>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</si>
  <si>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</si>
  <si>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</si>
  <si>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</si>
  <si>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</si>
  <si>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</si>
  <si>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</si>
  <si>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</si>
  <si>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</si>
  <si>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</si>
  <si>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</si>
  <si>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</si>
  <si>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</si>
  <si>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</si>
  <si>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</si>
  <si>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</si>
  <si>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</si>
  <si>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</si>
  <si>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</si>
  <si>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</si>
  <si>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</si>
  <si>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</si>
  <si>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</si>
  <si>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</si>
  <si>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</si>
  <si>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</si>
  <si>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</si>
  <si>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</si>
  <si>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</si>
  <si>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</si>
  <si>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</si>
  <si>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</si>
  <si>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</si>
  <si>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</si>
  <si>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</si>
  <si>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</si>
  <si>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</si>
  <si>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</si>
  <si>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</si>
  <si>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</si>
  <si>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</si>
  <si>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</si>
  <si>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</si>
  <si>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</si>
  <si>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</si>
  <si>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</si>
  <si>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</si>
  <si>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</si>
  <si>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</si>
  <si>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</si>
  <si>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</si>
  <si>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</si>
  <si>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</si>
  <si>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</si>
  <si>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</si>
  <si>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</si>
  <si>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</si>
  <si>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</si>
  <si>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</si>
  <si>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</si>
  <si>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</si>
  <si>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</si>
  <si>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</si>
  <si>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</si>
  <si>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</si>
  <si>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</si>
  <si>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</si>
  <si>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</si>
  <si>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</si>
  <si>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</si>
  <si>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</si>
  <si>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</si>
  <si>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</si>
  <si>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</si>
  <si>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</si>
  <si>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</si>
  <si>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</si>
  <si>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</si>
  <si>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</si>
  <si>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</si>
  <si>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</si>
  <si>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</si>
  <si>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</si>
  <si>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</si>
  <si>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</si>
  <si>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</si>
  <si>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</si>
  <si>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</si>
  <si>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</si>
  <si>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</si>
  <si>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</si>
  <si>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</si>
  <si>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</si>
  <si>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</si>
  <si>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</si>
  <si>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</si>
  <si>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</si>
  <si>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</si>
  <si>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</si>
  <si>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</si>
  <si>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</si>
  <si>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</si>
  <si>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</si>
  <si>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</si>
  <si>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</si>
  <si>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</si>
  <si>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</si>
  <si>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</si>
  <si>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</si>
  <si>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</si>
  <si>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</si>
  <si>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</si>
  <si>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</si>
  <si>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</si>
  <si>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</si>
  <si>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</si>
  <si>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</si>
  <si>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</si>
  <si>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</si>
  <si>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</si>
  <si>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</si>
  <si>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</si>
  <si>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</si>
  <si>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</si>
  <si>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</si>
  <si>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</si>
  <si>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</si>
  <si>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</si>
  <si>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</si>
  <si>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</si>
  <si>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</si>
  <si>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</si>
  <si>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</si>
  <si>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</si>
  <si>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</si>
  <si>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</si>
  <si>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</si>
  <si>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</si>
  <si>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</si>
  <si>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</si>
  <si>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</si>
  <si>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</si>
  <si>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</si>
  <si>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</si>
  <si>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</si>
  <si>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</si>
  <si>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</si>
  <si>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</si>
  <si>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</si>
  <si>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</si>
  <si>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</si>
  <si>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</si>
  <si>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</si>
  <si>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</si>
  <si>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</si>
  <si>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</si>
  <si>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</si>
  <si>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</si>
  <si>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</si>
  <si>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</si>
  <si>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</si>
  <si>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</si>
  <si>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</si>
  <si>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</si>
  <si>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</si>
  <si>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</si>
  <si>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</si>
  <si>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</si>
  <si>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</si>
  <si>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</si>
  <si>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</si>
  <si>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</si>
  <si>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</si>
  <si>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</si>
  <si>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</si>
  <si>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</si>
  <si>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</si>
  <si>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</si>
  <si>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</si>
  <si>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</si>
  <si>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</si>
  <si>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</si>
  <si>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</si>
  <si>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</si>
  <si>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</si>
  <si>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</si>
  <si>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</si>
  <si>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</si>
  <si>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</si>
  <si>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</si>
  <si>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</si>
  <si>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</si>
  <si>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</si>
  <si>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</si>
  <si>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</si>
  <si>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</si>
  <si>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</si>
  <si>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</si>
  <si>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</si>
  <si>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</si>
  <si>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</si>
  <si>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</si>
  <si>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</si>
  <si>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</si>
  <si>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</si>
  <si>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</si>
  <si>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</si>
  <si>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</si>
  <si>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</si>
  <si>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</si>
  <si>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</si>
  <si>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</si>
  <si>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</si>
  <si>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</si>
  <si>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</si>
  <si>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</si>
  <si>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</si>
  <si>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</si>
  <si>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</si>
  <si>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</si>
  <si>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</si>
  <si>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</si>
  <si>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</si>
  <si>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</si>
  <si>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</si>
  <si>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</si>
  <si>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</si>
  <si>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</si>
  <si>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</si>
  <si>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</si>
  <si>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</si>
  <si>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</si>
  <si>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</si>
  <si>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</si>
  <si>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</si>
  <si>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</si>
  <si>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</si>
  <si>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</si>
  <si>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</si>
  <si>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</si>
  <si>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</si>
  <si>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</si>
  <si>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</si>
  <si>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</si>
  <si>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</si>
  <si>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</si>
  <si>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</si>
  <si>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</si>
  <si>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</si>
  <si>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</si>
  <si>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</si>
  <si>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</si>
  <si>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</si>
  <si>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</si>
  <si>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</si>
  <si>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</si>
  <si>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</si>
  <si>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</si>
  <si>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</si>
  <si>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</si>
  <si>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</si>
  <si>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</si>
  <si>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</si>
  <si>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</si>
  <si>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</si>
  <si>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</si>
  <si>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</si>
  <si>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</si>
  <si>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</si>
  <si>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</si>
  <si>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</si>
  <si>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</si>
  <si>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</si>
  <si>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</si>
  <si>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</si>
  <si>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</si>
  <si>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</si>
  <si>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</si>
  <si>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</si>
  <si>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</si>
  <si>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</si>
  <si>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</si>
  <si>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</si>
  <si>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</si>
  <si>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</si>
  <si>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</si>
  <si>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</si>
  <si>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</si>
  <si>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</si>
  <si>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</si>
  <si>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</si>
  <si>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</si>
  <si>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</si>
  <si>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</si>
  <si>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</si>
  <si>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</si>
  <si>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</si>
  <si>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</si>
  <si>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</si>
  <si>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</si>
  <si>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</si>
  <si>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</si>
  <si>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</si>
  <si>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</si>
  <si>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</si>
  <si>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</si>
  <si>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</si>
  <si>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</si>
  <si>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</si>
  <si>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</si>
  <si>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</si>
  <si>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</si>
  <si>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</si>
  <si>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</si>
  <si>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</si>
  <si>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</si>
  <si>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</si>
  <si>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</si>
  <si>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</si>
  <si>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</si>
  <si>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</si>
  <si>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</si>
  <si>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</si>
  <si>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</si>
  <si>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</si>
  <si>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</si>
  <si>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</si>
  <si>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</si>
  <si>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</si>
  <si>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</si>
  <si>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</si>
  <si>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</si>
  <si>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</si>
  <si>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</si>
  <si>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</si>
  <si>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</si>
  <si>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</si>
  <si>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</si>
  <si>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</si>
  <si>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</si>
  <si>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</si>
  <si>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</si>
  <si>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</si>
  <si>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</si>
  <si>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</si>
  <si>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</si>
  <si>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</si>
  <si>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</si>
  <si>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</si>
  <si>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</si>
  <si>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</si>
  <si>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</si>
  <si>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</si>
  <si>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</si>
  <si>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</si>
  <si>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</si>
  <si>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</si>
  <si>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</si>
  <si>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</si>
  <si>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</si>
  <si>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</si>
  <si>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</si>
  <si>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</si>
  <si>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</si>
  <si>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</si>
  <si>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</si>
  <si>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</si>
  <si>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</si>
  <si>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</si>
  <si>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</si>
  <si>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</si>
  <si>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</si>
  <si>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</si>
  <si>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</si>
  <si>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</si>
  <si>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</si>
  <si>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</si>
  <si>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</si>
  <si>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</si>
  <si>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</si>
  <si>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</si>
  <si>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</si>
  <si>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</si>
  <si>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</si>
  <si>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</si>
  <si>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</si>
  <si>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</si>
  <si>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</si>
  <si>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</si>
  <si>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</si>
  <si>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</si>
  <si>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</si>
  <si>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</si>
  <si>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</si>
  <si>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</si>
  <si>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</si>
  <si>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</si>
  <si>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</si>
  <si>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</si>
  <si>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</si>
  <si>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</si>
  <si>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</si>
  <si>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</si>
  <si>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</si>
  <si>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</si>
  <si>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</si>
  <si>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</si>
  <si>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</si>
  <si>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</si>
  <si>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</si>
  <si>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</si>
  <si>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</si>
  <si>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</si>
  <si>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</si>
  <si>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</si>
  <si>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</si>
  <si>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</si>
  <si>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</si>
  <si>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</si>
  <si>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</si>
  <si>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</si>
  <si>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</si>
  <si>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</si>
  <si>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</si>
  <si>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</si>
  <si>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</si>
  <si>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</si>
  <si>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</si>
  <si>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</si>
  <si>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</si>
  <si>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</si>
  <si>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</si>
  <si>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</si>
  <si>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</si>
  <si>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</si>
  <si>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</si>
  <si>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</si>
  <si>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</si>
  <si>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</si>
  <si>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</si>
  <si>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</si>
  <si>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</si>
  <si>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</si>
  <si>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</si>
  <si>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</si>
  <si>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</si>
  <si>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</si>
  <si>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</si>
  <si>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</si>
  <si>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</si>
  <si>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</si>
  <si>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</si>
  <si>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</si>
  <si>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</si>
  <si>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</si>
  <si>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</si>
  <si>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</si>
  <si>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</si>
  <si>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</si>
  <si>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</si>
  <si>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</si>
  <si>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</si>
  <si>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</si>
  <si>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</si>
  <si>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</si>
  <si>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</si>
  <si>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</si>
  <si>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</si>
  <si>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</si>
  <si>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</si>
  <si>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</si>
  <si>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</si>
  <si>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</si>
  <si>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</si>
  <si>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</si>
  <si>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</si>
  <si>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</si>
  <si>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</si>
  <si>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</si>
  <si>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</si>
  <si>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</si>
  <si>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</si>
  <si>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</si>
  <si>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</si>
  <si>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</si>
  <si>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</si>
  <si>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</si>
  <si>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</si>
  <si>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</si>
  <si>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</si>
  <si>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</si>
  <si>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</si>
  <si>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</si>
  <si>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</si>
  <si>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</si>
  <si>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</si>
  <si>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</si>
  <si>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</si>
  <si>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</si>
  <si>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</si>
  <si>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</si>
  <si>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</si>
  <si>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</si>
  <si>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</si>
  <si>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</si>
  <si>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</si>
  <si>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</si>
  <si>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</si>
  <si>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</si>
  <si>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</si>
  <si>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</si>
  <si>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</si>
  <si>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</si>
  <si>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</si>
  <si>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</si>
  <si>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</si>
  <si>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</si>
  <si>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</si>
  <si>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</si>
  <si>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</si>
  <si>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</si>
  <si>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</si>
  <si>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</si>
  <si>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</si>
  <si>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</si>
  <si>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</si>
  <si>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</si>
  <si>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</si>
  <si>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</si>
  <si>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</si>
  <si>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</si>
  <si>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</si>
  <si>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</si>
  <si>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</si>
  <si>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</si>
  <si>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</si>
  <si>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</si>
  <si>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</si>
  <si>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</si>
  <si>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</si>
  <si>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</si>
  <si>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</si>
  <si>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</si>
  <si>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</si>
  <si>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</si>
  <si>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</si>
  <si>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</si>
  <si>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</si>
  <si>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</si>
  <si>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</si>
  <si>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</si>
  <si>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</si>
  <si>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</si>
  <si>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</si>
  <si>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</si>
  <si>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</si>
  <si>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</si>
  <si>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</si>
  <si>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</si>
  <si>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</si>
  <si>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</si>
  <si>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</si>
  <si>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</si>
  <si>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</si>
  <si>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</si>
  <si>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</si>
  <si>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</si>
  <si>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</si>
  <si>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</si>
  <si>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</si>
  <si>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</si>
  <si>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</si>
  <si>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</si>
  <si>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</si>
  <si>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</si>
  <si>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</si>
  <si>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</si>
  <si>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</si>
  <si>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</si>
  <si>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</si>
  <si>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</si>
  <si>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</si>
  <si>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</si>
  <si>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</si>
  <si>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</si>
  <si>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</si>
  <si>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</si>
  <si>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</si>
  <si>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</si>
  <si>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</si>
  <si>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</si>
  <si>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</si>
  <si>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</si>
  <si>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</si>
  <si>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</si>
  <si>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</si>
  <si>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</si>
  <si>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</si>
  <si>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</si>
  <si>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</si>
  <si>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</si>
  <si>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</si>
  <si>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</si>
  <si>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</si>
  <si>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</si>
  <si>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</si>
  <si>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</si>
  <si>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</si>
  <si>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</si>
  <si>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</si>
  <si>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</si>
  <si>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</si>
  <si>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</si>
  <si>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</si>
  <si>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</si>
  <si>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</si>
  <si>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</si>
  <si>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</si>
  <si>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</si>
  <si>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</si>
  <si>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</si>
  <si>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</si>
  <si>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</si>
  <si>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</si>
  <si>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</si>
  <si>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</si>
  <si>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</si>
  <si>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</si>
  <si>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</si>
  <si>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</si>
  <si>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</si>
  <si>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</si>
  <si>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</si>
  <si>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</si>
  <si>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</si>
  <si>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</si>
  <si>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</si>
  <si>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</si>
  <si>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</si>
  <si>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</si>
  <si>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</si>
  <si>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</si>
  <si>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</si>
  <si>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</si>
  <si>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</si>
  <si>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</si>
  <si>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</si>
  <si>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</si>
  <si>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</si>
  <si>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</si>
  <si>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</si>
  <si>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</si>
  <si>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</si>
  <si>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</si>
  <si>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</si>
  <si>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</si>
  <si>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</si>
  <si>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</si>
  <si>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</si>
  <si>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</si>
  <si>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</si>
  <si>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</si>
  <si>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</si>
  <si>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</si>
  <si>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</si>
  <si>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</si>
  <si>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</si>
  <si>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</si>
  <si>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</si>
  <si>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</si>
  <si>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</si>
  <si>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</si>
  <si>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</si>
  <si>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</si>
  <si>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</si>
  <si>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</si>
  <si>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</si>
  <si>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</si>
  <si>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</si>
  <si>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</si>
  <si>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</si>
  <si>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</si>
  <si>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</si>
  <si>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</si>
  <si>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</si>
  <si>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</si>
  <si>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</si>
  <si>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</si>
  <si>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</si>
  <si>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</si>
  <si>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</si>
  <si>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</si>
  <si>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</si>
  <si>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</si>
  <si>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</si>
  <si>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</si>
  <si>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</si>
  <si>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</si>
  <si>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</si>
  <si>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</si>
  <si>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</si>
  <si>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</si>
  <si>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</si>
  <si>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</si>
  <si>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</si>
  <si>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</si>
  <si>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</si>
  <si>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</si>
  <si>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</si>
  <si>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</si>
  <si>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</si>
  <si>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</si>
  <si>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</si>
  <si>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</si>
  <si>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</si>
  <si>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</si>
  <si>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</si>
  <si>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</si>
  <si>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</si>
  <si>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</si>
  <si>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</si>
  <si>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</si>
  <si>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</si>
  <si>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</si>
  <si>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</si>
  <si>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</si>
  <si>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</si>
  <si>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</si>
  <si>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</si>
  <si>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</si>
  <si>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</si>
  <si>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</si>
  <si>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</si>
  <si>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</si>
  <si>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</si>
  <si>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</si>
  <si>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</si>
  <si>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</si>
  <si>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</si>
  <si>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</si>
  <si>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</si>
  <si>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</si>
  <si>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</si>
  <si>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</si>
  <si>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</si>
  <si>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</si>
  <si>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</si>
  <si>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</si>
  <si>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</si>
  <si>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</si>
  <si>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</si>
  <si>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</si>
  <si>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</si>
  <si>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</si>
  <si>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</si>
  <si>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</si>
  <si>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</si>
  <si>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</si>
  <si>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</si>
  <si>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</si>
  <si>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</si>
  <si>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</si>
  <si>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</si>
  <si>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</si>
  <si>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</si>
  <si>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</si>
  <si>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</si>
  <si>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</si>
  <si>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</si>
  <si>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</si>
  <si>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</si>
  <si>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</si>
  <si>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</si>
  <si>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</si>
  <si>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</si>
  <si>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</si>
  <si>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</si>
  <si>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</si>
  <si>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</si>
  <si>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</si>
  <si>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</si>
  <si>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</si>
  <si>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</si>
  <si>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</si>
  <si>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</si>
  <si>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</si>
  <si>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</si>
  <si>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</si>
  <si>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</si>
  <si>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</si>
  <si>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</si>
  <si>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</si>
  <si>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</si>
  <si>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</si>
  <si>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</si>
  <si>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</si>
  <si>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</si>
  <si>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</si>
  <si>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</si>
  <si>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</si>
  <si>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</si>
  <si>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</si>
  <si>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</si>
  <si>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</si>
  <si>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</si>
  <si>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</si>
  <si>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</si>
  <si>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</si>
  <si>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</si>
  <si>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</si>
  <si>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</si>
  <si>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</si>
  <si>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</si>
  <si>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</si>
  <si>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</si>
  <si>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</si>
  <si>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</si>
  <si>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</si>
  <si>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</si>
  <si>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</si>
  <si>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</si>
  <si>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</si>
  <si>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</si>
  <si>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</si>
  <si>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</si>
  <si>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</si>
  <si>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</si>
  <si>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</si>
  <si>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</si>
  <si>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</si>
  <si>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</si>
  <si>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</si>
  <si>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</si>
  <si>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</si>
  <si>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</si>
  <si>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</si>
  <si>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</si>
  <si>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</si>
  <si>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</si>
  <si>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</si>
  <si>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</si>
  <si>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</si>
  <si>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</si>
  <si>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</si>
  <si>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</si>
  <si>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</si>
  <si>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</si>
  <si>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</si>
  <si>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</si>
  <si>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</si>
  <si>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</si>
  <si>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</si>
  <si>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</si>
  <si>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</si>
  <si>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</si>
  <si>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</si>
  <si>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</si>
  <si>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</si>
  <si>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</si>
  <si>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</si>
  <si>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</si>
  <si>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</si>
  <si>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</si>
  <si>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</si>
  <si>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</si>
  <si>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</si>
  <si>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</si>
  <si>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</si>
  <si>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</si>
  <si>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</si>
  <si>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</si>
  <si>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</si>
  <si>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</si>
  <si>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</si>
  <si>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</si>
  <si>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</si>
  <si>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</si>
  <si>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</si>
  <si>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</si>
  <si>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</si>
  <si>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</si>
  <si>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</si>
  <si>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</si>
  <si>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</si>
  <si>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</si>
  <si>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</si>
  <si>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</si>
  <si>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</si>
  <si>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</si>
  <si>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</si>
  <si>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</si>
  <si>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</si>
  <si>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</si>
  <si>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</si>
  <si>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</si>
  <si>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</si>
  <si>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</si>
  <si>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</si>
  <si>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</si>
  <si>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</si>
  <si>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</si>
  <si>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</si>
  <si>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</si>
  <si>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</si>
  <si>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</si>
  <si>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</si>
  <si>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</si>
  <si>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</si>
  <si>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</si>
  <si>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</si>
  <si>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</si>
  <si>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</si>
  <si>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</si>
  <si>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</si>
  <si>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</si>
  <si>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</si>
  <si>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</si>
  <si>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</si>
  <si>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</si>
  <si>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</si>
  <si>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</si>
  <si>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</si>
  <si>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</si>
  <si>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</si>
  <si>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</si>
  <si>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</si>
  <si>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</si>
  <si>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</si>
  <si>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</si>
  <si>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</si>
  <si>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</si>
  <si>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</si>
  <si>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</si>
  <si>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</si>
  <si>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</si>
  <si>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</si>
  <si>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</si>
  <si>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</si>
  <si>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</si>
  <si>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</si>
  <si>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</si>
  <si>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</si>
  <si>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</si>
  <si>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</si>
  <si>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</si>
  <si>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</si>
  <si>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</si>
  <si>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</si>
  <si>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</si>
  <si>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</si>
  <si>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</si>
  <si>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</si>
  <si>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</si>
  <si>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</si>
  <si>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</si>
  <si>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</si>
  <si>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</si>
  <si>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</si>
  <si>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</si>
  <si>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</si>
  <si>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</si>
  <si>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</si>
  <si>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</si>
  <si>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</si>
  <si>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</si>
  <si>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</si>
  <si>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</si>
  <si>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</si>
  <si>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</si>
  <si>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</si>
  <si>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</si>
  <si>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</si>
  <si>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</si>
  <si>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</si>
  <si>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</si>
  <si>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</si>
  <si>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</si>
  <si>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</si>
  <si>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</si>
  <si>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</si>
  <si>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</si>
  <si>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</si>
  <si>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</si>
  <si>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</si>
  <si>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</si>
  <si>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</si>
  <si>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</si>
  <si>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</si>
  <si>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</si>
  <si>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</si>
  <si>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</si>
  <si>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</si>
  <si>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</si>
  <si>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</si>
  <si>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</si>
  <si>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</si>
  <si>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</si>
  <si>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</si>
  <si>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</si>
  <si>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</si>
  <si>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</si>
  <si>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</si>
  <si>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</si>
  <si>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</si>
  <si>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</si>
  <si>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</si>
  <si>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</si>
  <si>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</si>
  <si>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</si>
  <si>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</si>
  <si>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</si>
  <si>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</si>
  <si>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</si>
  <si>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</si>
  <si>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</si>
  <si>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</si>
  <si>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</si>
  <si>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</si>
  <si>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</si>
  <si>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</si>
  <si>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</si>
  <si>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</si>
  <si>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</si>
  <si>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</si>
  <si>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</si>
  <si>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</si>
  <si>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</si>
  <si>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</si>
  <si>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</si>
  <si>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</si>
  <si>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</si>
  <si>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</si>
  <si>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</si>
  <si>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</si>
  <si>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</si>
  <si>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</si>
  <si>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</si>
  <si>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</si>
  <si>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</si>
  <si>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</si>
  <si>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</si>
  <si>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</si>
  <si>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</si>
  <si>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</si>
  <si>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</si>
  <si>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</si>
  <si>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</si>
  <si>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</si>
  <si>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</si>
  <si>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</si>
  <si>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</si>
  <si>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</si>
  <si>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</si>
  <si>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</si>
  <si>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</si>
  <si>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</si>
  <si>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</si>
  <si>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</si>
  <si>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</si>
  <si>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</si>
  <si>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</si>
  <si>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</si>
  <si>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</si>
  <si>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</si>
  <si>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</si>
  <si>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</si>
  <si>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</si>
  <si>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</si>
  <si>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</si>
  <si>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</si>
  <si>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</si>
  <si>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</si>
  <si>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</si>
  <si>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</si>
  <si>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</si>
  <si>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</si>
  <si>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</si>
  <si>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</si>
  <si>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</si>
  <si>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</si>
  <si>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</si>
  <si>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</si>
  <si>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</si>
  <si>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</si>
  <si>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</si>
  <si>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</si>
  <si>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</si>
  <si>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</si>
  <si>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</si>
  <si>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</si>
  <si>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</si>
  <si>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</si>
  <si>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</si>
  <si>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</si>
  <si>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</si>
  <si>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</si>
  <si>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</si>
  <si>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</si>
  <si>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</si>
  <si>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</si>
  <si>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</si>
  <si>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</si>
  <si>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</si>
  <si>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</si>
  <si>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</si>
  <si>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</si>
  <si>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</si>
  <si>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</si>
  <si>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</si>
  <si>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</si>
  <si>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</si>
  <si>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</si>
  <si>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</si>
  <si>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</si>
  <si>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</si>
  <si>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</si>
  <si>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</si>
  <si>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</si>
  <si>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</si>
  <si>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</si>
  <si>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</si>
  <si>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</si>
  <si>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</si>
  <si>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</si>
  <si>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</si>
  <si>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</si>
  <si>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</si>
  <si>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</si>
  <si>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</si>
  <si>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</si>
  <si>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</si>
  <si>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</si>
  <si>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</si>
  <si>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</si>
  <si>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</si>
  <si>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</si>
  <si>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</si>
  <si>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</si>
  <si>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</si>
  <si>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</si>
  <si>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</si>
  <si>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</si>
  <si>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</si>
  <si>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</si>
  <si>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</si>
  <si>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</si>
  <si>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</si>
  <si>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</si>
  <si>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</si>
  <si>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</si>
  <si>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</si>
  <si>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</si>
  <si>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</si>
  <si>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</si>
  <si>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</si>
  <si>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</si>
  <si>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</si>
  <si>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</si>
  <si>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</si>
  <si>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</si>
  <si>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</si>
  <si>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</si>
  <si>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</si>
  <si>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</si>
  <si>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</si>
  <si>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</si>
  <si>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</si>
  <si>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</si>
  <si>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</si>
  <si>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</si>
  <si>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</si>
  <si>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</si>
  <si>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</si>
  <si>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</si>
  <si>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</si>
  <si>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</si>
  <si>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</si>
  <si>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</si>
  <si>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</si>
  <si>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</si>
  <si>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</si>
  <si>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</si>
  <si>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</si>
  <si>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</si>
  <si>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</si>
  <si>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</si>
  <si>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</si>
  <si>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</si>
  <si>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</si>
  <si>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</si>
  <si>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</si>
  <si>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</si>
  <si>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</si>
  <si>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</si>
  <si>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</si>
  <si>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</si>
  <si>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</si>
  <si>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</si>
  <si>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</si>
  <si>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</si>
  <si>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</si>
  <si>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</si>
  <si>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</si>
  <si>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</si>
  <si>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</si>
  <si>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</si>
  <si>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</si>
  <si>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</si>
  <si>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</si>
  <si>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</si>
  <si>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</si>
  <si>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</si>
  <si>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</si>
  <si>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</si>
  <si>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</si>
  <si>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</si>
  <si>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</si>
  <si>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</si>
  <si>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</si>
  <si>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</si>
  <si>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</si>
  <si>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</si>
  <si>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</si>
  <si>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</si>
  <si>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</si>
  <si>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</si>
  <si>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</si>
  <si>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</si>
  <si>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</si>
  <si>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</si>
  <si>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</si>
  <si>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</si>
  <si>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</si>
  <si>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</si>
  <si>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</si>
  <si>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</si>
  <si>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</si>
  <si>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</si>
  <si>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</si>
  <si>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</si>
  <si>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</si>
  <si>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</si>
  <si>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</si>
  <si>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</si>
  <si>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</si>
  <si>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</si>
  <si>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</si>
  <si>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</si>
  <si>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</si>
  <si>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</si>
  <si>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</si>
  <si>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</si>
  <si>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</si>
  <si>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</si>
  <si>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</si>
  <si>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</si>
  <si>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</si>
  <si>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</si>
  <si>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</si>
  <si>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</si>
  <si>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</si>
  <si>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</si>
  <si>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</si>
  <si>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</si>
  <si>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</si>
  <si>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</si>
  <si>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</si>
  <si>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</si>
  <si>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</si>
  <si>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</si>
  <si>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</si>
  <si>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</si>
  <si>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</si>
  <si>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</si>
  <si>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</si>
  <si>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</si>
  <si>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</si>
  <si>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</si>
  <si>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</si>
  <si>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</si>
  <si>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</si>
  <si>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</si>
  <si>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</si>
  <si>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</si>
  <si>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</si>
  <si>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</si>
  <si>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</si>
  <si>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</si>
  <si>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</si>
  <si>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</si>
  <si>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</si>
  <si>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</si>
  <si>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</si>
  <si>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</si>
  <si>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</si>
  <si>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</si>
  <si>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</si>
  <si>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</si>
  <si>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</si>
  <si>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</si>
  <si>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</si>
  <si>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</si>
  <si>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</si>
  <si>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</si>
  <si>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</si>
  <si>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</si>
  <si>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</si>
  <si>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</si>
  <si>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</si>
  <si>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</si>
  <si>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</si>
  <si>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</si>
  <si>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</si>
  <si>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</si>
  <si>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</si>
  <si>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</si>
  <si>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</si>
  <si>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</si>
  <si>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</si>
  <si>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</si>
  <si>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</si>
  <si>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</si>
  <si>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</si>
  <si>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</si>
  <si>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</si>
  <si>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</si>
  <si>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</si>
  <si>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</si>
  <si>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</si>
  <si>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</si>
  <si>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</si>
  <si>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</si>
  <si>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</si>
  <si>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</si>
  <si>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</si>
  <si>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</si>
  <si>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</si>
  <si>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</si>
  <si>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</si>
  <si>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</si>
  <si>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</si>
  <si>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</si>
  <si>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</si>
  <si>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</si>
  <si>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</si>
  <si>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</si>
  <si>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</si>
  <si>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</si>
  <si>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</si>
  <si>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</si>
  <si>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</si>
  <si>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</si>
  <si>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</si>
  <si>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</si>
  <si>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</si>
  <si>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</si>
  <si>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</si>
  <si>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</si>
  <si>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</si>
  <si>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</si>
  <si>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</si>
  <si>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</si>
  <si>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</si>
  <si>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</si>
  <si>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</si>
  <si>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</si>
  <si>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</si>
  <si>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</si>
  <si>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</si>
  <si>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</si>
  <si>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</si>
  <si>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</si>
  <si>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</si>
  <si>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</si>
  <si>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</si>
  <si>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</si>
  <si>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</si>
  <si>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</si>
  <si>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</si>
  <si>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</si>
  <si>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</si>
  <si>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</si>
  <si>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</si>
  <si>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</si>
  <si>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</si>
  <si>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</si>
  <si>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</si>
  <si>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</si>
  <si>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</si>
  <si>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</si>
  <si>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</si>
  <si>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</si>
  <si>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</si>
  <si>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</si>
  <si>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</si>
  <si>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</si>
  <si>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</si>
  <si>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</si>
  <si>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</si>
  <si>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</si>
  <si>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</si>
  <si>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</si>
  <si>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</si>
  <si>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</si>
  <si>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</si>
  <si>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</si>
  <si>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</si>
  <si>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</si>
  <si>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</si>
  <si>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</si>
  <si>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</si>
  <si>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</si>
  <si>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</si>
  <si>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</si>
  <si>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</si>
  <si>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</si>
  <si>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</si>
  <si>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</si>
  <si>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</si>
  <si>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</si>
  <si>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</si>
  <si>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</si>
  <si>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</si>
  <si>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</si>
  <si>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</si>
  <si>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</si>
  <si>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</si>
  <si>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</si>
  <si>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</si>
  <si>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</si>
  <si>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</si>
  <si>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</si>
  <si>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</si>
  <si>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</si>
  <si>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</si>
  <si>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</si>
  <si>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</si>
  <si>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</si>
  <si>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</si>
  <si>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</si>
  <si>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</si>
  <si>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</si>
  <si>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</si>
  <si>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</si>
  <si>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</si>
  <si>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</si>
  <si>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</si>
  <si>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</si>
  <si>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</si>
  <si>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</si>
  <si>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</si>
  <si>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</si>
  <si>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</si>
  <si>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</si>
  <si>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</si>
  <si>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</si>
  <si>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</si>
  <si>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</si>
  <si>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</si>
  <si>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</si>
  <si>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</si>
  <si>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</si>
  <si>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</si>
  <si>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</si>
  <si>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</si>
  <si>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</si>
  <si>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</si>
  <si>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</si>
  <si>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</si>
  <si>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</si>
  <si>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</si>
  <si>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</si>
  <si>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</si>
  <si>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</si>
  <si>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</si>
  <si>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</si>
  <si>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</si>
  <si>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</si>
  <si>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</si>
  <si>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</si>
  <si>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</si>
  <si>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</si>
  <si>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</si>
  <si>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</si>
  <si>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</si>
  <si>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</si>
  <si>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</si>
  <si>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</si>
  <si>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</si>
  <si>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</si>
  <si>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</si>
  <si>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</si>
  <si>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</si>
  <si>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</si>
  <si>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</si>
  <si>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</si>
  <si>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</si>
  <si>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</si>
  <si>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</si>
  <si>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</si>
  <si>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</si>
  <si>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</si>
  <si>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</si>
  <si>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</si>
  <si>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</si>
  <si>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</si>
  <si>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</si>
  <si>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</si>
  <si>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</si>
  <si>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</si>
  <si>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</si>
  <si>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</si>
  <si>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</si>
  <si>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</si>
  <si>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</si>
  <si>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</si>
  <si>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</si>
  <si>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</si>
  <si>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</si>
  <si>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</si>
  <si>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</si>
  <si>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</si>
  <si>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</si>
  <si>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</si>
  <si>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</si>
  <si>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</si>
  <si>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</si>
  <si>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</si>
  <si>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</si>
  <si>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</si>
  <si>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</si>
  <si>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</si>
  <si>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</si>
  <si>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</si>
  <si>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</si>
  <si>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</si>
  <si>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</si>
  <si>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</si>
  <si>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</si>
  <si>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</si>
  <si>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</si>
  <si>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</si>
  <si>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</si>
  <si>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</si>
  <si>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</si>
  <si>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</si>
  <si>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</si>
  <si>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</si>
  <si>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</si>
  <si>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</si>
  <si>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</si>
  <si>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</si>
  <si>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</si>
  <si>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</si>
  <si>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</si>
  <si>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</si>
  <si>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</si>
  <si>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</si>
  <si>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</si>
  <si>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</si>
  <si>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</si>
  <si>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</si>
  <si>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</si>
  <si>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</si>
  <si>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</si>
  <si>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</si>
  <si>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</si>
  <si>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</si>
  <si>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</si>
  <si>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</si>
  <si>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</si>
  <si>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</si>
  <si>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</si>
  <si>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</si>
  <si>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</si>
  <si>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</si>
  <si>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</si>
  <si>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</si>
  <si>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</si>
  <si>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</si>
  <si>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</si>
  <si>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</si>
  <si>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</si>
  <si>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</si>
  <si>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</si>
  <si>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</si>
  <si>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</si>
  <si>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</si>
  <si>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</si>
  <si>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</si>
  <si>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</si>
  <si>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</si>
  <si>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</si>
  <si>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</si>
  <si>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</si>
  <si>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</si>
  <si>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</si>
  <si>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</si>
  <si>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</si>
  <si>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</si>
  <si>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</si>
  <si>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</si>
  <si>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</si>
  <si>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</si>
  <si>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</si>
  <si>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</si>
  <si>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</si>
  <si>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</si>
  <si>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</si>
  <si>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</si>
  <si>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</si>
  <si>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</si>
  <si>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</si>
  <si>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</si>
  <si>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</si>
  <si>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</si>
  <si>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</si>
  <si>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</si>
  <si>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</si>
  <si>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</si>
  <si>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</si>
  <si>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</si>
  <si>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</si>
  <si>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</si>
  <si>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</si>
  <si>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</si>
  <si>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</si>
  <si>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</si>
  <si>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</si>
  <si>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</si>
  <si>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</si>
  <si>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</si>
  <si>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</si>
  <si>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</si>
  <si>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</si>
  <si>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</si>
  <si>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</si>
  <si>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</si>
  <si>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</si>
  <si>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</si>
  <si>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</si>
  <si>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</si>
  <si>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</si>
  <si>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</si>
  <si>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</si>
  <si>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</si>
  <si>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</si>
  <si>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</si>
  <si>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</si>
  <si>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</si>
  <si>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</si>
  <si>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</si>
  <si>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</si>
  <si>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</si>
  <si>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</si>
  <si>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</si>
  <si>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</si>
  <si>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</si>
  <si>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</si>
  <si>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</si>
  <si>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</si>
  <si>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</si>
  <si>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</si>
  <si>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</si>
  <si>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</si>
  <si>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</si>
  <si>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</si>
  <si>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</si>
  <si>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</si>
  <si>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</si>
  <si>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</si>
  <si>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</si>
  <si>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</si>
  <si>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</si>
  <si>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</si>
  <si>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</si>
  <si>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</si>
  <si>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</si>
  <si>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</si>
  <si>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</si>
  <si>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</si>
  <si>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</si>
  <si>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</si>
  <si>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</si>
  <si>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</si>
  <si>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</si>
  <si>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</si>
  <si>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</si>
  <si>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</si>
  <si>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</si>
  <si>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</si>
  <si>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</si>
  <si>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</si>
  <si>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</si>
  <si>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</si>
  <si>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</si>
  <si>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</si>
  <si>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</si>
  <si>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</si>
  <si>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</si>
  <si>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</si>
  <si>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</si>
  <si>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</si>
  <si>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</si>
  <si>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</si>
  <si>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</si>
  <si>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</si>
  <si>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</si>
  <si>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</si>
  <si>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</si>
  <si>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</si>
  <si>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</si>
  <si>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</si>
  <si>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</si>
  <si>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</si>
  <si>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</si>
  <si>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</si>
  <si>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</si>
  <si>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</si>
  <si>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</si>
  <si>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</si>
  <si>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</si>
  <si>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</si>
  <si>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</si>
  <si>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</si>
  <si>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</si>
  <si>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</si>
  <si>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</si>
  <si>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</si>
  <si>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</si>
  <si>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</si>
  <si>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</si>
  <si>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</si>
  <si>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</si>
  <si>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</si>
  <si>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</si>
  <si>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</si>
  <si>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</si>
  <si>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</si>
  <si>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</si>
  <si>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</si>
  <si>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</si>
  <si>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</si>
  <si>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</si>
  <si>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</si>
  <si>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</si>
  <si>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</si>
  <si>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</si>
  <si>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</si>
  <si>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</si>
  <si>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</si>
  <si>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</si>
  <si>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</si>
  <si>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</si>
  <si>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</si>
  <si>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</si>
  <si>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</si>
  <si>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</si>
  <si>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</si>
  <si>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</si>
  <si>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</si>
  <si>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</si>
  <si>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</si>
  <si>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</si>
  <si>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</si>
  <si>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</si>
  <si>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</si>
  <si>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</si>
  <si>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</si>
  <si>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</si>
  <si>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</si>
  <si>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</si>
  <si>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</si>
  <si>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</si>
  <si>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</si>
  <si>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</si>
  <si>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</si>
  <si>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</si>
  <si>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</si>
  <si>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</si>
  <si>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</si>
  <si>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</si>
  <si>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</si>
  <si>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</si>
  <si>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</si>
  <si>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</si>
  <si>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</si>
  <si>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</si>
  <si>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</si>
  <si>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</si>
  <si>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</si>
  <si>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</si>
  <si>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</si>
  <si>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</si>
  <si>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</si>
  <si>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</si>
  <si>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</si>
  <si>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</si>
  <si>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</si>
  <si>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</si>
  <si>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</si>
  <si>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</si>
  <si>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</si>
  <si>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</si>
  <si>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</si>
  <si>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</si>
  <si>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</si>
  <si>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</si>
  <si>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</si>
  <si>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</si>
  <si>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</si>
  <si>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</si>
  <si>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</si>
  <si>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</si>
  <si>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</si>
  <si>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</si>
  <si>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</si>
  <si>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</si>
  <si>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</si>
  <si>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</si>
  <si>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</si>
  <si>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</si>
  <si>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</si>
  <si>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</si>
  <si>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</si>
  <si>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</si>
  <si>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</si>
  <si>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</si>
  <si>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</si>
  <si>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</si>
  <si>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</si>
  <si>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</si>
  <si>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</si>
  <si>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</si>
  <si>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</si>
  <si>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</si>
  <si>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</si>
  <si>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</si>
  <si>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</si>
  <si>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</si>
  <si>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</si>
  <si>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</si>
  <si>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</si>
  <si>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</si>
  <si>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</si>
  <si>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</si>
  <si>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</si>
  <si>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</si>
  <si>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</si>
  <si>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</si>
  <si>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</si>
  <si>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</si>
  <si>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</si>
  <si>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</si>
  <si>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</si>
  <si>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</si>
  <si>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</si>
  <si>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</si>
  <si>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</si>
  <si>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</si>
  <si>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</si>
  <si>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</si>
  <si>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</si>
  <si>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</si>
  <si>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</si>
  <si>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</si>
  <si>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</si>
  <si>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</si>
  <si>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</si>
  <si>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</si>
  <si>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</si>
  <si>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</si>
  <si>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</si>
  <si>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</si>
  <si>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</si>
  <si>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</si>
  <si>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</si>
  <si>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</si>
  <si>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</si>
  <si>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</si>
  <si>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</si>
  <si>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</si>
  <si>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</si>
  <si>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</si>
  <si>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</si>
  <si>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</si>
  <si>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</si>
  <si>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</si>
  <si>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</si>
  <si>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</si>
  <si>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</si>
  <si>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</si>
  <si>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</si>
  <si>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</si>
  <si>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</si>
  <si>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</si>
  <si>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</si>
  <si>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</si>
  <si>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</si>
  <si>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</si>
  <si>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</si>
  <si>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</si>
  <si>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</si>
  <si>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</si>
  <si>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</si>
  <si>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</si>
  <si>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</si>
  <si>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</si>
  <si>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</si>
  <si>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</si>
  <si>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</si>
  <si>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</si>
  <si>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</si>
  <si>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</si>
  <si>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</si>
  <si>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</si>
  <si>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</si>
  <si>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</si>
  <si>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</si>
  <si>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</si>
  <si>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</si>
  <si>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</si>
  <si>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</si>
  <si>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</si>
  <si>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</si>
  <si>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</si>
  <si>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</si>
  <si>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</si>
  <si>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</si>
  <si>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</si>
  <si>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</si>
  <si>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</si>
  <si>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</si>
  <si>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</si>
  <si>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</si>
  <si>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</si>
  <si>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</si>
  <si>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</si>
  <si>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</si>
  <si>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</si>
  <si>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</si>
  <si>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</si>
  <si>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</si>
  <si>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</si>
  <si>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</si>
  <si>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</si>
  <si>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</si>
  <si>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</si>
  <si>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</si>
  <si>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</si>
  <si>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</si>
  <si>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</si>
  <si>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</si>
  <si>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</si>
  <si>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</si>
  <si>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</si>
  <si>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</si>
  <si>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</si>
  <si>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</si>
  <si>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</si>
  <si>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</si>
  <si>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</si>
  <si>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</si>
  <si>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</si>
  <si>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</si>
  <si>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</si>
  <si>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</si>
  <si>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</si>
  <si>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</si>
  <si>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</si>
  <si>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</si>
  <si>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</si>
  <si>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</si>
  <si>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</si>
  <si>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</si>
  <si>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</si>
  <si>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</si>
  <si>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</si>
  <si>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</si>
  <si>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</si>
  <si>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</si>
  <si>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</si>
  <si>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</si>
  <si>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</si>
  <si>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</si>
  <si>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</si>
  <si>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</si>
  <si>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</si>
  <si>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</si>
  <si>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</si>
  <si>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</si>
  <si>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</si>
  <si>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</si>
  <si>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</si>
  <si>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</si>
  <si>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</si>
  <si>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</si>
  <si>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</si>
  <si>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</si>
  <si>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</si>
  <si>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</si>
  <si>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</si>
  <si>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</si>
  <si>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</si>
  <si>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</si>
  <si>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</si>
  <si>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</si>
  <si>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</si>
  <si>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</si>
  <si>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</si>
  <si>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</si>
  <si>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</si>
  <si>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</si>
  <si>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</si>
  <si>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</si>
  <si>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</si>
  <si>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</si>
  <si>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</si>
  <si>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</si>
  <si>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</si>
  <si>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</si>
  <si>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</si>
  <si>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</si>
  <si>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</si>
  <si>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</si>
  <si>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</si>
  <si>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</si>
  <si>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</si>
  <si>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</si>
  <si>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</si>
  <si>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</si>
  <si>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</si>
  <si>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</si>
  <si>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</si>
  <si>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</si>
  <si>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</si>
  <si>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</si>
  <si>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</si>
  <si>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</si>
  <si>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</si>
  <si>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</si>
  <si>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</si>
  <si>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</si>
  <si>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</si>
  <si>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</si>
  <si>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</si>
  <si>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</si>
  <si>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</si>
  <si>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</si>
  <si>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</si>
  <si>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</si>
  <si>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</si>
  <si>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</si>
  <si>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</si>
  <si>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</si>
  <si>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</si>
  <si>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</si>
  <si>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</si>
  <si>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</si>
  <si>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</si>
  <si>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</si>
  <si>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</si>
  <si>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</si>
  <si>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</si>
  <si>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</si>
  <si>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</si>
  <si>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</si>
  <si>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</si>
  <si>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</si>
  <si>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</si>
  <si>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</si>
  <si>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</si>
  <si>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</si>
  <si>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</si>
  <si>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</si>
  <si>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</si>
  <si>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</si>
  <si>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</si>
  <si>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</si>
  <si>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</si>
  <si>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</si>
  <si>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</si>
  <si>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</si>
  <si>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</si>
  <si>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</si>
  <si>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</si>
  <si>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</si>
  <si>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</si>
  <si>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</si>
  <si>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</si>
  <si>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</si>
  <si>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</si>
  <si>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</si>
  <si>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</si>
  <si>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</si>
  <si>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</si>
  <si>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</si>
  <si>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</si>
  <si>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</si>
  <si>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</si>
  <si>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</si>
  <si>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</si>
  <si>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</si>
  <si>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</si>
  <si>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</si>
  <si>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</si>
  <si>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</si>
  <si>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</si>
  <si>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</si>
  <si>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</si>
  <si>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</si>
  <si>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</si>
  <si>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</si>
  <si>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</si>
  <si>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</si>
  <si>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</si>
  <si>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</si>
  <si>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</si>
  <si>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</si>
  <si>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</si>
  <si>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</si>
  <si>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</si>
  <si>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</si>
  <si>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</si>
  <si>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</si>
  <si>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</si>
  <si>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</si>
  <si>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</si>
  <si>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</si>
  <si>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</si>
  <si>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</si>
  <si>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</si>
  <si>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</si>
  <si>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</si>
  <si>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</si>
  <si>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</si>
  <si>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</si>
  <si>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</si>
  <si>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</si>
  <si>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</si>
  <si>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</si>
  <si>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</si>
  <si>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</si>
  <si>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</si>
  <si>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</si>
  <si>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</si>
  <si>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</si>
  <si>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</si>
  <si>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</si>
  <si>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</si>
  <si>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</si>
  <si>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</si>
  <si>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</si>
  <si>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</si>
  <si>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</si>
  <si>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</si>
  <si>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</si>
  <si>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</si>
  <si>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</si>
  <si>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</si>
  <si>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</si>
  <si>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</si>
  <si>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</si>
  <si>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</si>
  <si>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</si>
  <si>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</si>
  <si>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</si>
  <si>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</si>
  <si>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</si>
  <si>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</si>
  <si>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</si>
  <si>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</si>
  <si>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</si>
  <si>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</si>
  <si>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</si>
  <si>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</si>
  <si>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</si>
  <si>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</si>
  <si>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</si>
  <si>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</si>
  <si>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</si>
  <si>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</si>
  <si>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</si>
  <si>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</si>
  <si>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</si>
  <si>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</si>
  <si>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</si>
  <si>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</si>
  <si>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</si>
  <si>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</si>
  <si>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</si>
  <si>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</si>
  <si>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</si>
  <si>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</si>
  <si>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</si>
  <si>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</si>
  <si>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</si>
  <si>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</si>
  <si>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</si>
  <si>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</si>
  <si>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</si>
  <si>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</si>
  <si>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</si>
  <si>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</si>
  <si>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</si>
  <si>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</si>
  <si>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</si>
  <si>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</si>
  <si>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</si>
  <si>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</si>
  <si>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</si>
  <si>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</si>
  <si>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</si>
  <si>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</si>
  <si>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</si>
  <si>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</si>
  <si>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</si>
  <si>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</si>
  <si>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</si>
  <si>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</si>
  <si>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</si>
  <si>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</si>
  <si>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</si>
  <si>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</si>
  <si>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</si>
  <si>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</si>
  <si>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</si>
  <si>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</si>
  <si>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</si>
  <si>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</si>
  <si>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</si>
  <si>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</si>
  <si>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</si>
  <si>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</si>
  <si>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</si>
  <si>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</si>
  <si>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</si>
  <si>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</si>
  <si>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</si>
  <si>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</si>
  <si>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</si>
  <si>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</si>
  <si>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</si>
  <si>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</si>
  <si>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</si>
  <si>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</si>
  <si>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</si>
  <si>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</si>
  <si>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</si>
  <si>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</si>
  <si>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</si>
  <si>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</si>
  <si>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</si>
  <si>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</si>
  <si>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</si>
  <si>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</si>
  <si>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</si>
  <si>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</si>
  <si>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</si>
  <si>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</si>
  <si>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</si>
  <si>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</si>
  <si>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</si>
  <si>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</si>
  <si>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</si>
  <si>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</si>
  <si>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</si>
  <si>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</si>
  <si>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</si>
  <si>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</si>
  <si>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</si>
  <si>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</si>
  <si>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</si>
  <si>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</si>
  <si>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</si>
  <si>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</si>
  <si>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</si>
  <si>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</si>
  <si>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</si>
  <si>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</si>
  <si>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</si>
  <si>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</si>
  <si>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</si>
  <si>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</si>
  <si>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</si>
  <si>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</si>
  <si>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</si>
  <si>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</si>
  <si>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</si>
  <si>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</si>
  <si>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</si>
  <si>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</si>
  <si>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</si>
  <si>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</si>
  <si>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</si>
  <si>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</si>
  <si>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</si>
  <si>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</si>
  <si>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</si>
  <si>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</si>
  <si>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</si>
  <si>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</si>
  <si>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</si>
  <si>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</si>
  <si>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</si>
  <si>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</si>
  <si>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</si>
  <si>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</si>
  <si>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</si>
  <si>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</si>
  <si>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</si>
  <si>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</si>
  <si>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</si>
  <si>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</si>
  <si>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</si>
  <si>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</si>
  <si>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</si>
  <si>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</si>
  <si>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</si>
  <si>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</si>
  <si>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</si>
  <si>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</si>
  <si>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</si>
  <si>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</si>
  <si>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</si>
  <si>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</si>
  <si>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</si>
  <si>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</si>
  <si>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</si>
  <si>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</si>
  <si>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</si>
  <si>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</si>
  <si>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</si>
  <si>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</si>
  <si>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</si>
  <si>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</si>
  <si>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</si>
  <si>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</si>
  <si>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</si>
  <si>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</si>
  <si>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</si>
  <si>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</si>
  <si>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</si>
  <si>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</si>
  <si>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</si>
  <si>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</si>
  <si>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Cinthia Thais de Carvalho Luz Thomazi; Adriana Cuoco Portugal; Fernanda Viana de Souza; Denise Duarte Guirra Kuhlmann;  Priscila Nolasco; Luiz Felipe Tenório de Lima Gondim</t>
  </si>
  <si>
    <t>17/09/2026 e 18/09/2026</t>
  </si>
  <si>
    <t>24/09/2026 e 25/09/2026</t>
  </si>
  <si>
    <t>08/10/2026 e 09/10/2026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</si>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</sst>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A697" activePane="bottomLeft" state="frozen"/>
      <selection pane="bottomLeft" activeCell="A705" sqref="A705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89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2838</v>
      </c>
    </row>
    <row r="706" spans="1:20" ht="23.25" customHeight="1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09" t="s">
        <v>2739</v>
      </c>
      <c r="E706" s="210" t="s">
        <v>2836</v>
      </c>
      <c r="F706" s="220" t="s">
        <v>81</v>
      </c>
      <c r="G706" s="269" t="s">
        <v>2727</v>
      </c>
      <c r="H706" s="290" t="s">
        <v>2839</v>
      </c>
      <c r="I706" s="222">
        <v>46282</v>
      </c>
      <c r="J706" s="222">
        <v>46283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2838</v>
      </c>
    </row>
    <row r="707" spans="1:20" ht="23.25" customHeight="1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 t="s">
        <v>2739</v>
      </c>
      <c r="E707" s="210" t="s">
        <v>2836</v>
      </c>
      <c r="F707" s="211" t="s">
        <v>81</v>
      </c>
      <c r="G707" s="260" t="s">
        <v>2727</v>
      </c>
      <c r="H707" s="289" t="s">
        <v>2840</v>
      </c>
      <c r="I707" s="213">
        <v>46289</v>
      </c>
      <c r="J707" s="213">
        <v>46290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2838</v>
      </c>
    </row>
    <row r="708" spans="1:20" ht="23.25" customHeight="1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09" t="s">
        <v>2739</v>
      </c>
      <c r="E708" s="210" t="s">
        <v>2836</v>
      </c>
      <c r="F708" s="220" t="s">
        <v>81</v>
      </c>
      <c r="G708" s="269" t="s">
        <v>2727</v>
      </c>
      <c r="H708" s="290" t="s">
        <v>2841</v>
      </c>
      <c r="I708" s="222">
        <v>46303</v>
      </c>
      <c r="J708" s="222">
        <v>46304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2838</v>
      </c>
    </row>
    <row r="709" spans="1:20" ht="23.25" customHeight="1">
      <c r="A709" s="208" t="str">
        <f>IF(B709="","",B709&amp;"-"&amp;TEXT(COUNTIF(B$2:B709,B709),"000"))</f>
        <v/>
      </c>
      <c r="B709" s="209"/>
      <c r="C709" s="218"/>
      <c r="D709" s="209"/>
      <c r="E709" s="210"/>
      <c r="F709" s="211"/>
      <c r="G709" s="208"/>
      <c r="H709" s="212"/>
      <c r="I709" s="213"/>
      <c r="J709" s="213"/>
      <c r="K709" s="209"/>
      <c r="L709" s="223"/>
      <c r="M709" s="214"/>
      <c r="N709" s="215"/>
      <c r="O709" s="216"/>
      <c r="P709" s="216"/>
      <c r="Q709" s="216"/>
      <c r="R709" s="216" t="str">
        <f t="shared" si="14"/>
        <v/>
      </c>
      <c r="S709" s="209"/>
      <c r="T709" s="208"/>
    </row>
    <row r="710" spans="1:20" ht="23.25" customHeight="1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2842</v>
      </c>
      <c r="C1" s="96" t="s">
        <v>2843</v>
      </c>
      <c r="D1" s="96" t="s">
        <v>4</v>
      </c>
      <c r="E1" s="96" t="s">
        <v>2844</v>
      </c>
      <c r="F1" s="96" t="s">
        <v>19</v>
      </c>
      <c r="G1" s="96" t="s">
        <v>2845</v>
      </c>
      <c r="H1" s="96" t="s">
        <v>2846</v>
      </c>
      <c r="I1" s="96" t="s">
        <v>2847</v>
      </c>
      <c r="J1" s="96" t="s">
        <v>2848</v>
      </c>
      <c r="L1" s="129" t="s">
        <v>2849</v>
      </c>
      <c r="M1" s="100">
        <v>2026</v>
      </c>
      <c r="U1" s="162" t="s">
        <v>2850</v>
      </c>
      <c r="V1" s="161"/>
      <c r="X1" s="159" t="s">
        <v>2851</v>
      </c>
      <c r="Y1" s="107"/>
      <c r="Z1" s="107"/>
      <c r="AA1" s="107"/>
      <c r="AC1" s="253" t="s">
        <v>2852</v>
      </c>
    </row>
    <row r="2" spans="1:31">
      <c r="A2" s="98" cm="1">
        <f t="array" ref="A2:J106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2842</v>
      </c>
      <c r="Y2" s="160" t="s">
        <v>19</v>
      </c>
      <c r="Z2" s="160" t="s">
        <v>2853</v>
      </c>
      <c r="AA2" s="160" t="s">
        <v>2854</v>
      </c>
      <c r="AC2" s="254" t="s">
        <v>1</v>
      </c>
      <c r="AD2" s="254" t="s">
        <v>2855</v>
      </c>
      <c r="AE2" s="254" t="s">
        <v>2856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2857</v>
      </c>
      <c r="M3" s="19" t="s">
        <v>2858</v>
      </c>
      <c r="N3" s="19" t="s">
        <v>2859</v>
      </c>
      <c r="O3" s="19" t="s">
        <v>2860</v>
      </c>
      <c r="P3" s="19" t="s">
        <v>2861</v>
      </c>
      <c r="Q3" s="19" t="s">
        <v>2862</v>
      </c>
      <c r="R3" s="19" t="s">
        <v>2863</v>
      </c>
      <c r="S3" s="19" t="s">
        <v>2864</v>
      </c>
      <c r="T3" s="19" t="s">
        <v>2865</v>
      </c>
      <c r="X3" t="s">
        <v>2866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4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5">_xlfn.VSTACK(0,_xlfn._xlws.FILTER(S4:S200,S4:S200&lt;&gt;""))</f>
        <v>0</v>
      </c>
      <c r="X4" t="s">
        <v>2867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2868</v>
      </c>
      <c r="Y5" t="s">
        <v>2713</v>
      </c>
      <c r="Z5">
        <v>1</v>
      </c>
      <c r="AA5">
        <v>0.6</v>
      </c>
      <c r="AC5" s="248">
        <v>2026</v>
      </c>
      <c r="AD5" s="95" t="s">
        <v>2869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2868</v>
      </c>
      <c r="Y6" t="s">
        <v>2870</v>
      </c>
      <c r="Z6">
        <v>1</v>
      </c>
      <c r="AA6">
        <v>0</v>
      </c>
      <c r="AC6" s="248">
        <v>2026</v>
      </c>
      <c r="AD6" s="95" t="s">
        <v>2871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2872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2873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2873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2873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2873</v>
      </c>
      <c r="Y11" s="95" t="s">
        <v>2874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2873</v>
      </c>
      <c r="Y12" s="95" t="s">
        <v>2875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2876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2876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2876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2876</v>
      </c>
      <c r="Y16" s="95" t="s">
        <v>2874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2876</v>
      </c>
      <c r="Y17" s="95" t="s">
        <v>2875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2877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2877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2877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2877</v>
      </c>
      <c r="Y21" s="95" t="s">
        <v>2874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2877</v>
      </c>
      <c r="Y22" s="95" t="s">
        <v>2875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2878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2878</v>
      </c>
      <c r="Y24" s="95" t="s">
        <v>2870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2879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2879</v>
      </c>
      <c r="Y26" s="95" t="s">
        <v>2880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2881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2881</v>
      </c>
      <c r="Y28" s="95" t="s">
        <v>2870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2882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2882</v>
      </c>
      <c r="Y30" s="95" t="s">
        <v>2870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2883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2884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2884</v>
      </c>
      <c r="Y33" t="s">
        <v>2885</v>
      </c>
      <c r="Z33">
        <v>4</v>
      </c>
      <c r="AA33">
        <v>0.6</v>
      </c>
      <c r="AC33" s="250"/>
      <c r="AD33" s="251" t="s">
        <v>2886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2884</v>
      </c>
      <c r="Y34" t="s">
        <v>2887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2884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2884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2888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2888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2889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2890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Nolasco; Luiz Felipe Tenório de Lima Gondim</v>
      </c>
      <c r="R41">
        <v>6</v>
      </c>
      <c r="S41">
        <v>87</v>
      </c>
      <c r="T41">
        <v>81</v>
      </c>
      <c r="X41" t="s">
        <v>2891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Nolasco; Luiz Felipe Tenório de Lima Gondim</v>
      </c>
      <c r="R42">
        <v>6</v>
      </c>
      <c r="S42">
        <v>93</v>
      </c>
      <c r="T42">
        <v>87</v>
      </c>
      <c r="X42" t="s">
        <v>2891</v>
      </c>
      <c r="Y42" t="s">
        <v>2892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Nolasco; Luiz Felipe Tenório de Lima Gondim</v>
      </c>
      <c r="R43">
        <v>6</v>
      </c>
      <c r="S43">
        <v>99</v>
      </c>
      <c r="T43">
        <v>93</v>
      </c>
      <c r="X43" t="s">
        <v>2893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Nolasco; Luiz Felipe Tenório de Lima Gondim</v>
      </c>
      <c r="R44">
        <v>6</v>
      </c>
      <c r="S44">
        <v>105</v>
      </c>
      <c r="T44">
        <v>99</v>
      </c>
      <c r="X44" t="s">
        <v>2893</v>
      </c>
      <c r="Y44" s="95" t="s">
        <v>2870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T45">
        <v>105</v>
      </c>
      <c r="X45" t="s">
        <v>2894</v>
      </c>
      <c r="Y45" t="s">
        <v>2895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2894</v>
      </c>
      <c r="Y46" t="s">
        <v>2896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2894</v>
      </c>
      <c r="Y47" t="s">
        <v>2897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2894</v>
      </c>
      <c r="Y48" t="s">
        <v>2898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2894</v>
      </c>
      <c r="Y49" t="s">
        <v>2899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2894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2894</v>
      </c>
      <c r="Y51" t="s">
        <v>2900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2894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2894</v>
      </c>
      <c r="Y53" t="s">
        <v>2901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2894</v>
      </c>
      <c r="Y54" t="s">
        <v>2902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6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6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6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6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6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>
      <c r="A88">
        <v>2026</v>
      </c>
      <c r="B88" t="str">
        <v>2026-049</v>
      </c>
      <c r="C88" t="str">
        <v>A realizar</v>
      </c>
      <c r="D88" t="str">
        <v>TCendo o Futuro</v>
      </c>
      <c r="E88">
        <v>0</v>
      </c>
      <c r="F88" t="str">
        <v>Luiz Felipe Tenório de Lima Gondim</v>
      </c>
      <c r="G88">
        <v>6</v>
      </c>
      <c r="H88">
        <v>0</v>
      </c>
      <c r="I88">
        <v>0</v>
      </c>
      <c r="J88">
        <v>0</v>
      </c>
      <c r="R88" t="str">
        <v/>
      </c>
      <c r="S88" t="str">
        <v/>
      </c>
    </row>
    <row r="89" spans="1:19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Cinthia Thais de Carvalho Luz Thomazi</v>
      </c>
      <c r="G89">
        <v>6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Adriana Cuoco Portugal</v>
      </c>
      <c r="G90">
        <v>6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Fernanda Viana de Souza</v>
      </c>
      <c r="G91">
        <v>6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Denise Duarte Guirra Kuhlmann</v>
      </c>
      <c r="G92">
        <v>6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>
      <c r="A93">
        <v>2026</v>
      </c>
      <c r="B93" t="str">
        <v>2026-050</v>
      </c>
      <c r="C93" t="str">
        <v>A realizar</v>
      </c>
      <c r="D93" t="str">
        <v>TCendo o Futuro</v>
      </c>
      <c r="E93">
        <v>0</v>
      </c>
      <c r="F93" t="str">
        <v>Priscila Nolasco</v>
      </c>
      <c r="G93">
        <v>6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>
      <c r="A94">
        <v>2026</v>
      </c>
      <c r="B94" t="str">
        <v>2026-050</v>
      </c>
      <c r="C94" t="str">
        <v>A realizar</v>
      </c>
      <c r="D94" t="str">
        <v>TCendo o Futuro</v>
      </c>
      <c r="E94">
        <v>0</v>
      </c>
      <c r="F94" t="str">
        <v>Luiz Felipe Tenório de Lima Gondim</v>
      </c>
      <c r="G94">
        <v>6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Cinthia Thais de Carvalho Luz Thomazi</v>
      </c>
      <c r="G95">
        <v>6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Adriana Cuoco Portugal</v>
      </c>
      <c r="G96">
        <v>6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Fernanda Viana de Souza</v>
      </c>
      <c r="G97">
        <v>6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>
      <c r="A98">
        <v>2026</v>
      </c>
      <c r="B98" t="str">
        <v>2026-051</v>
      </c>
      <c r="C98" t="str">
        <v>A realizar</v>
      </c>
      <c r="D98" t="str">
        <v>TCendo o Futuro</v>
      </c>
      <c r="E98">
        <v>0</v>
      </c>
      <c r="F98" t="str">
        <v>Denise Duarte Guirra Kuhlmann</v>
      </c>
      <c r="G98">
        <v>6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>
      <c r="A99">
        <v>2026</v>
      </c>
      <c r="B99" t="str">
        <v>2026-051</v>
      </c>
      <c r="C99" t="str">
        <v>A realizar</v>
      </c>
      <c r="D99" t="str">
        <v>TCendo o Futuro</v>
      </c>
      <c r="E99">
        <v>0</v>
      </c>
      <c r="F99" t="str">
        <v>Priscila Nolasco</v>
      </c>
      <c r="G99">
        <v>6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>
      <c r="A100">
        <v>2026</v>
      </c>
      <c r="B100" t="str">
        <v>2026-051</v>
      </c>
      <c r="C100" t="str">
        <v>A realizar</v>
      </c>
      <c r="D100" t="str">
        <v>TCendo o Futuro</v>
      </c>
      <c r="E100">
        <v>0</v>
      </c>
      <c r="F100" t="str">
        <v>Luiz Felipe Tenório de Lima Gondim</v>
      </c>
      <c r="G100">
        <v>6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Cinthia Thais de Carvalho Luz Thomazi</v>
      </c>
      <c r="G101">
        <v>6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Adriana Cuoco Portugal</v>
      </c>
      <c r="G102">
        <v>6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>
      <c r="A103">
        <v>2026</v>
      </c>
      <c r="B103" t="str">
        <v>2026-052</v>
      </c>
      <c r="C103" t="str">
        <v>A realizar</v>
      </c>
      <c r="D103" t="str">
        <v>TCendo o Futuro</v>
      </c>
      <c r="E103">
        <v>0</v>
      </c>
      <c r="F103" t="str">
        <v>Fernanda Viana de Souza</v>
      </c>
      <c r="G103">
        <v>6</v>
      </c>
      <c r="H103">
        <v>0</v>
      </c>
      <c r="I103">
        <v>0</v>
      </c>
      <c r="J103">
        <v>0</v>
      </c>
      <c r="R103" t="str">
        <v/>
      </c>
      <c r="S103" t="str">
        <v/>
      </c>
    </row>
    <row r="104" spans="1:19">
      <c r="A104">
        <v>2026</v>
      </c>
      <c r="B104" t="str">
        <v>2026-052</v>
      </c>
      <c r="C104" t="str">
        <v>A realizar</v>
      </c>
      <c r="D104" t="str">
        <v>TCendo o Futuro</v>
      </c>
      <c r="E104">
        <v>0</v>
      </c>
      <c r="F104" t="str">
        <v>Denise Duarte Guirra Kuhlmann</v>
      </c>
      <c r="G104">
        <v>6</v>
      </c>
      <c r="H104">
        <v>0</v>
      </c>
      <c r="I104">
        <v>0</v>
      </c>
      <c r="J104">
        <v>0</v>
      </c>
      <c r="R104" t="str">
        <v/>
      </c>
      <c r="S104" t="str">
        <v/>
      </c>
    </row>
    <row r="105" spans="1:19">
      <c r="A105">
        <v>2026</v>
      </c>
      <c r="B105" t="str">
        <v>2026-052</v>
      </c>
      <c r="C105" t="str">
        <v>A realizar</v>
      </c>
      <c r="D105" t="str">
        <v>TCendo o Futuro</v>
      </c>
      <c r="E105">
        <v>0</v>
      </c>
      <c r="F105" t="str">
        <v>Priscila Nolasco</v>
      </c>
      <c r="G105">
        <v>6</v>
      </c>
      <c r="H105">
        <v>0</v>
      </c>
      <c r="I105">
        <v>0</v>
      </c>
      <c r="J105">
        <v>0</v>
      </c>
      <c r="R105" t="str">
        <v/>
      </c>
      <c r="S105" t="str">
        <v/>
      </c>
    </row>
    <row r="106" spans="1:19">
      <c r="A106">
        <v>2026</v>
      </c>
      <c r="B106" t="str">
        <v>2026-052</v>
      </c>
      <c r="C106" t="str">
        <v>A realizar</v>
      </c>
      <c r="D106" t="str">
        <v>TCendo o Futuro</v>
      </c>
      <c r="E106">
        <v>0</v>
      </c>
      <c r="F106" t="str">
        <v>Luiz Felipe Tenório de Lima Gondim</v>
      </c>
      <c r="G106">
        <v>6</v>
      </c>
      <c r="H106">
        <v>0</v>
      </c>
      <c r="I106">
        <v>0</v>
      </c>
      <c r="J106">
        <v>0</v>
      </c>
      <c r="R106" t="str">
        <v/>
      </c>
      <c r="S106" t="str">
        <v/>
      </c>
    </row>
    <row r="107" spans="1:19">
      <c r="R107" t="str">
        <v/>
      </c>
      <c r="S107" t="str">
        <v/>
      </c>
    </row>
    <row r="108" spans="1:19">
      <c r="R108" t="str">
        <v/>
      </c>
      <c r="S108" t="str">
        <v/>
      </c>
    </row>
    <row r="109" spans="1:19">
      <c r="R109" t="str">
        <v/>
      </c>
      <c r="S109" t="str">
        <v/>
      </c>
    </row>
    <row r="110" spans="1:19">
      <c r="R110" t="str">
        <v/>
      </c>
      <c r="S110" t="str">
        <v/>
      </c>
    </row>
    <row r="111" spans="1:19">
      <c r="R111" t="str">
        <v/>
      </c>
      <c r="S111" t="str">
        <v/>
      </c>
    </row>
    <row r="112" spans="1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8" t="s">
        <v>2903</v>
      </c>
      <c r="B1" s="278"/>
      <c r="C1" s="278"/>
      <c r="D1" s="278"/>
      <c r="E1" s="278"/>
      <c r="F1" s="278"/>
      <c r="G1" s="278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79" t="s">
        <v>2904</v>
      </c>
      <c r="B4" s="280"/>
      <c r="D4" s="281" t="s">
        <v>2905</v>
      </c>
      <c r="E4" s="282"/>
      <c r="G4" s="125" t="s">
        <v>2906</v>
      </c>
    </row>
    <row r="5" spans="1:7" ht="54.95" customHeight="1" thickBot="1">
      <c r="A5" s="115">
        <f>COUNTIF('Ações InCompany'!B:B,2026)</f>
        <v>52</v>
      </c>
      <c r="B5" s="116" t="s">
        <v>2907</v>
      </c>
      <c r="D5" s="123">
        <f>COUNTIFS('Ações InCompany'!B:B,2026,'Ações InCompany'!C:C,"Realizado")</f>
        <v>32</v>
      </c>
      <c r="E5" s="124" t="s">
        <v>2907</v>
      </c>
      <c r="G5" s="126">
        <f>COUNTIFS('Ações InCompany'!B:B,2026,'Ações InCompany'!C:C,"A realizar")</f>
        <v>15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7" t="s">
        <v>2908</v>
      </c>
      <c r="B8" s="277"/>
      <c r="D8" s="277" t="s">
        <v>2909</v>
      </c>
      <c r="E8" s="277"/>
    </row>
    <row r="9" spans="1:7" ht="5.0999999999999996" customHeight="1">
      <c r="A9" s="291"/>
      <c r="B9" s="291"/>
      <c r="D9" s="291"/>
      <c r="E9" s="291"/>
    </row>
    <row r="10" spans="1:7" ht="24.95" customHeight="1">
      <c r="A10" s="108" t="s">
        <v>5</v>
      </c>
      <c r="B10" s="108" t="s">
        <v>2910</v>
      </c>
      <c r="D10" s="108" t="s">
        <v>2911</v>
      </c>
      <c r="E10" s="108" t="s">
        <v>2912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2913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2914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2915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2916</v>
      </c>
      <c r="B14" s="114">
        <f>SUM(B11:B13)</f>
        <v>32</v>
      </c>
      <c r="D14" s="113" t="s">
        <v>2917</v>
      </c>
      <c r="E14" s="114">
        <f>SUM(E11:E13)</f>
        <v>1278</v>
      </c>
    </row>
    <row r="30" spans="1:5" ht="17.25">
      <c r="A30" s="277" t="s">
        <v>2918</v>
      </c>
      <c r="B30" s="277"/>
      <c r="C30" s="277"/>
      <c r="D30" s="277"/>
      <c r="E30" s="277"/>
    </row>
    <row r="31" spans="1:5" ht="5.0999999999999996" customHeight="1">
      <c r="A31" s="291"/>
      <c r="B31" s="291"/>
      <c r="C31" s="291"/>
      <c r="D31" s="291"/>
      <c r="E31" s="291"/>
    </row>
    <row r="32" spans="1:5" ht="24.95" customHeight="1">
      <c r="A32" s="108" t="s">
        <v>6</v>
      </c>
      <c r="B32" s="108" t="s">
        <v>2919</v>
      </c>
      <c r="C32" s="108" t="s">
        <v>2920</v>
      </c>
      <c r="D32" s="108" t="s">
        <v>2921</v>
      </c>
      <c r="E32" s="108" t="s">
        <v>2922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0.21276595744680851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6.3829787234042548E-2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0.10638297872340426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2.1276595744680851E-2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4.2553191489361701E-2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6</v>
      </c>
      <c r="D38" s="119">
        <f t="shared" si="0"/>
        <v>11</v>
      </c>
      <c r="E38" s="120">
        <f t="shared" si="1"/>
        <v>0.23404255319148937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8.5106382978723402E-2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4.2553191489361701E-2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0.14893617021276595</v>
      </c>
    </row>
    <row r="42" spans="1:5" ht="24" customHeight="1">
      <c r="A42" s="156" t="s">
        <v>2923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4.2553191489361701E-2</v>
      </c>
    </row>
    <row r="44" spans="1:5" ht="24" customHeight="1">
      <c r="A44" s="148" t="s">
        <v>2924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2916</v>
      </c>
      <c r="B45" s="121">
        <f>SUM(B33:B44)</f>
        <v>32</v>
      </c>
      <c r="C45" s="121">
        <f>SUM(C33:C44)</f>
        <v>15</v>
      </c>
      <c r="D45" s="121">
        <f>SUM(D33:D44)</f>
        <v>47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2925</v>
      </c>
      <c r="B1" s="12" t="s">
        <v>2926</v>
      </c>
      <c r="C1" s="13" t="s">
        <v>2927</v>
      </c>
      <c r="D1" s="13" t="s">
        <v>2928</v>
      </c>
      <c r="E1" s="13" t="s">
        <v>2929</v>
      </c>
    </row>
    <row r="2" spans="1:5" ht="18" customHeight="1">
      <c r="A2" s="12" t="s">
        <v>2930</v>
      </c>
      <c r="B2" s="12" t="s">
        <v>2931</v>
      </c>
      <c r="C2" s="12" t="s">
        <v>1729</v>
      </c>
      <c r="D2" s="12" t="s">
        <v>2932</v>
      </c>
      <c r="E2" s="12" t="s">
        <v>2933</v>
      </c>
    </row>
    <row r="3" spans="1:5" ht="18" customHeight="1">
      <c r="A3" s="12" t="s">
        <v>2930</v>
      </c>
      <c r="B3" s="12" t="s">
        <v>2931</v>
      </c>
      <c r="C3" s="14" t="s">
        <v>24</v>
      </c>
      <c r="D3" s="12" t="s">
        <v>2934</v>
      </c>
      <c r="E3" s="12" t="s">
        <v>2935</v>
      </c>
    </row>
    <row r="4" spans="1:5" ht="18" customHeight="1">
      <c r="A4" s="12" t="s">
        <v>2930</v>
      </c>
      <c r="B4" s="12" t="s">
        <v>2931</v>
      </c>
      <c r="C4" s="12" t="s">
        <v>68</v>
      </c>
      <c r="D4" s="12" t="s">
        <v>2932</v>
      </c>
      <c r="E4" s="12" t="s">
        <v>2936</v>
      </c>
    </row>
    <row r="5" spans="1:5" ht="18" customHeight="1">
      <c r="A5" s="12" t="s">
        <v>2930</v>
      </c>
      <c r="B5" s="12" t="s">
        <v>2931</v>
      </c>
      <c r="C5" s="12" t="s">
        <v>72</v>
      </c>
      <c r="D5" s="12" t="s">
        <v>2937</v>
      </c>
      <c r="E5" s="12" t="s">
        <v>2938</v>
      </c>
    </row>
    <row r="6" spans="1:5" ht="18" customHeight="1">
      <c r="A6" s="12" t="s">
        <v>2930</v>
      </c>
      <c r="B6" s="12" t="s">
        <v>2931</v>
      </c>
      <c r="C6" s="12" t="s">
        <v>2727</v>
      </c>
      <c r="D6" s="12" t="s">
        <v>2939</v>
      </c>
      <c r="E6" s="12" t="s">
        <v>2940</v>
      </c>
    </row>
    <row r="7" spans="1:5" ht="18" customHeight="1">
      <c r="A7" s="12" t="s">
        <v>2930</v>
      </c>
      <c r="B7" s="12" t="s">
        <v>2941</v>
      </c>
      <c r="C7" s="12" t="s">
        <v>33</v>
      </c>
      <c r="D7" s="12" t="s">
        <v>2942</v>
      </c>
      <c r="E7" s="12" t="s">
        <v>2943</v>
      </c>
    </row>
    <row r="8" spans="1:5" ht="18" customHeight="1">
      <c r="A8" s="12" t="s">
        <v>2930</v>
      </c>
      <c r="B8" s="12" t="s">
        <v>2941</v>
      </c>
      <c r="C8" s="12" t="s">
        <v>38</v>
      </c>
      <c r="D8" s="12" t="s">
        <v>2944</v>
      </c>
      <c r="E8" s="12" t="s">
        <v>2945</v>
      </c>
    </row>
    <row r="9" spans="1:5" ht="18" customHeight="1">
      <c r="A9" s="12" t="s">
        <v>2930</v>
      </c>
      <c r="B9" s="12" t="s">
        <v>2946</v>
      </c>
      <c r="C9" s="12" t="s">
        <v>457</v>
      </c>
      <c r="D9" s="12" t="s">
        <v>2947</v>
      </c>
      <c r="E9" s="12" t="s">
        <v>2948</v>
      </c>
    </row>
    <row r="10" spans="1:5" ht="18" customHeight="1">
      <c r="A10" s="12" t="s">
        <v>2930</v>
      </c>
      <c r="B10" s="12" t="s">
        <v>2946</v>
      </c>
      <c r="C10" s="12" t="s">
        <v>199</v>
      </c>
      <c r="D10" s="12" t="s">
        <v>23</v>
      </c>
      <c r="E10" s="12" t="s">
        <v>2949</v>
      </c>
    </row>
    <row r="11" spans="1:5" ht="18" customHeight="1">
      <c r="A11" s="12" t="s">
        <v>2930</v>
      </c>
      <c r="B11" s="12" t="s">
        <v>2946</v>
      </c>
      <c r="C11" s="12" t="s">
        <v>364</v>
      </c>
      <c r="D11" s="12" t="s">
        <v>23</v>
      </c>
      <c r="E11" s="12" t="s">
        <v>2950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2951</v>
      </c>
      <c r="B1" s="5" t="s">
        <v>10</v>
      </c>
      <c r="C1" s="15" t="s">
        <v>2952</v>
      </c>
      <c r="D1" s="15" t="s">
        <v>2843</v>
      </c>
    </row>
    <row r="2" spans="1:4" ht="21" customHeight="1">
      <c r="A2" s="258" t="s">
        <v>23</v>
      </c>
      <c r="B2" s="258" t="s">
        <v>35</v>
      </c>
      <c r="C2" s="12" t="s">
        <v>2953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2954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2925</v>
      </c>
      <c r="B1" s="12" t="s">
        <v>2926</v>
      </c>
      <c r="C1" s="13" t="s">
        <v>2927</v>
      </c>
      <c r="D1" s="13" t="s">
        <v>2928</v>
      </c>
      <c r="E1" s="13" t="s">
        <v>2929</v>
      </c>
    </row>
    <row r="2" spans="1:5" ht="18" customHeight="1">
      <c r="A2" s="12" t="s">
        <v>2955</v>
      </c>
      <c r="B2" s="12" t="s">
        <v>2931</v>
      </c>
      <c r="C2" s="14" t="s">
        <v>24</v>
      </c>
      <c r="D2" s="12" t="s">
        <v>2932</v>
      </c>
      <c r="E2" s="18" t="s">
        <v>2956</v>
      </c>
    </row>
    <row r="3" spans="1:5" ht="18" customHeight="1">
      <c r="A3" s="12" t="s">
        <v>2955</v>
      </c>
      <c r="B3" s="12" t="s">
        <v>2931</v>
      </c>
      <c r="C3" s="12" t="s">
        <v>68</v>
      </c>
      <c r="D3" s="12" t="s">
        <v>2934</v>
      </c>
      <c r="E3" s="12" t="s">
        <v>2957</v>
      </c>
    </row>
    <row r="4" spans="1:5" ht="18" customHeight="1">
      <c r="A4" s="12" t="s">
        <v>2955</v>
      </c>
      <c r="B4" s="12" t="s">
        <v>2931</v>
      </c>
      <c r="C4" s="12" t="s">
        <v>72</v>
      </c>
      <c r="D4" s="12" t="s">
        <v>2937</v>
      </c>
      <c r="E4" s="12" t="s">
        <v>2958</v>
      </c>
    </row>
    <row r="5" spans="1:5" ht="27.75" customHeight="1">
      <c r="A5" s="12" t="s">
        <v>2955</v>
      </c>
      <c r="B5" s="12" t="s">
        <v>2931</v>
      </c>
      <c r="C5" s="12" t="s">
        <v>2690</v>
      </c>
      <c r="D5" s="18" t="s">
        <v>2959</v>
      </c>
      <c r="E5" s="12" t="s">
        <v>2960</v>
      </c>
    </row>
    <row r="6" spans="1:5" ht="18" customHeight="1">
      <c r="A6" s="12" t="s">
        <v>2955</v>
      </c>
      <c r="B6" s="12" t="s">
        <v>2931</v>
      </c>
      <c r="C6" s="12" t="s">
        <v>2727</v>
      </c>
      <c r="D6" s="12" t="s">
        <v>2939</v>
      </c>
      <c r="E6" s="12" t="s">
        <v>2940</v>
      </c>
    </row>
    <row r="7" spans="1:5" ht="18" customHeight="1">
      <c r="A7" s="12" t="s">
        <v>2955</v>
      </c>
      <c r="B7" s="12" t="s">
        <v>2941</v>
      </c>
      <c r="C7" s="12" t="s">
        <v>2711</v>
      </c>
      <c r="D7" s="12" t="s">
        <v>2961</v>
      </c>
      <c r="E7" s="12" t="s">
        <v>2962</v>
      </c>
    </row>
    <row r="8" spans="1:5" ht="18" customHeight="1">
      <c r="A8" s="12" t="s">
        <v>2955</v>
      </c>
      <c r="B8" s="12" t="s">
        <v>2941</v>
      </c>
      <c r="C8" s="12" t="s">
        <v>38</v>
      </c>
      <c r="D8" s="12" t="s">
        <v>2944</v>
      </c>
      <c r="E8" s="12" t="s">
        <v>2945</v>
      </c>
    </row>
    <row r="9" spans="1:5" ht="18" customHeight="1">
      <c r="A9" s="12" t="s">
        <v>2955</v>
      </c>
      <c r="B9" s="12" t="s">
        <v>2941</v>
      </c>
      <c r="C9" s="12" t="s">
        <v>2695</v>
      </c>
      <c r="D9" s="12" t="s">
        <v>2963</v>
      </c>
      <c r="E9" s="18" t="s">
        <v>2964</v>
      </c>
    </row>
    <row r="10" spans="1:5" ht="18" customHeight="1">
      <c r="A10" s="12" t="s">
        <v>2955</v>
      </c>
      <c r="B10" s="12" t="s">
        <v>2965</v>
      </c>
      <c r="C10" s="12" t="s">
        <v>2923</v>
      </c>
      <c r="D10" s="12" t="s">
        <v>2966</v>
      </c>
      <c r="E10" s="18" t="s">
        <v>2967</v>
      </c>
    </row>
    <row r="11" spans="1:5" ht="18" customHeight="1">
      <c r="A11" s="12" t="s">
        <v>2955</v>
      </c>
      <c r="B11" s="12" t="s">
        <v>2965</v>
      </c>
      <c r="C11" s="12" t="s">
        <v>199</v>
      </c>
      <c r="D11" s="12" t="s">
        <v>23</v>
      </c>
      <c r="E11" s="12" t="s">
        <v>2949</v>
      </c>
    </row>
    <row r="12" spans="1:5" ht="18" customHeight="1">
      <c r="A12" s="12" t="s">
        <v>2955</v>
      </c>
      <c r="B12" s="12" t="s">
        <v>2965</v>
      </c>
      <c r="C12" s="12" t="s">
        <v>364</v>
      </c>
      <c r="D12" s="12" t="s">
        <v>23</v>
      </c>
      <c r="E12" s="12" t="s">
        <v>2950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2" t="s">
        <v>2968</v>
      </c>
      <c r="B1" s="292"/>
      <c r="C1" s="292"/>
      <c r="D1" s="292"/>
      <c r="E1" s="292"/>
      <c r="F1" s="292"/>
    </row>
    <row r="2" spans="1:7">
      <c r="A2" s="293" t="s">
        <v>2969</v>
      </c>
      <c r="B2" s="293"/>
      <c r="C2" s="293"/>
      <c r="D2" s="293"/>
      <c r="E2" s="293"/>
      <c r="F2" s="293"/>
    </row>
    <row r="4" spans="1:7">
      <c r="A4" s="102" t="s">
        <v>19</v>
      </c>
      <c r="B4" s="102" t="s">
        <v>2846</v>
      </c>
      <c r="C4" s="102" t="s">
        <v>2847</v>
      </c>
      <c r="D4" s="102" t="s">
        <v>2970</v>
      </c>
      <c r="E4" s="102" t="s">
        <v>2848</v>
      </c>
      <c r="F4" s="102" t="s">
        <v>2971</v>
      </c>
    </row>
    <row r="5" spans="1:7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10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7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8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Luiz Felipe Tenório de Lima Gondim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0</v>
      </c>
      <c r="F31" s="101">
        <f>IF($A31="","",COUNTIFS('GECC 2026'!F$2:F$200,$A31))</f>
        <v>4</v>
      </c>
    </row>
    <row r="32" spans="1:6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>
      <c r="A37" t="str">
        <v>Priscila Nolasco</v>
      </c>
      <c r="B37" s="103">
        <f>IF($A37="","",SUMIFS('GECC 2026'!H$2:H$200,'GECC 2026'!F$2:F$200,$A37))</f>
        <v>12</v>
      </c>
      <c r="C37" s="103">
        <f>IF($A37="","",SUMIFS('GECC 2026'!I$2:I$200,'GECC 2026'!F$2:F$200,$A37))</f>
        <v>2.6399999999999997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14.64</v>
      </c>
      <c r="F37" s="101">
        <f>IF($A37="","",COUNTIFS('GECC 2026'!F$2:F$200,$A37))</f>
        <v>7</v>
      </c>
    </row>
    <row r="38" spans="1:6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2917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105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3" t="s">
        <v>2972</v>
      </c>
      <c r="B1" s="283"/>
      <c r="C1" s="283"/>
      <c r="D1" s="283"/>
      <c r="E1" s="283"/>
      <c r="F1" s="283"/>
      <c r="G1" s="283"/>
      <c r="H1" s="283"/>
    </row>
    <row r="2" spans="1:8">
      <c r="A2" s="130" t="s">
        <v>2973</v>
      </c>
    </row>
    <row r="4" spans="1:8" ht="21.95" customHeight="1">
      <c r="A4" s="284" t="s">
        <v>2974</v>
      </c>
      <c r="B4" s="285"/>
      <c r="D4" s="284" t="s">
        <v>2975</v>
      </c>
      <c r="E4" s="285"/>
      <c r="G4" s="284" t="s">
        <v>2976</v>
      </c>
      <c r="H4" s="285"/>
    </row>
    <row r="5" spans="1:8" ht="35.1" customHeight="1">
      <c r="A5" s="288">
        <f>COUNTIF('Ações InCompany'!E:E,"*maratona*")</f>
        <v>13</v>
      </c>
      <c r="B5" s="287"/>
      <c r="D5" s="286">
        <f>SUM(H8:H100)</f>
        <v>1566</v>
      </c>
      <c r="E5" s="287"/>
      <c r="G5" s="286">
        <f>IFERROR(ROUND(D5/A5,0),"-")</f>
        <v>120</v>
      </c>
      <c r="H5" s="287"/>
    </row>
    <row r="6" spans="1:8" ht="9.9499999999999993" customHeight="1"/>
    <row r="7" spans="1:8" ht="24.95" customHeight="1" thickBot="1">
      <c r="A7" s="143" t="s">
        <v>2977</v>
      </c>
      <c r="B7" s="143" t="s">
        <v>2978</v>
      </c>
      <c r="C7" s="143" t="s">
        <v>1</v>
      </c>
      <c r="D7" s="143" t="s">
        <v>2979</v>
      </c>
      <c r="E7" s="143" t="s">
        <v>2980</v>
      </c>
      <c r="F7" s="143" t="s">
        <v>2843</v>
      </c>
      <c r="G7" s="143" t="s">
        <v>5</v>
      </c>
      <c r="H7" s="143" t="s">
        <v>2981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54B26992-BCD1-4DF2-A87D-5F3BC1837C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2026-07-01T01:38:18Z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